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130" codeName="{85106AD5-7665-2F1B-BB0A-E31DD656B090}"/>
  <workbookPr codeName="ThisWorkbook" autoCompressPictures="0"/>
  <mc:AlternateContent xmlns:mc="http://schemas.openxmlformats.org/markup-compatibility/2006">
    <mc:Choice Requires="x15">
      <x15ac:absPath xmlns:x15ac="http://schemas.microsoft.com/office/spreadsheetml/2010/11/ac" url="C:\Users\cband\Downloads\222e832d3df24dea9bae9bbeb6f4219d\222e832d3df24dea9bae9bbeb6f4219d\data\contents\ODM2\"/>
    </mc:Choice>
  </mc:AlternateContent>
  <xr:revisionPtr revIDLastSave="0" documentId="13_ncr:1_{974E5BB9-63D6-43AA-9F37-B429C0DB4FE3}" xr6:coauthVersionLast="45" xr6:coauthVersionMax="45" xr10:uidLastSave="{00000000-0000-0000-0000-000000000000}"/>
  <bookViews>
    <workbookView xWindow="293" yWindow="788" windowWidth="18607" windowHeight="12105" tabRatio="865" firstSheet="6" activeTab="9" xr2:uid="{00000000-000D-0000-FFFF-FFFF00000000}"/>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Controlled Vocabularies" sheetId="3" state="hidden" r:id="rId12"/>
    <sheet name="SpatialReferences" sheetId="18" state="hidden" r:id="rId13"/>
    <sheet name="ExternalIdentifierSystems" sheetId="17" state="hidden" r:id="rId14"/>
    <sheet name="Sheet1" sheetId="20" state="hidden" r:id="rId15"/>
  </sheets>
  <functionGroups builtInGroupCount="19"/>
  <definedNames>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AuthorList_Table">'Dataset Citation'!$A$23:$B$33</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Columns_Table">'Data Columns'!$A$11:$P$97</definedName>
    <definedName name="DataQualityTypeCV">INDEX(ControlledVocabularies[dataqualitytype],1,1):INDEX(ControlledVocabularies[dataqualitytype],COUNTA(ControlledVocabularies[dataqualitytype]))</definedName>
    <definedName name="Dataset_Table">'Dataset Citation'!$A$7:$B$11</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ExternalCitation_Table">'Dataset Citation'!$A$14:$B$19</definedName>
    <definedName name="ExternalIdentifier_Table">ExternalIdentifierSystems!$A$18:$E$20</definedName>
    <definedName name="ExternalIDOrgs_Table">ExternalIdentifierSystems!$A$5:$E$7</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#REF!</definedName>
    <definedName name="ListOfVocabularies">'Controlled Vocabularies'!$1:$1</definedName>
    <definedName name="LongestBlock">#REF!</definedName>
    <definedName name="MethodCodes">INDEX(Methods[Method Code],1,1):INDEX(Methods[Method Code],COUNTA(Methods[Method Code]))</definedName>
    <definedName name="Methods_Table">Methods!$A$10:$F$80</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#REF!</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Features'!$L$8</definedName>
    <definedName name="NumSpatialOffsets">'Related Features (optional)'!$J$3</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s_Table">'People and Organizations'!$A$9:$E$20</definedName>
    <definedName name="OrganizationTypeCV">INDEX(ControlledVocabularies[organizationtype],1,1):INDEX(ControlledVocabularies[organizationtype],COUNTA(ControlledVocabularies[organizationtype]))</definedName>
    <definedName name="People_Table">'People and Organizations'!$A$24:$I$34</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cessingLevels_Table">'Processing Levels'!$A$10:$C$28</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DatumSF_Table">'Sampling Features'!$A$7:$B$9</definedName>
    <definedName name="ReferenceMaterialMediumCV">INDEX(ControlledVocabularies[medium],1,1):INDEX(ControlledVocabularies[medium],COUNTA(ControlledVocabularies[medium]))</definedName>
    <definedName name="RelatedFeatures_Table">'Related Features (optional)'!$A$8:$K$39</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s_Table">'Sampling Features'!$A$12:$M$61</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atialReferences_Table">SpatialReferences!$A$5:$D$8</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_Table">Units!$A$12:$D$50</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s_Table">Variables!$A$9:$F$78</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9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H4" i="7" l="1"/>
  <c r="J24" i="7"/>
  <c r="J25" i="7"/>
  <c r="J26" i="7"/>
  <c r="J27" i="7"/>
  <c r="J28" i="7"/>
  <c r="J29" i="7"/>
  <c r="J30" i="7"/>
  <c r="J31" i="7"/>
  <c r="J32" i="7"/>
  <c r="J33" i="7"/>
  <c r="J34" i="7"/>
  <c r="H5" i="7"/>
  <c r="I8"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D8" i="19"/>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H3" i="9"/>
  <c r="F6" i="8"/>
  <c r="F5" i="12"/>
  <c r="E5" i="13"/>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E22" i="1"/>
  <c r="A27" i="1"/>
  <c r="A28" i="1"/>
  <c r="A29" i="1"/>
  <c r="A30" i="1"/>
  <c r="A31" i="1"/>
  <c r="A32" i="1"/>
  <c r="A33" i="1"/>
  <c r="I34" i="7"/>
  <c r="I24" i="7"/>
  <c r="I25" i="7"/>
  <c r="I33" i="7"/>
  <c r="I32" i="7"/>
  <c r="I31" i="7"/>
  <c r="I30" i="7"/>
  <c r="I29" i="7"/>
  <c r="I28" i="7"/>
  <c r="I27" i="7"/>
  <c r="I26" i="7"/>
  <c r="A23" i="1"/>
  <c r="D4" i="20"/>
  <c r="D8" i="20"/>
  <c r="D5" i="20"/>
  <c r="D9" i="20"/>
  <c r="D11" i="20"/>
  <c r="D2" i="20"/>
  <c r="D7" i="20"/>
  <c r="D3" i="20"/>
  <c r="D6" i="20"/>
  <c r="D10" i="20"/>
  <c r="C2" i="20"/>
  <c r="A11" i="4"/>
  <c r="A12" i="4"/>
  <c r="A13" i="4"/>
  <c r="A14" i="4"/>
  <c r="J13" i="2"/>
  <c r="A15" i="4"/>
  <c r="A16" i="4"/>
  <c r="J14" i="2"/>
  <c r="A17" i="4"/>
  <c r="J15" i="2"/>
  <c r="A18" i="4"/>
  <c r="J16" i="2"/>
  <c r="J17" i="2" s="1"/>
  <c r="A19" i="4"/>
  <c r="A20" i="4" s="1"/>
  <c r="A21" i="4"/>
  <c r="A24" i="1"/>
  <c r="A25" i="1"/>
  <c r="A26" i="1" s="1"/>
  <c r="H6" i="7" l="1"/>
  <c r="J3" i="9"/>
  <c r="L8" i="2"/>
  <c r="A22" i="4"/>
  <c r="A23" i="4"/>
  <c r="N6"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Jezra Beaulieu</author>
    <author>Sara Geleskie Damiano</author>
  </authors>
  <commentList>
    <comment ref="A10" authorId="0" shapeId="0" xr:uid="{00000000-0006-0000-0100-000001000000}">
      <text>
        <r>
          <rPr>
            <b/>
            <sz val="9"/>
            <color indexed="81"/>
            <rFont val="Tahoma"/>
            <family val="2"/>
          </rPr>
          <t>Jezra Beaulieu:</t>
        </r>
        <r>
          <rPr>
            <sz val="9"/>
            <color indexed="81"/>
            <rFont val="Tahoma"/>
            <family val="2"/>
          </rPr>
          <t xml:space="preserve">
Can they add "Tribe" to the list?</t>
        </r>
      </text>
    </comment>
    <comment ref="D23" authorId="1" shapeId="0" xr:uid="{00000000-0006-0000-0100-000002000000}">
      <text>
        <r>
          <rPr>
            <sz val="9"/>
            <color indexed="81"/>
            <rFont val="Tahoma"/>
            <family val="2"/>
          </rPr>
          <t>If the organization doesn't appear on the drop-down list, make sure you've added it above!</t>
        </r>
      </text>
    </comment>
    <comment ref="H23" authorId="1" shapeId="0" xr:uid="{00000000-0006-0000-0100-000003000000}">
      <text>
        <r>
          <rPr>
            <b/>
            <sz val="9"/>
            <color indexed="81"/>
            <rFont val="Tahoma"/>
            <family val="2"/>
          </rPr>
          <t>Include dashes in ORCID!!</t>
        </r>
        <r>
          <rPr>
            <sz val="9"/>
            <color indexed="81"/>
            <rFont val="Tahoma"/>
            <family val="2"/>
          </rPr>
          <t xml:space="preserve">
See http://orcid.org/ for more info on OrcID's</t>
        </r>
      </text>
    </comment>
    <comment ref="I23" authorId="1" shapeId="0" xr:uid="{00000000-0006-0000-0100-000004000000}">
      <text>
        <r>
          <rPr>
            <sz val="9"/>
            <color indexed="81"/>
            <rFont val="Tahoma"/>
            <family val="2"/>
          </rPr>
          <t xml:space="preserve">This is a calculated column, </t>
        </r>
        <r>
          <rPr>
            <b/>
            <sz val="9"/>
            <color indexed="81"/>
            <rFont val="Tahoma"/>
            <family val="2"/>
          </rPr>
          <t>DO NOT ENTER DATA HERE!</t>
        </r>
      </text>
    </comment>
    <comment ref="J23" authorId="1" shapeId="0" xr:uid="{00000000-0006-0000-0100-00000500000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Jezra Beaulieu</author>
    <author>Sara Geleskie Damiano</author>
  </authors>
  <commentList>
    <comment ref="A13" authorId="0" shapeId="0" xr:uid="{00000000-0006-0000-0200-000001000000}">
      <text>
        <r>
          <rPr>
            <b/>
            <sz val="9"/>
            <color indexed="81"/>
            <rFont val="Tahoma"/>
            <family val="2"/>
          </rPr>
          <t>Jezra Beaulieu:</t>
        </r>
        <r>
          <rPr>
            <sz val="9"/>
            <color indexed="81"/>
            <rFont val="Tahoma"/>
            <family val="2"/>
          </rPr>
          <t xml:space="preserve">
Do we want to wait to submit until we publish the data paper or on Hydroshare?</t>
        </r>
      </text>
    </comment>
    <comment ref="B14" authorId="1" shapeId="0" xr:uid="{00000000-0006-0000-0200-000002000000}">
      <text>
        <r>
          <rPr>
            <sz val="9"/>
            <color indexed="81"/>
            <rFont val="Tahoma"/>
            <family val="2"/>
          </rPr>
          <t>If any citation information is included, this field becomes manditory!</t>
        </r>
      </text>
    </comment>
    <comment ref="B15" authorId="1" shapeId="0" xr:uid="{00000000-0006-0000-0200-000003000000}">
      <text>
        <r>
          <rPr>
            <sz val="9"/>
            <color indexed="81"/>
            <rFont val="Tahoma"/>
            <family val="2"/>
          </rPr>
          <t>If any citation information is included, this field becomes manditory!</t>
        </r>
      </text>
    </comment>
    <comment ref="B16" authorId="1" shapeId="0" xr:uid="{00000000-0006-0000-0200-000004000000}">
      <text>
        <r>
          <rPr>
            <sz val="9"/>
            <color indexed="81"/>
            <rFont val="Tahoma"/>
            <family val="2"/>
          </rPr>
          <t>If any citation information is included, this field becomes manditory!</t>
        </r>
      </text>
    </comment>
    <comment ref="B17" authorId="1" shapeId="0" xr:uid="{00000000-0006-0000-0200-000005000000}">
      <text>
        <r>
          <rPr>
            <sz val="9"/>
            <color indexed="81"/>
            <rFont val="Tahoma"/>
            <family val="2"/>
          </rPr>
          <t>If any citation information is included, this field becomes manditory!</t>
        </r>
      </text>
    </comment>
    <comment ref="B22" authorId="1" shapeId="0" xr:uid="{00000000-0006-0000-0200-00000600000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Sara Geleskie Damiano</author>
  </authors>
  <commentList>
    <comment ref="A9" authorId="0" shapeId="0" xr:uid="{00000000-0006-0000-0300-000001000000}">
      <text>
        <r>
          <rPr>
            <sz val="9"/>
            <color indexed="81"/>
            <rFont val="Tahoma"/>
            <family val="2"/>
          </rPr>
          <t>Only applies to SITES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Sara Geleskie Damiano</author>
  </authors>
  <commentList>
    <comment ref="A7" authorId="0" shapeId="0" xr:uid="{00000000-0006-0000-0400-00000100000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shapeId="0" xr:uid="{00000000-0006-0000-0400-00000200000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shapeId="0" xr:uid="{00000000-0006-0000-0400-000003000000}">
      <text>
        <r>
          <rPr>
            <sz val="9"/>
            <color indexed="81"/>
            <rFont val="Tahoma"/>
            <family val="2"/>
          </rPr>
          <t>This field is mandatory if you want to include any offset information!</t>
        </r>
      </text>
    </comment>
    <comment ref="E7" authorId="0" shapeId="0" xr:uid="{00000000-0006-0000-0400-000004000000}">
      <text>
        <r>
          <rPr>
            <sz val="9"/>
            <color indexed="81"/>
            <rFont val="Tahoma"/>
            <family val="2"/>
          </rPr>
          <t>This field is mandatory if you want to include any offset information!</t>
        </r>
      </text>
    </comment>
    <comment ref="F7" authorId="0" shapeId="0" xr:uid="{00000000-0006-0000-0400-00000500000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Sara Geleskie Damiano</author>
  </authors>
  <commentList>
    <comment ref="F8" authorId="0" shapeId="0" xr:uid="{00000000-0006-0000-0600-00000100000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Sara Geleskie Damiano</author>
    <author>Jezra Beaulieu</author>
  </authors>
  <commentList>
    <comment ref="D10" authorId="0" shapeId="0" xr:uid="{00000000-0006-0000-0900-00000100000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shapeId="0" xr:uid="{00000000-0006-0000-0900-00000200000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shapeId="0" xr:uid="{00000000-0006-0000-0900-000003000000}">
      <text>
        <r>
          <rPr>
            <sz val="9"/>
            <color indexed="81"/>
            <rFont val="Tahoma"/>
            <family val="2"/>
          </rPr>
          <t>This is the person who actually deployed the sensor or collected the data in the collumn.</t>
        </r>
      </text>
    </comment>
    <comment ref="H10" authorId="0" shapeId="0" xr:uid="{00000000-0006-0000-0900-00000400000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shapeId="0" xr:uid="{00000000-0006-0000-0900-00000500000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 ref="K14" authorId="1" shapeId="0" xr:uid="{00000000-0006-0000-0900-000006000000}">
      <text>
        <r>
          <rPr>
            <b/>
            <sz val="9"/>
            <color indexed="81"/>
            <rFont val="Tahoma"/>
            <family val="2"/>
          </rPr>
          <t>Jezra Beaulieu:</t>
        </r>
        <r>
          <rPr>
            <sz val="9"/>
            <color indexed="81"/>
            <rFont val="Tahoma"/>
            <family val="2"/>
          </rPr>
          <t xml:space="preserve">
example template has soil as an option, this one does not.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Sara Geleskie Damiano</author>
  </authors>
  <commentList>
    <comment ref="C1" authorId="0" shapeId="0" xr:uid="{00000000-0006-0000-0B00-000001000000}">
      <text>
        <r>
          <rPr>
            <sz val="9"/>
            <color indexed="81"/>
            <rFont val="Tahoma"/>
            <family val="2"/>
          </rPr>
          <t>This is NOT the full Dataset Type CV!  These are only the allowable Dataset types for this template!</t>
        </r>
      </text>
    </comment>
    <comment ref="D1" authorId="0" shapeId="0" xr:uid="{00000000-0006-0000-0B00-000002000000}">
      <text>
        <r>
          <rPr>
            <sz val="9"/>
            <color indexed="81"/>
            <rFont val="Tahoma"/>
            <family val="2"/>
          </rPr>
          <t>This is NOT the full Result Type CV!  These are only the allowable Dataset types for this template!</t>
        </r>
      </text>
    </comment>
    <comment ref="E1" authorId="0" shapeId="0" xr:uid="{00000000-0006-0000-0B00-00000300000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<sst xmlns="http://schemas.openxmlformats.org/spreadsheetml/2006/main" count="2159" uniqueCount="1853">
  <si>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</si>
  <si>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</si>
  <si>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</si>
  <si>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</si>
  <si>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</si>
  <si>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</si>
  <si>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</si>
  <si>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</si>
  <si>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</si>
  <si>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</si>
  <si>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</si>
  <si>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</si>
  <si>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</si>
  <si>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</si>
  <si>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</si>
  <si>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</si>
  <si>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</si>
  <si>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</si>
  <si>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</si>
  <si>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</si>
  <si>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</si>
  <si>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</si>
  <si>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</si>
  <si>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</si>
  <si>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</si>
  <si>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</si>
  <si>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</si>
  <si>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</si>
  <si>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</si>
  <si>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</si>
  <si>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</si>
  <si>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</si>
  <si>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</si>
  <si>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</si>
  <si>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</si>
  <si>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</si>
  <si>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</si>
  <si>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</si>
  <si>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</si>
  <si>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</si>
  <si>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</si>
  <si>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</si>
  <si>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</si>
  <si>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</si>
  <si>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</si>
  <si>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</si>
  <si>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</si>
  <si>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</si>
  <si>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</si>
  <si>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</si>
  <si>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</si>
  <si>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</si>
  <si>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</si>
  <si>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</si>
  <si>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</si>
  <si>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</si>
  <si>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</si>
  <si>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</si>
  <si>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</si>
  <si>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</si>
  <si>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</si>
  <si>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</si>
  <si>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</si>
  <si>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</si>
  <si>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Primary Address</t>
  </si>
  <si>
    <t>Citation DOI</t>
  </si>
  <si>
    <t>Dataset Citation Relationship</t>
  </si>
  <si>
    <t>Site Type</t>
  </si>
  <si>
    <t>Boolean</t>
  </si>
  <si>
    <t>Feature Name</t>
  </si>
  <si>
    <t>Feature Description</t>
  </si>
  <si>
    <t>Feature Code</t>
  </si>
  <si>
    <t>Feature Geometry</t>
  </si>
  <si>
    <t>NotApplicable</t>
  </si>
  <si>
    <t>Gas</t>
  </si>
  <si>
    <t>Rock</t>
  </si>
  <si>
    <t>Spatial Offset Type</t>
  </si>
  <si>
    <t>Offset 1 Value</t>
  </si>
  <si>
    <t>Offset 1 Unit</t>
  </si>
  <si>
    <t>Offset 2 Value</t>
  </si>
  <si>
    <t>Offset 2 Unit</t>
  </si>
  <si>
    <t>Offset 3 Value</t>
  </si>
  <si>
    <t>Offset 3 Unit</t>
  </si>
  <si>
    <t>First Sampling Feature Code</t>
  </si>
  <si>
    <t>Relationship Type</t>
  </si>
  <si>
    <t>Second Sampling Feature Code</t>
  </si>
  <si>
    <t>Related Sampling Features</t>
  </si>
  <si>
    <t>Method Type</t>
  </si>
  <si>
    <t>Method Link</t>
  </si>
  <si>
    <t>Method Information</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</si>
  <si>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</si>
  <si>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</si>
  <si>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</si>
  <si>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</si>
  <si>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</si>
  <si>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</si>
  <si>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</si>
  <si>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</si>
  <si>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</si>
  <si>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</si>
  <si>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</si>
  <si>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</si>
  <si>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</si>
  <si>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</si>
  <si>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</si>
  <si>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</si>
  <si>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</si>
  <si>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</si>
  <si>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</si>
  <si>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</si>
  <si>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</si>
  <si>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</si>
  <si>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</si>
  <si>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CTD</t>
  </si>
  <si>
    <t>Reviews</t>
  </si>
  <si>
    <t>Depth</t>
  </si>
  <si>
    <t>SiteID</t>
  </si>
  <si>
    <t>ResultUUID</t>
  </si>
  <si>
    <t>Sampled Medium</t>
  </si>
  <si>
    <t>Good</t>
  </si>
  <si>
    <t>Aggregation Statistic</t>
  </si>
  <si>
    <t>Average</t>
  </si>
  <si>
    <t>Maximum</t>
  </si>
  <si>
    <t>Minimum</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</si>
  <si>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</si>
  <si>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</si>
  <si>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</si>
  <si>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</si>
  <si>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</si>
  <si>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</si>
  <si>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</si>
  <si>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</si>
  <si>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Column Label</t>
  </si>
  <si>
    <t>Feature IGSN</t>
  </si>
  <si>
    <t>How to use this template:</t>
  </si>
  <si>
    <t>Purpose of this template:</t>
  </si>
  <si>
    <t>Limitations of this template:</t>
  </si>
  <si>
    <t>OffsetID</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</si>
  <si>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</si>
  <si>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</si>
  <si>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</si>
  <si>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</si>
  <si>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</si>
  <si>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</si>
  <si>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</si>
  <si>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</si>
  <si>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</si>
  <si>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</si>
  <si>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</si>
  <si>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</si>
  <si>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This template is designed to  generate correctly formatted YAML Observation Data Archive &amp; Exchange (YODA) Files based on data typed into the various data tabs.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</si>
  <si>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</si>
  <si>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</si>
  <si>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</si>
  <si>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</si>
  <si>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</si>
  <si>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</si>
  <si>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</si>
  <si>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</si>
  <si>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</si>
  <si>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</si>
  <si>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</si>
  <si>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</si>
  <si>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</si>
  <si>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</si>
  <si>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</si>
  <si>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</si>
  <si>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</si>
  <si>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</si>
  <si>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</si>
  <si>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</si>
  <si>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</si>
  <si>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</si>
  <si>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</si>
  <si>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</si>
  <si>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</si>
  <si>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</si>
  <si>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</si>
  <si>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</si>
  <si>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</si>
  <si>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</si>
  <si>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</si>
  <si>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</si>
  <si>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</si>
  <si>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</si>
  <si>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</si>
  <si>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</si>
  <si>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</si>
  <si>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</si>
  <si>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</si>
  <si>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</si>
  <si>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</si>
  <si>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</si>
  <si>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</si>
  <si>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</si>
  <si>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</si>
  <si>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</si>
  <si>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</si>
  <si>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</si>
  <si>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</si>
  <si>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</si>
  <si>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URI Structure</t>
  </si>
  <si>
    <t>http://app.geosamples.org/sample/igsn/</t>
  </si>
  <si>
    <t>ExternalIDNum</t>
  </si>
  <si>
    <t># ORCIDs:</t>
  </si>
  <si>
    <t>TODO:  Allow custom spatial references</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</si>
  <si>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</si>
  <si>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</si>
  <si>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</si>
  <si>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</si>
  <si>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</si>
  <si>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</si>
  <si>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</si>
  <si>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</si>
  <si>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</si>
  <si>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</si>
  <si>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</si>
  <si>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</si>
  <si>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</si>
  <si>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</si>
  <si>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</si>
  <si>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</si>
  <si>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</si>
  <si>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</si>
  <si>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</si>
  <si>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</si>
  <si>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</si>
  <si>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</si>
  <si>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</si>
  <si>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</si>
  <si>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</si>
  <si>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</si>
  <si>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</si>
  <si>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</si>
  <si>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</si>
  <si>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</si>
  <si>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</si>
  <si>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</si>
  <si>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</si>
  <si>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</si>
  <si>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</si>
  <si>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</si>
  <si>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</si>
  <si>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</si>
  <si>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</si>
  <si>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</si>
  <si>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</si>
  <si>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</si>
  <si>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</si>
  <si>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</si>
  <si>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</si>
  <si>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</si>
  <si>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</si>
  <si>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</si>
  <si>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</si>
  <si>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</si>
  <si>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</si>
  <si>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</si>
  <si>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</si>
  <si>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</si>
  <si>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</si>
  <si>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</si>
  <si>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</si>
  <si>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</si>
  <si>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</si>
  <si>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</si>
  <si>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</si>
  <si>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</si>
  <si>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</si>
  <si>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</si>
  <si>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</si>
  <si>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</si>
  <si>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</si>
  <si>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</si>
  <si>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</si>
  <si>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</si>
  <si>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</si>
  <si>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</si>
  <si>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</si>
  <si>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</si>
  <si>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</si>
  <si>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</si>
  <si>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</si>
  <si>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</si>
  <si>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</si>
  <si>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</si>
  <si>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</si>
  <si>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</si>
  <si>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</si>
  <si>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</si>
  <si>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</si>
  <si>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</si>
  <si>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</si>
  <si>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</si>
  <si>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</si>
  <si>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</si>
  <si>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</si>
  <si>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</si>
  <si>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</si>
  <si>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</si>
  <si>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</si>
  <si>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</si>
  <si>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</si>
  <si>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</si>
  <si>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</si>
  <si>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</si>
  <si>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</si>
  <si>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</si>
  <si>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</si>
  <si>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</si>
  <si>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</si>
  <si>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</si>
  <si>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</si>
  <si>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</si>
  <si>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</si>
  <si>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</si>
  <si>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</si>
  <si>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</si>
  <si>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</si>
  <si>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</si>
  <si>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</si>
  <si>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</si>
  <si>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</si>
  <si>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</si>
  <si>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</si>
  <si>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</si>
  <si>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</si>
  <si>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</si>
  <si>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</si>
  <si>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</si>
  <si>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</si>
  <si>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</si>
  <si>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</si>
  <si>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</si>
  <si>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</si>
  <si>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</si>
  <si>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</si>
  <si>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</si>
  <si>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</si>
  <si>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</si>
  <si>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</si>
  <si>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</si>
  <si>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</si>
  <si>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</si>
  <si>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</si>
  <si>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</si>
  <si>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</si>
  <si>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</si>
  <si>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</si>
  <si>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</si>
  <si>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</si>
  <si>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</si>
  <si>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</si>
  <si>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</si>
  <si>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</si>
  <si>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</si>
  <si>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</si>
  <si>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</si>
  <si>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</si>
  <si>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</si>
  <si>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</si>
  <si>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</si>
  <si>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</si>
  <si>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</si>
  <si>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</si>
  <si>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</si>
  <si>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</si>
  <si>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</si>
  <si>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</si>
  <si>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</si>
  <si>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</si>
  <si>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</si>
  <si>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</si>
  <si>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</si>
  <si>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</si>
  <si>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</si>
  <si>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</si>
  <si>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</si>
  <si>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</si>
  <si>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</si>
  <si>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</si>
  <si>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</si>
  <si>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</si>
  <si>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</si>
  <si>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</si>
  <si>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</si>
  <si>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</si>
  <si>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</si>
  <si>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</si>
  <si>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</si>
  <si>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</si>
  <si>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</si>
  <si>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</si>
  <si>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</si>
  <si>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</si>
  <si>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</si>
  <si>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</si>
  <si>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</si>
  <si>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</si>
  <si>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</si>
  <si>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</si>
  <si>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</si>
  <si>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</si>
  <si>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</si>
  <si>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</si>
  <si>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</si>
  <si>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</si>
  <si>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</si>
  <si>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</si>
  <si>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</si>
  <si>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</si>
  <si>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</si>
  <si>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</si>
  <si>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</si>
  <si>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</si>
  <si>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</si>
  <si>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</si>
  <si>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</si>
  <si>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</si>
  <si>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</si>
  <si>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</si>
  <si>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</si>
  <si>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</si>
  <si>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</si>
  <si>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</si>
  <si>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</si>
  <si>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</si>
  <si>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</si>
  <si>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</si>
  <si>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</si>
  <si>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</si>
  <si>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</si>
  <si>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</si>
  <si>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</si>
  <si>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</si>
  <si>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</si>
  <si>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</si>
  <si>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</si>
  <si>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</si>
  <si>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</si>
  <si>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</si>
  <si>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</si>
  <si>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</si>
  <si>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</si>
  <si>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</si>
  <si>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</si>
  <si>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</si>
  <si>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</si>
  <si>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</si>
  <si>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</si>
  <si>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</si>
  <si>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</si>
  <si>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</si>
  <si>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</si>
  <si>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</si>
  <si>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</si>
  <si>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</si>
  <si>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</si>
  <si>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</si>
  <si>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</si>
  <si>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</si>
  <si>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</si>
  <si>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</si>
  <si>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</si>
  <si>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</si>
  <si>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</si>
  <si>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</si>
  <si>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</si>
  <si>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</si>
  <si>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</si>
  <si>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</si>
  <si>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</si>
  <si>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</si>
  <si>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</si>
  <si>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</si>
  <si>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</si>
  <si>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</si>
  <si>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</si>
  <si>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</si>
  <si>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</si>
  <si>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</si>
  <si>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</si>
  <si>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</si>
  <si>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</si>
  <si>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</si>
  <si>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</si>
  <si>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</si>
  <si>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</si>
  <si>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</si>
  <si>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</si>
  <si>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</si>
  <si>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</si>
  <si>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</si>
  <si>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</si>
  <si>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</si>
  <si>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</si>
  <si>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</si>
  <si>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</si>
  <si>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</si>
  <si>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</si>
  <si>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</si>
  <si>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</si>
  <si>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</si>
  <si>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</si>
  <si>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</si>
  <si>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</si>
  <si>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</si>
  <si>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</si>
  <si>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</si>
  <si>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</si>
  <si>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</si>
  <si>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</si>
  <si>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</si>
  <si>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</si>
  <si>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</si>
  <si>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</si>
  <si>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</si>
  <si>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</si>
  <si>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</si>
  <si>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</si>
  <si>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</si>
  <si>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</si>
  <si>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</si>
  <si>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</si>
  <si>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Student organization</t>
  </si>
  <si>
    <t>Vendor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</si>
  <si>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</si>
  <si>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</si>
  <si>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</si>
  <si>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</si>
  <si>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</si>
  <si>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</si>
  <si>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</si>
  <si>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</si>
  <si>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</si>
  <si>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</si>
  <si>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</si>
  <si>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</si>
  <si>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</si>
  <si>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</si>
  <si>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</si>
  <si>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</si>
  <si>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</si>
  <si>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</si>
  <si>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</si>
  <si>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</si>
  <si>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</si>
  <si>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</si>
  <si>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</si>
  <si>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</si>
  <si>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</si>
  <si>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</si>
  <si>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</si>
  <si>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</si>
  <si>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</si>
  <si>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</si>
  <si>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</si>
  <si>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</si>
  <si>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</si>
  <si>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</si>
  <si>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</si>
  <si>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</si>
  <si>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</si>
  <si>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</si>
  <si>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</si>
  <si>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</si>
  <si>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</si>
  <si>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</si>
  <si>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</si>
  <si>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</si>
  <si>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</si>
  <si>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</si>
  <si>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</si>
  <si>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</si>
  <si>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</si>
  <si>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</si>
  <si>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</si>
  <si>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</si>
  <si>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</si>
  <si>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</si>
  <si>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</si>
  <si>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</si>
  <si>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</si>
  <si>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</si>
  <si>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</si>
  <si>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</si>
  <si>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</si>
  <si>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</si>
  <si>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</si>
  <si>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</si>
  <si>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</si>
  <si>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</si>
  <si>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</si>
  <si>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</si>
  <si>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</si>
  <si>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</si>
  <si>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</si>
  <si>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</si>
  <si>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</si>
  <si>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</si>
  <si>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</si>
  <si>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</si>
  <si>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</si>
  <si>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</si>
  <si>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</si>
  <si>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</si>
  <si>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</si>
  <si>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</si>
  <si>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</si>
  <si>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</si>
  <si>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</si>
  <si>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</si>
  <si>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</si>
  <si>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</si>
  <si>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</si>
  <si>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</si>
  <si>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</si>
  <si>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</si>
  <si>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</si>
  <si>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</si>
  <si>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</si>
  <si>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</si>
  <si>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</si>
  <si>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</si>
  <si>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</si>
  <si>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</si>
  <si>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</si>
  <si>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</si>
  <si>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</si>
  <si>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</si>
  <si>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</si>
  <si>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</si>
  <si>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</si>
  <si>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</si>
  <si>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</si>
  <si>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</si>
  <si>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</si>
  <si>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</si>
  <si>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</si>
  <si>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</si>
  <si>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</si>
  <si>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</si>
  <si>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</si>
  <si>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</si>
  <si>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</si>
  <si>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</si>
  <si>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</si>
  <si>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</si>
  <si>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</si>
  <si>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</si>
  <si>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</si>
  <si>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</si>
  <si>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</si>
  <si>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</si>
  <si>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</si>
  <si>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</si>
  <si>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</si>
  <si>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</si>
  <si>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</si>
  <si>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</si>
  <si>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</si>
  <si>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</si>
  <si>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</si>
  <si>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</si>
  <si>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</si>
  <si>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</si>
  <si>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</si>
  <si>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</si>
  <si>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</si>
  <si>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</si>
  <si>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</si>
  <si>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</si>
  <si>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</si>
  <si>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</si>
  <si>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</si>
  <si>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</si>
  <si>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</si>
  <si>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</si>
  <si>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</si>
  <si>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</si>
  <si>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</si>
  <si>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</si>
  <si>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</si>
  <si>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</si>
  <si>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</si>
  <si>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</si>
  <si>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</si>
  <si>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</si>
  <si>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</si>
  <si>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</si>
  <si>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</si>
  <si>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</si>
  <si>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</si>
  <si>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</si>
  <si>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</si>
  <si>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</si>
  <si>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</si>
  <si>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</si>
  <si>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</si>
  <si>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</si>
  <si>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</si>
  <si>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</si>
  <si>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</si>
  <si>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</si>
  <si>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</si>
  <si>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</si>
  <si>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</si>
  <si>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</si>
  <si>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</si>
  <si>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</si>
  <si>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</si>
  <si>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</si>
  <si>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</si>
  <si>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</si>
  <si>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</si>
  <si>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</si>
  <si>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</si>
  <si>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</si>
  <si>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</si>
  <si>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</si>
  <si>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</si>
  <si>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</si>
  <si>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</si>
  <si>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</si>
  <si>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</si>
  <si>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</si>
  <si>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</si>
  <si>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</si>
  <si>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</si>
  <si>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</si>
  <si>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</si>
  <si>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</si>
  <si>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</si>
  <si>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</si>
  <si>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</si>
  <si>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</si>
  <si>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</si>
  <si>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</si>
  <si>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</si>
  <si>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</si>
  <si>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</si>
  <si>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</si>
  <si>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</si>
  <si>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</si>
  <si>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</si>
  <si>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</si>
  <si>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</si>
  <si>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</si>
  <si>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</si>
  <si>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</si>
  <si>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</si>
  <si>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</si>
  <si>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</si>
  <si>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</si>
  <si>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</si>
  <si>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</si>
  <si>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</si>
  <si>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</si>
  <si>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</si>
  <si>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</si>
  <si>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</si>
  <si>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</si>
  <si>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</si>
  <si>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</si>
  <si>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</si>
  <si>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</si>
  <si>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</si>
  <si>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</si>
  <si>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</si>
  <si>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</si>
  <si>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</si>
  <si>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</si>
  <si>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</si>
  <si>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</si>
  <si>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</si>
  <si>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</si>
  <si>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</si>
  <si>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</si>
  <si>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</si>
  <si>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</si>
  <si>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</si>
  <si>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</si>
  <si>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</si>
  <si>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</si>
  <si>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</si>
  <si>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</si>
  <si>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</si>
  <si>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</si>
  <si>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</si>
  <si>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</si>
  <si>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</si>
  <si>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</si>
  <si>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</si>
  <si>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</si>
  <si>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</si>
  <si>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</si>
  <si>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</si>
  <si>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</si>
  <si>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</si>
  <si>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</si>
  <si>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</si>
  <si>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</si>
  <si>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</si>
  <si>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</si>
  <si>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</si>
  <si>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</si>
  <si>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</si>
  <si>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</si>
  <si>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</si>
  <si>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</si>
  <si>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</si>
  <si>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</si>
  <si>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</si>
  <si>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</si>
  <si>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</si>
  <si>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</si>
  <si>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</si>
  <si>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</si>
  <si>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</si>
  <si>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</si>
  <si>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</si>
  <si>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</si>
  <si>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</si>
  <si>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</si>
  <si>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</si>
  <si>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</si>
  <si>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</si>
  <si>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</si>
  <si>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</si>
  <si>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</si>
  <si>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</si>
  <si>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</si>
  <si>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</si>
  <si>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</si>
  <si>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</si>
  <si>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</si>
  <si>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</si>
  <si>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</si>
  <si>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</si>
  <si>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</si>
  <si>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</si>
  <si>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</si>
  <si>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</si>
  <si>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</si>
  <si>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</si>
  <si>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</si>
  <si>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</si>
  <si>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</si>
  <si>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</si>
  <si>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</si>
  <si>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</si>
  <si>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</si>
  <si>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</si>
  <si>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</si>
  <si>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</si>
  <si>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</si>
  <si>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</si>
  <si>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</si>
  <si>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</si>
  <si>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</si>
  <si>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</si>
  <si>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</si>
  <si>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</si>
  <si>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</si>
  <si>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</si>
  <si>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</si>
  <si>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</si>
  <si>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</si>
  <si>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</si>
  <si>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</si>
  <si>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</si>
  <si>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</si>
  <si>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</si>
  <si>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</si>
  <si>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</si>
  <si>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</si>
  <si>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</si>
  <si>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</si>
  <si>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</si>
  <si>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</si>
  <si>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</si>
  <si>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</si>
  <si>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</si>
  <si>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</si>
  <si>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</si>
  <si>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</si>
  <si>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</si>
  <si>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</si>
  <si>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</si>
  <si>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</si>
  <si>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</si>
  <si>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</si>
  <si>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</si>
  <si>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</si>
  <si>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</si>
  <si>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</si>
  <si>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</si>
  <si>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</si>
  <si>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</si>
  <si>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</si>
  <si>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</si>
  <si>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</si>
  <si>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</si>
  <si>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</si>
  <si>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</si>
  <si>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</si>
  <si>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</si>
  <si>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</si>
  <si>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</si>
  <si>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</si>
  <si>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</si>
  <si>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</si>
  <si>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</si>
  <si>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</si>
  <si>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</si>
  <si>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</si>
  <si>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</si>
  <si>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</si>
  <si>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</si>
  <si>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</si>
  <si>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</si>
  <si>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</si>
  <si>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</si>
  <si>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</si>
  <si>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</si>
  <si>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</si>
  <si>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</si>
  <si>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</si>
  <si>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</si>
  <si>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</si>
  <si>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</si>
  <si>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</si>
  <si>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</si>
  <si>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</si>
  <si>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</si>
  <si>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</si>
  <si>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</si>
  <si>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</si>
  <si>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</si>
  <si>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</si>
  <si>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</si>
  <si>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</si>
  <si>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</si>
  <si>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</si>
  <si>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</si>
  <si>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</si>
  <si>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</si>
  <si>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</si>
  <si>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</si>
  <si>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</si>
  <si>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</si>
  <si>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</si>
  <si>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</si>
  <si>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</si>
  <si>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</si>
  <si>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</si>
  <si>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</si>
  <si>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</si>
  <si>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</si>
  <si>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</si>
  <si>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</si>
  <si>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</si>
  <si>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</si>
  <si>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</si>
  <si>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</si>
  <si>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</si>
  <si>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</si>
  <si>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</si>
  <si>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</si>
  <si>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</si>
  <si>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</si>
  <si>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</si>
  <si>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</si>
  <si>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</si>
  <si>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</si>
  <si>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</si>
  <si>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</si>
  <si>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</si>
  <si>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</si>
  <si>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</si>
  <si>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</si>
  <si>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</si>
  <si>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</si>
  <si>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</si>
  <si>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</si>
  <si>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</si>
  <si>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</si>
  <si>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</si>
  <si>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</si>
  <si>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</si>
  <si>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</si>
  <si>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</si>
  <si>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</si>
  <si>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</si>
  <si>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</si>
  <si>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</si>
  <si>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</si>
  <si>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</si>
  <si>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</si>
  <si>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</si>
  <si>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</si>
  <si>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</si>
  <si>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</si>
  <si>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</si>
  <si>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</si>
  <si>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</si>
  <si>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</si>
  <si>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</si>
  <si>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</si>
  <si>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</si>
  <si>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</si>
  <si>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</si>
  <si>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</si>
  <si>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</si>
  <si>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</si>
  <si>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</si>
  <si>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</si>
  <si>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</si>
  <si>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</si>
  <si>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</si>
  <si>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</si>
  <si>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</si>
  <si>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</si>
  <si>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</si>
  <si>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</si>
  <si>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</si>
  <si>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</si>
  <si>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</si>
  <si>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</si>
  <si>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</si>
  <si>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</si>
  <si>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</si>
  <si>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</si>
  <si>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</si>
  <si>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</si>
  <si>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</si>
  <si>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</si>
  <si>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</si>
  <si>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</si>
  <si>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</si>
  <si>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</si>
  <si>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</si>
  <si>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</si>
  <si>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</si>
  <si>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</si>
  <si>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</si>
  <si>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</si>
  <si>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</si>
  <si>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</si>
  <si>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</si>
  <si>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</si>
  <si>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</si>
  <si>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</si>
  <si>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</si>
  <si>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</si>
  <si>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</si>
  <si>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</si>
  <si>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</si>
  <si>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</si>
  <si>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</si>
  <si>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</si>
  <si>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</si>
  <si>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</si>
  <si>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</si>
  <si>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</si>
  <si>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</si>
  <si>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</si>
  <si>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</si>
  <si>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</si>
  <si>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</si>
  <si>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</si>
  <si>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</si>
  <si>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</si>
  <si>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</si>
  <si>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</si>
  <si>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</si>
  <si>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</si>
  <si>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</si>
  <si>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</si>
  <si>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</si>
  <si>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</si>
  <si>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</si>
  <si>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</si>
  <si>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</si>
  <si>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</si>
  <si>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</si>
  <si>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</si>
  <si>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</si>
  <si>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</si>
  <si>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</si>
  <si>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</si>
  <si>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</si>
  <si>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</si>
  <si>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</si>
  <si>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</si>
  <si>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</si>
  <si>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</si>
  <si>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</si>
  <si>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</si>
  <si>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</si>
  <si>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</si>
  <si>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</si>
  <si>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</si>
  <si>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</si>
  <si>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</si>
  <si>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</si>
  <si>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</si>
  <si>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</si>
  <si>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</si>
  <si>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</si>
  <si>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</si>
  <si>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</si>
  <si>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</si>
  <si>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</si>
  <si>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</si>
  <si>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</si>
  <si>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</si>
  <si>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</si>
  <si>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</si>
  <si>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</si>
  <si>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</si>
  <si>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</si>
  <si>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</si>
  <si>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</si>
  <si>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</si>
  <si>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</si>
  <si>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</si>
  <si>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</si>
  <si>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</si>
  <si>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</si>
  <si>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</si>
  <si>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</si>
  <si>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</si>
  <si>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</si>
  <si>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</si>
  <si>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</si>
  <si>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</si>
  <si>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</si>
  <si>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</si>
  <si>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</si>
  <si>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</si>
  <si>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</si>
  <si>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</si>
  <si>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</si>
  <si>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</si>
  <si>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</si>
  <si>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</si>
  <si>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</si>
  <si>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</si>
  <si>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</si>
  <si>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</si>
  <si>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</si>
  <si>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</si>
  <si>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</si>
  <si>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</si>
  <si>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</si>
  <si>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</si>
  <si>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</si>
  <si>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</si>
  <si>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</si>
  <si>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</si>
  <si>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</si>
  <si>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</si>
  <si>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</si>
  <si>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</si>
  <si>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</si>
  <si>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</si>
  <si>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</si>
  <si>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</si>
  <si>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</si>
  <si>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</si>
  <si>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</si>
  <si>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</si>
  <si>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</si>
  <si>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</si>
  <si>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</si>
  <si>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</si>
  <si>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</si>
  <si>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</si>
  <si>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</si>
  <si>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</si>
  <si>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</si>
  <si>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</si>
  <si>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</si>
  <si>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</si>
  <si>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</si>
  <si>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</si>
  <si>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</si>
  <si>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</si>
  <si>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</si>
  <si>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</si>
  <si>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</si>
  <si>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</si>
  <si>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</si>
  <si>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</si>
  <si>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</si>
  <si>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</si>
  <si>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</si>
  <si>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</si>
  <si>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</si>
  <si>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</si>
  <si>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</si>
  <si>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</si>
  <si>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</si>
  <si>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</si>
  <si>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</si>
  <si>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</si>
  <si>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</si>
  <si>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</si>
  <si>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</si>
  <si>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</si>
  <si>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</si>
  <si>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</si>
  <si>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</si>
  <si>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</si>
  <si>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</si>
  <si>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</si>
  <si>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</si>
  <si>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</si>
  <si>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</si>
  <si>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</si>
  <si>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</si>
  <si>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</si>
  <si>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</si>
  <si>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</si>
  <si>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</si>
  <si>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</si>
  <si>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</si>
  <si>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</si>
  <si>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</si>
  <si>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</si>
  <si>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</si>
  <si>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</si>
  <si>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</si>
  <si>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</si>
  <si>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</si>
  <si>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</si>
  <si>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</si>
  <si>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</si>
  <si>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</si>
  <si>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</si>
  <si>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</si>
  <si>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</si>
  <si>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</si>
  <si>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</si>
  <si>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</si>
  <si>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</si>
  <si>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</si>
  <si>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</si>
  <si>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</si>
  <si>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</si>
  <si>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</si>
  <si>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</si>
  <si>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</si>
  <si>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</si>
  <si>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</si>
  <si>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</si>
  <si>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</si>
  <si>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</si>
  <si>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</si>
  <si>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</si>
  <si>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</si>
  <si>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</si>
  <si>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</si>
  <si>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</si>
  <si>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</si>
  <si>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</si>
  <si>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</si>
  <si>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</si>
  <si>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</si>
  <si>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</si>
  <si>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</si>
  <si>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</si>
  <si>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</si>
  <si>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</si>
  <si>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</si>
  <si>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</si>
  <si>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</si>
  <si>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</si>
  <si>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</si>
  <si>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</si>
  <si>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</si>
  <si>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</si>
  <si>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</si>
  <si>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</si>
  <si>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</si>
  <si>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</si>
  <si>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</si>
  <si>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</si>
  <si>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</si>
  <si>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</si>
  <si>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</si>
  <si>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</si>
  <si>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</si>
  <si>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</si>
  <si>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</si>
  <si>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</si>
  <si>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</si>
  <si>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</si>
  <si>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</si>
  <si>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</si>
  <si>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</si>
  <si>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</si>
  <si>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</si>
  <si>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</si>
  <si>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</si>
  <si>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</si>
  <si>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</si>
  <si>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</si>
  <si>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</si>
  <si>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</si>
  <si>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</si>
  <si>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</si>
  <si>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</si>
  <si>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</si>
  <si>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</si>
  <si>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</si>
  <si>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</si>
  <si>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</si>
  <si>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</si>
  <si>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</si>
  <si>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</si>
  <si>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</si>
  <si>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</si>
  <si>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</si>
  <si>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</si>
  <si>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</si>
  <si>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</si>
  <si>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</si>
  <si>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</si>
  <si>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</si>
  <si>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</si>
  <si>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</si>
  <si>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</si>
  <si>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</si>
  <si>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</si>
  <si>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</si>
  <si>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</si>
  <si>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</si>
  <si>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</si>
  <si>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</si>
  <si>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</si>
  <si>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</si>
  <si>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</si>
  <si>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</si>
  <si>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</si>
  <si>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</si>
  <si>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</si>
  <si>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</si>
  <si>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</si>
  <si>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</si>
  <si>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</si>
  <si>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</si>
  <si>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</si>
  <si>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</si>
  <si>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</si>
  <si>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</si>
  <si>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</si>
  <si>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</si>
  <si>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</si>
  <si>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</si>
  <si>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</si>
  <si>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</si>
  <si>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</si>
  <si>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</si>
  <si>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</si>
  <si>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</si>
  <si>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</si>
  <si>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</si>
  <si>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</si>
  <si>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</si>
  <si>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</si>
  <si>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</si>
  <si>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</si>
  <si>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</si>
  <si>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</si>
  <si>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</si>
  <si>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</si>
  <si>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</si>
  <si>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</si>
  <si>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</si>
  <si>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</si>
  <si>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</si>
  <si>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</si>
  <si>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</si>
  <si>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</si>
  <si>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</si>
  <si>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</si>
  <si>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</si>
  <si>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</si>
  <si>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</si>
  <si>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</si>
  <si>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</si>
  <si>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</si>
  <si>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</si>
  <si>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</si>
  <si>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</si>
  <si>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</si>
  <si>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</si>
  <si>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</si>
  <si>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</si>
  <si>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</si>
  <si>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</si>
  <si>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</si>
  <si>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</si>
  <si>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</si>
  <si>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</si>
  <si>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</si>
  <si>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</si>
  <si>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</si>
  <si>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</si>
  <si>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</si>
  <si>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</si>
  <si>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</si>
  <si>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</si>
  <si>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</si>
  <si>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</si>
  <si>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</si>
  <si>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</si>
  <si>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</si>
  <si>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</si>
  <si>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</si>
  <si>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</si>
  <si>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</si>
  <si>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</si>
  <si>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</si>
  <si>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</si>
  <si>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</si>
  <si>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</si>
  <si>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</si>
  <si>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</si>
  <si>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</si>
  <si>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</si>
  <si>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</si>
  <si>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</si>
  <si>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</si>
  <si>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</si>
  <si>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</si>
  <si>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</si>
  <si>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</si>
  <si>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</si>
  <si>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</si>
  <si>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</si>
  <si>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</si>
  <si>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</si>
  <si>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</si>
  <si>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</si>
  <si>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</si>
  <si>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</si>
  <si>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</si>
  <si>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</si>
  <si>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</si>
  <si>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</si>
  <si>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</si>
  <si>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</si>
  <si>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</si>
  <si>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</si>
  <si>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</si>
  <si>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</si>
  <si>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</si>
  <si>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</si>
  <si>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</si>
  <si>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</si>
  <si>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</si>
  <si>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</si>
  <si>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</si>
  <si>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</si>
  <si>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</si>
  <si>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</si>
  <si>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</si>
  <si>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</si>
  <si>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</si>
  <si>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</si>
  <si>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</si>
  <si>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</si>
  <si>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</si>
  <si>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</si>
  <si>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</si>
  <si>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</si>
  <si>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</si>
  <si>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</si>
  <si>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</si>
  <si>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</si>
  <si>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</si>
  <si>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</si>
  <si>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</si>
  <si>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</si>
  <si>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</si>
  <si>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</si>
  <si>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</si>
  <si>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</si>
  <si>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</si>
  <si>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</si>
  <si>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</si>
  <si>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</si>
  <si>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</si>
  <si>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</si>
  <si>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</si>
  <si>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</si>
  <si>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</si>
  <si>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</si>
  <si>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</si>
  <si>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</si>
  <si>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</si>
  <si>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</si>
  <si>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</si>
  <si>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</si>
  <si>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</si>
  <si>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</si>
  <si>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</si>
  <si>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</si>
  <si>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</si>
  <si>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</si>
  <si>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</si>
  <si>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</si>
  <si>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</si>
  <si>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</si>
  <si>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</si>
  <si>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</si>
  <si>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</si>
  <si>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</si>
  <si>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</si>
  <si>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</si>
  <si>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</si>
  <si>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</si>
  <si>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</si>
  <si>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</si>
  <si>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</si>
  <si>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</si>
  <si>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</si>
  <si>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</si>
  <si>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</si>
  <si>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</si>
  <si>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</si>
  <si>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</si>
  <si>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</si>
  <si>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</si>
  <si>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</si>
  <si>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</si>
  <si>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</si>
  <si>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</si>
  <si>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</si>
  <si>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</si>
  <si>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</si>
  <si>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</si>
  <si>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</si>
  <si>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</si>
  <si>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</si>
  <si>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</si>
  <si>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</si>
  <si>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</si>
  <si>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</si>
  <si>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</si>
  <si>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</si>
  <si>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</si>
  <si>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</si>
  <si>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</si>
  <si>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</si>
  <si>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</si>
  <si>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</si>
  <si>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</si>
  <si>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</si>
  <si>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</si>
  <si>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</si>
  <si>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</si>
  <si>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</si>
  <si>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</si>
  <si>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</si>
  <si>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</si>
  <si>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</si>
  <si>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</si>
  <si>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</si>
  <si>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 Units</t>
  </si>
  <si>
    <t>Affiliation Start Date</t>
  </si>
  <si>
    <t>Standard error of mean</t>
  </si>
  <si>
    <t>Standard error of the mean</t>
  </si>
  <si>
    <t>Physical limit lower bound</t>
  </si>
  <si>
    <t>Physical limit upper bound</t>
  </si>
  <si>
    <t>Acid phosphatase</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</si>
  <si>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</si>
  <si>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</si>
  <si>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</si>
  <si>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</si>
  <si>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</si>
  <si>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</si>
  <si>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</si>
  <si>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</si>
  <si>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</si>
  <si>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</si>
  <si>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</si>
  <si>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</si>
  <si>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</si>
  <si>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</si>
  <si>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</si>
  <si>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</si>
  <si>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</si>
  <si>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</si>
  <si>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</si>
  <si>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</si>
  <si>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</si>
  <si>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</si>
  <si>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</si>
  <si>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</si>
  <si>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</si>
  <si>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</si>
  <si>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</si>
  <si>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</si>
  <si>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</si>
  <si>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</si>
  <si>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</si>
  <si>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</si>
  <si>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</si>
  <si>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</si>
  <si>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</si>
  <si>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</si>
  <si>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</si>
  <si>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</si>
  <si>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</si>
  <si>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</si>
  <si>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</si>
  <si>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</si>
  <si>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</si>
  <si>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</si>
  <si>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</si>
  <si>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</si>
  <si>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</si>
  <si>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</si>
  <si>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</si>
  <si>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</si>
  <si>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</si>
  <si>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</si>
  <si>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</si>
  <si>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</si>
  <si>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</si>
  <si>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</si>
  <si>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</si>
  <si>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</si>
  <si>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</si>
  <si>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</si>
  <si>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</si>
  <si>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</si>
  <si>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</si>
  <si>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</si>
  <si>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</si>
  <si>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</si>
  <si>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</si>
  <si>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</si>
  <si>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</si>
  <si>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</si>
  <si>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</si>
  <si>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</si>
  <si>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</si>
  <si>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</si>
  <si>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</si>
  <si>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</si>
  <si>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</si>
  <si>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</si>
  <si>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</si>
  <si>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</si>
  <si>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</si>
  <si>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</si>
  <si>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</si>
  <si>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</si>
  <si>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</si>
  <si>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</si>
  <si>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</si>
  <si>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</si>
  <si>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</si>
  <si>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</si>
  <si>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</si>
  <si>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</si>
  <si>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</si>
  <si>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</si>
  <si>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</si>
  <si>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</si>
  <si>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</si>
  <si>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</si>
  <si>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</si>
  <si>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</si>
  <si>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</si>
  <si>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</si>
  <si>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</si>
  <si>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</si>
  <si>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</si>
  <si>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</si>
  <si>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</si>
  <si>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</si>
  <si>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</si>
  <si>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</si>
  <si>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</si>
  <si>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</si>
  <si>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</si>
  <si>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</si>
  <si>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</si>
  <si>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</si>
  <si>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</si>
  <si>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</si>
  <si>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</si>
  <si>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</si>
  <si>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</si>
  <si>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</si>
  <si>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</si>
  <si>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</si>
  <si>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</si>
  <si>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</si>
  <si>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</si>
  <si>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</si>
  <si>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EGM96</t>
  </si>
  <si>
    <t>Concentration percent saturation</t>
  </si>
  <si>
    <t>0.3.3-alpha+20170413.132730</t>
  </si>
  <si>
    <t>Date/Time</t>
  </si>
  <si>
    <t>UTC Offset</t>
  </si>
  <si>
    <t>Equipment</t>
  </si>
  <si>
    <t>Confidence Interval</t>
  </si>
  <si>
    <t>AHD</t>
  </si>
  <si>
    <t>Instrument Continuing Calibration Verification</t>
  </si>
  <si>
    <t>Faith-based organization</t>
  </si>
  <si>
    <t>Nature center</t>
  </si>
  <si>
    <t>Non-profit organization</t>
  </si>
  <si>
    <t>Park</t>
  </si>
  <si>
    <t>School primary</t>
  </si>
  <si>
    <t>School secondary</t>
  </si>
  <si>
    <t>Youth group</t>
  </si>
  <si>
    <t>Controlled list</t>
  </si>
  <si>
    <t>Floating point number</t>
  </si>
  <si>
    <t>Ecological land classification</t>
  </si>
  <si>
    <t>Critical Zone Observatories</t>
  </si>
  <si>
    <t>House</t>
  </si>
  <si>
    <t>Habitat</t>
  </si>
  <si>
    <t>Regolith</t>
  </si>
  <si>
    <t>Vegetation</t>
  </si>
  <si>
    <t>Altitude</t>
  </si>
  <si>
    <t>Aluminum</t>
  </si>
  <si>
    <t>Iron</t>
  </si>
  <si>
    <t>Magnesium</t>
  </si>
  <si>
    <t>Manganese</t>
  </si>
  <si>
    <t>Porosity</t>
  </si>
  <si>
    <t>Received signal strength indication</t>
  </si>
  <si>
    <t>Ultraviolet Radation Index</t>
  </si>
  <si>
    <t>Ultraviolet Radiation Dose</t>
  </si>
  <si>
    <t>Areal flux</t>
  </si>
  <si>
    <t>UW</t>
  </si>
  <si>
    <t>University of Washington</t>
  </si>
  <si>
    <t>http://www.uw.edu</t>
  </si>
  <si>
    <t>NIT</t>
  </si>
  <si>
    <t>Nooksack Indian Tribe</t>
  </si>
  <si>
    <t>http://www.nooksacktribe.org</t>
  </si>
  <si>
    <t xml:space="preserve">Christina </t>
  </si>
  <si>
    <t>Bandaragoda</t>
  </si>
  <si>
    <t>cband@uw.edu</t>
  </si>
  <si>
    <t>Jezra</t>
  </si>
  <si>
    <t>Beaulieu</t>
  </si>
  <si>
    <t>jbeaulieu@nooksack-nsn.gov</t>
  </si>
  <si>
    <t>Nicoleta</t>
  </si>
  <si>
    <t>Cristea</t>
  </si>
  <si>
    <t>cristn@uw.edu</t>
  </si>
  <si>
    <t>CurvyT</t>
  </si>
  <si>
    <t>Nooksack Temperature Lapse Rate Study</t>
  </si>
  <si>
    <t xml:space="preserve">Continuous air temperature and relative humidity data collected by the Nooksack Tribe in collaboration with University of Washington.  </t>
  </si>
  <si>
    <t>Wells Creek</t>
  </si>
  <si>
    <t>NF-3075</t>
  </si>
  <si>
    <t>Bagley Creek</t>
  </si>
  <si>
    <t>Buttcrack Lake</t>
  </si>
  <si>
    <t>iButton_1921_AT</t>
  </si>
  <si>
    <t>iButton_1923_AT</t>
  </si>
  <si>
    <t>iButton_1923_RH</t>
  </si>
  <si>
    <t>iBUtton_1921_ST</t>
  </si>
  <si>
    <t>iButton model 1921 air temperature sensor</t>
  </si>
  <si>
    <t>iButton model 1923 air temperature sensor</t>
  </si>
  <si>
    <t>iButton model 1923 relative humidity sensor</t>
  </si>
  <si>
    <t>iBUtton model 1921 air temperature sensor in soil</t>
  </si>
  <si>
    <t>Air temperature measured at four hour intervals</t>
  </si>
  <si>
    <t>air temperature measured at three hour intervals with relative humidity</t>
  </si>
  <si>
    <t>relative humidity measured at three hour intervals with air temperature</t>
  </si>
  <si>
    <t>Soil temperature measured at four hour intervals below air temperature sensor</t>
  </si>
  <si>
    <t>AirTemp_avg</t>
  </si>
  <si>
    <t>Relative Humidity</t>
  </si>
  <si>
    <t>SoilTemp_avg</t>
  </si>
  <si>
    <t>Raw and unprocessed data and data products that have not undergone quality control.  Depending on the variable, data type, and data transmission system, raw data may be available within seconds or minutes after the measurements have been made.</t>
  </si>
  <si>
    <t>Raw Data</t>
  </si>
  <si>
    <t>Quality Controlled Data</t>
  </si>
  <si>
    <t>Quality controlled data have passed quality assurance protocols such as visual inspection of data, removal of obvious errors, and drift correction. Examples include smooithing anomalies and interpolating data gaps.</t>
  </si>
  <si>
    <t xml:space="preserve">Derived products include daily averages of air temperature, soil temperature, and relative humidity from three or four hour data. </t>
  </si>
  <si>
    <t>Modeled Data</t>
  </si>
  <si>
    <t>Derived Data</t>
  </si>
  <si>
    <t xml:space="preserve">Modeled data require multiple datasets and calculations to be created.  Examples include lapse rates that are calculated with changes in temperature with changes in elevation. </t>
  </si>
  <si>
    <t>Jezra  Beaulieu</t>
  </si>
  <si>
    <t>HWY542</t>
  </si>
  <si>
    <t>Base of Table Mt.</t>
  </si>
  <si>
    <t>temperature</t>
  </si>
  <si>
    <t>dimensionless</t>
  </si>
  <si>
    <t>%</t>
  </si>
  <si>
    <t>degC</t>
  </si>
  <si>
    <t>degree celsius</t>
  </si>
  <si>
    <t>percent</t>
  </si>
  <si>
    <t>degC/m</t>
  </si>
  <si>
    <t>degree celsius per meter</t>
  </si>
  <si>
    <t>B2B7887E-6F78-4225-BA47-4F467D01D010</t>
  </si>
  <si>
    <t>3DE738B9-DF57-4747-A45C-F78AE2BEBB79</t>
  </si>
  <si>
    <t>C4963A5D-8D09-4B6D-AA88-01BB3F881F01</t>
  </si>
  <si>
    <t>54DB2074-39F5-4280-B809-E2FF79CDB6AA</t>
  </si>
  <si>
    <t>5B0D44BC-3DEC-4BF7-9EFC-DD7B3352087E</t>
  </si>
  <si>
    <t>D7AF7238-EEB3-444C-8104-B1209E7A1A82</t>
  </si>
  <si>
    <t>B9A5A664-68CE-4E14-95B7-3A3FDE801FA4</t>
  </si>
  <si>
    <t>36846C97-EEFA-4A2B-A1D6-B347F23A09F6</t>
  </si>
  <si>
    <t>B1EA2881-E86E-4EFB-AE00-CA2746416EAA</t>
  </si>
  <si>
    <t>FEF683BB-EF4B-4DF0-8FFB-72A0BD5D01F1</t>
  </si>
  <si>
    <t>18EAB0D1-412D-427C-9606-426E3A874D91</t>
  </si>
  <si>
    <t>9CBDA42C-4A48-43C9-87E5-2B735FB7C6BB</t>
  </si>
  <si>
    <t>BF22262D-9F01-430A-AA06-93AAA5E1323E</t>
  </si>
  <si>
    <t>if we add lapse rates</t>
  </si>
  <si>
    <t>day</t>
  </si>
  <si>
    <t>NFN1</t>
  </si>
  <si>
    <t>NFN3</t>
  </si>
  <si>
    <t>NFN4</t>
  </si>
  <si>
    <t>NFN5</t>
  </si>
  <si>
    <t>NFN6</t>
  </si>
  <si>
    <t>NFN7</t>
  </si>
  <si>
    <t>NFN1_AT</t>
  </si>
  <si>
    <t>NFN1_RH</t>
  </si>
  <si>
    <t>NFN4_AT</t>
  </si>
  <si>
    <t>NFN4_ST</t>
  </si>
  <si>
    <t>NFN5_AT</t>
  </si>
  <si>
    <t>NFN5_RH</t>
  </si>
  <si>
    <t>NFN6_AT</t>
  </si>
  <si>
    <t>NFN6_ST</t>
  </si>
  <si>
    <t>NFN7_AT</t>
  </si>
  <si>
    <t>NFN3_AT</t>
  </si>
  <si>
    <t>NFN3_ST</t>
  </si>
  <si>
    <t>NFN7_RH</t>
  </si>
  <si>
    <t>NFN7_ST</t>
  </si>
  <si>
    <t>Nooksack Temperature Lapse Rate Study 2016-2018</t>
  </si>
  <si>
    <t>HydroShare and Data in Brief (Elsevier)</t>
  </si>
  <si>
    <t>https://www.hydroshare.org/resource/222e832d3df24dea9bae9bbeb6f4219d/</t>
  </si>
  <si>
    <t>http://doi.org/10.5281/zenodo.2796960</t>
  </si>
  <si>
    <t>Christina   Bandaragoda</t>
  </si>
  <si>
    <t>Nicoleta  Cristea</t>
  </si>
  <si>
    <t>Claire</t>
  </si>
  <si>
    <t>Beveridge</t>
  </si>
  <si>
    <t>cbev@uw.edu</t>
  </si>
  <si>
    <t>Claire  Beveridge</t>
  </si>
  <si>
    <t>NFN3 HWY542</t>
  </si>
  <si>
    <t xml:space="preserve">NFN1 Wells Creek </t>
  </si>
  <si>
    <t>NFN4 NF-3075</t>
  </si>
  <si>
    <t>NFN5 Bagley Creek</t>
  </si>
  <si>
    <t>NFN6 Base of Table Mt.</t>
  </si>
  <si>
    <t>NFN7 Table Mt. Lake</t>
  </si>
  <si>
    <t>Quality Assurance Project Plan (QAPP)</t>
  </si>
  <si>
    <t>Nooksack Temperature Monitoring Program Quality Assurance Project Plan (QAPP) approved by EPA Region 10, Tribal Trust Assistance Unit, Seattle, WA.    Quality controlled data that have passed quality assurance procedures such as routine estimation of timing and sensor calibration or visual inspection and removal of obvious errors. NIT air temperature assurance procedures includes removing values within one hour of sensor deployment/removal, sensor calibration every year, numerical and visual inspection and removal of obvious errors during annual average estimation for 3 and 4 hourly calculation.  Another example is USGS published streamflow records following parsing through USGS quality control procedures.</t>
  </si>
  <si>
    <t>Knowledge products</t>
  </si>
  <si>
    <t>Knowledge products that require researcher driven scientific interpretation and multidisciplinary data integration and include converter-based interpretation using other data and/or strong prior assumptions. An example is percentages of old or new water in a hydrograph inferred from an isotope analysis.</t>
  </si>
  <si>
    <t>Relative_humidity_avg</t>
  </si>
  <si>
    <t>iButton_1921_ST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</si>
</sst>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m/d/yy\ h:mm\ AM/PM;@"/>
    <numFmt numFmtId="165" formatCode="yyyy\-mm\-dd\ h:mm:ss"/>
  </numFmts>
  <fonts count="22">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font>
    <font>
      <b/>
      <i/>
      <u/>
      <sz val="11"/>
      <color theme="1"/>
      <name val="Calibri (Body)"/>
    </font>
    <font>
      <sz val="11"/>
      <color rgb="FFFF0000"/>
      <name val="Calibri"/>
      <family val="2"/>
      <scheme val="minor"/>
    </font>
    <font>
      <b/>
      <sz val="11"/>
      <color rgb="FFFF000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style="thin">
        <color auto="1"/>
      </right>
      <top style="thin">
        <color theme="4" tint="0.39997558519241921"/>
      </top>
      <bottom style="thin">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23">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8" xfId="0" applyFont="1" applyBorder="1" applyProtection="1"/>
    <xf numFmtId="0" fontId="10" fillId="0" borderId="49"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9"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2"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3" xfId="0" applyFill="1" applyBorder="1" applyProtection="1">
      <protection locked="0"/>
    </xf>
    <xf numFmtId="0" fontId="0" fillId="2" borderId="44" xfId="0" applyFill="1" applyBorder="1" applyProtection="1">
      <protection locked="0"/>
    </xf>
    <xf numFmtId="0" fontId="0" fillId="2" borderId="45" xfId="0" applyFill="1" applyBorder="1" applyProtection="1">
      <protection locked="0"/>
    </xf>
    <xf numFmtId="0" fontId="0" fillId="3" borderId="45" xfId="0" applyFill="1" applyBorder="1" applyProtection="1">
      <protection locked="0"/>
    </xf>
    <xf numFmtId="0" fontId="1" fillId="0" borderId="41"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7" xfId="0" applyFont="1" applyFill="1" applyBorder="1" applyProtection="1"/>
    <xf numFmtId="0" fontId="10" fillId="0" borderId="48"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0" xfId="0" applyFill="1" applyBorder="1"/>
    <xf numFmtId="0" fontId="0" fillId="3" borderId="51" xfId="0" applyFill="1" applyBorder="1"/>
    <xf numFmtId="0" fontId="0" fillId="3" borderId="1" xfId="0" applyFill="1" applyBorder="1"/>
    <xf numFmtId="0" fontId="0" fillId="3" borderId="2" xfId="0" applyFill="1" applyBorder="1"/>
    <xf numFmtId="0" fontId="0" fillId="3" borderId="3" xfId="0" applyFill="1" applyBorder="1"/>
    <xf numFmtId="0" fontId="0" fillId="2" borderId="52" xfId="0" applyFill="1" applyBorder="1"/>
    <xf numFmtId="0" fontId="0" fillId="3" borderId="52"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2" xfId="0" applyFill="1" applyBorder="1" applyProtection="1">
      <protection locked="0"/>
    </xf>
    <xf numFmtId="0" fontId="0" fillId="3" borderId="52"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1"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2" xfId="0" applyFont="1" applyFill="1" applyBorder="1" applyProtection="1"/>
    <xf numFmtId="0" fontId="10" fillId="0" borderId="51"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1" fillId="0" borderId="34" xfId="0" applyFont="1" applyBorder="1" applyProtection="1"/>
    <xf numFmtId="0" fontId="0" fillId="2" borderId="59" xfId="0" applyFill="1" applyBorder="1" applyProtection="1">
      <protection locked="0"/>
    </xf>
    <xf numFmtId="0" fontId="0" fillId="3" borderId="52"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2" xfId="0" applyFont="1" applyBorder="1" applyProtection="1"/>
    <xf numFmtId="0" fontId="6" fillId="0" borderId="62"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3" xfId="0" applyFont="1" applyFill="1" applyBorder="1" applyProtection="1"/>
    <xf numFmtId="0" fontId="10" fillId="0" borderId="46" xfId="0" applyFont="1" applyFill="1" applyBorder="1" applyProtection="1"/>
    <xf numFmtId="0" fontId="12" fillId="0" borderId="0" xfId="0" applyFont="1" applyAlignment="1">
      <alignment wrapText="1"/>
    </xf>
    <xf numFmtId="0" fontId="13"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2" xfId="0" applyFont="1" applyBorder="1" applyAlignment="1" applyProtection="1">
      <alignment wrapText="1"/>
    </xf>
    <xf numFmtId="0" fontId="6" fillId="0" borderId="63" xfId="0" applyFont="1" applyBorder="1" applyAlignment="1" applyProtection="1">
      <alignment wrapText="1"/>
    </xf>
    <xf numFmtId="0" fontId="6" fillId="0" borderId="63" xfId="0" applyFont="1" applyBorder="1" applyProtection="1"/>
    <xf numFmtId="0" fontId="6" fillId="0" borderId="64" xfId="0" applyFont="1" applyBorder="1" applyProtection="1"/>
    <xf numFmtId="0" fontId="0" fillId="3" borderId="21" xfId="0" applyFont="1" applyFill="1" applyBorder="1" applyProtection="1">
      <protection locked="0"/>
    </xf>
    <xf numFmtId="0" fontId="0" fillId="3" borderId="67" xfId="0" applyFont="1" applyFill="1" applyBorder="1" applyProtection="1">
      <protection locked="0"/>
    </xf>
    <xf numFmtId="0" fontId="16" fillId="0" borderId="69" xfId="0" applyFont="1" applyFill="1" applyBorder="1" applyProtection="1"/>
    <xf numFmtId="0" fontId="15" fillId="4" borderId="68" xfId="0" applyFont="1" applyFill="1" applyBorder="1" applyProtection="1"/>
    <xf numFmtId="0" fontId="15" fillId="4" borderId="66" xfId="0" applyFont="1" applyFill="1" applyBorder="1" applyProtection="1"/>
    <xf numFmtId="0" fontId="15" fillId="4" borderId="71" xfId="0" applyFont="1" applyFill="1" applyBorder="1" applyProtection="1"/>
    <xf numFmtId="0" fontId="0" fillId="3" borderId="1" xfId="0" applyFill="1" applyBorder="1" applyProtection="1">
      <protection locked="0"/>
    </xf>
    <xf numFmtId="0" fontId="0" fillId="3" borderId="3" xfId="0" applyFill="1" applyBorder="1" applyProtection="1">
      <protection locked="0"/>
    </xf>
    <xf numFmtId="0" fontId="0" fillId="3" borderId="65" xfId="0" applyFill="1" applyBorder="1" applyAlignment="1" applyProtection="1">
      <alignment wrapText="1"/>
      <protection locked="0"/>
    </xf>
    <xf numFmtId="0" fontId="0" fillId="3" borderId="65" xfId="0" applyFill="1" applyBorder="1" applyProtection="1">
      <protection locked="0"/>
    </xf>
    <xf numFmtId="0" fontId="0" fillId="3" borderId="70" xfId="0" applyFont="1" applyFill="1" applyBorder="1" applyProtection="1">
      <protection locked="0"/>
    </xf>
    <xf numFmtId="0" fontId="0" fillId="3" borderId="65" xfId="0" applyFont="1" applyFill="1" applyBorder="1" applyProtection="1">
      <protection locked="0"/>
    </xf>
    <xf numFmtId="164" fontId="13"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11" fontId="0" fillId="3" borderId="1" xfId="0" applyNumberFormat="1" applyFill="1" applyBorder="1" applyProtection="1">
      <protection locked="0"/>
    </xf>
    <xf numFmtId="0" fontId="10" fillId="0" borderId="0" xfId="0" applyFont="1" applyFill="1" applyBorder="1" applyProtection="1"/>
    <xf numFmtId="0" fontId="0" fillId="3" borderId="20" xfId="3" applyFont="1" applyFill="1" applyBorder="1" applyAlignment="1" applyProtection="1">
      <alignment wrapText="1"/>
      <protection locked="0"/>
    </xf>
    <xf numFmtId="0" fontId="3" fillId="3" borderId="43" xfId="3" applyFill="1" applyBorder="1" applyProtection="1">
      <protection locked="0"/>
    </xf>
    <xf numFmtId="0" fontId="0" fillId="2" borderId="72" xfId="0" applyFill="1" applyBorder="1" applyProtection="1">
      <protection locked="0"/>
    </xf>
    <xf numFmtId="0" fontId="0" fillId="3" borderId="15" xfId="0" applyFill="1" applyBorder="1" applyAlignment="1" applyProtection="1">
      <alignment wrapText="1"/>
      <protection locked="0"/>
    </xf>
    <xf numFmtId="0" fontId="3" fillId="3" borderId="73" xfId="3" applyFill="1" applyBorder="1" applyProtection="1">
      <protection locked="0"/>
    </xf>
    <xf numFmtId="165" fontId="0" fillId="2" borderId="9" xfId="0" applyNumberFormat="1" applyFill="1" applyBorder="1" applyProtection="1">
      <protection locked="0"/>
    </xf>
    <xf numFmtId="0" fontId="3" fillId="2" borderId="15" xfId="3" applyFill="1" applyBorder="1" applyProtection="1">
      <protection locked="0"/>
    </xf>
    <xf numFmtId="0" fontId="0" fillId="3" borderId="9" xfId="0" applyFont="1" applyFill="1" applyBorder="1" applyAlignment="1" applyProtection="1">
      <alignment wrapText="1"/>
      <protection locked="0"/>
    </xf>
    <xf numFmtId="0" fontId="7" fillId="0" borderId="9" xfId="0" applyNumberFormat="1" applyFont="1" applyFill="1" applyBorder="1" applyProtection="1"/>
    <xf numFmtId="0" fontId="10" fillId="0" borderId="2" xfId="0" applyNumberFormat="1" applyFont="1" applyFill="1" applyBorder="1" applyProtection="1"/>
    <xf numFmtId="0" fontId="0" fillId="0" borderId="23" xfId="0" applyNumberFormat="1" applyFill="1" applyBorder="1" applyProtection="1"/>
    <xf numFmtId="11" fontId="0" fillId="3" borderId="9" xfId="0" applyNumberFormat="1" applyFill="1" applyBorder="1" applyProtection="1">
      <protection locked="0"/>
    </xf>
    <xf numFmtId="22" fontId="0" fillId="0" borderId="0" xfId="0" applyNumberFormat="1"/>
    <xf numFmtId="11" fontId="0" fillId="0" borderId="0" xfId="0" applyNumberFormat="1"/>
    <xf numFmtId="0" fontId="0" fillId="0" borderId="9" xfId="0" applyBorder="1" applyAlignment="1">
      <alignment horizontal="center" vertical="center" wrapText="1"/>
    </xf>
    <xf numFmtId="0" fontId="0" fillId="0" borderId="9" xfId="0" applyBorder="1"/>
    <xf numFmtId="0" fontId="20" fillId="0" borderId="0" xfId="0" applyFont="1"/>
    <xf numFmtId="0" fontId="21" fillId="0" borderId="0" xfId="0" applyFont="1" applyProtection="1">
      <protection locked="0"/>
    </xf>
    <xf numFmtId="14" fontId="0" fillId="0" borderId="0" xfId="0" applyNumberFormat="1"/>
    <xf numFmtId="0" fontId="0" fillId="2" borderId="74" xfId="0" applyFont="1" applyFill="1" applyBorder="1"/>
    <xf numFmtId="0" fontId="0" fillId="2" borderId="23" xfId="0" applyFont="1" applyFill="1" applyBorder="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5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3"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3" xfId="0" applyFont="1" applyBorder="1" applyAlignment="1">
      <alignment horizontal="center"/>
    </xf>
    <xf numFmtId="0" fontId="1" fillId="0" borderId="54" xfId="0" applyFont="1" applyBorder="1" applyAlignment="1">
      <alignment horizontal="center"/>
    </xf>
    <xf numFmtId="0" fontId="1" fillId="0" borderId="55" xfId="0" applyFont="1" applyBorder="1" applyAlignment="1">
      <alignment horizontal="center"/>
    </xf>
    <xf numFmtId="0" fontId="3" fillId="0" borderId="0" xfId="3"/>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361">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h:mm:ss"/>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medium">
          <color auto="1"/>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6543675</xdr:colOff>
          <xdr:row>4</xdr:row>
          <xdr:rowOff>38100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000-0000019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400" b="1" i="1" u="none" strike="noStrike" baseline="0">
                  <a:solidFill>
                    <a:srgbClr val="000000"/>
                  </a:solidFill>
                  <a:latin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4905375</xdr:colOff>
          <xdr:row>2</xdr:row>
          <xdr:rowOff>66675</xdr:rowOff>
        </xdr:from>
        <xdr:to>
          <xdr:col>3</xdr:col>
          <xdr:colOff>228600</xdr:colOff>
          <xdr:row>4</xdr:row>
          <xdr:rowOff>66675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904875</xdr:colOff>
          <xdr:row>4</xdr:row>
          <xdr:rowOff>152400</xdr:rowOff>
        </xdr:from>
        <xdr:to>
          <xdr:col>5</xdr:col>
          <xdr:colOff>142875</xdr:colOff>
          <xdr:row>6</xdr:row>
          <xdr:rowOff>142875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1209675</xdr:colOff>
          <xdr:row>0</xdr:row>
          <xdr:rowOff>161925</xdr:rowOff>
        </xdr:from>
        <xdr:to>
          <xdr:col>7</xdr:col>
          <xdr:colOff>257175</xdr:colOff>
          <xdr:row>2</xdr:row>
          <xdr:rowOff>161925</xdr:rowOff>
        </xdr:to>
        <xdr:sp macro="" textlink="">
          <xdr:nvSpPr>
            <xdr:cNvPr id="35851" name="Button 11" hidden="1">
              <a:extLst>
                <a:ext uri="{63B3BB69-23CF-44E3-9099-C40C66FF867C}">
                  <a14:compatExt spid="_x0000_s35851"/>
                </a:ext>
                <a:ext uri="{FF2B5EF4-FFF2-40B4-BE49-F238E27FC236}">
                  <a16:creationId xmlns:a16="http://schemas.microsoft.com/office/drawing/2014/main" id="{00000000-0008-0000-0900-00000B8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Organizations" displayName="Organizations" ref="A8:E20" totalsRowShown="0" headerRowDxfId="360" headerRowBorderDxfId="359" tableBorderDxfId="358">
  <tableColumns count="5">
    <tableColumn id="1" xr3:uid="{00000000-0010-0000-0000-000001000000}" name="Organization Type [CV]" dataDxfId="357"/>
    <tableColumn id="2" xr3:uid="{00000000-0010-0000-0000-000002000000}" name="Organization Code" dataDxfId="356"/>
    <tableColumn id="3" xr3:uid="{00000000-0010-0000-0000-000003000000}" name="Organization Name" dataDxfId="355"/>
    <tableColumn id="4" xr3:uid="{00000000-0010-0000-0000-000004000000}" name="Organization Description" dataDxfId="354"/>
    <tableColumn id="5" xr3:uid="{00000000-0010-0000-0000-000005000000}" name="Organization Link" dataDxfId="353" dataCellStyle="Hyperlink"/>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People" displayName="People" ref="A23:J34" totalsRowShown="0" headerRowDxfId="352" dataDxfId="350" headerRowBorderDxfId="351" tableBorderDxfId="349">
  <tableColumns count="10">
    <tableColumn id="1" xr3:uid="{00000000-0010-0000-0100-000001000000}" name="First Name" dataDxfId="348"/>
    <tableColumn id="2" xr3:uid="{00000000-0010-0000-0100-000002000000}" name="Middle Name" dataDxfId="347"/>
    <tableColumn id="3" xr3:uid="{00000000-0010-0000-0100-000003000000}" name="Last Name" dataDxfId="346"/>
    <tableColumn id="5" xr3:uid="{00000000-0010-0000-0100-000005000000}" name="Organization Name" dataDxfId="345"/>
    <tableColumn id="4" xr3:uid="{00000000-0010-0000-0100-000004000000}" name="Affiliation Start Date" dataDxfId="344"/>
    <tableColumn id="6" xr3:uid="{00000000-0010-0000-0100-000006000000}" name="Primary Email" dataDxfId="343" dataCellStyle="Hyperlink"/>
    <tableColumn id="7" xr3:uid="{00000000-0010-0000-0100-000007000000}" name="Primary Address" dataDxfId="342"/>
    <tableColumn id="10" xr3:uid="{00000000-0010-0000-0100-00000A000000}" name="Person OrcID" dataDxfId="341"/>
    <tableColumn id="8" xr3:uid="{00000000-0010-0000-0100-000008000000}" name="Full Name" dataDxfId="340">
      <calculatedColumnFormula>CONCATENATE(People[[#This Row],[First Name]]," ",People[[#This Row],[Middle Name]]," ",People[[#This Row],[Last Name]])</calculatedColumnFormula>
    </tableColumn>
    <tableColumn id="9" xr3:uid="{00000000-0010-0000-0100-000009000000}" name="ExternalIDNum" dataDxfId="339">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AuthorList" displayName="AuthorList" ref="A22:B33" totalsRowShown="0" headerRowDxfId="338" dataDxfId="336" headerRowBorderDxfId="337" tableBorderDxfId="335">
  <tableColumns count="2">
    <tableColumn id="1" xr3:uid="{00000000-0010-0000-0200-000001000000}" name="Author Number" dataDxfId="334">
      <calculatedColumnFormula>IF(AuthorList[[#This Row],[Author Name]]&lt;&gt;"",MAX(INDIRECT(CONCATENATE("R",ROW(AuthorList[#Headers]),"C",COLUMN(),":R",ROW()-1,"C",COLUMN()),FALSE))+1,"")</calculatedColumnFormula>
    </tableColumn>
    <tableColumn id="2" xr3:uid="{00000000-0010-0000-0200-000002000000}" name="Author Name" dataDxfId="33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SamplingFeatures" displayName="SamplingFeatures" ref="A11:M61" totalsRowShown="0" headerRowDxfId="332" dataDxfId="330" headerRowBorderDxfId="331" tableBorderDxfId="329">
  <tableColumns count="13">
    <tableColumn id="1" xr3:uid="{00000000-0010-0000-0300-000001000000}" name="Sampling Feature UUID" dataDxfId="328"/>
    <tableColumn id="2" xr3:uid="{00000000-0010-0000-0300-000002000000}" name="Sampling Feature Type" dataDxfId="327"/>
    <tableColumn id="3" xr3:uid="{00000000-0010-0000-0300-000003000000}" name="Feature Geo Type" dataDxfId="326"/>
    <tableColumn id="4" xr3:uid="{00000000-0010-0000-0300-000004000000}" name="Feature Code" dataDxfId="325"/>
    <tableColumn id="5" xr3:uid="{00000000-0010-0000-0300-000005000000}" name="Feature Name" dataDxfId="324"/>
    <tableColumn id="6" xr3:uid="{00000000-0010-0000-0300-000006000000}" name="Feature Description" dataDxfId="323"/>
    <tableColumn id="7" xr3:uid="{00000000-0010-0000-0300-000007000000}" name="Feature Geometry" dataDxfId="322"/>
    <tableColumn id="8" xr3:uid="{00000000-0010-0000-0300-000008000000}" name="Elevation_m" dataDxfId="321"/>
    <tableColumn id="9" xr3:uid="{00000000-0010-0000-0300-000009000000}" name="Feature IGSN" dataDxfId="320"/>
    <tableColumn id="11" xr3:uid="{00000000-0010-0000-0300-00000B000000}" name="SiteID" dataDxfId="319">
      <calculatedColumnFormula>IF(SamplingFeatures[[#This Row],[Sampling Feature Type]]="Site",MAX(INDIRECT(CONCATENATE("R",ROW(SamplingFeatures[#Headers]),"C",COLUMN(),":R",ROW()-1,"C",COLUMN()),FALSE))+1,"")</calculatedColumnFormula>
    </tableColumn>
    <tableColumn id="12" xr3:uid="{00000000-0010-0000-0300-00000C000000}" name="Site Type" dataDxfId="318"/>
    <tableColumn id="13" xr3:uid="{00000000-0010-0000-0300-00000D000000}" name="Latitude" dataDxfId="317"/>
    <tableColumn id="14" xr3:uid="{00000000-0010-0000-0300-00000E000000}" name="Longitude" dataDxfId="31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4000000}" name="RelatedFeatures" displayName="RelatedFeatures" ref="A7:K39" totalsRowShown="0" headerRowDxfId="315" dataDxfId="313" headerRowBorderDxfId="314" tableBorderDxfId="312">
  <tableColumns count="11">
    <tableColumn id="1" xr3:uid="{00000000-0010-0000-0400-000001000000}" name="First Sampling Feature Code" dataDxfId="311"/>
    <tableColumn id="2" xr3:uid="{00000000-0010-0000-0400-000002000000}" name="Relationship Type" dataDxfId="310"/>
    <tableColumn id="3" xr3:uid="{00000000-0010-0000-0400-000003000000}" name="Second Sampling Feature Code" dataDxfId="309"/>
    <tableColumn id="5" xr3:uid="{00000000-0010-0000-0400-000005000000}" name="Spatial Offset Type" dataDxfId="308"/>
    <tableColumn id="6" xr3:uid="{00000000-0010-0000-0400-000006000000}" name="Offset 1 Value" dataDxfId="307"/>
    <tableColumn id="7" xr3:uid="{00000000-0010-0000-0400-000007000000}" name="Offset 1 Unit" dataDxfId="306"/>
    <tableColumn id="8" xr3:uid="{00000000-0010-0000-0400-000008000000}" name="Offset 2 Value" dataDxfId="305"/>
    <tableColumn id="9" xr3:uid="{00000000-0010-0000-0400-000009000000}" name="Offset 2 Unit" dataDxfId="304"/>
    <tableColumn id="10" xr3:uid="{00000000-0010-0000-0400-00000A000000}" name="Offset 3 Value" dataDxfId="303"/>
    <tableColumn id="11" xr3:uid="{00000000-0010-0000-0400-00000B000000}" name="Offset 3 Unit" dataDxfId="302"/>
    <tableColumn id="12" xr3:uid="{00000000-0010-0000-0400-00000C000000}" name="OffsetID" dataDxfId="301">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Methods" displayName="Methods" ref="A9:F80" totalsRowShown="0" headerRowDxfId="300" headerRowBorderDxfId="299" tableBorderDxfId="298">
  <tableColumns count="6">
    <tableColumn id="1" xr3:uid="{00000000-0010-0000-0500-000001000000}" name="Method Type" dataDxfId="297"/>
    <tableColumn id="2" xr3:uid="{00000000-0010-0000-0500-000002000000}" name="Method Code" dataDxfId="296"/>
    <tableColumn id="3" xr3:uid="{00000000-0010-0000-0500-000003000000}" name="Method Name" dataDxfId="295"/>
    <tableColumn id="4" xr3:uid="{00000000-0010-0000-0500-000004000000}" name="Method Description" dataDxfId="294"/>
    <tableColumn id="5" xr3:uid="{00000000-0010-0000-0500-000005000000}" name="Method Link" dataDxfId="293" dataCellStyle="Hyperlink"/>
    <tableColumn id="6" xr3:uid="{00000000-0010-0000-0500-000006000000}" name="Organization Name" dataDxfId="29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6000000}" name="Variables" displayName="Variables" ref="A8:F78" totalsRowShown="0" headerRowDxfId="291" headerRowBorderDxfId="290" tableBorderDxfId="289">
  <tableColumns count="6">
    <tableColumn id="1" xr3:uid="{00000000-0010-0000-0600-000001000000}" name="Variable Type" dataDxfId="288"/>
    <tableColumn id="2" xr3:uid="{00000000-0010-0000-0600-000002000000}" name="Variable Code" dataDxfId="287"/>
    <tableColumn id="3" xr3:uid="{00000000-0010-0000-0600-000003000000}" name="Variable Name" dataDxfId="286"/>
    <tableColumn id="4" xr3:uid="{00000000-0010-0000-0600-000004000000}" name="Variable Definition" dataDxfId="285"/>
    <tableColumn id="5" xr3:uid="{00000000-0010-0000-0600-000005000000}" name="Speciation" dataDxfId="284"/>
    <tableColumn id="6" xr3:uid="{00000000-0010-0000-0600-000006000000}" name="No Data Value" dataDxfId="28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7000000}" name="ProcessingLevels" displayName="ProcessingLevels" ref="A9:C28" totalsRowShown="0" headerRowDxfId="282" dataDxfId="280" headerRowBorderDxfId="281" tableBorderDxfId="279">
  <tableColumns count="3">
    <tableColumn id="1" xr3:uid="{00000000-0010-0000-0700-000001000000}" name="Processing Level Code" dataDxfId="278"/>
    <tableColumn id="2" xr3:uid="{00000000-0010-0000-0700-000002000000}" name="Definition" dataDxfId="277"/>
    <tableColumn id="3" xr3:uid="{00000000-0010-0000-0700-000003000000}" name="Explanation" dataDxfId="27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Units" displayName="Units" ref="A11:D50" totalsRowShown="0" dataDxfId="275" tableBorderDxfId="274">
  <autoFilter ref="A11:D50" xr:uid="{00000000-0009-0000-0100-000006000000}"/>
  <tableColumns count="4">
    <tableColumn id="1" xr3:uid="{00000000-0010-0000-0800-000001000000}" name="Units Type" dataDxfId="273"/>
    <tableColumn id="2" xr3:uid="{00000000-0010-0000-0800-000002000000}" name="Units Abbreviation " dataDxfId="272"/>
    <tableColumn id="3" xr3:uid="{00000000-0010-0000-0800-000003000000}" name="Units Name" dataDxfId="271"/>
    <tableColumn id="4" xr3:uid="{00000000-0010-0000-0800-000004000000}" name="Units Link" dataDxfId="27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DataColumns" displayName="DataColumns" ref="A10:P97" totalsRowShown="0" headerRowDxfId="269" dataDxfId="267" headerRowBorderDxfId="268" tableBorderDxfId="266">
  <tableColumns count="16">
    <tableColumn id="1" xr3:uid="{00000000-0010-0000-0900-000001000000}" name="Col #" dataDxfId="265">
      <calculatedColumnFormula>IF(COUNTA(DataColumns[[#This Row],[Column Label]:[Quality Code]])&gt;0,IF(MAX(INDIRECT(CONCATENATE("R",ROW(DataColumns[#Headers]),"C",COLUMN(),":R",ROW()-1,"C",COLUMN()),FALSE))=0,3,MAX(INDIRECT(CONCATENATE("R",ROW(DataColumns[#Headers]),"C",COLUMN(),":R",ROW()-1,"C",COLUMN()),FALSE))+1),"")</calculatedColumnFormula>
    </tableColumn>
    <tableColumn id="2" xr3:uid="{00000000-0010-0000-0900-000002000000}" name="Column Label" dataDxfId="264"/>
    <tableColumn id="3" xr3:uid="{00000000-0010-0000-0900-000003000000}" name="ResultUUID" dataDxfId="263"/>
    <tableColumn id="4" xr3:uid="{00000000-0010-0000-0900-000004000000}" name="Sampling Feature Code" dataDxfId="262"/>
    <tableColumn id="5" xr3:uid="{00000000-0010-0000-0900-000005000000}" name="Method Code" dataDxfId="261"/>
    <tableColumn id="10" xr3:uid="{00000000-0010-0000-0900-00000A000000}" name="Data Collector" dataDxfId="260"/>
    <tableColumn id="6" xr3:uid="{00000000-0010-0000-0900-000006000000}" name="Result Type" dataDxfId="259"/>
    <tableColumn id="7" xr3:uid="{00000000-0010-0000-0900-000007000000}" name="Variable Code" dataDxfId="258"/>
    <tableColumn id="8" xr3:uid="{00000000-0010-0000-0900-000008000000}" name="Unit Name" dataDxfId="257"/>
    <tableColumn id="9" xr3:uid="{00000000-0010-0000-0900-000009000000}" name="Processing Level" dataDxfId="256"/>
    <tableColumn id="11" xr3:uid="{00000000-0010-0000-0900-00000B000000}" name="Sampled Medium" dataDxfId="255"/>
    <tableColumn id="12" xr3:uid="{00000000-0010-0000-0900-00000C000000}" name="Time Aggregation Interval" dataDxfId="254"/>
    <tableColumn id="13" xr3:uid="{00000000-0010-0000-0900-00000D000000}" name="Time Aggregation Unit" dataDxfId="253"/>
    <tableColumn id="14" xr3:uid="{00000000-0010-0000-0900-00000E000000}" name="Aggregation Statistic" dataDxfId="252"/>
    <tableColumn id="15" xr3:uid="{00000000-0010-0000-0900-00000F000000}" name="Censor Code" dataDxfId="251"/>
    <tableColumn id="16" xr3:uid="{00000000-0010-0000-0900-000010000000}" name="Quality Code" dataDxfId="25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A000000}" name="ControlledVocabularies" displayName="ControlledVocabularies" ref="A1:AE812" totalsRowShown="0" headerRowDxfId="249">
  <tableColumns count="31">
    <tableColumn id="11" xr3:uid="{00000000-0010-0000-0A00-00000B000000}" name="Boolean"/>
    <tableColumn id="9" xr3:uid="{00000000-0010-0000-0A00-000009000000}" name="NotApplicable"/>
    <tableColumn id="2" xr3:uid="{00000000-0010-0000-0A00-000002000000}" name="ApplicableDatasetTypes"/>
    <tableColumn id="18" xr3:uid="{00000000-0010-0000-0A00-000012000000}" name="ApplicableResultTypes"/>
    <tableColumn id="15" xr3:uid="{00000000-0010-0000-0A00-00000F000000}" name="ApplicableMethodTypes"/>
    <tableColumn id="23" xr3:uid="{00000000-0010-0000-0A00-000017000000}" name="actiontype"/>
    <tableColumn id="21" xr3:uid="{00000000-0010-0000-0A00-000015000000}" name="aggregationstatistic"/>
    <tableColumn id="19" xr3:uid="{00000000-0010-0000-0A00-000013000000}" name="censorcode"/>
    <tableColumn id="14" xr3:uid="{00000000-0010-0000-0A00-00000E000000}" name="dataqualitytype"/>
    <tableColumn id="24" xr3:uid="{00000000-0010-0000-0A00-000018000000}" name="datasettype"/>
    <tableColumn id="25" xr3:uid="{00000000-0010-0000-0A00-000019000000}" name="directivetype"/>
    <tableColumn id="7" xr3:uid="{00000000-0010-0000-0A00-000007000000}" name="elevationdatum"/>
    <tableColumn id="26" xr3:uid="{00000000-0010-0000-0A00-00001A000000}" name="equipmenttype"/>
    <tableColumn id="27" xr3:uid="{00000000-0010-0000-0A00-00001B000000}" name="methodtype"/>
    <tableColumn id="1" xr3:uid="{00000000-0010-0000-0A00-000001000000}" name="organizationtype"/>
    <tableColumn id="30" xr3:uid="{00000000-0010-0000-0A00-00001E000000}" name="propertydatatype"/>
    <tableColumn id="20" xr3:uid="{00000000-0010-0000-0A00-000014000000}" name="qualitycode"/>
    <tableColumn id="10" xr3:uid="{00000000-0010-0000-0A00-00000A000000}" name="relationshiptype"/>
    <tableColumn id="32" xr3:uid="{00000000-0010-0000-0A00-000020000000}" name="resulttype"/>
    <tableColumn id="4" xr3:uid="{00000000-0010-0000-0A00-000004000000}" name="samplingfeaturegeotype"/>
    <tableColumn id="3" xr3:uid="{00000000-0010-0000-0A00-000003000000}" name="samplingfeaturetype"/>
    <tableColumn id="5" xr3:uid="{00000000-0010-0000-0A00-000005000000}" name="sitetype"/>
    <tableColumn id="13" xr3:uid="{00000000-0010-0000-0A00-00000D000000}" name="spatialoffsettype"/>
    <tableColumn id="8" xr3:uid="{00000000-0010-0000-0A00-000008000000}" name="speciation"/>
    <tableColumn id="33" xr3:uid="{00000000-0010-0000-0A00-000021000000}" name="medium"/>
    <tableColumn id="6" xr3:uid="{00000000-0010-0000-0A00-000006000000}" name="specimentype"/>
    <tableColumn id="22" xr3:uid="{00000000-0010-0000-0A00-000016000000}" name="status"/>
    <tableColumn id="34" xr3:uid="{00000000-0010-0000-0A00-000022000000}" name="taxonomicclassifiertype"/>
    <tableColumn id="16" xr3:uid="{00000000-0010-0000-0A00-000010000000}" name="variablename"/>
    <tableColumn id="17" xr3:uid="{00000000-0010-0000-0A00-000011000000}" name="variabletype"/>
    <tableColumn id="28" xr3:uid="{00000000-0010-0000-0A00-00001C000000}" name="unitstyp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B000000}" name="SpatialReferences" displayName="SpatialReferences" ref="A4:D8" totalsRowShown="0" headerRowDxfId="248" headerRowBorderDxfId="247" tableBorderDxfId="246">
  <tableColumns count="4">
    <tableColumn id="1" xr3:uid="{00000000-0010-0000-0B00-000001000000}" name="SRSCode" dataDxfId="245"/>
    <tableColumn id="2" xr3:uid="{00000000-0010-0000-0B00-000002000000}" name="SRSName" dataDxfId="244"/>
    <tableColumn id="3" xr3:uid="{00000000-0010-0000-0B00-000003000000}" name="SRSDescription" dataDxfId="243"/>
    <tableColumn id="4" xr3:uid="{00000000-0010-0000-0B00-000004000000}" name="SRSLink" dataDxfId="24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C000000}" name="ExternalIdentifiers" displayName="ExternalIdentifiers" ref="A17:E20" totalsRowShown="0" headerRowDxfId="241" headerRowBorderDxfId="240" tableBorderDxfId="239">
  <tableColumns count="5">
    <tableColumn id="1" xr3:uid="{00000000-0010-0000-0C00-000001000000}" name="External Identifier System Name" dataDxfId="238"/>
    <tableColumn id="2" xr3:uid="{00000000-0010-0000-0C00-000002000000}" name="Identifier System Organization Name" dataDxfId="237"/>
    <tableColumn id="3" xr3:uid="{00000000-0010-0000-0C00-000003000000}" name="External Identifier System Descrption" dataDxfId="236"/>
    <tableColumn id="4" xr3:uid="{00000000-0010-0000-0C00-000004000000}" name="External Identifier System URL" dataDxfId="235" dataCellStyle="Hyperlink"/>
    <tableColumn id="5" xr3:uid="{00000000-0010-0000-0C00-000005000000}" name="URI Structure" dataDxfId="23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D000000}" name="ExternalIDOrgs" displayName="ExternalIDOrgs" ref="A4:E7" totalsRowShown="0" headerRowDxfId="233" headerRowBorderDxfId="232" tableBorderDxfId="231">
  <tableColumns count="5">
    <tableColumn id="1" xr3:uid="{00000000-0010-0000-0D00-000001000000}" name="Organization Type [CV]" dataDxfId="230"/>
    <tableColumn id="2" xr3:uid="{00000000-0010-0000-0D00-000002000000}" name="Organization Code" dataDxfId="229"/>
    <tableColumn id="3" xr3:uid="{00000000-0010-0000-0D00-000003000000}" name="Organization Name" dataDxfId="228"/>
    <tableColumn id="4" xr3:uid="{00000000-0010-0000-0D00-000004000000}" name="Organization Description" dataDxfId="227"/>
    <tableColumn id="5" xr3:uid="{00000000-0010-0000-0D00-000005000000}" name="Organization Link" dataDxfId="226"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mailto:cband@uw.edu" TargetMode="External"/><Relationship Id="rId7" Type="http://schemas.openxmlformats.org/officeDocument/2006/relationships/vmlDrawing" Target="../drawings/vmlDrawing2.vml"/><Relationship Id="rId2" Type="http://schemas.openxmlformats.org/officeDocument/2006/relationships/hyperlink" Target="http://www.nooksacktribe.org/" TargetMode="External"/><Relationship Id="rId1" Type="http://schemas.openxmlformats.org/officeDocument/2006/relationships/hyperlink" Target="http://www.uw.edu/" TargetMode="External"/><Relationship Id="rId6" Type="http://schemas.openxmlformats.org/officeDocument/2006/relationships/hyperlink" Target="mailto:cbev@uw.edu" TargetMode="External"/><Relationship Id="rId5" Type="http://schemas.openxmlformats.org/officeDocument/2006/relationships/hyperlink" Target="mailto:cristn@uw.edu" TargetMode="External"/><Relationship Id="rId10" Type="http://schemas.openxmlformats.org/officeDocument/2006/relationships/comments" Target="../comments1.xml"/><Relationship Id="rId4" Type="http://schemas.openxmlformats.org/officeDocument/2006/relationships/hyperlink" Target="mailto:jbeaulieu@nooksack-nsn.gov" TargetMode="External"/><Relationship Id="rId9"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hyperlink" Target="http://doi.org/10.5281/zenodo.2796960" TargetMode="External"/><Relationship Id="rId1" Type="http://schemas.openxmlformats.org/officeDocument/2006/relationships/hyperlink" Target="https://www.hydroshare.org/resource/222e832d3df24dea9bae9bbeb6f4219d/" TargetMode="External"/><Relationship Id="rId6" Type="http://schemas.openxmlformats.org/officeDocument/2006/relationships/table" Target="../tables/table3.xml"/><Relationship Id="rId5" Type="http://schemas.openxmlformats.org/officeDocument/2006/relationships/ctrlProp" Target="../ctrlProps/ctrlProp2.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3.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6.vml"/><Relationship Id="rId1" Type="http://schemas.openxmlformats.org/officeDocument/2006/relationships/printerSettings" Target="../printerSettings/printerSettings2.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4.xml"/><Relationship Id="rId5" Type="http://schemas.openxmlformats.org/officeDocument/2006/relationships/comments" Target="../comments6.xml"/><Relationship Id="rId4"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1.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65"/>
  <sheetViews>
    <sheetView topLeftCell="A55" workbookViewId="0">
      <selection activeCell="A11" sqref="A11"/>
    </sheetView>
  </sheetViews>
  <sheetFormatPr defaultColWidth="9.1328125" defaultRowHeight="14.25"/>
  <cols>
    <col min="1" max="1" width="115.1328125" style="78" customWidth="1"/>
  </cols>
  <sheetData>
    <row r="1" spans="1:1" s="4" customFormat="1" ht="18">
      <c r="A1" s="137" t="s">
        <v>211</v>
      </c>
    </row>
    <row r="2" spans="1:1" s="4" customFormat="1" ht="18">
      <c r="A2" s="138" t="s">
        <v>267</v>
      </c>
    </row>
    <row r="3" spans="1:1" s="4" customFormat="1" ht="18">
      <c r="A3" s="137" t="s">
        <v>209</v>
      </c>
    </row>
    <row r="4" spans="1:1" s="4" customFormat="1" ht="18">
      <c r="A4" s="138" t="s">
        <v>210</v>
      </c>
    </row>
    <row r="5" spans="1:1" s="4" customFormat="1" ht="18">
      <c r="A5" s="137" t="s">
        <v>208</v>
      </c>
    </row>
    <row r="6" spans="1:1" s="4" customFormat="1" ht="18">
      <c r="A6" s="138" t="s">
        <v>1709</v>
      </c>
    </row>
    <row r="7" spans="1:1" s="4" customFormat="1" ht="18">
      <c r="A7" s="137" t="s">
        <v>401</v>
      </c>
    </row>
    <row r="8" spans="1:1" s="4" customFormat="1" ht="18">
      <c r="A8" s="165">
        <v>43600.672881944447</v>
      </c>
    </row>
    <row r="9" spans="1:1" s="4" customFormat="1">
      <c r="A9" s="78"/>
    </row>
    <row r="10" spans="1:1" ht="18">
      <c r="A10" s="137" t="s">
        <v>135</v>
      </c>
    </row>
    <row r="11" spans="1:1" s="4" customFormat="1" ht="28.5">
      <c r="A11" s="78" t="s">
        <v>150</v>
      </c>
    </row>
    <row r="12" spans="1:1" s="4" customFormat="1">
      <c r="A12" s="78"/>
    </row>
    <row r="13" spans="1:1" ht="18">
      <c r="A13" s="137" t="s">
        <v>134</v>
      </c>
    </row>
    <row r="14" spans="1:1" s="4" customFormat="1">
      <c r="A14" s="139" t="s">
        <v>239</v>
      </c>
    </row>
    <row r="15" spans="1:1" s="4" customFormat="1">
      <c r="A15" s="140" t="s">
        <v>240</v>
      </c>
    </row>
    <row r="16" spans="1:1" s="4" customFormat="1">
      <c r="A16" s="140" t="s">
        <v>243</v>
      </c>
    </row>
    <row r="17" spans="1:1" s="4" customFormat="1" ht="42.75">
      <c r="A17" s="140" t="s">
        <v>429</v>
      </c>
    </row>
    <row r="18" spans="1:1" s="4" customFormat="1">
      <c r="A18" s="141" t="s">
        <v>241</v>
      </c>
    </row>
    <row r="19" spans="1:1" s="4" customFormat="1" ht="28.5">
      <c r="A19" s="140" t="s">
        <v>242</v>
      </c>
    </row>
    <row r="20" spans="1:1" s="4" customFormat="1" ht="28.5">
      <c r="A20" s="140" t="s">
        <v>244</v>
      </c>
    </row>
    <row r="21" spans="1:1" s="4" customFormat="1">
      <c r="A21" s="140" t="s">
        <v>245</v>
      </c>
    </row>
    <row r="22" spans="1:1" s="4" customFormat="1">
      <c r="A22" s="140" t="s">
        <v>246</v>
      </c>
    </row>
    <row r="23" spans="1:1" s="4" customFormat="1">
      <c r="A23" s="140" t="s">
        <v>247</v>
      </c>
    </row>
    <row r="24" spans="1:1" s="4" customFormat="1" ht="28.5">
      <c r="A24" s="140" t="s">
        <v>1692</v>
      </c>
    </row>
    <row r="25" spans="1:1" s="4" customFormat="1" ht="28.5">
      <c r="A25" s="140" t="s">
        <v>257</v>
      </c>
    </row>
    <row r="26" spans="1:1" s="4" customFormat="1">
      <c r="A26" s="141" t="s">
        <v>248</v>
      </c>
    </row>
    <row r="27" spans="1:1" s="4" customFormat="1">
      <c r="A27" s="140" t="s">
        <v>249</v>
      </c>
    </row>
    <row r="28" spans="1:1" s="4" customFormat="1">
      <c r="A28" s="140" t="s">
        <v>1693</v>
      </c>
    </row>
    <row r="29" spans="1:1" s="4" customFormat="1" ht="28.5">
      <c r="A29" s="140" t="s">
        <v>1694</v>
      </c>
    </row>
    <row r="30" spans="1:1" s="4" customFormat="1">
      <c r="A30" s="140" t="s">
        <v>250</v>
      </c>
    </row>
    <row r="31" spans="1:1" s="4" customFormat="1">
      <c r="A31" s="140" t="s">
        <v>251</v>
      </c>
    </row>
    <row r="32" spans="1:1" s="4" customFormat="1">
      <c r="A32" s="140" t="s">
        <v>252</v>
      </c>
    </row>
    <row r="33" spans="1:1" s="4" customFormat="1">
      <c r="A33" s="140" t="s">
        <v>253</v>
      </c>
    </row>
    <row r="34" spans="1:1" s="4" customFormat="1" ht="28.5">
      <c r="A34" s="140" t="s">
        <v>254</v>
      </c>
    </row>
    <row r="35" spans="1:1" s="4" customFormat="1">
      <c r="A35" s="141" t="s">
        <v>255</v>
      </c>
    </row>
    <row r="36" spans="1:1" s="4" customFormat="1" ht="28.5">
      <c r="A36" s="140" t="s">
        <v>256</v>
      </c>
    </row>
    <row r="37" spans="1:1" s="4" customFormat="1" ht="42.75">
      <c r="A37" s="140" t="s">
        <v>1695</v>
      </c>
    </row>
    <row r="38" spans="1:1" s="4" customFormat="1" ht="28.5">
      <c r="A38" s="140" t="s">
        <v>265</v>
      </c>
    </row>
    <row r="39" spans="1:1" s="4" customFormat="1" ht="28.5">
      <c r="A39" s="140" t="s">
        <v>1696</v>
      </c>
    </row>
    <row r="40" spans="1:1" s="4" customFormat="1" ht="28.5">
      <c r="A40" s="140" t="s">
        <v>1697</v>
      </c>
    </row>
    <row r="41" spans="1:1" s="4" customFormat="1" ht="42.75">
      <c r="A41" s="140" t="s">
        <v>1698</v>
      </c>
    </row>
    <row r="42" spans="1:1" s="4" customFormat="1">
      <c r="A42" s="140" t="s">
        <v>258</v>
      </c>
    </row>
    <row r="43" spans="1:1" s="4" customFormat="1">
      <c r="A43" s="141" t="s">
        <v>259</v>
      </c>
    </row>
    <row r="44" spans="1:1" s="4" customFormat="1" ht="28.5">
      <c r="A44" s="140" t="s">
        <v>260</v>
      </c>
    </row>
    <row r="45" spans="1:1" s="4" customFormat="1">
      <c r="A45" s="140" t="s">
        <v>262</v>
      </c>
    </row>
    <row r="46" spans="1:1" s="4" customFormat="1" ht="28.5">
      <c r="A46" s="140" t="s">
        <v>263</v>
      </c>
    </row>
    <row r="47" spans="1:1" s="4" customFormat="1">
      <c r="A47" s="140"/>
    </row>
    <row r="48" spans="1:1" ht="18">
      <c r="A48" s="137" t="s">
        <v>136</v>
      </c>
    </row>
    <row r="49" spans="1:1" ht="28.5">
      <c r="A49" s="78" t="s">
        <v>261</v>
      </c>
    </row>
    <row r="50" spans="1:1" s="4" customFormat="1">
      <c r="A50" s="78" t="s">
        <v>152</v>
      </c>
    </row>
    <row r="51" spans="1:1" s="4" customFormat="1">
      <c r="A51" s="78" t="s">
        <v>153</v>
      </c>
    </row>
    <row r="52" spans="1:1">
      <c r="A52" s="78" t="s">
        <v>154</v>
      </c>
    </row>
    <row r="53" spans="1:1">
      <c r="A53" s="78" t="s">
        <v>266</v>
      </c>
    </row>
    <row r="54" spans="1:1">
      <c r="A54" s="78" t="s">
        <v>151</v>
      </c>
    </row>
    <row r="55" spans="1:1" ht="28.5">
      <c r="A55" s="78" t="s">
        <v>1699</v>
      </c>
    </row>
    <row r="56" spans="1:1">
      <c r="A56" s="78" t="s">
        <v>155</v>
      </c>
    </row>
    <row r="57" spans="1:1">
      <c r="A57" s="78" t="s">
        <v>156</v>
      </c>
    </row>
    <row r="58" spans="1:1">
      <c r="A58" s="78" t="s">
        <v>157</v>
      </c>
    </row>
    <row r="59" spans="1:1" ht="28.5">
      <c r="A59" s="78" t="s">
        <v>1700</v>
      </c>
    </row>
    <row r="60" spans="1:1" ht="28.5">
      <c r="A60" s="142" t="s">
        <v>216</v>
      </c>
    </row>
    <row r="61" spans="1:1" ht="28.5">
      <c r="A61" s="78" t="s">
        <v>158</v>
      </c>
    </row>
    <row r="63" spans="1:1" ht="18">
      <c r="A63" s="137" t="s">
        <v>237</v>
      </c>
    </row>
    <row r="64" spans="1:1">
      <c r="A64" s="78" t="s">
        <v>264</v>
      </c>
    </row>
    <row r="65" spans="1:1">
      <c r="A65" s="78" t="s">
        <v>238</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6543675</xdr:colOff>
                    <xdr:row>4</xdr:row>
                    <xdr:rowOff>38100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34"/>
  <sheetViews>
    <sheetView topLeftCell="B7" workbookViewId="0">
      <selection activeCell="F28" sqref="F28"/>
    </sheetView>
  </sheetViews>
  <sheetFormatPr defaultColWidth="8.86328125" defaultRowHeight="14.25"/>
  <cols>
    <col min="1" max="1" width="24" style="5" bestFit="1" customWidth="1"/>
    <col min="2" max="2" width="20" style="5" customWidth="1"/>
    <col min="3" max="3" width="19.86328125" style="5" bestFit="1" customWidth="1"/>
    <col min="4" max="4" width="24.3984375" style="5" customWidth="1"/>
    <col min="5" max="5" width="22.86328125" style="5" customWidth="1"/>
    <col min="6" max="6" width="53.86328125" style="5" customWidth="1"/>
    <col min="7" max="7" width="19.3984375" style="5" bestFit="1" customWidth="1"/>
    <col min="8" max="8" width="23.1328125" style="37" bestFit="1" customWidth="1"/>
    <col min="9" max="9" width="10.86328125" style="37" customWidth="1"/>
    <col min="10" max="10" width="15.3984375" style="5" customWidth="1"/>
    <col min="11" max="16384" width="8.86328125" style="5"/>
  </cols>
  <sheetData>
    <row r="1" spans="1:9">
      <c r="A1" s="23" t="s">
        <v>221</v>
      </c>
    </row>
    <row r="2" spans="1:9">
      <c r="A2" s="5" t="s">
        <v>218</v>
      </c>
    </row>
    <row r="3" spans="1:9" ht="14.65" thickBot="1">
      <c r="A3" s="23" t="s">
        <v>217</v>
      </c>
    </row>
    <row r="4" spans="1:9" ht="14.65" thickBot="1">
      <c r="A4" s="23" t="s">
        <v>219</v>
      </c>
      <c r="G4" s="24" t="s">
        <v>145</v>
      </c>
      <c r="H4" s="45">
        <f>COUNTA(OrganizationNames)</f>
        <v>2</v>
      </c>
    </row>
    <row r="5" spans="1:9" ht="14.65" thickBot="1">
      <c r="A5" s="23" t="s">
        <v>95</v>
      </c>
      <c r="G5" s="24" t="s">
        <v>146</v>
      </c>
      <c r="H5" s="45">
        <f>COUNTA(People[Last Name])</f>
        <v>4</v>
      </c>
    </row>
    <row r="6" spans="1:9" ht="14.65" thickBot="1">
      <c r="G6" s="24" t="s">
        <v>204</v>
      </c>
      <c r="H6" s="45">
        <f ca="1">MAX(People[ExternalIDNum])</f>
        <v>0</v>
      </c>
    </row>
    <row r="7" spans="1:9" ht="14.65" thickBot="1">
      <c r="A7" s="191" t="s">
        <v>54</v>
      </c>
      <c r="B7" s="192"/>
      <c r="C7" s="192"/>
      <c r="D7" s="192"/>
      <c r="E7" s="193"/>
    </row>
    <row r="8" spans="1:9" ht="14.65" thickBot="1">
      <c r="A8" s="126" t="s">
        <v>55</v>
      </c>
      <c r="B8" s="127" t="s">
        <v>56</v>
      </c>
      <c r="C8" s="127" t="s">
        <v>19</v>
      </c>
      <c r="D8" s="128" t="s">
        <v>57</v>
      </c>
      <c r="E8" s="129" t="s">
        <v>58</v>
      </c>
      <c r="I8" s="5"/>
    </row>
    <row r="9" spans="1:9" ht="14.65" thickTop="1">
      <c r="A9" s="103" t="s">
        <v>59</v>
      </c>
      <c r="B9" s="14" t="s">
        <v>1741</v>
      </c>
      <c r="C9" s="14" t="s">
        <v>1742</v>
      </c>
      <c r="D9" s="39"/>
      <c r="E9" s="104" t="s">
        <v>1743</v>
      </c>
      <c r="I9" s="5"/>
    </row>
    <row r="10" spans="1:9">
      <c r="A10" s="97" t="s">
        <v>514</v>
      </c>
      <c r="B10" s="7" t="s">
        <v>1744</v>
      </c>
      <c r="C10" s="7" t="s">
        <v>1745</v>
      </c>
      <c r="D10" s="8"/>
      <c r="E10" s="98" t="s">
        <v>1746</v>
      </c>
      <c r="G10" s="37"/>
      <c r="I10" s="5"/>
    </row>
    <row r="11" spans="1:9">
      <c r="A11" s="97"/>
      <c r="B11" s="7"/>
      <c r="C11" s="7"/>
      <c r="D11" s="8"/>
      <c r="E11" s="98"/>
      <c r="G11" s="37"/>
      <c r="I11" s="5"/>
    </row>
    <row r="12" spans="1:9">
      <c r="A12" s="97"/>
      <c r="B12" s="7"/>
      <c r="C12" s="7"/>
      <c r="D12" s="8"/>
      <c r="E12" s="98"/>
      <c r="G12" s="37"/>
      <c r="I12" s="5"/>
    </row>
    <row r="13" spans="1:9">
      <c r="A13" s="97"/>
      <c r="B13" s="7"/>
      <c r="C13" s="7"/>
      <c r="D13" s="8"/>
      <c r="E13" s="98"/>
      <c r="G13" s="37"/>
      <c r="I13" s="5"/>
    </row>
    <row r="14" spans="1:9">
      <c r="A14" s="97"/>
      <c r="B14" s="55"/>
      <c r="C14" s="55"/>
      <c r="D14" s="66"/>
      <c r="E14" s="171"/>
      <c r="G14" s="37"/>
      <c r="I14" s="5"/>
    </row>
    <row r="15" spans="1:9">
      <c r="A15" s="97"/>
      <c r="B15" s="7"/>
      <c r="C15" s="7"/>
      <c r="D15" s="8"/>
      <c r="E15" s="98"/>
      <c r="G15" s="37"/>
      <c r="I15" s="5"/>
    </row>
    <row r="16" spans="1:9">
      <c r="A16" s="97"/>
      <c r="B16" s="7"/>
      <c r="C16" s="7"/>
      <c r="D16" s="8"/>
      <c r="E16" s="98"/>
      <c r="G16" s="37"/>
      <c r="I16" s="5"/>
    </row>
    <row r="17" spans="1:10">
      <c r="A17" s="97"/>
      <c r="B17" s="7"/>
      <c r="C17" s="7"/>
      <c r="D17" s="8"/>
      <c r="E17" s="98"/>
      <c r="G17" s="37"/>
      <c r="I17" s="5"/>
    </row>
    <row r="18" spans="1:10">
      <c r="A18" s="97"/>
      <c r="B18" s="7"/>
      <c r="C18" s="7"/>
      <c r="D18" s="8"/>
      <c r="E18" s="98"/>
      <c r="G18" s="37"/>
      <c r="I18" s="5"/>
    </row>
    <row r="19" spans="1:10">
      <c r="A19" s="97"/>
      <c r="B19" s="7"/>
      <c r="C19" s="7"/>
      <c r="D19" s="8"/>
      <c r="E19" s="98"/>
      <c r="H19" s="5"/>
      <c r="I19" s="5"/>
    </row>
    <row r="20" spans="1:10">
      <c r="A20" s="172"/>
      <c r="B20" s="11"/>
      <c r="C20" s="11"/>
      <c r="D20" s="173"/>
      <c r="E20" s="174"/>
      <c r="H20" s="5"/>
      <c r="I20" s="5"/>
    </row>
    <row r="21" spans="1:10" ht="14.65" thickBot="1">
      <c r="H21" s="5"/>
      <c r="I21" s="5"/>
    </row>
    <row r="22" spans="1:10">
      <c r="A22" s="194" t="s">
        <v>53</v>
      </c>
      <c r="B22" s="195"/>
      <c r="C22" s="195"/>
      <c r="D22" s="195"/>
      <c r="E22" s="195"/>
      <c r="F22" s="195"/>
      <c r="G22" s="195"/>
      <c r="H22" s="195"/>
      <c r="I22" s="196"/>
    </row>
    <row r="23" spans="1:10" ht="14.65" thickBot="1">
      <c r="A23" s="50" t="s">
        <v>15</v>
      </c>
      <c r="B23" s="52" t="s">
        <v>16</v>
      </c>
      <c r="C23" s="48" t="s">
        <v>17</v>
      </c>
      <c r="D23" s="48" t="s">
        <v>19</v>
      </c>
      <c r="E23" s="48" t="s">
        <v>1573</v>
      </c>
      <c r="F23" s="48" t="s">
        <v>18</v>
      </c>
      <c r="G23" s="49" t="s">
        <v>64</v>
      </c>
      <c r="H23" s="53" t="s">
        <v>185</v>
      </c>
      <c r="I23" s="26" t="s">
        <v>93</v>
      </c>
      <c r="J23" s="26" t="s">
        <v>203</v>
      </c>
    </row>
    <row r="24" spans="1:10" ht="14.65" thickTop="1">
      <c r="A24" s="13" t="s">
        <v>1747</v>
      </c>
      <c r="B24" s="15"/>
      <c r="C24" s="14" t="s">
        <v>1748</v>
      </c>
      <c r="D24" s="7" t="s">
        <v>1742</v>
      </c>
      <c r="E24" s="175">
        <v>41275</v>
      </c>
      <c r="F24" s="16" t="s">
        <v>1749</v>
      </c>
      <c r="G24" s="17"/>
      <c r="H24" s="15"/>
      <c r="I24" s="115" t="str">
        <f>CONCATENATE(People[[#This Row],[First Name]]," ",People[[#This Row],[Middle Name]]," ",People[[#This Row],[Last Name]])</f>
        <v>Christina   Bandaragoda</v>
      </c>
      <c r="J24" s="117" t="str">
        <f ca="1">IF(People[[#This Row],[Person OrcID]]&lt;&gt;"",MAX(INDIRECT(CONCATENATE("R",ROW(People[#Headers]),"C",COLUMN(),":R",ROW()-1,"C",COLUMN()),FALSE))+1,"")</f>
        <v/>
      </c>
    </row>
    <row r="25" spans="1:10">
      <c r="A25" s="6" t="s">
        <v>1750</v>
      </c>
      <c r="B25" s="18"/>
      <c r="C25" s="7" t="s">
        <v>1751</v>
      </c>
      <c r="D25" s="7" t="s">
        <v>1745</v>
      </c>
      <c r="E25" s="175">
        <v>40544</v>
      </c>
      <c r="F25" s="19" t="s">
        <v>1752</v>
      </c>
      <c r="G25" s="170"/>
      <c r="H25" s="18"/>
      <c r="I25" s="114" t="str">
        <f>CONCATENATE(People[[#This Row],[First Name]]," ",People[[#This Row],[Middle Name]]," ",People[[#This Row],[Last Name]])</f>
        <v>Jezra  Beaulieu</v>
      </c>
      <c r="J25" s="118" t="str">
        <f ca="1">IF(People[[#This Row],[Person OrcID]]&lt;&gt;"",MAX(INDIRECT(CONCATENATE("R",ROW(People[#Headers]),"C",COLUMN(),":R",ROW()-1,"C",COLUMN()),FALSE))+1,"")</f>
        <v/>
      </c>
    </row>
    <row r="26" spans="1:10">
      <c r="A26" s="6" t="s">
        <v>1753</v>
      </c>
      <c r="B26" s="18"/>
      <c r="C26" s="7" t="s">
        <v>1754</v>
      </c>
      <c r="D26" s="7" t="s">
        <v>1742</v>
      </c>
      <c r="E26" s="175"/>
      <c r="F26" s="19" t="s">
        <v>1755</v>
      </c>
      <c r="G26" s="113"/>
      <c r="H26" s="18"/>
      <c r="I26" s="114" t="str">
        <f>CONCATENATE(People[[#This Row],[First Name]]," ",People[[#This Row],[Middle Name]]," ",People[[#This Row],[Last Name]])</f>
        <v>Nicoleta  Cristea</v>
      </c>
      <c r="J26" s="118" t="str">
        <f ca="1">IF(People[[#This Row],[Person OrcID]]&lt;&gt;"",MAX(INDIRECT(CONCATENATE("R",ROW(People[#Headers]),"C",COLUMN(),":R",ROW()-1,"C",COLUMN()),FALSE))+1,"")</f>
        <v/>
      </c>
    </row>
    <row r="27" spans="1:10">
      <c r="A27" s="6" t="s">
        <v>1837</v>
      </c>
      <c r="B27" s="18"/>
      <c r="C27" s="7" t="s">
        <v>1838</v>
      </c>
      <c r="D27" s="7" t="s">
        <v>1742</v>
      </c>
      <c r="E27" s="175"/>
      <c r="F27" s="19" t="s">
        <v>1839</v>
      </c>
      <c r="G27" s="113"/>
      <c r="H27" s="18"/>
      <c r="I27" s="114" t="str">
        <f>CONCATENATE(People[[#This Row],[First Name]]," ",People[[#This Row],[Middle Name]]," ",People[[#This Row],[Last Name]])</f>
        <v>Claire  Beveridge</v>
      </c>
      <c r="J27" s="118" t="str">
        <f ca="1">IF(People[[#This Row],[Person OrcID]]&lt;&gt;"",MAX(INDIRECT(CONCATENATE("R",ROW(People[#Headers]),"C",COLUMN(),":R",ROW()-1,"C",COLUMN()),FALSE))+1,"")</f>
        <v/>
      </c>
    </row>
    <row r="28" spans="1:10">
      <c r="A28" s="6"/>
      <c r="B28" s="18"/>
      <c r="C28" s="7"/>
      <c r="D28" s="7"/>
      <c r="E28" s="175"/>
      <c r="F28" s="19"/>
      <c r="G28" s="20"/>
      <c r="H28" s="18"/>
      <c r="I28" s="114" t="str">
        <f>CONCATENATE(People[[#This Row],[First Name]]," ",People[[#This Row],[Middle Name]]," ",People[[#This Row],[Last Name]])</f>
        <v xml:space="preserve">  </v>
      </c>
      <c r="J28" s="118" t="str">
        <f ca="1">IF(People[[#This Row],[Person OrcID]]&lt;&gt;"",MAX(INDIRECT(CONCATENATE("R",ROW(People[#Headers]),"C",COLUMN(),":R",ROW()-1,"C",COLUMN()),FALSE))+1,"")</f>
        <v/>
      </c>
    </row>
    <row r="29" spans="1:10">
      <c r="A29" s="6"/>
      <c r="B29" s="18"/>
      <c r="C29" s="7"/>
      <c r="D29" s="7"/>
      <c r="E29" s="175"/>
      <c r="F29" s="19"/>
      <c r="G29" s="20"/>
      <c r="H29" s="18"/>
      <c r="I29" s="114" t="str">
        <f>CONCATENATE(People[[#This Row],[First Name]]," ",People[[#This Row],[Middle Name]]," ",People[[#This Row],[Last Name]])</f>
        <v xml:space="preserve">  </v>
      </c>
      <c r="J29" s="118" t="str">
        <f ca="1">IF(People[[#This Row],[Person OrcID]]&lt;&gt;"",MAX(INDIRECT(CONCATENATE("R",ROW(People[#Headers]),"C",COLUMN(),":R",ROW()-1,"C",COLUMN()),FALSE))+1,"")</f>
        <v/>
      </c>
    </row>
    <row r="30" spans="1:10">
      <c r="A30" s="6"/>
      <c r="B30" s="18"/>
      <c r="C30" s="7"/>
      <c r="D30" s="7"/>
      <c r="E30" s="175"/>
      <c r="F30" s="19"/>
      <c r="G30" s="20"/>
      <c r="H30" s="18"/>
      <c r="I30" s="114" t="str">
        <f>CONCATENATE(People[[#This Row],[First Name]]," ",People[[#This Row],[Middle Name]]," ",People[[#This Row],[Last Name]])</f>
        <v xml:space="preserve">  </v>
      </c>
      <c r="J30" s="118" t="str">
        <f ca="1">IF(People[[#This Row],[Person OrcID]]&lt;&gt;"",MAX(INDIRECT(CONCATENATE("R",ROW(People[#Headers]),"C",COLUMN(),":R",ROW()-1,"C",COLUMN()),FALSE))+1,"")</f>
        <v/>
      </c>
    </row>
    <row r="31" spans="1:10">
      <c r="A31" s="6"/>
      <c r="B31" s="18"/>
      <c r="C31" s="7"/>
      <c r="D31" s="7"/>
      <c r="E31" s="175"/>
      <c r="F31" s="19"/>
      <c r="G31" s="20"/>
      <c r="H31" s="18"/>
      <c r="I31" s="114" t="str">
        <f>CONCATENATE(People[[#This Row],[First Name]]," ",People[[#This Row],[Middle Name]]," ",People[[#This Row],[Last Name]])</f>
        <v xml:space="preserve">  </v>
      </c>
      <c r="J31" s="118" t="str">
        <f ca="1">IF(People[[#This Row],[Person OrcID]]&lt;&gt;"",MAX(INDIRECT(CONCATENATE("R",ROW(People[#Headers]),"C",COLUMN(),":R",ROW()-1,"C",COLUMN()),FALSE))+1,"")</f>
        <v/>
      </c>
    </row>
    <row r="32" spans="1:10">
      <c r="A32" s="6"/>
      <c r="B32" s="18"/>
      <c r="C32" s="7"/>
      <c r="D32" s="7"/>
      <c r="E32" s="175"/>
      <c r="F32" s="19"/>
      <c r="G32" s="20"/>
      <c r="H32" s="18"/>
      <c r="I32" s="114" t="str">
        <f>CONCATENATE(People[[#This Row],[First Name]]," ",People[[#This Row],[Middle Name]]," ",People[[#This Row],[Last Name]])</f>
        <v xml:space="preserve">  </v>
      </c>
      <c r="J32" s="118" t="str">
        <f ca="1">IF(People[[#This Row],[Person OrcID]]&lt;&gt;"",MAX(INDIRECT(CONCATENATE("R",ROW(People[#Headers]),"C",COLUMN(),":R",ROW()-1,"C",COLUMN()),FALSE))+1,"")</f>
        <v/>
      </c>
    </row>
    <row r="33" spans="1:10" ht="14.65" thickBot="1">
      <c r="A33" s="10"/>
      <c r="B33" s="21"/>
      <c r="C33" s="11"/>
      <c r="D33" s="11"/>
      <c r="E33" s="175"/>
      <c r="F33" s="176"/>
      <c r="G33" s="22"/>
      <c r="H33" s="21"/>
      <c r="I33" s="116" t="str">
        <f>CONCATENATE(People[[#This Row],[First Name]]," ",People[[#This Row],[Middle Name]]," ",People[[#This Row],[Last Name]])</f>
        <v xml:space="preserve">  </v>
      </c>
      <c r="J33" s="119" t="str">
        <f ca="1">IF(People[[#This Row],[Person OrcID]]&lt;&gt;"",MAX(INDIRECT(CONCATENATE("R",ROW(People[#Headers]),"C",COLUMN(),":R",ROW()-1,"C",COLUMN()),FALSE))+1,"")</f>
        <v/>
      </c>
    </row>
    <row r="34" spans="1:10">
      <c r="A34" s="6"/>
      <c r="B34" s="18"/>
      <c r="C34" s="7"/>
      <c r="D34" s="7"/>
      <c r="E34" s="175"/>
      <c r="F34" s="19"/>
      <c r="G34" s="113"/>
      <c r="H34" s="177"/>
      <c r="I34" s="178" t="str">
        <f>CONCATENATE(People[[#This Row],[First Name]]," ",People[[#This Row],[Middle Name]]," ",People[[#This Row],[Last Name]])</f>
        <v xml:space="preserve">  </v>
      </c>
      <c r="J34" s="179"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8:C18 A19:A20">
    <cfRule type="expression" dxfId="225" priority="26">
      <formula>AND(COUNTA($A17:$E17)=0,A18&lt;&gt;"")</formula>
    </cfRule>
  </conditionalFormatting>
  <conditionalFormatting sqref="H27:H33">
    <cfRule type="duplicateValues" dxfId="224" priority="55"/>
  </conditionalFormatting>
  <conditionalFormatting sqref="H24:H26">
    <cfRule type="duplicateValues" dxfId="223" priority="47"/>
  </conditionalFormatting>
  <conditionalFormatting sqref="G25:H33">
    <cfRule type="expression" dxfId="222" priority="77">
      <formula>AND(COUNTA($A24:$H24)=0,G25&lt;&gt;"")</formula>
    </cfRule>
  </conditionalFormatting>
  <conditionalFormatting sqref="B16:C17 B19:C20">
    <cfRule type="expression" dxfId="221" priority="45">
      <formula>AND(COUNTA($A16:$E16)&gt;0,B16="")</formula>
    </cfRule>
  </conditionalFormatting>
  <conditionalFormatting sqref="D18:E18 B19:E20 A17:E17 A13:E14">
    <cfRule type="expression" dxfId="220" priority="44">
      <formula>AND(COUNTA($A12:$E12)=0,A13&lt;&gt;"")</formula>
    </cfRule>
  </conditionalFormatting>
  <conditionalFormatting sqref="C16:C17 C19:C20">
    <cfRule type="duplicateValues" dxfId="219" priority="43"/>
  </conditionalFormatting>
  <conditionalFormatting sqref="A13:A14 A16:A17">
    <cfRule type="expression" dxfId="218" priority="39">
      <formula>AND(COUNTIF(OrganizationTypeCV,$A13)=0,$A13&lt;&gt;"")</formula>
    </cfRule>
  </conditionalFormatting>
  <conditionalFormatting sqref="A16:A17 A13:C14">
    <cfRule type="expression" dxfId="217" priority="38">
      <formula>AND(COUNTA($A13:$E13)&gt;0,A13="")</formula>
    </cfRule>
  </conditionalFormatting>
  <conditionalFormatting sqref="C13:C14">
    <cfRule type="duplicateValues" dxfId="216" priority="37"/>
  </conditionalFormatting>
  <conditionalFormatting sqref="A11:A12">
    <cfRule type="expression" dxfId="215" priority="36">
      <formula>AND(COUNTIF(OrganizationTypeCV,$A11)=0,$A11&lt;&gt;"")</formula>
    </cfRule>
  </conditionalFormatting>
  <conditionalFormatting sqref="A11:C12">
    <cfRule type="expression" dxfId="214" priority="35">
      <formula>AND(COUNTA($A11:$E11)&gt;0,A11="")</formula>
    </cfRule>
  </conditionalFormatting>
  <conditionalFormatting sqref="A11:E12">
    <cfRule type="expression" dxfId="213" priority="34">
      <formula>AND(COUNTA($A10:$E10)=0,A11&lt;&gt;"")</formula>
    </cfRule>
  </conditionalFormatting>
  <conditionalFormatting sqref="C11:C12">
    <cfRule type="duplicateValues" dxfId="212" priority="33"/>
  </conditionalFormatting>
  <conditionalFormatting sqref="A18:A20">
    <cfRule type="expression" dxfId="211" priority="28">
      <formula>AND(COUNTIF(OrganizationTypeCV,$A18)=0,$A18&lt;&gt;"")</formula>
    </cfRule>
  </conditionalFormatting>
  <conditionalFormatting sqref="A18:C18 A19:A20">
    <cfRule type="expression" dxfId="210" priority="27">
      <formula>AND(COUNTA($A18:$E18)&gt;0,A18="")</formula>
    </cfRule>
  </conditionalFormatting>
  <conditionalFormatting sqref="C18">
    <cfRule type="duplicateValues" dxfId="209" priority="25"/>
  </conditionalFormatting>
  <conditionalFormatting sqref="A16:E16">
    <cfRule type="expression" dxfId="208" priority="46">
      <formula>AND(COUNTA($A13:$E13)=0,A16&lt;&gt;"")</formula>
    </cfRule>
  </conditionalFormatting>
  <conditionalFormatting sqref="B15:C15">
    <cfRule type="expression" dxfId="207" priority="24">
      <formula>AND(COUNTA($A15:$E15)&gt;0,B15="")</formula>
    </cfRule>
  </conditionalFormatting>
  <conditionalFormatting sqref="B15:E15">
    <cfRule type="expression" dxfId="206" priority="23">
      <formula>AND(COUNTA($A14:$E14)=0,B15&lt;&gt;"")</formula>
    </cfRule>
  </conditionalFormatting>
  <conditionalFormatting sqref="C15">
    <cfRule type="duplicateValues" dxfId="205" priority="22"/>
  </conditionalFormatting>
  <conditionalFormatting sqref="A15">
    <cfRule type="expression" dxfId="204" priority="21">
      <formula>AND(COUNTIF(OrganizationTypeCV,$A15)=0,$A15&lt;&gt;"")</formula>
    </cfRule>
  </conditionalFormatting>
  <conditionalFormatting sqref="A15">
    <cfRule type="expression" dxfId="203" priority="20">
      <formula>AND(COUNTA($A15:$E15)&gt;0,A15="")</formula>
    </cfRule>
  </conditionalFormatting>
  <conditionalFormatting sqref="A15">
    <cfRule type="expression" dxfId="202" priority="19">
      <formula>AND(COUNTA($A14:$E14)=0,A15&lt;&gt;"")</formula>
    </cfRule>
  </conditionalFormatting>
  <conditionalFormatting sqref="D27:D33 E26:E34">
    <cfRule type="expression" dxfId="201" priority="16">
      <formula>AND(COUNTIF(OrganizationNames,$D26)=0,D26&lt;&gt;"")</formula>
    </cfRule>
  </conditionalFormatting>
  <conditionalFormatting sqref="D24:D26">
    <cfRule type="expression" dxfId="200" priority="15">
      <formula>AND(COUNTIF(OrganizationNames,$D24)=0,D24&lt;&gt;"")</formula>
    </cfRule>
  </conditionalFormatting>
  <conditionalFormatting sqref="A24:A34 C24:D25 F24:F25 C26:F34">
    <cfRule type="expression" dxfId="199" priority="17">
      <formula>AND(COUNTA($A24:$H24)&gt;0,A24="")</formula>
    </cfRule>
  </conditionalFormatting>
  <conditionalFormatting sqref="E34 A25:D25 F25 A26:F33">
    <cfRule type="expression" dxfId="198" priority="18">
      <formula>AND(COUNTA($A24:$H24)=0,A25&lt;&gt;"")</formula>
    </cfRule>
  </conditionalFormatting>
  <conditionalFormatting sqref="A9">
    <cfRule type="expression" dxfId="197" priority="14">
      <formula>AND(COUNTIF(OrganizationTypeCV,$A9)=0,$A9&lt;&gt;"")</formula>
    </cfRule>
  </conditionalFormatting>
  <conditionalFormatting sqref="A9:C9">
    <cfRule type="expression" dxfId="196" priority="13">
      <formula>AND(COUNTA($A9:$E9)&gt;0,A9="")</formula>
    </cfRule>
  </conditionalFormatting>
  <conditionalFormatting sqref="C9">
    <cfRule type="duplicateValues" dxfId="195" priority="12"/>
  </conditionalFormatting>
  <conditionalFormatting sqref="A10:E10">
    <cfRule type="expression" dxfId="194" priority="11">
      <formula>AND(COUNTA($A9:$E9)=0,A10&lt;&gt;"")</formula>
    </cfRule>
  </conditionalFormatting>
  <conditionalFormatting sqref="A10">
    <cfRule type="expression" dxfId="193" priority="10">
      <formula>AND(COUNTIF(OrganizationTypeCV,$A10)=0,$A10&lt;&gt;"")</formula>
    </cfRule>
  </conditionalFormatting>
  <conditionalFormatting sqref="A10:C10">
    <cfRule type="expression" dxfId="192" priority="9">
      <formula>AND(COUNTA($A10:$E10)&gt;0,A10="")</formula>
    </cfRule>
  </conditionalFormatting>
  <conditionalFormatting sqref="C10">
    <cfRule type="duplicateValues" dxfId="191" priority="8"/>
  </conditionalFormatting>
  <conditionalFormatting sqref="E24">
    <cfRule type="expression" dxfId="190" priority="5">
      <formula>AND(COUNTIF(OrganizationNames,$D24)=0,E24&lt;&gt;"")</formula>
    </cfRule>
  </conditionalFormatting>
  <conditionalFormatting sqref="E24">
    <cfRule type="expression" dxfId="189" priority="6">
      <formula>AND(COUNTA($A24:$H24)&gt;0,E24="")</formula>
    </cfRule>
  </conditionalFormatting>
  <conditionalFormatting sqref="E24">
    <cfRule type="expression" dxfId="188" priority="7">
      <formula>AND(COUNTA($A23:$H23)=0,E24&lt;&gt;"")</formula>
    </cfRule>
  </conditionalFormatting>
  <conditionalFormatting sqref="E25">
    <cfRule type="expression" dxfId="187" priority="2">
      <formula>AND(COUNTIF(OrganizationNames,$D25)=0,E25&lt;&gt;"")</formula>
    </cfRule>
  </conditionalFormatting>
  <conditionalFormatting sqref="E25">
    <cfRule type="expression" dxfId="186" priority="3">
      <formula>AND(COUNTA($A25:$H25)&gt;0,E25="")</formula>
    </cfRule>
  </conditionalFormatting>
  <conditionalFormatting sqref="E25">
    <cfRule type="expression" dxfId="185" priority="4">
      <formula>AND(COUNTA($A24:$H24)=0,E25&lt;&gt;"")</formula>
    </cfRule>
  </conditionalFormatting>
  <conditionalFormatting sqref="D27">
    <cfRule type="expression" dxfId="184" priority="1">
      <formula>AND(COUNTIF(OrganizationNames,$D27)=0,D27&lt;&gt;"")</formula>
    </cfRule>
  </conditionalFormatting>
  <dataValidations count="3">
    <dataValidation type="textLength" allowBlank="1" showInputMessage="1" showErrorMessage="1" sqref="B9:B20" xr:uid="{00000000-0002-0000-0100-000000000000}">
      <formula1>1</formula1>
      <formula2>50</formula2>
    </dataValidation>
    <dataValidation type="list" allowBlank="1" showInputMessage="1" showErrorMessage="1" sqref="D24:D34" xr:uid="{00000000-0002-0000-0100-000001000000}">
      <formula1>OrganizationNames</formula1>
    </dataValidation>
    <dataValidation type="list" allowBlank="1" showInputMessage="1" showErrorMessage="1" sqref="A9:A20" xr:uid="{00000000-0002-0000-0100-000002000000}">
      <formula1>OrganizationTypeCV</formula1>
    </dataValidation>
  </dataValidations>
  <hyperlinks>
    <hyperlink ref="E9" r:id="rId1" xr:uid="{00000000-0004-0000-0100-000000000000}"/>
    <hyperlink ref="E10" r:id="rId2" xr:uid="{00000000-0004-0000-0100-000001000000}"/>
    <hyperlink ref="F24" r:id="rId3" xr:uid="{00000000-0004-0000-0100-000002000000}"/>
    <hyperlink ref="F25" r:id="rId4" xr:uid="{00000000-0004-0000-0100-000003000000}"/>
    <hyperlink ref="F26" r:id="rId5" xr:uid="{00000000-0004-0000-0100-000004000000}"/>
    <hyperlink ref="F27" r:id="rId6" xr:uid="{4094D629-95B0-404A-B753-E338A178343D}"/>
  </hyperlinks>
  <pageMargins left="0.7" right="0.7" top="0.75" bottom="0.75" header="0.3" footer="0.3"/>
  <pageSetup orientation="portrait" verticalDpi="0"/>
  <legacyDrawing r:id="rId7"/>
  <tableParts count="2">
    <tablePart r:id="rId8"/>
    <tablePart r:id="rId9"/>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33"/>
  <sheetViews>
    <sheetView topLeftCell="A8" workbookViewId="0">
      <selection activeCell="B25" sqref="B25"/>
    </sheetView>
  </sheetViews>
  <sheetFormatPr defaultColWidth="8.86328125" defaultRowHeight="14.25"/>
  <cols>
    <col min="1" max="1" width="27.86328125" style="5" customWidth="1"/>
    <col min="2" max="2" width="90" style="5" customWidth="1"/>
    <col min="3" max="3" width="17.86328125" style="5" customWidth="1"/>
    <col min="4" max="4" width="20.73046875" style="5" customWidth="1"/>
    <col min="5" max="5" width="22.86328125" style="5" customWidth="1"/>
    <col min="6" max="16384" width="8.86328125" style="5"/>
  </cols>
  <sheetData>
    <row r="1" spans="1:9">
      <c r="A1" s="23" t="s">
        <v>220</v>
      </c>
    </row>
    <row r="2" spans="1:9">
      <c r="A2" s="23" t="s">
        <v>217</v>
      </c>
      <c r="H2" s="37"/>
      <c r="I2" s="37"/>
    </row>
    <row r="3" spans="1:9">
      <c r="A3" s="23" t="s">
        <v>215</v>
      </c>
    </row>
    <row r="4" spans="1:9">
      <c r="A4" s="23" t="s">
        <v>1701</v>
      </c>
    </row>
    <row r="5" spans="1:9" ht="14.65" thickBot="1"/>
    <row r="6" spans="1:9" ht="14.65" thickBot="1">
      <c r="A6" s="197" t="s">
        <v>212</v>
      </c>
      <c r="B6" s="198"/>
    </row>
    <row r="7" spans="1:9" ht="14.65" thickTop="1">
      <c r="A7" s="33" t="s">
        <v>0</v>
      </c>
      <c r="B7" s="124"/>
    </row>
    <row r="8" spans="1:9">
      <c r="A8" s="34" t="s">
        <v>3</v>
      </c>
      <c r="B8" s="28" t="s">
        <v>474</v>
      </c>
    </row>
    <row r="9" spans="1:9">
      <c r="A9" s="34" t="s">
        <v>2</v>
      </c>
      <c r="B9" s="28" t="s">
        <v>1756</v>
      </c>
    </row>
    <row r="10" spans="1:9">
      <c r="A10" s="34" t="s">
        <v>1</v>
      </c>
      <c r="B10" s="28" t="s">
        <v>1757</v>
      </c>
    </row>
    <row r="11" spans="1:9" ht="28.9" thickBot="1">
      <c r="A11" s="36" t="s">
        <v>4</v>
      </c>
      <c r="B11" s="125" t="s">
        <v>1758</v>
      </c>
    </row>
    <row r="12" spans="1:9" customFormat="1" ht="14.65" thickBot="1"/>
    <row r="13" spans="1:9" customFormat="1" ht="14.65" thickBot="1">
      <c r="A13" s="199" t="s">
        <v>214</v>
      </c>
      <c r="B13" s="200"/>
    </row>
    <row r="14" spans="1:9" ht="14.65" thickTop="1">
      <c r="A14" s="33" t="s">
        <v>66</v>
      </c>
      <c r="B14" s="124" t="s">
        <v>548</v>
      </c>
    </row>
    <row r="15" spans="1:9">
      <c r="A15" s="35" t="s">
        <v>63</v>
      </c>
      <c r="B15" s="120" t="s">
        <v>1831</v>
      </c>
      <c r="D15" s="29"/>
    </row>
    <row r="16" spans="1:9">
      <c r="A16" s="35" t="s">
        <v>61</v>
      </c>
      <c r="B16" s="120" t="s">
        <v>1832</v>
      </c>
    </row>
    <row r="17" spans="1:5">
      <c r="A17" s="35" t="s">
        <v>6</v>
      </c>
      <c r="B17" s="120">
        <v>2019</v>
      </c>
    </row>
    <row r="18" spans="1:5">
      <c r="A18" s="35" t="s">
        <v>65</v>
      </c>
      <c r="B18" s="222" t="s">
        <v>1834</v>
      </c>
    </row>
    <row r="19" spans="1:5" ht="14.65" thickBot="1">
      <c r="A19" s="36" t="s">
        <v>5</v>
      </c>
      <c r="B19" s="222" t="s">
        <v>1833</v>
      </c>
      <c r="D19" s="29"/>
    </row>
    <row r="20" spans="1:5" ht="14.65" thickBot="1"/>
    <row r="21" spans="1:5" ht="14.65" thickBot="1">
      <c r="A21" s="194" t="s">
        <v>213</v>
      </c>
      <c r="B21" s="196"/>
      <c r="C21" s="31"/>
      <c r="D21" s="32"/>
      <c r="E21" s="32"/>
    </row>
    <row r="22" spans="1:5" ht="14.65" thickBot="1">
      <c r="A22" s="50" t="s">
        <v>62</v>
      </c>
      <c r="B22" s="51" t="s">
        <v>94</v>
      </c>
      <c r="D22" s="24" t="s">
        <v>144</v>
      </c>
      <c r="E22" s="25">
        <f>COUNTA(AuthorList[Author Name])</f>
        <v>4</v>
      </c>
    </row>
    <row r="23" spans="1:5" ht="14.65" thickTop="1">
      <c r="A23" s="131">
        <f ca="1">IF(AuthorList[[#This Row],[Author Name]]&lt;&gt;"",MAX(INDIRECT(CONCATENATE("R",ROW(AuthorList[#Headers]),"C",COLUMN(),":R",ROW()-1,"C",COLUMN()),FALSE))+1,"")</f>
        <v>1</v>
      </c>
      <c r="B23" s="40" t="s">
        <v>1786</v>
      </c>
    </row>
    <row r="24" spans="1:5">
      <c r="A24" s="132">
        <f ca="1">IF(AuthorList[[#This Row],[Author Name]]&lt;&gt;"",MAX(INDIRECT(CONCATENATE("R",ROW(AuthorList[#Headers]),"C",COLUMN(),":R",ROW()-1,"C",COLUMN()),FALSE))+1,"")</f>
        <v>2</v>
      </c>
      <c r="B24" s="9" t="s">
        <v>1835</v>
      </c>
    </row>
    <row r="25" spans="1:5">
      <c r="A25" s="132">
        <f ca="1">IF(AuthorList[[#This Row],[Author Name]]&lt;&gt;"",MAX(INDIRECT(CONCATENATE("R",ROW(AuthorList[#Headers]),"C",COLUMN(),":R",ROW()-1,"C",COLUMN()),FALSE))+1,"")</f>
        <v>3</v>
      </c>
      <c r="B25" s="9" t="s">
        <v>1840</v>
      </c>
    </row>
    <row r="26" spans="1:5">
      <c r="A26" s="132">
        <f ca="1">IF(AuthorList[[#This Row],[Author Name]]&lt;&gt;"",MAX(INDIRECT(CONCATENATE("R",ROW(AuthorList[#Headers]),"C",COLUMN(),":R",ROW()-1,"C",COLUMN()),FALSE))+1,"")</f>
        <v>4</v>
      </c>
      <c r="B26" s="9" t="s">
        <v>1836</v>
      </c>
    </row>
    <row r="27" spans="1:5">
      <c r="A27" s="132" t="str">
        <f ca="1">IF(AuthorList[[#This Row],[Author Name]]&lt;&gt;"",MAX(INDIRECT(CONCATENATE("R",ROW(AuthorList[#Headers]),"C",COLUMN(),":R",ROW()-1,"C",COLUMN()),FALSE))+1,"")</f>
        <v/>
      </c>
      <c r="B27" s="9"/>
    </row>
    <row r="28" spans="1:5">
      <c r="A28" s="132" t="str">
        <f ca="1">IF(AuthorList[[#This Row],[Author Name]]&lt;&gt;"",MAX(INDIRECT(CONCATENATE("R",ROW(AuthorList[#Headers]),"C",COLUMN(),":R",ROW()-1,"C",COLUMN()),FALSE))+1,"")</f>
        <v/>
      </c>
      <c r="B28" s="9"/>
    </row>
    <row r="29" spans="1:5">
      <c r="A29" s="132" t="str">
        <f ca="1">IF(AuthorList[[#This Row],[Author Name]]&lt;&gt;"",MAX(INDIRECT(CONCATENATE("R",ROW(AuthorList[#Headers]),"C",COLUMN(),":R",ROW()-1,"C",COLUMN()),FALSE))+1,"")</f>
        <v/>
      </c>
      <c r="B29" s="9"/>
    </row>
    <row r="30" spans="1:5">
      <c r="A30" s="132" t="str">
        <f ca="1">IF(AuthorList[[#This Row],[Author Name]]&lt;&gt;"",MAX(INDIRECT(CONCATENATE("R",ROW(AuthorList[#Headers]),"C",COLUMN(),":R",ROW()-1,"C",COLUMN()),FALSE))+1,"")</f>
        <v/>
      </c>
      <c r="B30" s="9"/>
    </row>
    <row r="31" spans="1:5">
      <c r="A31" s="132" t="str">
        <f ca="1">IF(AuthorList[[#This Row],[Author Name]]&lt;&gt;"",MAX(INDIRECT(CONCATENATE("R",ROW(AuthorList[#Headers]),"C",COLUMN(),":R",ROW()-1,"C",COLUMN()),FALSE))+1,"")</f>
        <v/>
      </c>
      <c r="B31" s="9"/>
    </row>
    <row r="32" spans="1:5">
      <c r="A32" s="133" t="str">
        <f ca="1">IF(AuthorList[[#This Row],[Author Name]]&lt;&gt;"",MAX(INDIRECT(CONCATENATE("R",ROW(AuthorList[#Headers]),"C",COLUMN(),":R",ROW()-1,"C",COLUMN()),FALSE))+1,"")</f>
        <v/>
      </c>
      <c r="B32" s="12"/>
    </row>
    <row r="33" spans="1:2">
      <c r="A33" s="180" t="str">
        <f ca="1">IF(AuthorList[[#This Row],[Author Name]]&lt;&gt;"",MAX(INDIRECT(CONCATENATE("R",ROW(AuthorList[#Headers]),"C",COLUMN(),":R",ROW()-1,"C",COLUMN()),FALSE))+1,"")</f>
        <v/>
      </c>
      <c r="B33" s="9"/>
    </row>
  </sheetData>
  <sheetProtection formatColumns="0" insertRows="0" insertHyperlinks="0" deleteRows="0"/>
  <mergeCells count="3">
    <mergeCell ref="A6:B6"/>
    <mergeCell ref="A21:B21"/>
    <mergeCell ref="A13:B13"/>
  </mergeCells>
  <conditionalFormatting sqref="A14:A17 A23">
    <cfRule type="expression" dxfId="183" priority="14">
      <formula>COUNTA(CitationInformation)&gt;0</formula>
    </cfRule>
  </conditionalFormatting>
  <conditionalFormatting sqref="B8:B10">
    <cfRule type="expression" dxfId="182" priority="7">
      <formula>AND(COUNTA($B$7:$B$11)&gt;0,$B8="")</formula>
    </cfRule>
  </conditionalFormatting>
  <conditionalFormatting sqref="B8">
    <cfRule type="expression" dxfId="181" priority="6">
      <formula>AND(COUNTIF(ApplicableDatasetTypes,$B$8)=0,$B$8&lt;&gt;"")</formula>
    </cfRule>
  </conditionalFormatting>
  <conditionalFormatting sqref="B14:B17">
    <cfRule type="expression" dxfId="180" priority="4">
      <formula>AND(COUNTA(CitationInformation)&gt;0,$B14="")</formula>
    </cfRule>
    <cfRule type="expression" dxfId="179" priority="5">
      <formula>COUNTA(CitationInformation)&gt;0</formula>
    </cfRule>
  </conditionalFormatting>
  <conditionalFormatting sqref="B23:B33">
    <cfRule type="expression" dxfId="178" priority="1">
      <formula>AND(COUNTIF(PeopleNames,$B23)=0,$B23&lt;&gt;"")</formula>
    </cfRule>
  </conditionalFormatting>
  <conditionalFormatting sqref="B23">
    <cfRule type="expression" dxfId="177" priority="2">
      <formula>AND(COUNTA(CitationInformation)&gt;0,$B23="")</formula>
    </cfRule>
    <cfRule type="expression" dxfId="176" priority="3">
      <formula>COUNTA(CitationInformation)&gt;0</formula>
    </cfRule>
  </conditionalFormatting>
  <dataValidations count="3">
    <dataValidation type="list" allowBlank="1" showInputMessage="1" showErrorMessage="1" sqref="B8" xr:uid="{00000000-0002-0000-0200-000000000000}">
      <formula1>ApplicableDatasetTypes</formula1>
    </dataValidation>
    <dataValidation type="list" allowBlank="1" showInputMessage="1" showErrorMessage="1" sqref="B14" xr:uid="{00000000-0002-0000-0200-000001000000}">
      <formula1>RelationshipTypeCV</formula1>
    </dataValidation>
    <dataValidation type="list" allowBlank="1" showInputMessage="1" showErrorMessage="1" sqref="B23:B33" xr:uid="{00000000-0002-0000-0200-000002000000}">
      <formula1>PeopleNames</formula1>
    </dataValidation>
  </dataValidations>
  <hyperlinks>
    <hyperlink ref="B19" r:id="rId1" xr:uid="{92B96AFF-1E98-40CF-911F-D46D31B9107E}"/>
    <hyperlink ref="B18" r:id="rId2" xr:uid="{55AC3723-40A5-4B58-A055-3454DEEC3F59}"/>
  </hyperlinks>
  <pageMargins left="0.7" right="0.7" top="0.75" bottom="0.75" header="0.3" footer="0.3"/>
  <pageSetup orientation="portrait" verticalDpi="0"/>
  <drawing r:id="rId3"/>
  <legacyDrawing r:id="rId4"/>
  <mc:AlternateContent xmlns:mc="http://schemas.openxmlformats.org/markup-compatibility/2006">
    <mc:Choice Requires="x14">
      <controls>
        <mc:AlternateContent xmlns:mc="http://schemas.openxmlformats.org/markup-compatibility/2006">
          <mc:Choice Requires="x14">
            <control shapeId="1033" r:id="rId5" name="Button 9">
              <controlPr defaultSize="0" print="0" autoFill="0" autoPict="0" macro="[0]!CreateGUIDs.CreateGUIDs">
                <anchor moveWithCells="1" sizeWithCells="1">
                  <from>
                    <xdr:col>1</xdr:col>
                    <xdr:colOff>4905375</xdr:colOff>
                    <xdr:row>2</xdr:row>
                    <xdr:rowOff>66675</xdr:rowOff>
                  </from>
                  <to>
                    <xdr:col>3</xdr:col>
                    <xdr:colOff>228600</xdr:colOff>
                    <xdr:row>4</xdr:row>
                    <xdr:rowOff>66675</xdr:rowOff>
                  </to>
                </anchor>
              </controlPr>
            </control>
          </mc:Choice>
        </mc:AlternateContent>
      </controls>
    </mc:Choice>
  </mc:AlternateContent>
  <tableParts count="1">
    <tablePart r:id="rId6"/>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61"/>
  <sheetViews>
    <sheetView workbookViewId="0">
      <selection activeCell="E18" sqref="E18"/>
    </sheetView>
  </sheetViews>
  <sheetFormatPr defaultColWidth="8.86328125" defaultRowHeight="14.25"/>
  <cols>
    <col min="1" max="1" width="35.265625" style="5" customWidth="1"/>
    <col min="2" max="2" width="21.86328125" style="5" customWidth="1"/>
    <col min="3" max="3" width="17.3984375" style="5" customWidth="1"/>
    <col min="4" max="4" width="14.265625" style="5" customWidth="1"/>
    <col min="5" max="5" width="22.3984375" style="5" bestFit="1" customWidth="1"/>
    <col min="6" max="6" width="22.3984375" style="5" customWidth="1"/>
    <col min="7" max="7" width="18.3984375" style="5" customWidth="1"/>
    <col min="8" max="8" width="13.3984375" style="5" customWidth="1"/>
    <col min="9" max="9" width="15.3984375" style="37" bestFit="1" customWidth="1"/>
    <col min="10" max="10" width="3.73046875" style="5" customWidth="1"/>
    <col min="11" max="11" width="12.73046875" style="5" bestFit="1" customWidth="1"/>
    <col min="12" max="12" width="12.1328125" style="37" bestFit="1" customWidth="1"/>
    <col min="13" max="13" width="12.1328125" style="38" bestFit="1" customWidth="1"/>
    <col min="14" max="16384" width="8.86328125" style="5"/>
  </cols>
  <sheetData>
    <row r="1" spans="1:13" s="23" customFormat="1">
      <c r="A1" s="23" t="s">
        <v>1702</v>
      </c>
      <c r="I1" s="143"/>
      <c r="L1" s="143"/>
      <c r="M1" s="144"/>
    </row>
    <row r="2" spans="1:13" s="23" customFormat="1">
      <c r="A2" s="23" t="s">
        <v>224</v>
      </c>
      <c r="H2" s="143"/>
      <c r="I2" s="143"/>
    </row>
    <row r="3" spans="1:13" s="23" customFormat="1">
      <c r="A3" s="23" t="s">
        <v>217</v>
      </c>
      <c r="H3" s="143"/>
      <c r="I3" s="143"/>
    </row>
    <row r="4" spans="1:13" s="23" customFormat="1">
      <c r="A4" s="23" t="s">
        <v>222</v>
      </c>
      <c r="I4" s="143"/>
      <c r="L4" s="143"/>
      <c r="M4" s="144"/>
    </row>
    <row r="5" spans="1:13" s="23" customFormat="1">
      <c r="A5" s="23" t="s">
        <v>91</v>
      </c>
      <c r="I5" s="143"/>
      <c r="L5" s="143"/>
      <c r="M5" s="144"/>
    </row>
    <row r="6" spans="1:13" s="23" customFormat="1" ht="14.65" thickBot="1">
      <c r="I6" s="143"/>
      <c r="L6" s="143"/>
      <c r="M6" s="144"/>
    </row>
    <row r="7" spans="1:13" s="23" customFormat="1" ht="14.65" thickBot="1">
      <c r="A7" s="201" t="s">
        <v>34</v>
      </c>
      <c r="B7" s="202"/>
      <c r="I7" s="143"/>
      <c r="L7" s="143"/>
      <c r="M7" s="144"/>
    </row>
    <row r="8" spans="1:13" s="23" customFormat="1" ht="15" thickTop="1" thickBot="1">
      <c r="A8" s="46" t="s">
        <v>25</v>
      </c>
      <c r="B8" s="145" t="s">
        <v>14</v>
      </c>
      <c r="D8" s="23" t="s">
        <v>90</v>
      </c>
      <c r="H8" s="24" t="s">
        <v>143</v>
      </c>
      <c r="I8" s="45">
        <f>COUNTA(SamplingFeatures[Feature Code])</f>
        <v>6</v>
      </c>
      <c r="K8" s="24" t="s">
        <v>140</v>
      </c>
      <c r="L8" s="45">
        <f ca="1">MAX(SamplingFeatures[SiteID])</f>
        <v>5</v>
      </c>
      <c r="M8" s="144"/>
    </row>
    <row r="9" spans="1:13" s="23" customFormat="1" ht="14.65" thickBot="1">
      <c r="A9" s="47" t="s">
        <v>33</v>
      </c>
      <c r="B9" s="146" t="s">
        <v>37</v>
      </c>
      <c r="D9" s="23" t="s">
        <v>205</v>
      </c>
      <c r="H9" s="130"/>
      <c r="I9" s="169"/>
      <c r="L9" s="143"/>
      <c r="M9" s="144"/>
    </row>
    <row r="10" spans="1:13" s="23" customFormat="1" ht="14.65" thickBot="1">
      <c r="I10" s="143"/>
      <c r="J10" s="203" t="s">
        <v>223</v>
      </c>
      <c r="K10" s="203"/>
      <c r="L10" s="203"/>
      <c r="M10" s="203"/>
    </row>
    <row r="11" spans="1:13" s="23" customFormat="1" ht="14.65" thickBot="1">
      <c r="A11" s="148" t="s">
        <v>20</v>
      </c>
      <c r="B11" s="127" t="s">
        <v>21</v>
      </c>
      <c r="C11" s="127" t="s">
        <v>32</v>
      </c>
      <c r="D11" s="127" t="s">
        <v>71</v>
      </c>
      <c r="E11" s="149" t="s">
        <v>69</v>
      </c>
      <c r="F11" s="150" t="s">
        <v>70</v>
      </c>
      <c r="G11" s="151" t="s">
        <v>72</v>
      </c>
      <c r="H11" s="151" t="s">
        <v>24</v>
      </c>
      <c r="I11" s="152" t="s">
        <v>133</v>
      </c>
      <c r="J11" s="155" t="s">
        <v>116</v>
      </c>
      <c r="K11" s="156" t="s">
        <v>67</v>
      </c>
      <c r="L11" s="157" t="s">
        <v>22</v>
      </c>
      <c r="M11" s="158" t="s">
        <v>23</v>
      </c>
    </row>
    <row r="12" spans="1:13" ht="14.65" thickTop="1">
      <c r="A12" s="159"/>
      <c r="B12" s="7" t="s">
        <v>27</v>
      </c>
      <c r="C12" s="7" t="s">
        <v>28</v>
      </c>
      <c r="D12" s="7" t="s">
        <v>1812</v>
      </c>
      <c r="E12" s="8" t="s">
        <v>1842</v>
      </c>
      <c r="F12" s="8" t="s">
        <v>1759</v>
      </c>
      <c r="G12" s="9"/>
      <c r="H12" s="9">
        <v>506.87</v>
      </c>
      <c r="I12" s="9"/>
      <c r="J12" s="117"/>
      <c r="K12" s="154" t="s">
        <v>29</v>
      </c>
      <c r="L12" s="184">
        <v>48.905320000000003</v>
      </c>
      <c r="M12" s="184">
        <v>-121.80741</v>
      </c>
    </row>
    <row r="13" spans="1:13">
      <c r="A13" s="159"/>
      <c r="B13" s="7" t="s">
        <v>27</v>
      </c>
      <c r="C13" s="7" t="s">
        <v>28</v>
      </c>
      <c r="D13" s="7" t="s">
        <v>1813</v>
      </c>
      <c r="E13" s="8" t="s">
        <v>1841</v>
      </c>
      <c r="F13" s="8" t="s">
        <v>1787</v>
      </c>
      <c r="G13" s="9"/>
      <c r="H13" s="9">
        <v>669.88</v>
      </c>
      <c r="I13" s="9"/>
      <c r="J13" s="118">
        <f ca="1">IF(SamplingFeatures[[#This Row],[Sampling Feature Type]]="Site",MAX(INDIRECT(CONCATENATE("R",ROW(SamplingFeatures[#Headers]),"C",COLUMN(),":R",ROW()-1,"C",COLUMN()),FALSE))+1,"")</f>
        <v>1</v>
      </c>
      <c r="K13" s="154" t="s">
        <v>29</v>
      </c>
      <c r="L13" s="185">
        <v>48.897480000000002</v>
      </c>
      <c r="M13" s="185">
        <v>-121.67519</v>
      </c>
    </row>
    <row r="14" spans="1:13">
      <c r="A14" s="159"/>
      <c r="B14" s="7" t="s">
        <v>27</v>
      </c>
      <c r="C14" s="7" t="s">
        <v>28</v>
      </c>
      <c r="D14" s="7" t="s">
        <v>1814</v>
      </c>
      <c r="E14" s="8" t="s">
        <v>1843</v>
      </c>
      <c r="F14" s="8" t="s">
        <v>1760</v>
      </c>
      <c r="G14" s="9"/>
      <c r="H14" s="9">
        <v>1060.1500000000001</v>
      </c>
      <c r="I14" s="9"/>
      <c r="J14" s="118">
        <f ca="1">IF(SamplingFeatures[[#This Row],[Sampling Feature Type]]="Site",MAX(INDIRECT(CONCATENATE("R",ROW(SamplingFeatures[#Headers]),"C",COLUMN(),":R",ROW()-1,"C",COLUMN()),FALSE))+1,"")</f>
        <v>2</v>
      </c>
      <c r="K14" s="154" t="s">
        <v>29</v>
      </c>
      <c r="L14" s="185">
        <v>48.871339999999996</v>
      </c>
      <c r="M14" s="185">
        <v>-121.65551000000001</v>
      </c>
    </row>
    <row r="15" spans="1:13">
      <c r="A15" s="159"/>
      <c r="B15" s="7" t="s">
        <v>27</v>
      </c>
      <c r="C15" s="7" t="s">
        <v>28</v>
      </c>
      <c r="D15" s="7" t="s">
        <v>1815</v>
      </c>
      <c r="E15" s="8" t="s">
        <v>1844</v>
      </c>
      <c r="F15" s="8" t="s">
        <v>1761</v>
      </c>
      <c r="G15" s="9"/>
      <c r="H15" s="9">
        <v>1273.8800000000001</v>
      </c>
      <c r="I15" s="9"/>
      <c r="J15" s="118">
        <f ca="1">IF(SamplingFeatures[[#This Row],[Sampling Feature Type]]="Site",MAX(INDIRECT(CONCATENATE("R",ROW(SamplingFeatures[#Headers]),"C",COLUMN(),":R",ROW()-1,"C",COLUMN()),FALSE))+1,"")</f>
        <v>3</v>
      </c>
      <c r="K15" s="154" t="s">
        <v>29</v>
      </c>
      <c r="L15" s="185">
        <v>48.861499999999999</v>
      </c>
      <c r="M15" s="185">
        <v>-121.68279</v>
      </c>
    </row>
    <row r="16" spans="1:13">
      <c r="A16" s="159"/>
      <c r="B16" s="7" t="s">
        <v>27</v>
      </c>
      <c r="C16" s="7" t="s">
        <v>28</v>
      </c>
      <c r="D16" s="7" t="s">
        <v>1816</v>
      </c>
      <c r="E16" s="8" t="s">
        <v>1845</v>
      </c>
      <c r="F16" s="8" t="s">
        <v>1788</v>
      </c>
      <c r="G16" s="9"/>
      <c r="H16" s="9">
        <v>1578.61</v>
      </c>
      <c r="I16" s="9"/>
      <c r="J16" s="118">
        <f ca="1">IF(SamplingFeatures[[#This Row],[Sampling Feature Type]]="Site",MAX(INDIRECT(CONCATENATE("R",ROW(SamplingFeatures[#Headers]),"C",COLUMN(),":R",ROW()-1,"C",COLUMN()),FALSE))+1,"")</f>
        <v>4</v>
      </c>
      <c r="K16" s="154" t="s">
        <v>29</v>
      </c>
      <c r="L16" s="185">
        <v>48.848170000000003</v>
      </c>
      <c r="M16" s="185">
        <v>-121.69642</v>
      </c>
    </row>
    <row r="17" spans="1:13">
      <c r="A17" s="168"/>
      <c r="B17" s="7" t="s">
        <v>27</v>
      </c>
      <c r="C17" s="7" t="s">
        <v>28</v>
      </c>
      <c r="D17" s="7" t="s">
        <v>1817</v>
      </c>
      <c r="E17" s="8" t="s">
        <v>1846</v>
      </c>
      <c r="F17" s="8" t="s">
        <v>1762</v>
      </c>
      <c r="G17" s="9"/>
      <c r="H17" s="9">
        <v>1746.89</v>
      </c>
      <c r="I17" s="9"/>
      <c r="J17" s="118">
        <f ca="1">IF(SamplingFeatures[[#This Row],[Sampling Feature Type]]="Site",MAX(INDIRECT(CONCATENATE("R",ROW(SamplingFeatures[#Headers]),"C",COLUMN(),":R",ROW()-1,"C",COLUMN()),FALSE))+1,"")</f>
        <v>5</v>
      </c>
      <c r="K17" s="154" t="s">
        <v>29</v>
      </c>
      <c r="L17" s="185">
        <v>48.848100000000002</v>
      </c>
      <c r="M17" s="185">
        <v>-121.71335999999999</v>
      </c>
    </row>
    <row r="18" spans="1:13" ht="15" customHeight="1">
      <c r="A18" s="159"/>
      <c r="B18" s="7"/>
      <c r="C18" s="7"/>
      <c r="D18" s="7"/>
      <c r="E18" s="8"/>
      <c r="F18" s="41"/>
      <c r="G18" s="9"/>
      <c r="H18" s="9"/>
      <c r="I18" s="9"/>
      <c r="J18" s="118" t="str">
        <f ca="1">IF(SamplingFeatures[[#This Row],[Sampling Feature Type]]="Site",MAX(INDIRECT(CONCATENATE("R",ROW(SamplingFeatures[#Headers]),"C",COLUMN(),":R",ROW()-1,"C",COLUMN()),FALSE))+1,"")</f>
        <v/>
      </c>
      <c r="K18" s="154"/>
      <c r="L18" s="184"/>
      <c r="M18" s="184"/>
    </row>
    <row r="19" spans="1:13">
      <c r="A19" s="159"/>
      <c r="B19" s="7"/>
      <c r="C19" s="7"/>
      <c r="D19" s="7"/>
      <c r="E19" s="8"/>
      <c r="F19" s="41"/>
      <c r="G19" s="9"/>
      <c r="H19" s="9"/>
      <c r="I19" s="9"/>
      <c r="J19" s="118" t="str">
        <f ca="1">IF(SamplingFeatures[[#This Row],[Sampling Feature Type]]="Site",MAX(INDIRECT(CONCATENATE("R",ROW(SamplingFeatures[#Headers]),"C",COLUMN(),":R",ROW()-1,"C",COLUMN()),FALSE))+1,"")</f>
        <v/>
      </c>
      <c r="K19" s="154"/>
      <c r="L19" s="184"/>
      <c r="M19" s="184"/>
    </row>
    <row r="20" spans="1:13">
      <c r="A20" s="159"/>
      <c r="B20" s="7"/>
      <c r="C20" s="7"/>
      <c r="D20" s="7"/>
      <c r="E20" s="8"/>
      <c r="F20" s="41"/>
      <c r="G20" s="9"/>
      <c r="H20" s="9"/>
      <c r="I20" s="9"/>
      <c r="J20" s="118" t="str">
        <f ca="1">IF(SamplingFeatures[[#This Row],[Sampling Feature Type]]="Site",MAX(INDIRECT(CONCATENATE("R",ROW(SamplingFeatures[#Headers]),"C",COLUMN(),":R",ROW()-1,"C",COLUMN()),FALSE))+1,"")</f>
        <v/>
      </c>
      <c r="K20" s="154"/>
      <c r="L20" s="184"/>
      <c r="M20" s="184"/>
    </row>
    <row r="21" spans="1:13">
      <c r="A21" s="159"/>
      <c r="B21" s="7"/>
      <c r="C21" s="7"/>
      <c r="D21" s="7"/>
      <c r="E21" s="8"/>
      <c r="F21" s="41"/>
      <c r="G21" s="9"/>
      <c r="H21" s="9"/>
      <c r="I21" s="9"/>
      <c r="J21" s="118" t="str">
        <f ca="1">IF(SamplingFeatures[[#This Row],[Sampling Feature Type]]="Site",MAX(INDIRECT(CONCATENATE("R",ROW(SamplingFeatures[#Headers]),"C",COLUMN(),":R",ROW()-1,"C",COLUMN()),FALSE))+1,"")</f>
        <v/>
      </c>
      <c r="K21" s="154"/>
      <c r="L21" s="184"/>
      <c r="M21" s="184"/>
    </row>
    <row r="22" spans="1:13">
      <c r="A22" s="159"/>
      <c r="B22" s="7"/>
      <c r="C22" s="7"/>
      <c r="D22" s="7"/>
      <c r="E22" s="8"/>
      <c r="F22" s="41"/>
      <c r="G22" s="9"/>
      <c r="H22" s="9"/>
      <c r="I22" s="9"/>
      <c r="J22" s="118" t="str">
        <f ca="1">IF(SamplingFeatures[[#This Row],[Sampling Feature Type]]="Site",MAX(INDIRECT(CONCATENATE("R",ROW(SamplingFeatures[#Headers]),"C",COLUMN(),":R",ROW()-1,"C",COLUMN()),FALSE))+1,"")</f>
        <v/>
      </c>
      <c r="K22" s="154"/>
      <c r="L22" s="184"/>
      <c r="M22" s="184"/>
    </row>
    <row r="23" spans="1:13">
      <c r="A23" s="159"/>
      <c r="B23" s="7"/>
      <c r="C23" s="7"/>
      <c r="D23" s="7"/>
      <c r="E23" s="8"/>
      <c r="F23" s="41"/>
      <c r="G23" s="9"/>
      <c r="H23" s="9"/>
      <c r="I23" s="9"/>
      <c r="J23" s="118" t="str">
        <f ca="1">IF(SamplingFeatures[[#This Row],[Sampling Feature Type]]="Site",MAX(INDIRECT(CONCATENATE("R",ROW(SamplingFeatures[#Headers]),"C",COLUMN(),":R",ROW()-1,"C",COLUMN()),FALSE))+1,"")</f>
        <v/>
      </c>
      <c r="K23" s="154"/>
      <c r="L23" s="184"/>
      <c r="M23" s="184"/>
    </row>
    <row r="24" spans="1:13">
      <c r="A24" s="159"/>
      <c r="B24" s="7"/>
      <c r="C24" s="7"/>
      <c r="D24" s="7"/>
      <c r="E24" s="8"/>
      <c r="F24" s="41"/>
      <c r="G24" s="9"/>
      <c r="H24" s="9"/>
      <c r="I24" s="9"/>
      <c r="J24" s="118" t="str">
        <f ca="1">IF(SamplingFeatures[[#This Row],[Sampling Feature Type]]="Site",MAX(INDIRECT(CONCATENATE("R",ROW(SamplingFeatures[#Headers]),"C",COLUMN(),":R",ROW()-1,"C",COLUMN()),FALSE))+1,"")</f>
        <v/>
      </c>
      <c r="K24" s="154"/>
      <c r="L24" s="184"/>
      <c r="M24" s="184"/>
    </row>
    <row r="25" spans="1:13">
      <c r="A25" s="159"/>
      <c r="B25" s="7"/>
      <c r="C25" s="7"/>
      <c r="D25" s="7"/>
      <c r="E25" s="8"/>
      <c r="F25" s="41"/>
      <c r="G25" s="9"/>
      <c r="H25" s="9"/>
      <c r="I25" s="9"/>
      <c r="J25" s="118" t="str">
        <f ca="1">IF(SamplingFeatures[[#This Row],[Sampling Feature Type]]="Site",MAX(INDIRECT(CONCATENATE("R",ROW(SamplingFeatures[#Headers]),"C",COLUMN(),":R",ROW()-1,"C",COLUMN()),FALSE))+1,"")</f>
        <v/>
      </c>
      <c r="K25" s="154"/>
      <c r="L25" s="153"/>
      <c r="M25" s="153"/>
    </row>
    <row r="26" spans="1:13">
      <c r="A26" s="159"/>
      <c r="B26" s="7"/>
      <c r="C26" s="7"/>
      <c r="D26" s="7"/>
      <c r="E26" s="8"/>
      <c r="F26" s="41"/>
      <c r="G26" s="9"/>
      <c r="H26" s="9"/>
      <c r="I26" s="9"/>
      <c r="J26" s="118" t="str">
        <f ca="1">IF(SamplingFeatures[[#This Row],[Sampling Feature Type]]="Site",MAX(INDIRECT(CONCATENATE("R",ROW(SamplingFeatures[#Headers]),"C",COLUMN(),":R",ROW()-1,"C",COLUMN()),FALSE))+1,"")</f>
        <v/>
      </c>
      <c r="K26" s="154"/>
      <c r="L26" s="153"/>
      <c r="M26" s="153"/>
    </row>
    <row r="27" spans="1:13">
      <c r="A27" s="159"/>
      <c r="B27" s="7"/>
      <c r="C27" s="7"/>
      <c r="D27" s="7"/>
      <c r="E27" s="8"/>
      <c r="F27" s="41"/>
      <c r="G27" s="9"/>
      <c r="H27" s="9"/>
      <c r="I27" s="9"/>
      <c r="J27" s="118" t="str">
        <f ca="1">IF(SamplingFeatures[[#This Row],[Sampling Feature Type]]="Site",MAX(INDIRECT(CONCATENATE("R",ROW(SamplingFeatures[#Headers]),"C",COLUMN(),":R",ROW()-1,"C",COLUMN()),FALSE))+1,"")</f>
        <v/>
      </c>
      <c r="K27" s="154"/>
      <c r="L27" s="153"/>
      <c r="M27" s="153"/>
    </row>
    <row r="28" spans="1:13">
      <c r="A28" s="159"/>
      <c r="B28" s="7"/>
      <c r="C28" s="7"/>
      <c r="D28" s="7"/>
      <c r="E28" s="8"/>
      <c r="F28" s="41"/>
      <c r="G28" s="9"/>
      <c r="H28" s="9"/>
      <c r="I28" s="9"/>
      <c r="J28" s="118" t="str">
        <f ca="1">IF(SamplingFeatures[[#This Row],[Sampling Feature Type]]="Site",MAX(INDIRECT(CONCATENATE("R",ROW(SamplingFeatures[#Headers]),"C",COLUMN(),":R",ROW()-1,"C",COLUMN()),FALSE))+1,"")</f>
        <v/>
      </c>
      <c r="K28" s="154"/>
      <c r="L28" s="153"/>
      <c r="M28" s="153"/>
    </row>
    <row r="29" spans="1:13">
      <c r="A29" s="159"/>
      <c r="B29" s="7"/>
      <c r="C29" s="7"/>
      <c r="D29" s="7"/>
      <c r="E29" s="8"/>
      <c r="F29" s="41"/>
      <c r="G29" s="9"/>
      <c r="H29" s="9"/>
      <c r="I29" s="9"/>
      <c r="J29" s="118" t="str">
        <f ca="1">IF(SamplingFeatures[[#This Row],[Sampling Feature Type]]="Site",MAX(INDIRECT(CONCATENATE("R",ROW(SamplingFeatures[#Headers]),"C",COLUMN(),":R",ROW()-1,"C",COLUMN()),FALSE))+1,"")</f>
        <v/>
      </c>
      <c r="K29" s="154"/>
      <c r="L29" s="153"/>
      <c r="M29" s="153"/>
    </row>
    <row r="30" spans="1:13">
      <c r="A30" s="159"/>
      <c r="B30" s="7"/>
      <c r="C30" s="7"/>
      <c r="D30" s="7"/>
      <c r="E30" s="8"/>
      <c r="F30" s="41"/>
      <c r="G30" s="9"/>
      <c r="H30" s="9"/>
      <c r="I30" s="9"/>
      <c r="J30" s="118" t="str">
        <f ca="1">IF(SamplingFeatures[[#This Row],[Sampling Feature Type]]="Site",MAX(INDIRECT(CONCATENATE("R",ROW(SamplingFeatures[#Headers]),"C",COLUMN(),":R",ROW()-1,"C",COLUMN()),FALSE))+1,"")</f>
        <v/>
      </c>
      <c r="K30" s="154"/>
      <c r="L30" s="153"/>
      <c r="M30" s="153"/>
    </row>
    <row r="31" spans="1:13">
      <c r="A31" s="159"/>
      <c r="B31" s="7"/>
      <c r="C31" s="7"/>
      <c r="D31" s="7"/>
      <c r="E31" s="8"/>
      <c r="F31" s="41"/>
      <c r="G31" s="9"/>
      <c r="H31" s="9"/>
      <c r="I31" s="9"/>
      <c r="J31" s="118" t="str">
        <f ca="1">IF(SamplingFeatures[[#This Row],[Sampling Feature Type]]="Site",MAX(INDIRECT(CONCATENATE("R",ROW(SamplingFeatures[#Headers]),"C",COLUMN(),":R",ROW()-1,"C",COLUMN()),FALSE))+1,"")</f>
        <v/>
      </c>
      <c r="K31" s="154"/>
      <c r="L31" s="153"/>
      <c r="M31" s="153"/>
    </row>
    <row r="32" spans="1:13">
      <c r="A32" s="159"/>
      <c r="B32" s="7"/>
      <c r="C32" s="7"/>
      <c r="D32" s="7"/>
      <c r="E32" s="8"/>
      <c r="F32" s="41"/>
      <c r="G32" s="9"/>
      <c r="H32" s="9"/>
      <c r="I32" s="9"/>
      <c r="J32" s="118" t="str">
        <f ca="1">IF(SamplingFeatures[[#This Row],[Sampling Feature Type]]="Site",MAX(INDIRECT(CONCATENATE("R",ROW(SamplingFeatures[#Headers]),"C",COLUMN(),":R",ROW()-1,"C",COLUMN()),FALSE))+1,"")</f>
        <v/>
      </c>
      <c r="K32" s="154"/>
      <c r="L32" s="153"/>
      <c r="M32" s="153"/>
    </row>
    <row r="33" spans="1:13">
      <c r="A33" s="159"/>
      <c r="B33" s="7"/>
      <c r="C33" s="7"/>
      <c r="D33" s="7"/>
      <c r="E33" s="8"/>
      <c r="F33" s="41"/>
      <c r="G33" s="9"/>
      <c r="H33" s="9"/>
      <c r="I33" s="9"/>
      <c r="J33" s="118" t="str">
        <f ca="1">IF(SamplingFeatures[[#This Row],[Sampling Feature Type]]="Site",MAX(INDIRECT(CONCATENATE("R",ROW(SamplingFeatures[#Headers]),"C",COLUMN(),":R",ROW()-1,"C",COLUMN()),FALSE))+1,"")</f>
        <v/>
      </c>
      <c r="K33" s="154"/>
      <c r="L33" s="153"/>
      <c r="M33" s="153"/>
    </row>
    <row r="34" spans="1:13">
      <c r="A34" s="159"/>
      <c r="B34" s="7"/>
      <c r="C34" s="7"/>
      <c r="D34" s="7"/>
      <c r="E34" s="8"/>
      <c r="F34" s="41"/>
      <c r="G34" s="9"/>
      <c r="H34" s="9"/>
      <c r="I34" s="9"/>
      <c r="J34" s="118" t="str">
        <f ca="1">IF(SamplingFeatures[[#This Row],[Sampling Feature Type]]="Site",MAX(INDIRECT(CONCATENATE("R",ROW(SamplingFeatures[#Headers]),"C",COLUMN(),":R",ROW()-1,"C",COLUMN()),FALSE))+1,"")</f>
        <v/>
      </c>
      <c r="K34" s="154"/>
      <c r="L34" s="153"/>
      <c r="M34" s="153"/>
    </row>
    <row r="35" spans="1:13">
      <c r="A35" s="159"/>
      <c r="B35" s="7"/>
      <c r="C35" s="7"/>
      <c r="D35" s="7"/>
      <c r="E35" s="8"/>
      <c r="F35" s="41"/>
      <c r="G35" s="9"/>
      <c r="H35" s="9"/>
      <c r="I35" s="9"/>
      <c r="J35" s="118" t="str">
        <f ca="1">IF(SamplingFeatures[[#This Row],[Sampling Feature Type]]="Site",MAX(INDIRECT(CONCATENATE("R",ROW(SamplingFeatures[#Headers]),"C",COLUMN(),":R",ROW()-1,"C",COLUMN()),FALSE))+1,"")</f>
        <v/>
      </c>
      <c r="K35" s="154"/>
      <c r="L35" s="153"/>
      <c r="M35" s="153"/>
    </row>
    <row r="36" spans="1:13">
      <c r="A36" s="159"/>
      <c r="B36" s="7"/>
      <c r="C36" s="7"/>
      <c r="D36" s="7"/>
      <c r="E36" s="8"/>
      <c r="F36" s="41"/>
      <c r="G36" s="9"/>
      <c r="H36" s="9"/>
      <c r="I36" s="9"/>
      <c r="J36" s="118" t="str">
        <f ca="1">IF(SamplingFeatures[[#This Row],[Sampling Feature Type]]="Site",MAX(INDIRECT(CONCATENATE("R",ROW(SamplingFeatures[#Headers]),"C",COLUMN(),":R",ROW()-1,"C",COLUMN()),FALSE))+1,"")</f>
        <v/>
      </c>
      <c r="K36" s="154"/>
      <c r="L36" s="153"/>
      <c r="M36" s="153"/>
    </row>
    <row r="37" spans="1:13">
      <c r="A37" s="159"/>
      <c r="B37" s="7"/>
      <c r="C37" s="7"/>
      <c r="D37" s="7"/>
      <c r="E37" s="8"/>
      <c r="F37" s="41"/>
      <c r="G37" s="9"/>
      <c r="H37" s="9"/>
      <c r="I37" s="9"/>
      <c r="J37" s="118" t="str">
        <f ca="1">IF(SamplingFeatures[[#This Row],[Sampling Feature Type]]="Site",MAX(INDIRECT(CONCATENATE("R",ROW(SamplingFeatures[#Headers]),"C",COLUMN(),":R",ROW()-1,"C",COLUMN()),FALSE))+1,"")</f>
        <v/>
      </c>
      <c r="K37" s="154"/>
      <c r="L37" s="153"/>
      <c r="M37" s="153"/>
    </row>
    <row r="38" spans="1:13">
      <c r="A38" s="159"/>
      <c r="B38" s="7"/>
      <c r="C38" s="7"/>
      <c r="D38" s="7"/>
      <c r="E38" s="8"/>
      <c r="F38" s="41"/>
      <c r="G38" s="9"/>
      <c r="H38" s="9"/>
      <c r="I38" s="9"/>
      <c r="J38" s="118" t="str">
        <f ca="1">IF(SamplingFeatures[[#This Row],[Sampling Feature Type]]="Site",MAX(INDIRECT(CONCATENATE("R",ROW(SamplingFeatures[#Headers]),"C",COLUMN(),":R",ROW()-1,"C",COLUMN()),FALSE))+1,"")</f>
        <v/>
      </c>
      <c r="K38" s="154"/>
      <c r="L38" s="153"/>
      <c r="M38" s="153"/>
    </row>
    <row r="39" spans="1:13">
      <c r="A39" s="159"/>
      <c r="B39" s="7"/>
      <c r="C39" s="7"/>
      <c r="D39" s="7"/>
      <c r="E39" s="8"/>
      <c r="F39" s="41"/>
      <c r="G39" s="9"/>
      <c r="H39" s="9"/>
      <c r="I39" s="9"/>
      <c r="J39" s="118" t="str">
        <f ca="1">IF(SamplingFeatures[[#This Row],[Sampling Feature Type]]="Site",MAX(INDIRECT(CONCATENATE("R",ROW(SamplingFeatures[#Headers]),"C",COLUMN(),":R",ROW()-1,"C",COLUMN()),FALSE))+1,"")</f>
        <v/>
      </c>
      <c r="K39" s="154"/>
      <c r="L39" s="153"/>
      <c r="M39" s="153"/>
    </row>
    <row r="40" spans="1:13">
      <c r="A40" s="159"/>
      <c r="B40" s="7"/>
      <c r="C40" s="7"/>
      <c r="D40" s="7"/>
      <c r="E40" s="8"/>
      <c r="F40" s="41"/>
      <c r="G40" s="9"/>
      <c r="H40" s="9"/>
      <c r="I40" s="9"/>
      <c r="J40" s="118" t="str">
        <f ca="1">IF(SamplingFeatures[[#This Row],[Sampling Feature Type]]="Site",MAX(INDIRECT(CONCATENATE("R",ROW(SamplingFeatures[#Headers]),"C",COLUMN(),":R",ROW()-1,"C",COLUMN()),FALSE))+1,"")</f>
        <v/>
      </c>
      <c r="K40" s="154"/>
      <c r="L40" s="153"/>
      <c r="M40" s="153"/>
    </row>
    <row r="41" spans="1:13">
      <c r="A41" s="159"/>
      <c r="B41" s="7"/>
      <c r="C41" s="7"/>
      <c r="D41" s="7"/>
      <c r="E41" s="8"/>
      <c r="F41" s="41"/>
      <c r="G41" s="9"/>
      <c r="H41" s="9"/>
      <c r="I41" s="9"/>
      <c r="J41" s="118" t="str">
        <f ca="1">IF(SamplingFeatures[[#This Row],[Sampling Feature Type]]="Site",MAX(INDIRECT(CONCATENATE("R",ROW(SamplingFeatures[#Headers]),"C",COLUMN(),":R",ROW()-1,"C",COLUMN()),FALSE))+1,"")</f>
        <v/>
      </c>
      <c r="K41" s="154"/>
      <c r="L41" s="153"/>
      <c r="M41" s="153"/>
    </row>
    <row r="42" spans="1:13">
      <c r="A42" s="159"/>
      <c r="B42" s="7"/>
      <c r="C42" s="7"/>
      <c r="D42" s="7"/>
      <c r="E42" s="8"/>
      <c r="F42" s="41"/>
      <c r="G42" s="9"/>
      <c r="H42" s="9"/>
      <c r="I42" s="9"/>
      <c r="J42" s="118" t="str">
        <f ca="1">IF(SamplingFeatures[[#This Row],[Sampling Feature Type]]="Site",MAX(INDIRECT(CONCATENATE("R",ROW(SamplingFeatures[#Headers]),"C",COLUMN(),":R",ROW()-1,"C",COLUMN()),FALSE))+1,"")</f>
        <v/>
      </c>
      <c r="K42" s="154"/>
      <c r="L42" s="153"/>
      <c r="M42" s="153"/>
    </row>
    <row r="43" spans="1:13">
      <c r="A43" s="159"/>
      <c r="B43" s="7"/>
      <c r="C43" s="7"/>
      <c r="D43" s="7"/>
      <c r="E43" s="8"/>
      <c r="F43" s="41"/>
      <c r="G43" s="9"/>
      <c r="H43" s="9"/>
      <c r="I43" s="9"/>
      <c r="J43" s="118" t="str">
        <f ca="1">IF(SamplingFeatures[[#This Row],[Sampling Feature Type]]="Site",MAX(INDIRECT(CONCATENATE("R",ROW(SamplingFeatures[#Headers]),"C",COLUMN(),":R",ROW()-1,"C",COLUMN()),FALSE))+1,"")</f>
        <v/>
      </c>
      <c r="K43" s="154"/>
      <c r="L43" s="153"/>
      <c r="M43" s="153"/>
    </row>
    <row r="44" spans="1:13">
      <c r="A44" s="159"/>
      <c r="B44" s="7"/>
      <c r="C44" s="7"/>
      <c r="D44" s="7"/>
      <c r="E44" s="8"/>
      <c r="F44" s="41"/>
      <c r="G44" s="9"/>
      <c r="H44" s="9"/>
      <c r="I44" s="9"/>
      <c r="J44" s="118" t="str">
        <f ca="1">IF(SamplingFeatures[[#This Row],[Sampling Feature Type]]="Site",MAX(INDIRECT(CONCATENATE("R",ROW(SamplingFeatures[#Headers]),"C",COLUMN(),":R",ROW()-1,"C",COLUMN()),FALSE))+1,"")</f>
        <v/>
      </c>
      <c r="K44" s="154"/>
      <c r="L44" s="153"/>
      <c r="M44" s="153"/>
    </row>
    <row r="45" spans="1:13">
      <c r="A45" s="159"/>
      <c r="B45" s="7"/>
      <c r="C45" s="7"/>
      <c r="D45" s="7"/>
      <c r="E45" s="8"/>
      <c r="F45" s="41"/>
      <c r="G45" s="9"/>
      <c r="H45" s="9"/>
      <c r="I45" s="9"/>
      <c r="J45" s="118" t="str">
        <f ca="1">IF(SamplingFeatures[[#This Row],[Sampling Feature Type]]="Site",MAX(INDIRECT(CONCATENATE("R",ROW(SamplingFeatures[#Headers]),"C",COLUMN(),":R",ROW()-1,"C",COLUMN()),FALSE))+1,"")</f>
        <v/>
      </c>
      <c r="K45" s="154"/>
      <c r="L45" s="153"/>
      <c r="M45" s="153"/>
    </row>
    <row r="46" spans="1:13">
      <c r="A46" s="159"/>
      <c r="B46" s="7"/>
      <c r="C46" s="7"/>
      <c r="D46" s="7"/>
      <c r="E46" s="8"/>
      <c r="F46" s="41"/>
      <c r="G46" s="9"/>
      <c r="H46" s="9"/>
      <c r="I46" s="9"/>
      <c r="J46" s="118" t="str">
        <f ca="1">IF(SamplingFeatures[[#This Row],[Sampling Feature Type]]="Site",MAX(INDIRECT(CONCATENATE("R",ROW(SamplingFeatures[#Headers]),"C",COLUMN(),":R",ROW()-1,"C",COLUMN()),FALSE))+1,"")</f>
        <v/>
      </c>
      <c r="K46" s="154"/>
      <c r="L46" s="153"/>
      <c r="M46" s="153"/>
    </row>
    <row r="47" spans="1:13">
      <c r="A47" s="159"/>
      <c r="B47" s="7"/>
      <c r="C47" s="7"/>
      <c r="D47" s="7"/>
      <c r="E47" s="8"/>
      <c r="F47" s="41"/>
      <c r="G47" s="9"/>
      <c r="H47" s="9"/>
      <c r="I47" s="9"/>
      <c r="J47" s="118" t="str">
        <f ca="1">IF(SamplingFeatures[[#This Row],[Sampling Feature Type]]="Site",MAX(INDIRECT(CONCATENATE("R",ROW(SamplingFeatures[#Headers]),"C",COLUMN(),":R",ROW()-1,"C",COLUMN()),FALSE))+1,"")</f>
        <v/>
      </c>
      <c r="K47" s="154"/>
      <c r="L47" s="153"/>
      <c r="M47" s="153"/>
    </row>
    <row r="48" spans="1:13">
      <c r="A48" s="159"/>
      <c r="B48" s="7"/>
      <c r="C48" s="7"/>
      <c r="D48" s="7"/>
      <c r="E48" s="8"/>
      <c r="F48" s="41"/>
      <c r="G48" s="9"/>
      <c r="H48" s="9"/>
      <c r="I48" s="9"/>
      <c r="J48" s="118" t="str">
        <f ca="1">IF(SamplingFeatures[[#This Row],[Sampling Feature Type]]="Site",MAX(INDIRECT(CONCATENATE("R",ROW(SamplingFeatures[#Headers]),"C",COLUMN(),":R",ROW()-1,"C",COLUMN()),FALSE))+1,"")</f>
        <v/>
      </c>
      <c r="K48" s="154"/>
      <c r="L48" s="153"/>
      <c r="M48" s="153"/>
    </row>
    <row r="49" spans="1:13">
      <c r="A49" s="159"/>
      <c r="B49" s="7"/>
      <c r="C49" s="7"/>
      <c r="D49" s="7"/>
      <c r="E49" s="8"/>
      <c r="F49" s="41"/>
      <c r="G49" s="9"/>
      <c r="H49" s="9"/>
      <c r="I49" s="9"/>
      <c r="J49" s="118" t="str">
        <f ca="1">IF(SamplingFeatures[[#This Row],[Sampling Feature Type]]="Site",MAX(INDIRECT(CONCATENATE("R",ROW(SamplingFeatures[#Headers]),"C",COLUMN(),":R",ROW()-1,"C",COLUMN()),FALSE))+1,"")</f>
        <v/>
      </c>
      <c r="K49" s="154"/>
      <c r="L49" s="153"/>
      <c r="M49" s="153"/>
    </row>
    <row r="50" spans="1:13">
      <c r="A50" s="159"/>
      <c r="B50" s="7"/>
      <c r="C50" s="7"/>
      <c r="D50" s="7"/>
      <c r="E50" s="8"/>
      <c r="F50" s="41"/>
      <c r="G50" s="9"/>
      <c r="H50" s="9"/>
      <c r="I50" s="9"/>
      <c r="J50" s="118" t="str">
        <f ca="1">IF(SamplingFeatures[[#This Row],[Sampling Feature Type]]="Site",MAX(INDIRECT(CONCATENATE("R",ROW(SamplingFeatures[#Headers]),"C",COLUMN(),":R",ROW()-1,"C",COLUMN()),FALSE))+1,"")</f>
        <v/>
      </c>
      <c r="K50" s="154"/>
      <c r="L50" s="153"/>
      <c r="M50" s="153"/>
    </row>
    <row r="51" spans="1:13">
      <c r="A51" s="159"/>
      <c r="B51" s="7"/>
      <c r="C51" s="7"/>
      <c r="D51" s="7"/>
      <c r="E51" s="8"/>
      <c r="F51" s="41"/>
      <c r="G51" s="9"/>
      <c r="H51" s="9"/>
      <c r="I51" s="9"/>
      <c r="J51" s="118" t="str">
        <f ca="1">IF(SamplingFeatures[[#This Row],[Sampling Feature Type]]="Site",MAX(INDIRECT(CONCATENATE("R",ROW(SamplingFeatures[#Headers]),"C",COLUMN(),":R",ROW()-1,"C",COLUMN()),FALSE))+1,"")</f>
        <v/>
      </c>
      <c r="K51" s="154"/>
      <c r="L51" s="153"/>
      <c r="M51" s="153"/>
    </row>
    <row r="52" spans="1:13">
      <c r="A52" s="159"/>
      <c r="B52" s="7"/>
      <c r="C52" s="7"/>
      <c r="D52" s="7"/>
      <c r="E52" s="8"/>
      <c r="F52" s="41"/>
      <c r="G52" s="9"/>
      <c r="H52" s="9"/>
      <c r="I52" s="9"/>
      <c r="J52" s="118" t="str">
        <f ca="1">IF(SamplingFeatures[[#This Row],[Sampling Feature Type]]="Site",MAX(INDIRECT(CONCATENATE("R",ROW(SamplingFeatures[#Headers]),"C",COLUMN(),":R",ROW()-1,"C",COLUMN()),FALSE))+1,"")</f>
        <v/>
      </c>
      <c r="K52" s="154"/>
      <c r="L52" s="153"/>
      <c r="M52" s="153"/>
    </row>
    <row r="53" spans="1:13">
      <c r="A53" s="159"/>
      <c r="B53" s="7"/>
      <c r="C53" s="7"/>
      <c r="D53" s="7"/>
      <c r="E53" s="8"/>
      <c r="F53" s="41"/>
      <c r="G53" s="9"/>
      <c r="H53" s="9"/>
      <c r="I53" s="9"/>
      <c r="J53" s="118" t="str">
        <f ca="1">IF(SamplingFeatures[[#This Row],[Sampling Feature Type]]="Site",MAX(INDIRECT(CONCATENATE("R",ROW(SamplingFeatures[#Headers]),"C",COLUMN(),":R",ROW()-1,"C",COLUMN()),FALSE))+1,"")</f>
        <v/>
      </c>
      <c r="K53" s="154"/>
      <c r="L53" s="153"/>
      <c r="M53" s="153"/>
    </row>
    <row r="54" spans="1:13">
      <c r="A54" s="159"/>
      <c r="B54" s="7"/>
      <c r="C54" s="7"/>
      <c r="D54" s="7"/>
      <c r="E54" s="8"/>
      <c r="F54" s="41"/>
      <c r="G54" s="9"/>
      <c r="H54" s="9"/>
      <c r="I54" s="9"/>
      <c r="J54" s="118" t="str">
        <f ca="1">IF(SamplingFeatures[[#This Row],[Sampling Feature Type]]="Site",MAX(INDIRECT(CONCATENATE("R",ROW(SamplingFeatures[#Headers]),"C",COLUMN(),":R",ROW()-1,"C",COLUMN()),FALSE))+1,"")</f>
        <v/>
      </c>
      <c r="K54" s="154"/>
      <c r="L54" s="153"/>
      <c r="M54" s="153"/>
    </row>
    <row r="55" spans="1:13">
      <c r="A55" s="159"/>
      <c r="B55" s="7"/>
      <c r="C55" s="7"/>
      <c r="D55" s="7"/>
      <c r="E55" s="8"/>
      <c r="F55" s="41"/>
      <c r="G55" s="9"/>
      <c r="H55" s="9"/>
      <c r="I55" s="9"/>
      <c r="J55" s="118" t="str">
        <f ca="1">IF(SamplingFeatures[[#This Row],[Sampling Feature Type]]="Site",MAX(INDIRECT(CONCATENATE("R",ROW(SamplingFeatures[#Headers]),"C",COLUMN(),":R",ROW()-1,"C",COLUMN()),FALSE))+1,"")</f>
        <v/>
      </c>
      <c r="K55" s="154"/>
      <c r="L55" s="153"/>
      <c r="M55" s="153"/>
    </row>
    <row r="56" spans="1:13">
      <c r="A56" s="159"/>
      <c r="B56" s="7"/>
      <c r="C56" s="7"/>
      <c r="D56" s="7"/>
      <c r="E56" s="8"/>
      <c r="F56" s="41"/>
      <c r="G56" s="9"/>
      <c r="H56" s="9"/>
      <c r="I56" s="9"/>
      <c r="J56" s="118" t="str">
        <f ca="1">IF(SamplingFeatures[[#This Row],[Sampling Feature Type]]="Site",MAX(INDIRECT(CONCATENATE("R",ROW(SamplingFeatures[#Headers]),"C",COLUMN(),":R",ROW()-1,"C",COLUMN()),FALSE))+1,"")</f>
        <v/>
      </c>
      <c r="K56" s="154"/>
      <c r="L56" s="153"/>
      <c r="M56" s="153"/>
    </row>
    <row r="57" spans="1:13">
      <c r="A57" s="159"/>
      <c r="B57" s="7"/>
      <c r="C57" s="7"/>
      <c r="D57" s="7"/>
      <c r="E57" s="8"/>
      <c r="F57" s="41"/>
      <c r="G57" s="9"/>
      <c r="H57" s="9"/>
      <c r="I57" s="9"/>
      <c r="J57" s="118" t="str">
        <f ca="1">IF(SamplingFeatures[[#This Row],[Sampling Feature Type]]="Site",MAX(INDIRECT(CONCATENATE("R",ROW(SamplingFeatures[#Headers]),"C",COLUMN(),":R",ROW()-1,"C",COLUMN()),FALSE))+1,"")</f>
        <v/>
      </c>
      <c r="K57" s="154"/>
      <c r="L57" s="153"/>
      <c r="M57" s="153"/>
    </row>
    <row r="58" spans="1:13">
      <c r="A58" s="159"/>
      <c r="B58" s="7"/>
      <c r="C58" s="7"/>
      <c r="D58" s="7"/>
      <c r="E58" s="8"/>
      <c r="F58" s="41"/>
      <c r="G58" s="9"/>
      <c r="H58" s="9"/>
      <c r="I58" s="9"/>
      <c r="J58" s="118" t="str">
        <f ca="1">IF(SamplingFeatures[[#This Row],[Sampling Feature Type]]="Site",MAX(INDIRECT(CONCATENATE("R",ROW(SamplingFeatures[#Headers]),"C",COLUMN(),":R",ROW()-1,"C",COLUMN()),FALSE))+1,"")</f>
        <v/>
      </c>
      <c r="K58" s="154"/>
      <c r="L58" s="153"/>
      <c r="M58" s="153"/>
    </row>
    <row r="59" spans="1:13">
      <c r="A59" s="159"/>
      <c r="B59" s="7"/>
      <c r="C59" s="7"/>
      <c r="D59" s="7"/>
      <c r="E59" s="8"/>
      <c r="F59" s="41"/>
      <c r="G59" s="9"/>
      <c r="H59" s="9"/>
      <c r="I59" s="9"/>
      <c r="J59" s="118" t="str">
        <f ca="1">IF(SamplingFeatures[[#This Row],[Sampling Feature Type]]="Site",MAX(INDIRECT(CONCATENATE("R",ROW(SamplingFeatures[#Headers]),"C",COLUMN(),":R",ROW()-1,"C",COLUMN()),FALSE))+1,"")</f>
        <v/>
      </c>
      <c r="K59" s="154"/>
      <c r="L59" s="153"/>
      <c r="M59" s="153"/>
    </row>
    <row r="60" spans="1:13">
      <c r="A60" s="159"/>
      <c r="B60" s="7"/>
      <c r="C60" s="7"/>
      <c r="D60" s="7"/>
      <c r="E60" s="8"/>
      <c r="F60" s="41"/>
      <c r="G60" s="9"/>
      <c r="H60" s="9"/>
      <c r="I60" s="9"/>
      <c r="J60" s="118" t="str">
        <f ca="1">IF(SamplingFeatures[[#This Row],[Sampling Feature Type]]="Site",MAX(INDIRECT(CONCATENATE("R",ROW(SamplingFeatures[#Headers]),"C",COLUMN(),":R",ROW()-1,"C",COLUMN()),FALSE))+1,"")</f>
        <v/>
      </c>
      <c r="K60" s="154"/>
      <c r="L60" s="153"/>
      <c r="M60" s="153"/>
    </row>
    <row r="61" spans="1:13" ht="14.65" thickBot="1">
      <c r="A61" s="160"/>
      <c r="B61" s="100"/>
      <c r="C61" s="100"/>
      <c r="D61" s="100"/>
      <c r="E61" s="101"/>
      <c r="F61" s="161"/>
      <c r="G61" s="162"/>
      <c r="H61" s="162"/>
      <c r="I61" s="162"/>
      <c r="J61" s="119" t="str">
        <f ca="1">IF(SamplingFeatures[[#This Row],[Sampling Feature Type]]="Site",MAX(INDIRECT(CONCATENATE("R",ROW(SamplingFeatures[#Headers]),"C",COLUMN(),":R",ROW()-1,"C",COLUMN()),FALSE))+1,"")</f>
        <v/>
      </c>
      <c r="K61" s="163"/>
      <c r="L61" s="164"/>
      <c r="M61" s="164"/>
    </row>
  </sheetData>
  <sheetProtection formatColumns="0" insertRows="0" insertHyperlinks="0" deleteRows="0"/>
  <mergeCells count="2">
    <mergeCell ref="A7:B7"/>
    <mergeCell ref="J10:M10"/>
  </mergeCells>
  <conditionalFormatting sqref="B13:B61">
    <cfRule type="expression" dxfId="175" priority="45">
      <formula>AND(COUNTIF(SamplingFeatureTypeCV,$B13)=0,$B13&lt;&gt;"")</formula>
    </cfRule>
  </conditionalFormatting>
  <conditionalFormatting sqref="C13:C61">
    <cfRule type="expression" dxfId="174" priority="44">
      <formula>AND(COUNTIF(SamplingFeatureGeotypeCV,$C13)=0,$C13&lt;&gt;"")</formula>
    </cfRule>
  </conditionalFormatting>
  <conditionalFormatting sqref="B17:D61 B13:C16">
    <cfRule type="expression" dxfId="173" priority="43">
      <formula>AND(COUNTA($A13:$I13)&gt;0,B13="")</formula>
    </cfRule>
  </conditionalFormatting>
  <conditionalFormatting sqref="A18:I61 A13:C16 E13:E16 A17:E17 G13:I17">
    <cfRule type="expression" dxfId="172" priority="42">
      <formula>AND(COUNTA($A12:$I12)=0,A13&lt;&gt;"")</formula>
    </cfRule>
  </conditionalFormatting>
  <conditionalFormatting sqref="K13:K61">
    <cfRule type="expression" dxfId="171" priority="38">
      <formula>AND(COUNTIF(SiteTypeCV,$K13)=0,$K13&lt;&gt;"")</formula>
    </cfRule>
  </conditionalFormatting>
  <conditionalFormatting sqref="K14:M61 K13">
    <cfRule type="expression" dxfId="170" priority="35">
      <formula>AND($B13&lt;&gt;"Site",K13&lt;&gt;"")</formula>
    </cfRule>
    <cfRule type="expression" dxfId="169" priority="37">
      <formula>AND($B13="Site",K13="")</formula>
    </cfRule>
  </conditionalFormatting>
  <conditionalFormatting sqref="H13:H61">
    <cfRule type="expression" dxfId="168" priority="36">
      <formula>ISTEXT($H13)</formula>
    </cfRule>
  </conditionalFormatting>
  <conditionalFormatting sqref="L14:M61">
    <cfRule type="expression" dxfId="167" priority="46">
      <formula>ISTEXT(L14)</formula>
    </cfRule>
  </conditionalFormatting>
  <conditionalFormatting sqref="I13:I61">
    <cfRule type="duplicateValues" dxfId="166" priority="28"/>
  </conditionalFormatting>
  <conditionalFormatting sqref="A13:A61">
    <cfRule type="duplicateValues" dxfId="165" priority="27"/>
  </conditionalFormatting>
  <conditionalFormatting sqref="A12">
    <cfRule type="expression" dxfId="164" priority="23">
      <formula>AND(COUNTA($A11:$I11)=0,A12&lt;&gt;"")</formula>
    </cfRule>
  </conditionalFormatting>
  <conditionalFormatting sqref="A12">
    <cfRule type="duplicateValues" dxfId="163" priority="19"/>
  </conditionalFormatting>
  <conditionalFormatting sqref="B8">
    <cfRule type="expression" dxfId="162" priority="18">
      <formula>AND(COUNTIF(ElevationDatumCV,$B$8)=0,$B$8&lt;&gt;"")</formula>
    </cfRule>
  </conditionalFormatting>
  <conditionalFormatting sqref="B9">
    <cfRule type="expression" dxfId="161" priority="17">
      <formula>AND(COUNTIF(LatLonDatumNames,$B$9)=0,$B$9&lt;&gt;"")</formula>
    </cfRule>
  </conditionalFormatting>
  <conditionalFormatting sqref="I12">
    <cfRule type="duplicateValues" dxfId="160" priority="6"/>
  </conditionalFormatting>
  <conditionalFormatting sqref="K12">
    <cfRule type="expression" dxfId="159" priority="15">
      <formula>AND(COUNTIF(SiteTypeCV,$K12)=0,$K12&lt;&gt;"")</formula>
    </cfRule>
  </conditionalFormatting>
  <conditionalFormatting sqref="K12:M12">
    <cfRule type="expression" dxfId="158" priority="13">
      <formula>AND($B12&lt;&gt;"Site",K12&lt;&gt;"")</formula>
    </cfRule>
    <cfRule type="expression" dxfId="157" priority="14">
      <formula>AND($B12="Site",K12="")</formula>
    </cfRule>
  </conditionalFormatting>
  <conditionalFormatting sqref="L12:M12">
    <cfRule type="expression" dxfId="156" priority="16">
      <formula>ISTEXT(L12)</formula>
    </cfRule>
  </conditionalFormatting>
  <conditionalFormatting sqref="B12">
    <cfRule type="expression" dxfId="155" priority="12">
      <formula>AND(COUNTIF(SamplingFeatureTypeCV,$B12)=0,$B12&lt;&gt;"")</formula>
    </cfRule>
  </conditionalFormatting>
  <conditionalFormatting sqref="C12">
    <cfRule type="expression" dxfId="154" priority="11">
      <formula>AND(COUNTIF(SamplingFeatureGeotypeCV,$C12)=0,$C12&lt;&gt;"")</formula>
    </cfRule>
  </conditionalFormatting>
  <conditionalFormatting sqref="B12:D12">
    <cfRule type="expression" dxfId="153" priority="10">
      <formula>AND(COUNTA($A12:$I12)&gt;0,B12="")</formula>
    </cfRule>
  </conditionalFormatting>
  <conditionalFormatting sqref="B12:E12 G12:I12">
    <cfRule type="expression" dxfId="152" priority="9">
      <formula>AND(COUNTA($A11:$I11)=0,B12&lt;&gt;"")</formula>
    </cfRule>
  </conditionalFormatting>
  <conditionalFormatting sqref="H12">
    <cfRule type="expression" dxfId="151" priority="8">
      <formula>ISTEXT($H12)</formula>
    </cfRule>
  </conditionalFormatting>
  <conditionalFormatting sqref="D12">
    <cfRule type="duplicateValues" dxfId="150" priority="7"/>
  </conditionalFormatting>
  <conditionalFormatting sqref="L13:M13">
    <cfRule type="expression" dxfId="149" priority="3">
      <formula>AND($B13&lt;&gt;"Site",L13&lt;&gt;"")</formula>
    </cfRule>
    <cfRule type="expression" dxfId="148" priority="4">
      <formula>AND($B13="Site",L13="")</formula>
    </cfRule>
  </conditionalFormatting>
  <conditionalFormatting sqref="L13:M13">
    <cfRule type="expression" dxfId="147" priority="5">
      <formula>ISTEXT(L13)</formula>
    </cfRule>
  </conditionalFormatting>
  <conditionalFormatting sqref="D13:D15">
    <cfRule type="expression" dxfId="146" priority="80">
      <formula>AND(COUNTA($A14:$I14)&gt;0,D13="")</formula>
    </cfRule>
  </conditionalFormatting>
  <conditionalFormatting sqref="D13:D15">
    <cfRule type="expression" dxfId="145" priority="85">
      <formula>AND(COUNTA($A13:$I13)=0,D13&lt;&gt;"")</formula>
    </cfRule>
  </conditionalFormatting>
  <conditionalFormatting sqref="D17:D61 D13:D15">
    <cfRule type="duplicateValues" dxfId="144" priority="97"/>
  </conditionalFormatting>
  <conditionalFormatting sqref="F13:F17">
    <cfRule type="expression" dxfId="143" priority="2">
      <formula>AND(COUNTA($A12:$I12)=0,F13&lt;&gt;"")</formula>
    </cfRule>
  </conditionalFormatting>
  <conditionalFormatting sqref="F12">
    <cfRule type="expression" dxfId="142" priority="1">
      <formula>AND(COUNTA($A11:$I11)=0,F12&lt;&gt;"")</formula>
    </cfRule>
  </conditionalFormatting>
  <dataValidations count="6">
    <dataValidation type="list" allowBlank="1" showInputMessage="1" showErrorMessage="1" sqref="B8" xr:uid="{00000000-0002-0000-0300-000000000000}">
      <formula1>ElevationDatumCV</formula1>
    </dataValidation>
    <dataValidation type="list" allowBlank="1" showInputMessage="1" showErrorMessage="1" sqref="B9" xr:uid="{00000000-0002-0000-0300-000001000000}">
      <formula1>LatLonDatumNames</formula1>
    </dataValidation>
    <dataValidation type="list" allowBlank="1" showInputMessage="1" showErrorMessage="1" sqref="B12:B61" xr:uid="{00000000-0002-0000-0300-000002000000}">
      <formula1>SamplingFeatureTypeCV</formula1>
    </dataValidation>
    <dataValidation type="list" allowBlank="1" showInputMessage="1" showErrorMessage="1" sqref="C12:C61" xr:uid="{00000000-0002-0000-0300-000003000000}">
      <formula1>SamplingFeatureGeotypeCV</formula1>
    </dataValidation>
    <dataValidation type="list" allowBlank="1" showInputMessage="1" showErrorMessage="1" errorTitle="Invalid Value" error="This column only applies to sampling features that are either sites or specimens." sqref="K12:K61" xr:uid="{00000000-0002-0000-0300-000004000000}">
      <formula1>IF(B12="Site",SiteTypeCV,"")</formula1>
    </dataValidation>
    <dataValidation allowBlank="1" showInputMessage="1" showErrorMessage="1" errorTitle="Invalid Value" error="This column only applies to sampling features that are either sites or specimens." sqref="J12:J61" xr:uid="{00000000-0002-0000-0300-000005000000}"/>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904875</xdr:colOff>
                    <xdr:row>4</xdr:row>
                    <xdr:rowOff>152400</xdr:rowOff>
                  </from>
                  <to>
                    <xdr:col>5</xdr:col>
                    <xdr:colOff>142875</xdr:colOff>
                    <xdr:row>6</xdr:row>
                    <xdr:rowOff>142875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39"/>
  <sheetViews>
    <sheetView workbookViewId="0">
      <selection activeCell="D8" sqref="D8"/>
    </sheetView>
  </sheetViews>
  <sheetFormatPr defaultColWidth="8.86328125" defaultRowHeight="14.25"/>
  <cols>
    <col min="1" max="1" width="27.86328125" style="5" customWidth="1"/>
    <col min="2" max="2" width="19.265625" style="5" bestFit="1" customWidth="1"/>
    <col min="3" max="3" width="31.1328125" style="5" bestFit="1" customWidth="1"/>
    <col min="4" max="4" width="20.265625" style="5" bestFit="1" customWidth="1"/>
    <col min="5" max="5" width="16" style="5" bestFit="1" customWidth="1"/>
    <col min="6" max="6" width="14.3984375" style="5" customWidth="1"/>
    <col min="7" max="7" width="16" style="5" bestFit="1" customWidth="1"/>
    <col min="8" max="8" width="14.3984375" style="5" bestFit="1" customWidth="1"/>
    <col min="9" max="9" width="16" style="5" bestFit="1" customWidth="1"/>
    <col min="10" max="10" width="14.3984375" style="5" bestFit="1" customWidth="1"/>
    <col min="11" max="11" width="8" style="5" bestFit="1" customWidth="1"/>
    <col min="12" max="16384" width="8.86328125" style="5"/>
  </cols>
  <sheetData>
    <row r="1" spans="1:11">
      <c r="A1" s="23" t="s">
        <v>226</v>
      </c>
    </row>
    <row r="2" spans="1:11" ht="14.65" thickBot="1">
      <c r="A2" s="5" t="s">
        <v>218</v>
      </c>
      <c r="H2" s="37"/>
      <c r="I2" s="37"/>
    </row>
    <row r="3" spans="1:11" ht="14.65" thickBot="1">
      <c r="A3" s="23" t="s">
        <v>217</v>
      </c>
      <c r="G3" s="24" t="s">
        <v>141</v>
      </c>
      <c r="H3" s="25">
        <f>COUNTA(RelatedFeatures[First Sampling Feature Code])</f>
        <v>0</v>
      </c>
      <c r="I3" s="24" t="s">
        <v>142</v>
      </c>
      <c r="J3" s="25">
        <f ca="1">MAX(RelatedFeatures[OffsetID])</f>
        <v>0</v>
      </c>
    </row>
    <row r="4" spans="1:11">
      <c r="A4" s="23" t="s">
        <v>225</v>
      </c>
    </row>
    <row r="5" spans="1:11" ht="14.65" thickBot="1"/>
    <row r="6" spans="1:11">
      <c r="A6" s="204" t="s">
        <v>86</v>
      </c>
      <c r="B6" s="205"/>
      <c r="C6" s="205"/>
      <c r="D6" s="205"/>
      <c r="E6" s="205"/>
      <c r="F6" s="205"/>
      <c r="G6" s="205"/>
      <c r="H6" s="205"/>
      <c r="I6" s="205"/>
      <c r="J6" s="205"/>
      <c r="K6" s="206"/>
    </row>
    <row r="7" spans="1:11" ht="14.65" thickBot="1">
      <c r="A7" s="61" t="s">
        <v>83</v>
      </c>
      <c r="B7" s="48" t="s">
        <v>84</v>
      </c>
      <c r="C7" s="48" t="s">
        <v>85</v>
      </c>
      <c r="D7" s="62" t="s">
        <v>76</v>
      </c>
      <c r="E7" s="62" t="s">
        <v>77</v>
      </c>
      <c r="F7" s="62" t="s">
        <v>78</v>
      </c>
      <c r="G7" s="62" t="s">
        <v>79</v>
      </c>
      <c r="H7" s="62" t="s">
        <v>80</v>
      </c>
      <c r="I7" s="62" t="s">
        <v>81</v>
      </c>
      <c r="J7" s="63" t="s">
        <v>82</v>
      </c>
      <c r="K7" s="134" t="s">
        <v>137</v>
      </c>
    </row>
    <row r="8" spans="1:11" ht="14.65" thickTop="1">
      <c r="A8" s="54"/>
      <c r="B8" s="55"/>
      <c r="C8" s="55"/>
      <c r="D8" s="56"/>
      <c r="E8" s="56"/>
      <c r="F8" s="56"/>
      <c r="G8" s="56"/>
      <c r="H8" s="56"/>
      <c r="I8" s="56"/>
      <c r="J8" s="57"/>
      <c r="K8" s="135" t="str">
        <f ca="1">IF(COUNTA(RelatedFeatures[[#This Row],[Spatial Offset Type]:[Offset 3 Unit]])&gt;0,MAX(INDIRECT(CONCATENATE("R",ROW(RelatedFeatures[#Headers]),"C",COLUMN(),":R",ROW()-1,"C",COLUMN()),FALSE))+1,"")</f>
        <v/>
      </c>
    </row>
    <row r="9" spans="1:11">
      <c r="A9" s="54"/>
      <c r="B9" s="55"/>
      <c r="C9" s="55"/>
      <c r="D9" s="56"/>
      <c r="E9" s="56"/>
      <c r="F9" s="56"/>
      <c r="G9" s="56"/>
      <c r="H9" s="56"/>
      <c r="I9" s="56"/>
      <c r="J9" s="57"/>
      <c r="K9" s="135" t="str">
        <f ca="1">IF(COUNTA(RelatedFeatures[[#This Row],[Spatial Offset Type]:[Offset 3 Unit]])&gt;0,MAX(INDIRECT(CONCATENATE("R",ROW(RelatedFeatures[#Headers]),"C",COLUMN(),":R",ROW()-1,"C",COLUMN()),FALSE))+1,"")</f>
        <v/>
      </c>
    </row>
    <row r="10" spans="1:11">
      <c r="A10" s="54"/>
      <c r="B10" s="55"/>
      <c r="C10" s="55"/>
      <c r="D10" s="56"/>
      <c r="E10" s="56"/>
      <c r="F10" s="56"/>
      <c r="G10" s="56"/>
      <c r="H10" s="56"/>
      <c r="I10" s="56"/>
      <c r="J10" s="57"/>
      <c r="K10" s="135" t="str">
        <f ca="1">IF(COUNTA(RelatedFeatures[[#This Row],[Spatial Offset Type]:[Offset 3 Unit]])&gt;0,MAX(INDIRECT(CONCATENATE("R",ROW(RelatedFeatures[#Headers]),"C",COLUMN(),":R",ROW()-1,"C",COLUMN()),FALSE))+1,"")</f>
        <v/>
      </c>
    </row>
    <row r="11" spans="1:11">
      <c r="A11" s="54"/>
      <c r="B11" s="55"/>
      <c r="C11" s="55"/>
      <c r="D11" s="56"/>
      <c r="E11" s="56"/>
      <c r="F11" s="56"/>
      <c r="G11" s="56"/>
      <c r="H11" s="56"/>
      <c r="I11" s="56"/>
      <c r="J11" s="57"/>
      <c r="K11" s="135" t="str">
        <f ca="1">IF(COUNTA(RelatedFeatures[[#This Row],[Spatial Offset Type]:[Offset 3 Unit]])&gt;0,MAX(INDIRECT(CONCATENATE("R",ROW(RelatedFeatures[#Headers]),"C",COLUMN(),":R",ROW()-1,"C",COLUMN()),FALSE))+1,"")</f>
        <v/>
      </c>
    </row>
    <row r="12" spans="1:11">
      <c r="A12" s="54"/>
      <c r="B12" s="55"/>
      <c r="C12" s="55"/>
      <c r="D12" s="56"/>
      <c r="E12" s="56"/>
      <c r="F12" s="56"/>
      <c r="G12" s="56"/>
      <c r="H12" s="56"/>
      <c r="I12" s="56"/>
      <c r="J12" s="57"/>
      <c r="K12" s="135" t="str">
        <f ca="1">IF(COUNTA(RelatedFeatures[[#This Row],[Spatial Offset Type]:[Offset 3 Unit]])&gt;0,MAX(INDIRECT(CONCATENATE("R",ROW(RelatedFeatures[#Headers]),"C",COLUMN(),":R",ROW()-1,"C",COLUMN()),FALSE))+1,"")</f>
        <v/>
      </c>
    </row>
    <row r="13" spans="1:11">
      <c r="A13" s="54"/>
      <c r="B13" s="55"/>
      <c r="C13" s="55"/>
      <c r="D13" s="56"/>
      <c r="E13" s="56"/>
      <c r="F13" s="56"/>
      <c r="G13" s="56"/>
      <c r="H13" s="56"/>
      <c r="I13" s="56"/>
      <c r="J13" s="57"/>
      <c r="K13" s="135" t="str">
        <f ca="1">IF(COUNTA(RelatedFeatures[[#This Row],[Spatial Offset Type]:[Offset 3 Unit]])&gt;0,MAX(INDIRECT(CONCATENATE("R",ROW(RelatedFeatures[#Headers]),"C",COLUMN(),":R",ROW()-1,"C",COLUMN()),FALSE))+1,"")</f>
        <v/>
      </c>
    </row>
    <row r="14" spans="1:11">
      <c r="A14" s="54"/>
      <c r="B14" s="55"/>
      <c r="C14" s="55"/>
      <c r="D14" s="56"/>
      <c r="E14" s="56"/>
      <c r="F14" s="56"/>
      <c r="G14" s="56"/>
      <c r="H14" s="56"/>
      <c r="I14" s="56"/>
      <c r="J14" s="57"/>
      <c r="K14" s="135" t="str">
        <f ca="1">IF(COUNTA(RelatedFeatures[[#This Row],[Spatial Offset Type]:[Offset 3 Unit]])&gt;0,MAX(INDIRECT(CONCATENATE("R",ROW(RelatedFeatures[#Headers]),"C",COLUMN(),":R",ROW()-1,"C",COLUMN()),FALSE))+1,"")</f>
        <v/>
      </c>
    </row>
    <row r="15" spans="1:11">
      <c r="A15" s="54"/>
      <c r="B15" s="55"/>
      <c r="C15" s="55"/>
      <c r="D15" s="56"/>
      <c r="E15" s="56"/>
      <c r="F15" s="56"/>
      <c r="G15" s="56"/>
      <c r="H15" s="56"/>
      <c r="I15" s="56"/>
      <c r="J15" s="57"/>
      <c r="K15" s="135" t="str">
        <f ca="1">IF(COUNTA(RelatedFeatures[[#This Row],[Spatial Offset Type]:[Offset 3 Unit]])&gt;0,MAX(INDIRECT(CONCATENATE("R",ROW(RelatedFeatures[#Headers]),"C",COLUMN(),":R",ROW()-1,"C",COLUMN()),FALSE))+1,"")</f>
        <v/>
      </c>
    </row>
    <row r="16" spans="1:11">
      <c r="A16" s="54"/>
      <c r="B16" s="55"/>
      <c r="C16" s="55"/>
      <c r="D16" s="56"/>
      <c r="E16" s="56"/>
      <c r="F16" s="56"/>
      <c r="G16" s="56"/>
      <c r="H16" s="56"/>
      <c r="I16" s="56"/>
      <c r="J16" s="57"/>
      <c r="K16" s="135" t="str">
        <f ca="1">IF(COUNTA(RelatedFeatures[[#This Row],[Spatial Offset Type]:[Offset 3 Unit]])&gt;0,MAX(INDIRECT(CONCATENATE("R",ROW(RelatedFeatures[#Headers]),"C",COLUMN(),":R",ROW()-1,"C",COLUMN()),FALSE))+1,"")</f>
        <v/>
      </c>
    </row>
    <row r="17" spans="1:11">
      <c r="A17" s="54"/>
      <c r="B17" s="55"/>
      <c r="C17" s="55"/>
      <c r="D17" s="56"/>
      <c r="E17" s="56"/>
      <c r="F17" s="56"/>
      <c r="G17" s="56"/>
      <c r="H17" s="56"/>
      <c r="I17" s="56"/>
      <c r="J17" s="57"/>
      <c r="K17" s="135" t="str">
        <f ca="1">IF(COUNTA(RelatedFeatures[[#This Row],[Spatial Offset Type]:[Offset 3 Unit]])&gt;0,MAX(INDIRECT(CONCATENATE("R",ROW(RelatedFeatures[#Headers]),"C",COLUMN(),":R",ROW()-1,"C",COLUMN()),FALSE))+1,"")</f>
        <v/>
      </c>
    </row>
    <row r="18" spans="1:11">
      <c r="A18" s="54"/>
      <c r="B18" s="55"/>
      <c r="C18" s="55"/>
      <c r="D18" s="56"/>
      <c r="E18" s="56"/>
      <c r="F18" s="56"/>
      <c r="G18" s="56"/>
      <c r="H18" s="56"/>
      <c r="I18" s="56"/>
      <c r="J18" s="57"/>
      <c r="K18" s="135" t="str">
        <f ca="1">IF(COUNTA(RelatedFeatures[[#This Row],[Spatial Offset Type]:[Offset 3 Unit]])&gt;0,MAX(INDIRECT(CONCATENATE("R",ROW(RelatedFeatures[#Headers]),"C",COLUMN(),":R",ROW()-1,"C",COLUMN()),FALSE))+1,"")</f>
        <v/>
      </c>
    </row>
    <row r="19" spans="1:11">
      <c r="A19" s="54"/>
      <c r="B19" s="55"/>
      <c r="C19" s="55"/>
      <c r="D19" s="56"/>
      <c r="E19" s="56"/>
      <c r="F19" s="56"/>
      <c r="G19" s="56"/>
      <c r="H19" s="56"/>
      <c r="I19" s="56"/>
      <c r="J19" s="57"/>
      <c r="K19" s="135" t="str">
        <f ca="1">IF(COUNTA(RelatedFeatures[[#This Row],[Spatial Offset Type]:[Offset 3 Unit]])&gt;0,MAX(INDIRECT(CONCATENATE("R",ROW(RelatedFeatures[#Headers]),"C",COLUMN(),":R",ROW()-1,"C",COLUMN()),FALSE))+1,"")</f>
        <v/>
      </c>
    </row>
    <row r="20" spans="1:11">
      <c r="A20" s="54"/>
      <c r="B20" s="55"/>
      <c r="C20" s="55"/>
      <c r="D20" s="56"/>
      <c r="E20" s="56"/>
      <c r="F20" s="56"/>
      <c r="G20" s="56"/>
      <c r="H20" s="56"/>
      <c r="I20" s="56"/>
      <c r="J20" s="57"/>
      <c r="K20" s="135" t="str">
        <f ca="1">IF(COUNTA(RelatedFeatures[[#This Row],[Spatial Offset Type]:[Offset 3 Unit]])&gt;0,MAX(INDIRECT(CONCATENATE("R",ROW(RelatedFeatures[#Headers]),"C",COLUMN(),":R",ROW()-1,"C",COLUMN()),FALSE))+1,"")</f>
        <v/>
      </c>
    </row>
    <row r="21" spans="1:11">
      <c r="A21" s="54"/>
      <c r="B21" s="55"/>
      <c r="C21" s="55"/>
      <c r="D21" s="56"/>
      <c r="E21" s="56"/>
      <c r="F21" s="56"/>
      <c r="G21" s="56"/>
      <c r="H21" s="56"/>
      <c r="I21" s="56"/>
      <c r="J21" s="57"/>
      <c r="K21" s="135" t="str">
        <f ca="1">IF(COUNTA(RelatedFeatures[[#This Row],[Spatial Offset Type]:[Offset 3 Unit]])&gt;0,MAX(INDIRECT(CONCATENATE("R",ROW(RelatedFeatures[#Headers]),"C",COLUMN(),":R",ROW()-1,"C",COLUMN()),FALSE))+1,"")</f>
        <v/>
      </c>
    </row>
    <row r="22" spans="1:11">
      <c r="A22" s="54"/>
      <c r="B22" s="55"/>
      <c r="C22" s="55"/>
      <c r="D22" s="56"/>
      <c r="E22" s="56"/>
      <c r="F22" s="56"/>
      <c r="G22" s="56"/>
      <c r="H22" s="56"/>
      <c r="I22" s="56"/>
      <c r="J22" s="57"/>
      <c r="K22" s="135" t="str">
        <f ca="1">IF(COUNTA(RelatedFeatures[[#This Row],[Spatial Offset Type]:[Offset 3 Unit]])&gt;0,MAX(INDIRECT(CONCATENATE("R",ROW(RelatedFeatures[#Headers]),"C",COLUMN(),":R",ROW()-1,"C",COLUMN()),FALSE))+1,"")</f>
        <v/>
      </c>
    </row>
    <row r="23" spans="1:11">
      <c r="A23" s="54"/>
      <c r="B23" s="55"/>
      <c r="C23" s="55"/>
      <c r="D23" s="56"/>
      <c r="E23" s="56"/>
      <c r="F23" s="56"/>
      <c r="G23" s="56"/>
      <c r="H23" s="56"/>
      <c r="I23" s="56"/>
      <c r="J23" s="57"/>
      <c r="K23" s="135" t="str">
        <f ca="1">IF(COUNTA(RelatedFeatures[[#This Row],[Spatial Offset Type]:[Offset 3 Unit]])&gt;0,MAX(INDIRECT(CONCATENATE("R",ROW(RelatedFeatures[#Headers]),"C",COLUMN(),":R",ROW()-1,"C",COLUMN()),FALSE))+1,"")</f>
        <v/>
      </c>
    </row>
    <row r="24" spans="1:11">
      <c r="A24" s="54"/>
      <c r="B24" s="55"/>
      <c r="C24" s="55"/>
      <c r="D24" s="56"/>
      <c r="E24" s="56"/>
      <c r="F24" s="56"/>
      <c r="G24" s="56"/>
      <c r="H24" s="56"/>
      <c r="I24" s="56"/>
      <c r="J24" s="57"/>
      <c r="K24" s="135" t="str">
        <f ca="1">IF(COUNTA(RelatedFeatures[[#This Row],[Spatial Offset Type]:[Offset 3 Unit]])&gt;0,MAX(INDIRECT(CONCATENATE("R",ROW(RelatedFeatures[#Headers]),"C",COLUMN(),":R",ROW()-1,"C",COLUMN()),FALSE))+1,"")</f>
        <v/>
      </c>
    </row>
    <row r="25" spans="1:11">
      <c r="A25" s="54"/>
      <c r="B25" s="55"/>
      <c r="C25" s="55"/>
      <c r="D25" s="56"/>
      <c r="E25" s="56"/>
      <c r="F25" s="56"/>
      <c r="G25" s="56"/>
      <c r="H25" s="56"/>
      <c r="I25" s="56"/>
      <c r="J25" s="57"/>
      <c r="K25" s="135" t="str">
        <f ca="1">IF(COUNTA(RelatedFeatures[[#This Row],[Spatial Offset Type]:[Offset 3 Unit]])&gt;0,MAX(INDIRECT(CONCATENATE("R",ROW(RelatedFeatures[#Headers]),"C",COLUMN(),":R",ROW()-1,"C",COLUMN()),FALSE))+1,"")</f>
        <v/>
      </c>
    </row>
    <row r="26" spans="1:11">
      <c r="A26" s="54"/>
      <c r="B26" s="55"/>
      <c r="C26" s="55"/>
      <c r="D26" s="56"/>
      <c r="E26" s="56"/>
      <c r="F26" s="56"/>
      <c r="G26" s="56"/>
      <c r="H26" s="56"/>
      <c r="I26" s="56"/>
      <c r="J26" s="57"/>
      <c r="K26" s="135" t="str">
        <f ca="1">IF(COUNTA(RelatedFeatures[[#This Row],[Spatial Offset Type]:[Offset 3 Unit]])&gt;0,MAX(INDIRECT(CONCATENATE("R",ROW(RelatedFeatures[#Headers]),"C",COLUMN(),":R",ROW()-1,"C",COLUMN()),FALSE))+1,"")</f>
        <v/>
      </c>
    </row>
    <row r="27" spans="1:11">
      <c r="A27" s="54"/>
      <c r="B27" s="55"/>
      <c r="C27" s="55"/>
      <c r="D27" s="56"/>
      <c r="E27" s="56"/>
      <c r="F27" s="56"/>
      <c r="G27" s="56"/>
      <c r="H27" s="56"/>
      <c r="I27" s="56"/>
      <c r="J27" s="57"/>
      <c r="K27" s="135" t="str">
        <f ca="1">IF(COUNTA(RelatedFeatures[[#This Row],[Spatial Offset Type]:[Offset 3 Unit]])&gt;0,MAX(INDIRECT(CONCATENATE("R",ROW(RelatedFeatures[#Headers]),"C",COLUMN(),":R",ROW()-1,"C",COLUMN()),FALSE))+1,"")</f>
        <v/>
      </c>
    </row>
    <row r="28" spans="1:11">
      <c r="A28" s="54"/>
      <c r="B28" s="55"/>
      <c r="C28" s="55"/>
      <c r="D28" s="56"/>
      <c r="E28" s="56"/>
      <c r="F28" s="56"/>
      <c r="G28" s="56"/>
      <c r="H28" s="56"/>
      <c r="I28" s="56"/>
      <c r="J28" s="57"/>
      <c r="K28" s="135" t="str">
        <f ca="1">IF(COUNTA(RelatedFeatures[[#This Row],[Spatial Offset Type]:[Offset 3 Unit]])&gt;0,MAX(INDIRECT(CONCATENATE("R",ROW(RelatedFeatures[#Headers]),"C",COLUMN(),":R",ROW()-1,"C",COLUMN()),FALSE))+1,"")</f>
        <v/>
      </c>
    </row>
    <row r="29" spans="1:11">
      <c r="A29" s="54"/>
      <c r="B29" s="55"/>
      <c r="C29" s="55"/>
      <c r="D29" s="56"/>
      <c r="E29" s="56"/>
      <c r="F29" s="56"/>
      <c r="G29" s="56"/>
      <c r="H29" s="56"/>
      <c r="I29" s="56"/>
      <c r="J29" s="57"/>
      <c r="K29" s="135" t="str">
        <f ca="1">IF(COUNTA(RelatedFeatures[[#This Row],[Spatial Offset Type]:[Offset 3 Unit]])&gt;0,MAX(INDIRECT(CONCATENATE("R",ROW(RelatedFeatures[#Headers]),"C",COLUMN(),":R",ROW()-1,"C",COLUMN()),FALSE))+1,"")</f>
        <v/>
      </c>
    </row>
    <row r="30" spans="1:11">
      <c r="A30" s="54"/>
      <c r="B30" s="55"/>
      <c r="C30" s="55"/>
      <c r="D30" s="56"/>
      <c r="E30" s="56"/>
      <c r="F30" s="56"/>
      <c r="G30" s="56"/>
      <c r="H30" s="56"/>
      <c r="I30" s="56"/>
      <c r="J30" s="57"/>
      <c r="K30" s="135" t="str">
        <f ca="1">IF(COUNTA(RelatedFeatures[[#This Row],[Spatial Offset Type]:[Offset 3 Unit]])&gt;0,MAX(INDIRECT(CONCATENATE("R",ROW(RelatedFeatures[#Headers]),"C",COLUMN(),":R",ROW()-1,"C",COLUMN()),FALSE))+1,"")</f>
        <v/>
      </c>
    </row>
    <row r="31" spans="1:11">
      <c r="A31" s="54"/>
      <c r="B31" s="55"/>
      <c r="C31" s="55"/>
      <c r="D31" s="56"/>
      <c r="E31" s="56"/>
      <c r="F31" s="56"/>
      <c r="G31" s="56"/>
      <c r="H31" s="56"/>
      <c r="I31" s="56"/>
      <c r="J31" s="57"/>
      <c r="K31" s="135" t="str">
        <f ca="1">IF(COUNTA(RelatedFeatures[[#This Row],[Spatial Offset Type]:[Offset 3 Unit]])&gt;0,MAX(INDIRECT(CONCATENATE("R",ROW(RelatedFeatures[#Headers]),"C",COLUMN(),":R",ROW()-1,"C",COLUMN()),FALSE))+1,"")</f>
        <v/>
      </c>
    </row>
    <row r="32" spans="1:11">
      <c r="A32" s="54"/>
      <c r="B32" s="55"/>
      <c r="C32" s="55"/>
      <c r="D32" s="56"/>
      <c r="E32" s="56"/>
      <c r="F32" s="56"/>
      <c r="G32" s="56"/>
      <c r="H32" s="56"/>
      <c r="I32" s="56"/>
      <c r="J32" s="57"/>
      <c r="K32" s="135" t="str">
        <f ca="1">IF(COUNTA(RelatedFeatures[[#This Row],[Spatial Offset Type]:[Offset 3 Unit]])&gt;0,MAX(INDIRECT(CONCATENATE("R",ROW(RelatedFeatures[#Headers]),"C",COLUMN(),":R",ROW()-1,"C",COLUMN()),FALSE))+1,"")</f>
        <v/>
      </c>
    </row>
    <row r="33" spans="1:11">
      <c r="A33" s="54"/>
      <c r="B33" s="55"/>
      <c r="C33" s="55"/>
      <c r="D33" s="56"/>
      <c r="E33" s="56"/>
      <c r="F33" s="56"/>
      <c r="G33" s="56"/>
      <c r="H33" s="56"/>
      <c r="I33" s="56"/>
      <c r="J33" s="57"/>
      <c r="K33" s="135" t="str">
        <f ca="1">IF(COUNTA(RelatedFeatures[[#This Row],[Spatial Offset Type]:[Offset 3 Unit]])&gt;0,MAX(INDIRECT(CONCATENATE("R",ROW(RelatedFeatures[#Headers]),"C",COLUMN(),":R",ROW()-1,"C",COLUMN()),FALSE))+1,"")</f>
        <v/>
      </c>
    </row>
    <row r="34" spans="1:11">
      <c r="A34" s="54"/>
      <c r="B34" s="55"/>
      <c r="C34" s="55"/>
      <c r="D34" s="56"/>
      <c r="E34" s="56"/>
      <c r="F34" s="56"/>
      <c r="G34" s="56"/>
      <c r="H34" s="56"/>
      <c r="I34" s="56"/>
      <c r="J34" s="57"/>
      <c r="K34" s="135" t="str">
        <f ca="1">IF(COUNTA(RelatedFeatures[[#This Row],[Spatial Offset Type]:[Offset 3 Unit]])&gt;0,MAX(INDIRECT(CONCATENATE("R",ROW(RelatedFeatures[#Headers]),"C",COLUMN(),":R",ROW()-1,"C",COLUMN()),FALSE))+1,"")</f>
        <v/>
      </c>
    </row>
    <row r="35" spans="1:11">
      <c r="A35" s="54"/>
      <c r="B35" s="55"/>
      <c r="C35" s="55"/>
      <c r="D35" s="56"/>
      <c r="E35" s="56"/>
      <c r="F35" s="56"/>
      <c r="G35" s="56"/>
      <c r="H35" s="56"/>
      <c r="I35" s="56"/>
      <c r="J35" s="57"/>
      <c r="K35" s="135" t="str">
        <f ca="1">IF(COUNTA(RelatedFeatures[[#This Row],[Spatial Offset Type]:[Offset 3 Unit]])&gt;0,MAX(INDIRECT(CONCATENATE("R",ROW(RelatedFeatures[#Headers]),"C",COLUMN(),":R",ROW()-1,"C",COLUMN()),FALSE))+1,"")</f>
        <v/>
      </c>
    </row>
    <row r="36" spans="1:11">
      <c r="A36" s="54"/>
      <c r="B36" s="55"/>
      <c r="C36" s="55"/>
      <c r="D36" s="56"/>
      <c r="E36" s="56"/>
      <c r="F36" s="56"/>
      <c r="G36" s="56"/>
      <c r="H36" s="56"/>
      <c r="I36" s="56"/>
      <c r="J36" s="57"/>
      <c r="K36" s="135" t="str">
        <f ca="1">IF(COUNTA(RelatedFeatures[[#This Row],[Spatial Offset Type]:[Offset 3 Unit]])&gt;0,MAX(INDIRECT(CONCATENATE("R",ROW(RelatedFeatures[#Headers]),"C",COLUMN(),":R",ROW()-1,"C",COLUMN()),FALSE))+1,"")</f>
        <v/>
      </c>
    </row>
    <row r="37" spans="1:11">
      <c r="A37" s="54"/>
      <c r="B37" s="55"/>
      <c r="C37" s="55"/>
      <c r="D37" s="56"/>
      <c r="E37" s="56"/>
      <c r="F37" s="56"/>
      <c r="G37" s="56"/>
      <c r="H37" s="56"/>
      <c r="I37" s="56"/>
      <c r="J37" s="57"/>
      <c r="K37" s="135" t="str">
        <f ca="1">IF(COUNTA(RelatedFeatures[[#This Row],[Spatial Offset Type]:[Offset 3 Unit]])&gt;0,MAX(INDIRECT(CONCATENATE("R",ROW(RelatedFeatures[#Headers]),"C",COLUMN(),":R",ROW()-1,"C",COLUMN()),FALSE))+1,"")</f>
        <v/>
      </c>
    </row>
    <row r="38" spans="1:11">
      <c r="A38" s="54"/>
      <c r="B38" s="55"/>
      <c r="C38" s="55"/>
      <c r="D38" s="56"/>
      <c r="E38" s="56"/>
      <c r="F38" s="56"/>
      <c r="G38" s="56"/>
      <c r="H38" s="56"/>
      <c r="I38" s="56"/>
      <c r="J38" s="57"/>
      <c r="K38" s="135" t="str">
        <f ca="1">IF(COUNTA(RelatedFeatures[[#This Row],[Spatial Offset Type]:[Offset 3 Unit]])&gt;0,MAX(INDIRECT(CONCATENATE("R",ROW(RelatedFeatures[#Headers]),"C",COLUMN(),":R",ROW()-1,"C",COLUMN()),FALSE))+1,"")</f>
        <v/>
      </c>
    </row>
    <row r="39" spans="1:11" ht="14.65" thickBot="1">
      <c r="A39" s="58"/>
      <c r="B39" s="59"/>
      <c r="C39" s="59"/>
      <c r="D39" s="60"/>
      <c r="E39" s="60"/>
      <c r="F39" s="56"/>
      <c r="G39" s="60"/>
      <c r="H39" s="56"/>
      <c r="I39" s="60"/>
      <c r="J39" s="57"/>
      <c r="K39" s="136"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141" priority="7">
      <formula>AND(COUNTIF(FeatureCodes,$A8)=0,$A8&lt;&gt;"")</formula>
    </cfRule>
  </conditionalFormatting>
  <conditionalFormatting sqref="B8:B39">
    <cfRule type="expression" dxfId="140" priority="6">
      <formula>AND(COUNTIF(RelationshipTypeCV,$B8)=0,$B8&lt;&gt;"")</formula>
    </cfRule>
  </conditionalFormatting>
  <conditionalFormatting sqref="D8:F39">
    <cfRule type="expression" dxfId="139" priority="5">
      <formula>AND(COUNTA($D8:$J8)&gt;0,D8="")</formula>
    </cfRule>
  </conditionalFormatting>
  <conditionalFormatting sqref="D8:D39">
    <cfRule type="expression" dxfId="138" priority="4">
      <formula>AND(COUNTIF(SpatialOffsetTypeCV,$D8)=0,$D8&lt;&gt;"")</formula>
    </cfRule>
  </conditionalFormatting>
  <conditionalFormatting sqref="A8:C39">
    <cfRule type="expression" dxfId="137" priority="3">
      <formula>AND(COUNTA($A8:$J8)&gt;0,A8="")</formula>
    </cfRule>
  </conditionalFormatting>
  <conditionalFormatting sqref="A9:G39 I9:I39">
    <cfRule type="expression" dxfId="136" priority="2">
      <formula>AND(COUNTA($A8:$J8)=0,A9&lt;&gt;"")</formula>
    </cfRule>
  </conditionalFormatting>
  <conditionalFormatting sqref="E8:E39">
    <cfRule type="expression" dxfId="135" priority="1">
      <formula>ISTEXT($E8)</formula>
    </cfRule>
  </conditionalFormatting>
  <dataValidations count="4">
    <dataValidation type="list" allowBlank="1" showInputMessage="1" showErrorMessage="1" sqref="A8:A39 C8:C39" xr:uid="{00000000-0002-0000-0400-000000000000}">
      <formula1>FeatureCodes</formula1>
    </dataValidation>
    <dataValidation type="list" allowBlank="1" showInputMessage="1" showErrorMessage="1" sqref="B8:B39" xr:uid="{00000000-0002-0000-0400-000001000000}">
      <formula1>RelationshipTypeCV</formula1>
    </dataValidation>
    <dataValidation type="list" allowBlank="1" showInputMessage="1" showErrorMessage="1" sqref="D8:D39" xr:uid="{00000000-0002-0000-0400-000002000000}">
      <formula1>SpatialOffsetTypeCV</formula1>
    </dataValidation>
    <dataValidation type="list" allowBlank="1" showInputMessage="1" showErrorMessage="1" sqref="F8:F39 H8:H39 J8:J39" xr:uid="{00000000-0002-0000-0400-000003000000}">
      <formula1>UnitNames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I80"/>
  <sheetViews>
    <sheetView workbookViewId="0">
      <selection activeCell="C23" sqref="C23"/>
    </sheetView>
  </sheetViews>
  <sheetFormatPr defaultColWidth="8.86328125" defaultRowHeight="14.25"/>
  <cols>
    <col min="1" max="1" width="22.3984375" style="5" customWidth="1"/>
    <col min="2" max="2" width="16.1328125" style="5" bestFit="1" customWidth="1"/>
    <col min="3" max="3" width="27.265625" style="5" customWidth="1"/>
    <col min="4" max="4" width="42.86328125" style="5" customWidth="1"/>
    <col min="5" max="5" width="25.86328125" style="5" bestFit="1" customWidth="1"/>
    <col min="6" max="6" width="25.3984375" style="5" bestFit="1" customWidth="1"/>
    <col min="7" max="16384" width="8.86328125" style="5"/>
  </cols>
  <sheetData>
    <row r="1" spans="1:9">
      <c r="A1" s="5" t="s">
        <v>228</v>
      </c>
    </row>
    <row r="2" spans="1:9">
      <c r="A2" s="5" t="s">
        <v>218</v>
      </c>
    </row>
    <row r="3" spans="1:9">
      <c r="A3" s="23" t="s">
        <v>217</v>
      </c>
    </row>
    <row r="4" spans="1:9">
      <c r="A4" s="23" t="s">
        <v>227</v>
      </c>
    </row>
    <row r="5" spans="1:9" ht="14.65" thickBot="1">
      <c r="A5" s="5" t="s">
        <v>206</v>
      </c>
    </row>
    <row r="6" spans="1:9" ht="14.65" thickBot="1">
      <c r="A6" s="23" t="s">
        <v>92</v>
      </c>
      <c r="E6" s="24" t="s">
        <v>147</v>
      </c>
      <c r="F6" s="25">
        <f>COUNTA(MethodCodes)</f>
        <v>4</v>
      </c>
    </row>
    <row r="7" spans="1:9" ht="14.65" thickBot="1"/>
    <row r="8" spans="1:9">
      <c r="A8" s="207" t="s">
        <v>89</v>
      </c>
      <c r="B8" s="208"/>
      <c r="C8" s="208"/>
      <c r="D8" s="208"/>
      <c r="E8" s="208"/>
      <c r="F8" s="209"/>
    </row>
    <row r="9" spans="1:9" ht="14.65" thickBot="1">
      <c r="A9" s="50" t="s">
        <v>87</v>
      </c>
      <c r="B9" s="48" t="s">
        <v>51</v>
      </c>
      <c r="C9" s="48" t="s">
        <v>50</v>
      </c>
      <c r="D9" s="52" t="s">
        <v>52</v>
      </c>
      <c r="E9" s="52" t="s">
        <v>88</v>
      </c>
      <c r="F9" s="49" t="s">
        <v>19</v>
      </c>
    </row>
    <row r="10" spans="1:9" ht="28.9" thickTop="1">
      <c r="A10" s="64" t="s">
        <v>444</v>
      </c>
      <c r="B10" s="55" t="s">
        <v>1763</v>
      </c>
      <c r="C10" s="65" t="s">
        <v>1767</v>
      </c>
      <c r="D10" s="66" t="s">
        <v>1771</v>
      </c>
      <c r="E10" s="67"/>
      <c r="F10" s="68"/>
      <c r="I10" s="23"/>
    </row>
    <row r="11" spans="1:9" ht="28.5">
      <c r="A11" s="64" t="s">
        <v>444</v>
      </c>
      <c r="B11" s="55" t="s">
        <v>1764</v>
      </c>
      <c r="C11" s="65" t="s">
        <v>1768</v>
      </c>
      <c r="D11" s="66" t="s">
        <v>1772</v>
      </c>
      <c r="E11" s="67"/>
      <c r="F11" s="68"/>
    </row>
    <row r="12" spans="1:9" ht="28.5">
      <c r="A12" s="64" t="s">
        <v>444</v>
      </c>
      <c r="B12" s="55" t="s">
        <v>1765</v>
      </c>
      <c r="C12" s="65" t="s">
        <v>1769</v>
      </c>
      <c r="D12" s="66" t="s">
        <v>1773</v>
      </c>
      <c r="E12" s="67"/>
      <c r="F12" s="68"/>
    </row>
    <row r="13" spans="1:9" ht="28.5">
      <c r="A13" s="64" t="s">
        <v>444</v>
      </c>
      <c r="B13" s="55" t="s">
        <v>1766</v>
      </c>
      <c r="C13" s="65" t="s">
        <v>1770</v>
      </c>
      <c r="D13" s="66" t="s">
        <v>1774</v>
      </c>
      <c r="E13" s="67"/>
      <c r="F13" s="68"/>
    </row>
    <row r="14" spans="1:9">
      <c r="A14" s="64"/>
      <c r="B14" s="55"/>
      <c r="C14" s="65"/>
      <c r="D14" s="66"/>
      <c r="E14" s="67"/>
      <c r="F14" s="68"/>
    </row>
    <row r="15" spans="1:9">
      <c r="A15" s="64"/>
      <c r="B15" s="55"/>
      <c r="C15" s="65"/>
      <c r="D15" s="66"/>
      <c r="E15" s="67"/>
      <c r="F15" s="68"/>
    </row>
    <row r="16" spans="1:9">
      <c r="A16" s="64"/>
      <c r="B16" s="55"/>
      <c r="C16" s="65"/>
      <c r="D16" s="66"/>
      <c r="E16" s="67"/>
      <c r="F16" s="68"/>
    </row>
    <row r="17" spans="1:6">
      <c r="A17" s="64"/>
      <c r="B17" s="55"/>
      <c r="C17" s="65"/>
      <c r="D17" s="66"/>
      <c r="E17" s="67"/>
      <c r="F17" s="68"/>
    </row>
    <row r="18" spans="1:6">
      <c r="A18" s="64"/>
      <c r="B18" s="55"/>
      <c r="C18" s="65"/>
      <c r="D18" s="66"/>
      <c r="E18" s="67"/>
      <c r="F18" s="68"/>
    </row>
    <row r="19" spans="1:6">
      <c r="A19" s="64"/>
      <c r="B19" s="55"/>
      <c r="C19" s="65"/>
      <c r="D19" s="66"/>
      <c r="E19" s="67"/>
      <c r="F19" s="68"/>
    </row>
    <row r="20" spans="1:6">
      <c r="A20" s="64"/>
      <c r="B20" s="55"/>
      <c r="C20" s="65"/>
      <c r="D20" s="66"/>
      <c r="E20" s="67"/>
      <c r="F20" s="68"/>
    </row>
    <row r="21" spans="1:6">
      <c r="A21" s="64"/>
      <c r="B21" s="55"/>
      <c r="C21" s="65"/>
      <c r="D21" s="66"/>
      <c r="E21" s="67"/>
      <c r="F21" s="68"/>
    </row>
    <row r="22" spans="1:6">
      <c r="A22" s="64"/>
      <c r="B22" s="55"/>
      <c r="C22" s="65"/>
      <c r="D22" s="66"/>
      <c r="E22" s="67"/>
      <c r="F22" s="68"/>
    </row>
    <row r="23" spans="1:6">
      <c r="A23" s="64"/>
      <c r="B23" s="55"/>
      <c r="C23" s="65"/>
      <c r="D23" s="66"/>
      <c r="E23" s="67"/>
      <c r="F23" s="68"/>
    </row>
    <row r="24" spans="1:6">
      <c r="A24" s="64"/>
      <c r="B24" s="55"/>
      <c r="C24" s="65"/>
      <c r="D24" s="66"/>
      <c r="E24" s="67"/>
      <c r="F24" s="68"/>
    </row>
    <row r="25" spans="1:6">
      <c r="A25" s="64"/>
      <c r="B25" s="55"/>
      <c r="C25" s="65"/>
      <c r="D25" s="66"/>
      <c r="E25" s="67"/>
      <c r="F25" s="68"/>
    </row>
    <row r="26" spans="1:6">
      <c r="A26" s="64"/>
      <c r="B26" s="55"/>
      <c r="C26" s="65"/>
      <c r="D26" s="66"/>
      <c r="E26" s="67"/>
      <c r="F26" s="68"/>
    </row>
    <row r="27" spans="1:6">
      <c r="A27" s="64"/>
      <c r="B27" s="55"/>
      <c r="C27" s="65"/>
      <c r="D27" s="66"/>
      <c r="E27" s="67"/>
      <c r="F27" s="68"/>
    </row>
    <row r="28" spans="1:6">
      <c r="A28" s="64"/>
      <c r="B28" s="55"/>
      <c r="C28" s="65"/>
      <c r="D28" s="66"/>
      <c r="E28" s="67"/>
      <c r="F28" s="68"/>
    </row>
    <row r="29" spans="1:6">
      <c r="A29" s="64"/>
      <c r="B29" s="55"/>
      <c r="C29" s="65"/>
      <c r="D29" s="66"/>
      <c r="E29" s="67"/>
      <c r="F29" s="68"/>
    </row>
    <row r="30" spans="1:6">
      <c r="A30" s="64"/>
      <c r="B30" s="55"/>
      <c r="C30" s="65"/>
      <c r="D30" s="66"/>
      <c r="E30" s="67"/>
      <c r="F30" s="68"/>
    </row>
    <row r="31" spans="1:6">
      <c r="A31" s="64"/>
      <c r="B31" s="55"/>
      <c r="C31" s="65"/>
      <c r="D31" s="66"/>
      <c r="E31" s="67"/>
      <c r="F31" s="68"/>
    </row>
    <row r="32" spans="1:6">
      <c r="A32" s="64"/>
      <c r="B32" s="55"/>
      <c r="C32" s="65"/>
      <c r="D32" s="66"/>
      <c r="E32" s="67"/>
      <c r="F32" s="68"/>
    </row>
    <row r="33" spans="1:6">
      <c r="A33" s="64"/>
      <c r="B33" s="55"/>
      <c r="C33" s="65"/>
      <c r="D33" s="66"/>
      <c r="E33" s="67"/>
      <c r="F33" s="68"/>
    </row>
    <row r="34" spans="1:6">
      <c r="A34" s="64"/>
      <c r="B34" s="55"/>
      <c r="C34" s="65"/>
      <c r="D34" s="66"/>
      <c r="E34" s="67"/>
      <c r="F34" s="68"/>
    </row>
    <row r="35" spans="1:6">
      <c r="A35" s="64"/>
      <c r="B35" s="55"/>
      <c r="C35" s="65"/>
      <c r="D35" s="66"/>
      <c r="E35" s="67"/>
      <c r="F35" s="68"/>
    </row>
    <row r="36" spans="1:6">
      <c r="A36" s="64"/>
      <c r="B36" s="55"/>
      <c r="C36" s="65"/>
      <c r="D36" s="66"/>
      <c r="E36" s="67"/>
      <c r="F36" s="68"/>
    </row>
    <row r="37" spans="1:6">
      <c r="A37" s="64"/>
      <c r="B37" s="55"/>
      <c r="C37" s="65"/>
      <c r="D37" s="66"/>
      <c r="E37" s="67"/>
      <c r="F37" s="68"/>
    </row>
    <row r="38" spans="1:6">
      <c r="A38" s="64"/>
      <c r="B38" s="55"/>
      <c r="C38" s="65"/>
      <c r="D38" s="66"/>
      <c r="E38" s="67"/>
      <c r="F38" s="68"/>
    </row>
    <row r="39" spans="1:6">
      <c r="A39" s="64"/>
      <c r="B39" s="55"/>
      <c r="C39" s="65"/>
      <c r="D39" s="66"/>
      <c r="E39" s="67"/>
      <c r="F39" s="68"/>
    </row>
    <row r="40" spans="1:6">
      <c r="A40" s="64"/>
      <c r="B40" s="55"/>
      <c r="C40" s="65"/>
      <c r="D40" s="66"/>
      <c r="E40" s="67"/>
      <c r="F40" s="68"/>
    </row>
    <row r="41" spans="1:6">
      <c r="A41" s="64"/>
      <c r="B41" s="55"/>
      <c r="C41" s="65"/>
      <c r="D41" s="66"/>
      <c r="E41" s="67"/>
      <c r="F41" s="68"/>
    </row>
    <row r="42" spans="1:6">
      <c r="A42" s="64"/>
      <c r="B42" s="55"/>
      <c r="C42" s="65"/>
      <c r="D42" s="66"/>
      <c r="E42" s="56"/>
      <c r="F42" s="68"/>
    </row>
    <row r="43" spans="1:6">
      <c r="A43" s="64"/>
      <c r="B43" s="55"/>
      <c r="C43" s="65"/>
      <c r="D43" s="66"/>
      <c r="E43" s="56"/>
      <c r="F43" s="68"/>
    </row>
    <row r="44" spans="1:6">
      <c r="A44" s="64"/>
      <c r="B44" s="55"/>
      <c r="C44" s="65"/>
      <c r="D44" s="66"/>
      <c r="E44" s="67"/>
      <c r="F44" s="68"/>
    </row>
    <row r="45" spans="1:6">
      <c r="A45" s="64"/>
      <c r="B45" s="55"/>
      <c r="C45" s="65"/>
      <c r="D45" s="66"/>
      <c r="E45" s="67"/>
      <c r="F45" s="68"/>
    </row>
    <row r="46" spans="1:6">
      <c r="A46" s="64"/>
      <c r="B46" s="55"/>
      <c r="C46" s="65"/>
      <c r="D46" s="66"/>
      <c r="E46" s="67"/>
      <c r="F46" s="68"/>
    </row>
    <row r="47" spans="1:6">
      <c r="A47" s="64"/>
      <c r="B47" s="55"/>
      <c r="C47" s="65"/>
      <c r="D47" s="66"/>
      <c r="E47" s="67"/>
      <c r="F47" s="68"/>
    </row>
    <row r="48" spans="1:6">
      <c r="A48" s="64"/>
      <c r="B48" s="55"/>
      <c r="C48" s="65"/>
      <c r="D48" s="66"/>
      <c r="E48" s="67"/>
      <c r="F48" s="68"/>
    </row>
    <row r="49" spans="1:6">
      <c r="A49" s="64"/>
      <c r="B49" s="55"/>
      <c r="C49" s="65"/>
      <c r="D49" s="66"/>
      <c r="E49" s="67"/>
      <c r="F49" s="68"/>
    </row>
    <row r="50" spans="1:6">
      <c r="A50" s="64"/>
      <c r="B50" s="55"/>
      <c r="C50" s="65"/>
      <c r="D50" s="66"/>
      <c r="E50" s="67"/>
      <c r="F50" s="68"/>
    </row>
    <row r="51" spans="1:6">
      <c r="A51" s="64"/>
      <c r="B51" s="55"/>
      <c r="C51" s="65"/>
      <c r="D51" s="66"/>
      <c r="E51" s="67"/>
      <c r="F51" s="68"/>
    </row>
    <row r="52" spans="1:6">
      <c r="A52" s="64"/>
      <c r="B52" s="55"/>
      <c r="C52" s="65"/>
      <c r="D52" s="66"/>
      <c r="E52" s="67"/>
      <c r="F52" s="68"/>
    </row>
    <row r="53" spans="1:6">
      <c r="A53" s="64"/>
      <c r="B53" s="55"/>
      <c r="C53" s="65"/>
      <c r="D53" s="66"/>
      <c r="E53" s="67"/>
      <c r="F53" s="68"/>
    </row>
    <row r="54" spans="1:6">
      <c r="A54" s="64"/>
      <c r="B54" s="55"/>
      <c r="C54" s="65"/>
      <c r="D54" s="66"/>
      <c r="E54" s="67"/>
      <c r="F54" s="68"/>
    </row>
    <row r="55" spans="1:6">
      <c r="A55" s="64"/>
      <c r="B55" s="55"/>
      <c r="C55" s="65"/>
      <c r="D55" s="66"/>
      <c r="E55" s="67"/>
      <c r="F55" s="68"/>
    </row>
    <row r="56" spans="1:6">
      <c r="A56" s="64"/>
      <c r="B56" s="55"/>
      <c r="C56" s="65"/>
      <c r="D56" s="66"/>
      <c r="E56" s="67"/>
      <c r="F56" s="68"/>
    </row>
    <row r="57" spans="1:6">
      <c r="A57" s="64"/>
      <c r="B57" s="55"/>
      <c r="C57" s="65"/>
      <c r="D57" s="66"/>
      <c r="E57" s="67"/>
      <c r="F57" s="68"/>
    </row>
    <row r="58" spans="1:6">
      <c r="A58" s="64"/>
      <c r="B58" s="55"/>
      <c r="C58" s="65"/>
      <c r="D58" s="66"/>
      <c r="E58" s="67"/>
      <c r="F58" s="68"/>
    </row>
    <row r="59" spans="1:6">
      <c r="A59" s="64"/>
      <c r="B59" s="55"/>
      <c r="C59" s="65"/>
      <c r="D59" s="66"/>
      <c r="E59" s="67"/>
      <c r="F59" s="68"/>
    </row>
    <row r="60" spans="1:6">
      <c r="A60" s="64"/>
      <c r="B60" s="55"/>
      <c r="C60" s="65"/>
      <c r="D60" s="66"/>
      <c r="E60" s="67"/>
      <c r="F60" s="68"/>
    </row>
    <row r="61" spans="1:6">
      <c r="A61" s="64"/>
      <c r="B61" s="55"/>
      <c r="C61" s="65"/>
      <c r="D61" s="66"/>
      <c r="E61" s="67"/>
      <c r="F61" s="68"/>
    </row>
    <row r="62" spans="1:6">
      <c r="A62" s="64"/>
      <c r="B62" s="55"/>
      <c r="C62" s="65"/>
      <c r="D62" s="66"/>
      <c r="E62" s="67"/>
      <c r="F62" s="68"/>
    </row>
    <row r="63" spans="1:6">
      <c r="A63" s="64"/>
      <c r="B63" s="55"/>
      <c r="C63" s="65"/>
      <c r="D63" s="66"/>
      <c r="E63" s="67"/>
      <c r="F63" s="68"/>
    </row>
    <row r="64" spans="1:6">
      <c r="A64" s="64"/>
      <c r="B64" s="55"/>
      <c r="C64" s="65"/>
      <c r="D64" s="66"/>
      <c r="E64" s="67"/>
      <c r="F64" s="68"/>
    </row>
    <row r="65" spans="1:6">
      <c r="A65" s="64"/>
      <c r="B65" s="55"/>
      <c r="C65" s="65"/>
      <c r="D65" s="66"/>
      <c r="E65" s="67"/>
      <c r="F65" s="68"/>
    </row>
    <row r="66" spans="1:6">
      <c r="A66" s="64"/>
      <c r="B66" s="55"/>
      <c r="C66" s="65"/>
      <c r="D66" s="66"/>
      <c r="E66" s="67"/>
      <c r="F66" s="68"/>
    </row>
    <row r="67" spans="1:6">
      <c r="A67" s="64"/>
      <c r="B67" s="55"/>
      <c r="C67" s="65"/>
      <c r="D67" s="66"/>
      <c r="E67" s="67"/>
      <c r="F67" s="68"/>
    </row>
    <row r="68" spans="1:6">
      <c r="A68" s="64"/>
      <c r="B68" s="55"/>
      <c r="C68" s="65"/>
      <c r="D68" s="66"/>
      <c r="E68" s="67"/>
      <c r="F68" s="68"/>
    </row>
    <row r="69" spans="1:6">
      <c r="A69" s="64"/>
      <c r="B69" s="55"/>
      <c r="C69" s="65"/>
      <c r="D69" s="66"/>
      <c r="E69" s="67"/>
      <c r="F69" s="68"/>
    </row>
    <row r="70" spans="1:6">
      <c r="A70" s="64"/>
      <c r="B70" s="55"/>
      <c r="C70" s="65"/>
      <c r="D70" s="66"/>
      <c r="E70" s="67"/>
      <c r="F70" s="68"/>
    </row>
    <row r="71" spans="1:6">
      <c r="A71" s="64"/>
      <c r="B71" s="55"/>
      <c r="C71" s="65"/>
      <c r="D71" s="66"/>
      <c r="E71" s="56"/>
      <c r="F71" s="68"/>
    </row>
    <row r="72" spans="1:6">
      <c r="A72" s="64"/>
      <c r="B72" s="55"/>
      <c r="C72" s="65"/>
      <c r="D72" s="66"/>
      <c r="E72" s="56"/>
      <c r="F72" s="68"/>
    </row>
    <row r="73" spans="1:6">
      <c r="A73" s="64"/>
      <c r="B73" s="55"/>
      <c r="C73" s="65"/>
      <c r="D73" s="66"/>
      <c r="E73" s="67"/>
      <c r="F73" s="68"/>
    </row>
    <row r="74" spans="1:6">
      <c r="A74" s="64"/>
      <c r="B74" s="55"/>
      <c r="C74" s="65"/>
      <c r="D74" s="66"/>
      <c r="E74" s="56"/>
      <c r="F74" s="68"/>
    </row>
    <row r="75" spans="1:6">
      <c r="A75" s="64"/>
      <c r="B75" s="55"/>
      <c r="C75" s="65"/>
      <c r="D75" s="66"/>
      <c r="E75" s="67"/>
      <c r="F75" s="68"/>
    </row>
    <row r="76" spans="1:6">
      <c r="A76" s="64"/>
      <c r="B76" s="55"/>
      <c r="C76" s="65"/>
      <c r="D76" s="66"/>
      <c r="E76" s="56"/>
      <c r="F76" s="68"/>
    </row>
    <row r="77" spans="1:6">
      <c r="A77" s="64"/>
      <c r="B77" s="55"/>
      <c r="C77" s="65"/>
      <c r="D77" s="66"/>
      <c r="E77" s="67"/>
      <c r="F77" s="68"/>
    </row>
    <row r="78" spans="1:6">
      <c r="A78" s="64"/>
      <c r="B78" s="55"/>
      <c r="C78" s="65"/>
      <c r="D78" s="66"/>
      <c r="E78" s="67"/>
      <c r="F78" s="68"/>
    </row>
    <row r="79" spans="1:6">
      <c r="A79" s="64"/>
      <c r="B79" s="55"/>
      <c r="C79" s="65"/>
      <c r="D79" s="66"/>
      <c r="E79" s="67"/>
      <c r="F79" s="68"/>
    </row>
    <row r="80" spans="1:6">
      <c r="A80" s="64"/>
      <c r="B80" s="55"/>
      <c r="C80" s="65"/>
      <c r="D80" s="66"/>
      <c r="E80" s="67"/>
      <c r="F80" s="68"/>
    </row>
  </sheetData>
  <sheetProtection formatColumns="0" insertRows="0" insertHyperlinks="0" deleteRows="0"/>
  <mergeCells count="1">
    <mergeCell ref="A8:F8"/>
  </mergeCells>
  <conditionalFormatting sqref="A10:A80">
    <cfRule type="expression" dxfId="134" priority="4">
      <formula>AND(COUNTIF(ApplicableMethodTypes,A10)=0,A10&lt;&gt;"")</formula>
    </cfRule>
  </conditionalFormatting>
  <conditionalFormatting sqref="A10:C80">
    <cfRule type="expression" dxfId="133" priority="3">
      <formula>AND(COUNTA($A10:$F10)&gt;0,A10="")</formula>
    </cfRule>
  </conditionalFormatting>
  <conditionalFormatting sqref="A30:F30 A11:E29 F31:F41">
    <cfRule type="expression" dxfId="132" priority="2">
      <formula>AND(COUNTA($A10:$F10)=0,A11&lt;&gt;"")</formula>
    </cfRule>
  </conditionalFormatting>
  <conditionalFormatting sqref="B10:B80">
    <cfRule type="duplicateValues" dxfId="131" priority="1"/>
  </conditionalFormatting>
  <dataValidations count="2">
    <dataValidation type="list" allowBlank="1" showInputMessage="1" showErrorMessage="1" sqref="A10:A80" xr:uid="{00000000-0002-0000-0500-000000000000}">
      <formula1>ApplicableMethodTypes</formula1>
    </dataValidation>
    <dataValidation type="list" allowBlank="1" showInputMessage="1" showErrorMessage="1" sqref="F10:F80" xr:uid="{00000000-0002-0000-0500-00000100000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78"/>
  <sheetViews>
    <sheetView workbookViewId="0">
      <selection activeCell="B10" sqref="B10"/>
    </sheetView>
  </sheetViews>
  <sheetFormatPr defaultColWidth="8.86328125" defaultRowHeight="14.25"/>
  <cols>
    <col min="1" max="1" width="16.3984375" style="5" customWidth="1"/>
    <col min="2" max="2" width="15.3984375" style="5" customWidth="1"/>
    <col min="3" max="3" width="16.265625" style="5" customWidth="1"/>
    <col min="4" max="4" width="20.265625" style="5" customWidth="1"/>
    <col min="5" max="5" width="12.73046875" style="5" customWidth="1"/>
    <col min="6" max="6" width="15.73046875" style="5" customWidth="1"/>
    <col min="7" max="16384" width="8.86328125" style="5"/>
  </cols>
  <sheetData>
    <row r="1" spans="1:6">
      <c r="A1" s="23" t="s">
        <v>230</v>
      </c>
    </row>
    <row r="2" spans="1:6">
      <c r="A2" s="5" t="s">
        <v>218</v>
      </c>
    </row>
    <row r="3" spans="1:6">
      <c r="A3" s="23" t="s">
        <v>217</v>
      </c>
    </row>
    <row r="4" spans="1:6" ht="14.65" thickBot="1">
      <c r="A4" s="23" t="s">
        <v>229</v>
      </c>
    </row>
    <row r="5" spans="1:6" ht="14.65" thickBot="1">
      <c r="A5" s="23" t="s">
        <v>96</v>
      </c>
      <c r="E5" s="24" t="s">
        <v>148</v>
      </c>
      <c r="F5" s="25">
        <f>COUNTA(VariableCodes)</f>
        <v>3</v>
      </c>
    </row>
    <row r="6" spans="1:6" ht="14.65" thickBot="1"/>
    <row r="7" spans="1:6">
      <c r="A7" s="210" t="s">
        <v>101</v>
      </c>
      <c r="B7" s="211"/>
      <c r="C7" s="211"/>
      <c r="D7" s="211"/>
      <c r="E7" s="211"/>
      <c r="F7" s="212"/>
    </row>
    <row r="8" spans="1:6" ht="14.65" thickBot="1">
      <c r="A8" s="50" t="s">
        <v>97</v>
      </c>
      <c r="B8" s="48" t="s">
        <v>48</v>
      </c>
      <c r="C8" s="48" t="s">
        <v>47</v>
      </c>
      <c r="D8" s="52" t="s">
        <v>98</v>
      </c>
      <c r="E8" s="52" t="s">
        <v>99</v>
      </c>
      <c r="F8" s="51" t="s">
        <v>100</v>
      </c>
    </row>
    <row r="9" spans="1:6" ht="14.65" thickTop="1">
      <c r="A9" s="64" t="s">
        <v>9</v>
      </c>
      <c r="B9" s="55" t="s">
        <v>1775</v>
      </c>
      <c r="C9" s="55" t="s">
        <v>111</v>
      </c>
      <c r="D9" s="56"/>
      <c r="E9" s="56"/>
      <c r="F9" s="69">
        <v>-9999</v>
      </c>
    </row>
    <row r="10" spans="1:6">
      <c r="A10" s="64" t="s">
        <v>9</v>
      </c>
      <c r="B10" s="55" t="s">
        <v>1851</v>
      </c>
      <c r="C10" s="55" t="s">
        <v>1776</v>
      </c>
      <c r="D10" s="56"/>
      <c r="E10" s="56"/>
      <c r="F10" s="69">
        <v>-9999</v>
      </c>
    </row>
    <row r="11" spans="1:6">
      <c r="A11" s="64" t="s">
        <v>13</v>
      </c>
      <c r="B11" s="55" t="s">
        <v>1777</v>
      </c>
      <c r="C11" s="55" t="s">
        <v>111</v>
      </c>
      <c r="D11" s="56"/>
      <c r="E11" s="56"/>
      <c r="F11" s="69">
        <v>-9999</v>
      </c>
    </row>
    <row r="12" spans="1:6">
      <c r="A12" s="64"/>
      <c r="B12" s="55"/>
      <c r="C12" s="55"/>
      <c r="D12" s="56"/>
      <c r="E12" s="56"/>
      <c r="F12" s="69"/>
    </row>
    <row r="13" spans="1:6">
      <c r="A13" s="64"/>
      <c r="B13" s="55"/>
      <c r="C13" s="55"/>
      <c r="D13" s="56"/>
      <c r="E13" s="56"/>
      <c r="F13" s="69"/>
    </row>
    <row r="14" spans="1:6">
      <c r="A14" s="64"/>
      <c r="B14" s="55"/>
      <c r="C14" s="55"/>
      <c r="D14" s="56"/>
      <c r="E14" s="56"/>
      <c r="F14" s="69"/>
    </row>
    <row r="15" spans="1:6">
      <c r="A15" s="64"/>
      <c r="B15" s="55"/>
      <c r="C15" s="55"/>
      <c r="D15" s="56"/>
      <c r="E15" s="56"/>
      <c r="F15" s="69"/>
    </row>
    <row r="16" spans="1:6">
      <c r="A16" s="64"/>
      <c r="B16" s="55"/>
      <c r="C16" s="55"/>
      <c r="D16" s="56"/>
      <c r="E16" s="56"/>
      <c r="F16" s="69"/>
    </row>
    <row r="17" spans="1:6">
      <c r="A17" s="64"/>
      <c r="B17" s="55"/>
      <c r="C17" s="55"/>
      <c r="D17" s="56"/>
      <c r="E17" s="56"/>
      <c r="F17" s="69"/>
    </row>
    <row r="18" spans="1:6">
      <c r="A18" s="64"/>
      <c r="B18" s="55"/>
      <c r="C18" s="55"/>
      <c r="D18" s="56"/>
      <c r="E18" s="56"/>
      <c r="F18" s="69"/>
    </row>
    <row r="19" spans="1:6">
      <c r="A19" s="64"/>
      <c r="B19" s="55"/>
      <c r="C19" s="55"/>
      <c r="D19" s="56"/>
      <c r="E19" s="56"/>
      <c r="F19" s="69"/>
    </row>
    <row r="20" spans="1:6">
      <c r="A20" s="64"/>
      <c r="B20" s="55"/>
      <c r="C20" s="55"/>
      <c r="D20" s="56"/>
      <c r="E20" s="56"/>
      <c r="F20" s="69"/>
    </row>
    <row r="21" spans="1:6">
      <c r="A21" s="64"/>
      <c r="B21" s="55"/>
      <c r="C21" s="55"/>
      <c r="D21" s="56"/>
      <c r="E21" s="56"/>
      <c r="F21" s="69"/>
    </row>
    <row r="22" spans="1:6">
      <c r="A22" s="64"/>
      <c r="B22" s="55"/>
      <c r="C22" s="55"/>
      <c r="D22" s="56"/>
      <c r="E22" s="56"/>
      <c r="F22" s="69"/>
    </row>
    <row r="23" spans="1:6">
      <c r="A23" s="64"/>
      <c r="B23" s="55"/>
      <c r="C23" s="55"/>
      <c r="D23" s="56"/>
      <c r="E23" s="56"/>
      <c r="F23" s="69"/>
    </row>
    <row r="24" spans="1:6">
      <c r="A24" s="64"/>
      <c r="B24" s="55"/>
      <c r="C24" s="55"/>
      <c r="D24" s="56"/>
      <c r="E24" s="56"/>
      <c r="F24" s="69"/>
    </row>
    <row r="25" spans="1:6">
      <c r="A25" s="64"/>
      <c r="B25" s="55"/>
      <c r="C25" s="55"/>
      <c r="D25" s="56"/>
      <c r="E25" s="56"/>
      <c r="F25" s="69"/>
    </row>
    <row r="26" spans="1:6">
      <c r="A26" s="64"/>
      <c r="B26" s="55"/>
      <c r="C26" s="55"/>
      <c r="D26" s="56"/>
      <c r="E26" s="56"/>
      <c r="F26" s="69"/>
    </row>
    <row r="27" spans="1:6">
      <c r="A27" s="64"/>
      <c r="B27" s="55"/>
      <c r="C27" s="55"/>
      <c r="D27" s="56"/>
      <c r="E27" s="56"/>
      <c r="F27" s="69"/>
    </row>
    <row r="28" spans="1:6">
      <c r="A28" s="64"/>
      <c r="B28" s="55"/>
      <c r="C28" s="55"/>
      <c r="D28" s="56"/>
      <c r="E28" s="56"/>
      <c r="F28" s="69"/>
    </row>
    <row r="29" spans="1:6">
      <c r="A29" s="64"/>
      <c r="B29" s="55"/>
      <c r="C29" s="55"/>
      <c r="D29" s="56"/>
      <c r="E29" s="56"/>
      <c r="F29" s="69"/>
    </row>
    <row r="30" spans="1:6">
      <c r="A30" s="64"/>
      <c r="B30" s="55"/>
      <c r="C30" s="55"/>
      <c r="D30" s="56"/>
      <c r="E30" s="56"/>
      <c r="F30" s="69"/>
    </row>
    <row r="31" spans="1:6">
      <c r="A31" s="64"/>
      <c r="B31" s="55"/>
      <c r="C31" s="55"/>
      <c r="D31" s="56"/>
      <c r="E31" s="56"/>
      <c r="F31" s="69"/>
    </row>
    <row r="32" spans="1:6">
      <c r="A32" s="64"/>
      <c r="B32" s="55"/>
      <c r="C32" s="55"/>
      <c r="D32" s="56"/>
      <c r="E32" s="56"/>
      <c r="F32" s="69"/>
    </row>
    <row r="33" spans="1:6">
      <c r="A33" s="64"/>
      <c r="B33" s="55"/>
      <c r="C33" s="55"/>
      <c r="D33" s="56"/>
      <c r="E33" s="56"/>
      <c r="F33" s="69"/>
    </row>
    <row r="34" spans="1:6">
      <c r="A34" s="64"/>
      <c r="B34" s="55"/>
      <c r="C34" s="55"/>
      <c r="D34" s="56"/>
      <c r="E34" s="56"/>
      <c r="F34" s="69"/>
    </row>
    <row r="35" spans="1:6">
      <c r="A35" s="64"/>
      <c r="B35" s="55"/>
      <c r="C35" s="55"/>
      <c r="D35" s="56"/>
      <c r="E35" s="56"/>
      <c r="F35" s="69"/>
    </row>
    <row r="36" spans="1:6">
      <c r="A36" s="64"/>
      <c r="B36" s="55"/>
      <c r="C36" s="55"/>
      <c r="D36" s="56"/>
      <c r="E36" s="56"/>
      <c r="F36" s="69"/>
    </row>
    <row r="37" spans="1:6">
      <c r="A37" s="64"/>
      <c r="B37" s="55"/>
      <c r="C37" s="55"/>
      <c r="D37" s="56"/>
      <c r="E37" s="56"/>
      <c r="F37" s="69"/>
    </row>
    <row r="38" spans="1:6">
      <c r="A38" s="64"/>
      <c r="B38" s="55"/>
      <c r="C38" s="55"/>
      <c r="D38" s="56"/>
      <c r="E38" s="56"/>
      <c r="F38" s="69"/>
    </row>
    <row r="39" spans="1:6">
      <c r="A39" s="64"/>
      <c r="B39" s="55"/>
      <c r="C39" s="55"/>
      <c r="D39" s="56"/>
      <c r="E39" s="56"/>
      <c r="F39" s="69"/>
    </row>
    <row r="40" spans="1:6">
      <c r="A40" s="64"/>
      <c r="B40" s="55"/>
      <c r="C40" s="55"/>
      <c r="D40" s="56"/>
      <c r="E40" s="56"/>
      <c r="F40" s="69"/>
    </row>
    <row r="41" spans="1:6">
      <c r="A41" s="64"/>
      <c r="B41" s="55"/>
      <c r="C41" s="55"/>
      <c r="D41" s="56"/>
      <c r="E41" s="56"/>
      <c r="F41" s="69"/>
    </row>
    <row r="42" spans="1:6">
      <c r="A42" s="64"/>
      <c r="B42" s="55"/>
      <c r="C42" s="55"/>
      <c r="D42" s="56"/>
      <c r="E42" s="56"/>
      <c r="F42" s="69"/>
    </row>
    <row r="43" spans="1:6">
      <c r="A43" s="64"/>
      <c r="B43" s="55"/>
      <c r="C43" s="55"/>
      <c r="D43" s="56"/>
      <c r="E43" s="56"/>
      <c r="F43" s="69"/>
    </row>
    <row r="44" spans="1:6">
      <c r="A44" s="64"/>
      <c r="B44" s="55"/>
      <c r="C44" s="55"/>
      <c r="D44" s="56"/>
      <c r="E44" s="56"/>
      <c r="F44" s="69"/>
    </row>
    <row r="45" spans="1:6">
      <c r="A45" s="64"/>
      <c r="B45" s="55"/>
      <c r="C45" s="55"/>
      <c r="D45" s="56"/>
      <c r="E45" s="56"/>
      <c r="F45" s="69"/>
    </row>
    <row r="46" spans="1:6">
      <c r="A46" s="64"/>
      <c r="B46" s="55"/>
      <c r="C46" s="55"/>
      <c r="D46" s="56"/>
      <c r="E46" s="56"/>
      <c r="F46" s="69"/>
    </row>
    <row r="47" spans="1:6">
      <c r="A47" s="64"/>
      <c r="B47" s="55"/>
      <c r="C47" s="55"/>
      <c r="D47" s="56"/>
      <c r="E47" s="56"/>
      <c r="F47" s="69"/>
    </row>
    <row r="48" spans="1:6">
      <c r="A48" s="64"/>
      <c r="B48" s="55"/>
      <c r="C48" s="55"/>
      <c r="D48" s="56"/>
      <c r="E48" s="56"/>
      <c r="F48" s="69"/>
    </row>
    <row r="49" spans="1:6">
      <c r="A49" s="64"/>
      <c r="B49" s="55"/>
      <c r="C49" s="55"/>
      <c r="D49" s="56"/>
      <c r="E49" s="56"/>
      <c r="F49" s="69"/>
    </row>
    <row r="50" spans="1:6">
      <c r="A50" s="64"/>
      <c r="B50" s="55"/>
      <c r="C50" s="55"/>
      <c r="D50" s="56"/>
      <c r="E50" s="56"/>
      <c r="F50" s="69"/>
    </row>
    <row r="51" spans="1:6">
      <c r="A51" s="64"/>
      <c r="B51" s="55"/>
      <c r="C51" s="55"/>
      <c r="D51" s="56"/>
      <c r="E51" s="56"/>
      <c r="F51" s="69"/>
    </row>
    <row r="52" spans="1:6">
      <c r="A52" s="64"/>
      <c r="B52" s="55"/>
      <c r="C52" s="55"/>
      <c r="D52" s="56"/>
      <c r="E52" s="56"/>
      <c r="F52" s="69"/>
    </row>
    <row r="53" spans="1:6">
      <c r="A53" s="64"/>
      <c r="B53" s="55"/>
      <c r="C53" s="55"/>
      <c r="D53" s="56"/>
      <c r="E53" s="56"/>
      <c r="F53" s="69"/>
    </row>
    <row r="54" spans="1:6">
      <c r="A54" s="64"/>
      <c r="B54" s="55"/>
      <c r="C54" s="55"/>
      <c r="D54" s="56"/>
      <c r="E54" s="56"/>
      <c r="F54" s="69"/>
    </row>
    <row r="55" spans="1:6">
      <c r="A55" s="64"/>
      <c r="B55" s="55"/>
      <c r="C55" s="55"/>
      <c r="D55" s="56"/>
      <c r="E55" s="56"/>
      <c r="F55" s="69"/>
    </row>
    <row r="56" spans="1:6">
      <c r="A56" s="64"/>
      <c r="B56" s="55"/>
      <c r="C56" s="55"/>
      <c r="D56" s="56"/>
      <c r="E56" s="56"/>
      <c r="F56" s="69"/>
    </row>
    <row r="57" spans="1:6">
      <c r="A57" s="64"/>
      <c r="B57" s="55"/>
      <c r="C57" s="55"/>
      <c r="D57" s="56"/>
      <c r="E57" s="56"/>
      <c r="F57" s="69"/>
    </row>
    <row r="58" spans="1:6">
      <c r="A58" s="64"/>
      <c r="B58" s="55"/>
      <c r="C58" s="55"/>
      <c r="D58" s="56"/>
      <c r="E58" s="56"/>
      <c r="F58" s="69"/>
    </row>
    <row r="59" spans="1:6">
      <c r="A59" s="64"/>
      <c r="B59" s="55"/>
      <c r="C59" s="55"/>
      <c r="D59" s="56"/>
      <c r="E59" s="56"/>
      <c r="F59" s="69"/>
    </row>
    <row r="60" spans="1:6">
      <c r="A60" s="64"/>
      <c r="B60" s="55"/>
      <c r="C60" s="55"/>
      <c r="D60" s="56"/>
      <c r="E60" s="56"/>
      <c r="F60" s="69"/>
    </row>
    <row r="61" spans="1:6">
      <c r="A61" s="64"/>
      <c r="B61" s="55"/>
      <c r="C61" s="55"/>
      <c r="D61" s="56"/>
      <c r="E61" s="56"/>
      <c r="F61" s="69"/>
    </row>
    <row r="62" spans="1:6">
      <c r="A62" s="64"/>
      <c r="B62" s="55"/>
      <c r="C62" s="55"/>
      <c r="D62" s="56"/>
      <c r="E62" s="56"/>
      <c r="F62" s="69"/>
    </row>
    <row r="63" spans="1:6">
      <c r="A63" s="64"/>
      <c r="B63" s="55"/>
      <c r="C63" s="55"/>
      <c r="D63" s="56"/>
      <c r="E63" s="56"/>
      <c r="F63" s="69"/>
    </row>
    <row r="64" spans="1:6">
      <c r="A64" s="64"/>
      <c r="B64" s="55"/>
      <c r="C64" s="55"/>
      <c r="D64" s="56"/>
      <c r="E64" s="56"/>
      <c r="F64" s="69"/>
    </row>
    <row r="65" spans="1:6">
      <c r="A65" s="64"/>
      <c r="B65" s="55"/>
      <c r="C65" s="55"/>
      <c r="D65" s="56"/>
      <c r="E65" s="56"/>
      <c r="F65" s="69"/>
    </row>
    <row r="66" spans="1:6">
      <c r="A66" s="64"/>
      <c r="B66" s="55"/>
      <c r="C66" s="55"/>
      <c r="D66" s="56"/>
      <c r="E66" s="56"/>
      <c r="F66" s="69"/>
    </row>
    <row r="67" spans="1:6">
      <c r="A67" s="64"/>
      <c r="B67" s="55"/>
      <c r="C67" s="55"/>
      <c r="D67" s="56"/>
      <c r="E67" s="56"/>
      <c r="F67" s="69"/>
    </row>
    <row r="68" spans="1:6">
      <c r="A68" s="64"/>
      <c r="B68" s="55"/>
      <c r="C68" s="55"/>
      <c r="D68" s="56"/>
      <c r="E68" s="56"/>
      <c r="F68" s="69"/>
    </row>
    <row r="69" spans="1:6">
      <c r="A69" s="64"/>
      <c r="B69" s="55"/>
      <c r="C69" s="55"/>
      <c r="D69" s="56"/>
      <c r="E69" s="56"/>
      <c r="F69" s="69"/>
    </row>
    <row r="70" spans="1:6">
      <c r="A70" s="64"/>
      <c r="B70" s="55"/>
      <c r="C70" s="55"/>
      <c r="D70" s="56"/>
      <c r="E70" s="56"/>
      <c r="F70" s="69"/>
    </row>
    <row r="71" spans="1:6">
      <c r="A71" s="64"/>
      <c r="B71" s="55"/>
      <c r="C71" s="55"/>
      <c r="D71" s="56"/>
      <c r="E71" s="56"/>
      <c r="F71" s="69"/>
    </row>
    <row r="72" spans="1:6">
      <c r="A72" s="64"/>
      <c r="B72" s="55"/>
      <c r="C72" s="55"/>
      <c r="D72" s="56"/>
      <c r="E72" s="56"/>
      <c r="F72" s="69"/>
    </row>
    <row r="73" spans="1:6">
      <c r="A73" s="64"/>
      <c r="B73" s="55"/>
      <c r="C73" s="55"/>
      <c r="D73" s="56"/>
      <c r="E73" s="56"/>
      <c r="F73" s="69"/>
    </row>
    <row r="74" spans="1:6">
      <c r="A74" s="64"/>
      <c r="B74" s="55"/>
      <c r="C74" s="55"/>
      <c r="D74" s="56"/>
      <c r="E74" s="56"/>
      <c r="F74" s="69"/>
    </row>
    <row r="75" spans="1:6">
      <c r="A75" s="64"/>
      <c r="B75" s="55"/>
      <c r="C75" s="55"/>
      <c r="D75" s="56"/>
      <c r="E75" s="56"/>
      <c r="F75" s="69"/>
    </row>
    <row r="76" spans="1:6">
      <c r="A76" s="64"/>
      <c r="B76" s="55"/>
      <c r="C76" s="55"/>
      <c r="D76" s="56"/>
      <c r="E76" s="56"/>
      <c r="F76" s="69"/>
    </row>
    <row r="77" spans="1:6">
      <c r="A77" s="64"/>
      <c r="B77" s="55"/>
      <c r="C77" s="55"/>
      <c r="D77" s="56"/>
      <c r="E77" s="56"/>
      <c r="F77" s="69"/>
    </row>
    <row r="78" spans="1:6">
      <c r="A78" s="64"/>
      <c r="B78" s="55"/>
      <c r="C78" s="55"/>
      <c r="D78" s="56"/>
      <c r="E78" s="56"/>
      <c r="F78" s="69"/>
    </row>
  </sheetData>
  <sheetProtection formatColumns="0" insertRows="0" insertHyperlinks="0" deleteRows="0"/>
  <mergeCells count="1">
    <mergeCell ref="A7:F7"/>
  </mergeCells>
  <conditionalFormatting sqref="A12:A26">
    <cfRule type="expression" dxfId="130" priority="12">
      <formula>AND(COUNTIF(VariableTypeCV,$A12)=0,$A12&lt;&gt;"")</formula>
    </cfRule>
  </conditionalFormatting>
  <conditionalFormatting sqref="C12:C26">
    <cfRule type="expression" dxfId="129" priority="11">
      <formula>AND(COUNTIF(VariableNameCV,$C12)=0,$C12&lt;&gt;"")</formula>
    </cfRule>
  </conditionalFormatting>
  <conditionalFormatting sqref="A12:C26 F12:F26">
    <cfRule type="expression" dxfId="128" priority="10">
      <formula>AND(COUNTA($A12:$F12)&gt;0,A12="")</formula>
    </cfRule>
  </conditionalFormatting>
  <conditionalFormatting sqref="A13:F26">
    <cfRule type="expression" dxfId="127" priority="9">
      <formula>AND(COUNTA($A12:$F12)=0,A13&lt;&gt;"")</formula>
    </cfRule>
  </conditionalFormatting>
  <conditionalFormatting sqref="E12:E26">
    <cfRule type="expression" dxfId="126" priority="7">
      <formula>AND(COUNTIF(SpeciationCV,$E12)=0,$E12&lt;&gt;"")</formula>
    </cfRule>
  </conditionalFormatting>
  <conditionalFormatting sqref="A9:A11">
    <cfRule type="expression" dxfId="125" priority="6">
      <formula>AND(COUNTIF(VariableTypeCV,$A9)=0,$A9&lt;&gt;"")</formula>
    </cfRule>
  </conditionalFormatting>
  <conditionalFormatting sqref="C9:C11">
    <cfRule type="expression" dxfId="124" priority="5">
      <formula>AND(COUNTIF(VariableNameCV,$C9)=0,$C9&lt;&gt;"")</formula>
    </cfRule>
  </conditionalFormatting>
  <conditionalFormatting sqref="A9:C11 F9:F11">
    <cfRule type="expression" dxfId="123" priority="4">
      <formula>AND(COUNTA($A9:$F9)&gt;0,A9="")</formula>
    </cfRule>
  </conditionalFormatting>
  <conditionalFormatting sqref="A9:F11">
    <cfRule type="expression" dxfId="122" priority="3">
      <formula>AND(COUNTA($A8:$F8)=0,A9&lt;&gt;"")</formula>
    </cfRule>
  </conditionalFormatting>
  <conditionalFormatting sqref="B9:B11">
    <cfRule type="duplicateValues" dxfId="121" priority="2"/>
  </conditionalFormatting>
  <conditionalFormatting sqref="E9:E11">
    <cfRule type="expression" dxfId="120" priority="1">
      <formula>AND(COUNTIF(SpeciationCV,$E9)=0,$E9&lt;&gt;"")</formula>
    </cfRule>
  </conditionalFormatting>
  <conditionalFormatting sqref="A12:F12">
    <cfRule type="expression" dxfId="119" priority="186">
      <formula>AND(COUNTA(#REF!)=0,A12&lt;&gt;"")</formula>
    </cfRule>
  </conditionalFormatting>
  <conditionalFormatting sqref="B12:B26">
    <cfRule type="duplicateValues" dxfId="118" priority="188"/>
  </conditionalFormatting>
  <dataValidations count="3">
    <dataValidation type="list" allowBlank="1" showInputMessage="1" showErrorMessage="1" sqref="A9:A78" xr:uid="{00000000-0002-0000-0600-000000000000}">
      <formula1>VariableTypeCV</formula1>
    </dataValidation>
    <dataValidation type="list" allowBlank="1" showInputMessage="1" showErrorMessage="1" sqref="C9:C78" xr:uid="{00000000-0002-0000-0600-000001000000}">
      <formula1>VariableNameCV</formula1>
    </dataValidation>
    <dataValidation type="list" allowBlank="1" showInputMessage="1" showErrorMessage="1" sqref="E9:E78" xr:uid="{00000000-0002-0000-0600-000002000000}">
      <formula1>SpeciationCV</formula1>
    </dataValidation>
  </dataValidations>
  <pageMargins left="0.7" right="0.7" top="0.75" bottom="0.75" header="0.3" footer="0.3"/>
  <pageSetup orientation="portrait" verticalDpi="0" r:id="rId1"/>
  <legacyDrawing r:id="rId2"/>
  <tableParts count="1">
    <tablePart r:id="rId3"/>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28"/>
  <sheetViews>
    <sheetView topLeftCell="B10" workbookViewId="0">
      <selection activeCell="B16" sqref="B16"/>
    </sheetView>
  </sheetViews>
  <sheetFormatPr defaultColWidth="8.86328125" defaultRowHeight="14.25"/>
  <cols>
    <col min="1" max="1" width="23.3984375" style="5" customWidth="1"/>
    <col min="2" max="2" width="29.73046875" style="5" customWidth="1"/>
    <col min="3" max="3" width="64" style="70" customWidth="1"/>
    <col min="4" max="4" width="8" style="5" bestFit="1" customWidth="1"/>
    <col min="5" max="16384" width="8.86328125" style="5"/>
  </cols>
  <sheetData>
    <row r="1" spans="1:6">
      <c r="A1" s="23" t="s">
        <v>232</v>
      </c>
    </row>
    <row r="2" spans="1:6">
      <c r="A2" s="5" t="s">
        <v>218</v>
      </c>
    </row>
    <row r="3" spans="1:6">
      <c r="A3" s="23" t="s">
        <v>217</v>
      </c>
    </row>
    <row r="4" spans="1:6" ht="14.65" thickBot="1">
      <c r="A4" s="23" t="s">
        <v>231</v>
      </c>
    </row>
    <row r="5" spans="1:6" ht="14.65" thickBot="1">
      <c r="A5" s="23" t="s">
        <v>127</v>
      </c>
      <c r="D5" s="24" t="s">
        <v>149</v>
      </c>
      <c r="E5" s="25">
        <f>COUNTA(ProcessingLevelCodes)</f>
        <v>6</v>
      </c>
    </row>
    <row r="6" spans="1:6">
      <c r="A6" s="23" t="s">
        <v>1703</v>
      </c>
      <c r="D6" s="130"/>
      <c r="E6" s="130"/>
    </row>
    <row r="7" spans="1:6" ht="14.65" thickBot="1"/>
    <row r="8" spans="1:6">
      <c r="A8" s="204" t="s">
        <v>130</v>
      </c>
      <c r="B8" s="205"/>
      <c r="C8" s="206"/>
    </row>
    <row r="9" spans="1:6" ht="14.65" thickBot="1">
      <c r="A9" s="50" t="s">
        <v>128</v>
      </c>
      <c r="B9" s="48" t="s">
        <v>129</v>
      </c>
      <c r="C9" s="75" t="s">
        <v>131</v>
      </c>
    </row>
    <row r="10" spans="1:6" ht="57.4" thickTop="1">
      <c r="A10" s="71">
        <v>0</v>
      </c>
      <c r="B10" s="72" t="s">
        <v>1779</v>
      </c>
      <c r="C10" s="73" t="s">
        <v>1778</v>
      </c>
    </row>
    <row r="11" spans="1:6" ht="42.75">
      <c r="A11" s="64">
        <v>1</v>
      </c>
      <c r="B11" s="56" t="s">
        <v>1780</v>
      </c>
      <c r="C11" s="74" t="s">
        <v>1781</v>
      </c>
    </row>
    <row r="12" spans="1:6" ht="143.65" customHeight="1">
      <c r="A12" s="64">
        <v>2</v>
      </c>
      <c r="B12" s="56" t="s">
        <v>1847</v>
      </c>
      <c r="C12" s="74" t="s">
        <v>1848</v>
      </c>
    </row>
    <row r="13" spans="1:6" ht="28.5">
      <c r="A13" s="64">
        <v>3</v>
      </c>
      <c r="B13" s="56" t="s">
        <v>1784</v>
      </c>
      <c r="C13" s="74" t="s">
        <v>1782</v>
      </c>
      <c r="F13" s="187"/>
    </row>
    <row r="14" spans="1:6" ht="42.75">
      <c r="A14" s="64">
        <v>4</v>
      </c>
      <c r="B14" s="56" t="s">
        <v>1783</v>
      </c>
      <c r="C14" s="74" t="s">
        <v>1785</v>
      </c>
      <c r="F14" s="187"/>
    </row>
    <row r="15" spans="1:6">
      <c r="A15" s="64">
        <v>5</v>
      </c>
      <c r="B15" s="56" t="s">
        <v>1849</v>
      </c>
      <c r="C15" s="74" t="s">
        <v>1850</v>
      </c>
    </row>
    <row r="16" spans="1:6">
      <c r="A16" s="64"/>
      <c r="B16" s="56"/>
      <c r="C16" s="74"/>
    </row>
    <row r="17" spans="1:3">
      <c r="A17" s="64"/>
      <c r="B17" s="56"/>
      <c r="C17" s="74"/>
    </row>
    <row r="18" spans="1:3">
      <c r="A18" s="64"/>
      <c r="B18" s="56"/>
      <c r="C18" s="74"/>
    </row>
    <row r="19" spans="1:3">
      <c r="A19" s="64"/>
      <c r="B19" s="56"/>
      <c r="C19" s="74"/>
    </row>
    <row r="20" spans="1:3">
      <c r="A20" s="64"/>
      <c r="B20" s="56"/>
      <c r="C20" s="74"/>
    </row>
    <row r="21" spans="1:3">
      <c r="A21" s="64"/>
      <c r="B21" s="56"/>
      <c r="C21" s="74"/>
    </row>
    <row r="22" spans="1:3">
      <c r="A22" s="64"/>
      <c r="B22" s="56"/>
      <c r="C22" s="74"/>
    </row>
    <row r="23" spans="1:3">
      <c r="A23" s="64"/>
      <c r="B23" s="56"/>
      <c r="C23" s="74"/>
    </row>
    <row r="24" spans="1:3">
      <c r="A24" s="64"/>
      <c r="B24" s="56"/>
      <c r="C24" s="74"/>
    </row>
    <row r="25" spans="1:3">
      <c r="A25" s="64"/>
      <c r="B25" s="56"/>
      <c r="C25" s="74"/>
    </row>
    <row r="26" spans="1:3">
      <c r="A26" s="64"/>
      <c r="B26" s="56"/>
      <c r="C26" s="74"/>
    </row>
    <row r="27" spans="1:3">
      <c r="A27" s="64"/>
      <c r="B27" s="56"/>
      <c r="C27" s="74"/>
    </row>
    <row r="28" spans="1:3">
      <c r="A28" s="64"/>
      <c r="B28" s="56"/>
      <c r="C28" s="74"/>
    </row>
  </sheetData>
  <sheetProtection formatColumns="0" insertRows="0" insertHyperlinks="0" deleteRows="0"/>
  <mergeCells count="1">
    <mergeCell ref="A8:C8"/>
  </mergeCells>
  <conditionalFormatting sqref="A11:A28">
    <cfRule type="duplicateValues" dxfId="117" priority="4"/>
    <cfRule type="expression" dxfId="116" priority="5">
      <formula>AND(COUNTA($A11:$C11)&gt;0,$A11="")</formula>
    </cfRule>
  </conditionalFormatting>
  <conditionalFormatting sqref="A11:C12 A14:C28">
    <cfRule type="expression" dxfId="115" priority="3">
      <formula>AND(COUNTA($A10:$C10)=0,A11&lt;&gt;"")</formula>
    </cfRule>
  </conditionalFormatting>
  <conditionalFormatting sqref="A10">
    <cfRule type="duplicateValues" dxfId="114" priority="1"/>
    <cfRule type="expression" dxfId="113" priority="2">
      <formula>AND(COUNTA($A10:$C10)&gt;0,$A10="")</formula>
    </cfRule>
  </conditionalFormatting>
  <conditionalFormatting sqref="A13:C13">
    <cfRule type="expression" dxfId="0" priority="190">
      <formula>AND(COUNTA($A11:$C11)=0,A13&lt;&gt;"")</formula>
    </cfRule>
  </conditionalFormatting>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F50"/>
  <sheetViews>
    <sheetView workbookViewId="0">
      <selection activeCell="A15" sqref="A15"/>
    </sheetView>
  </sheetViews>
  <sheetFormatPr defaultColWidth="8.86328125" defaultRowHeight="14.25"/>
  <cols>
    <col min="1" max="1" width="17.73046875" customWidth="1"/>
    <col min="2" max="2" width="20.265625" style="4" customWidth="1"/>
    <col min="3" max="3" width="24.59765625" style="4" customWidth="1"/>
    <col min="4" max="4" width="11.86328125" customWidth="1"/>
  </cols>
  <sheetData>
    <row r="1" spans="1:6" s="4" customFormat="1">
      <c r="A1" s="23" t="s">
        <v>232</v>
      </c>
    </row>
    <row r="2" spans="1:6" s="4" customFormat="1">
      <c r="A2" s="5" t="s">
        <v>218</v>
      </c>
    </row>
    <row r="3" spans="1:6" s="4" customFormat="1">
      <c r="A3" s="23" t="s">
        <v>217</v>
      </c>
    </row>
    <row r="4" spans="1:6" s="4" customFormat="1">
      <c r="A4" s="23" t="s">
        <v>1704</v>
      </c>
    </row>
    <row r="5" spans="1:6" s="4" customFormat="1">
      <c r="A5" s="23" t="s">
        <v>1705</v>
      </c>
    </row>
    <row r="6" spans="1:6" s="4" customFormat="1">
      <c r="A6" s="23" t="s">
        <v>1706</v>
      </c>
    </row>
    <row r="7" spans="1:6" s="4" customFormat="1" ht="14.65" thickBot="1"/>
    <row r="8" spans="1:6" s="4" customFormat="1" ht="14.65" thickBot="1">
      <c r="C8" s="24" t="s">
        <v>1572</v>
      </c>
      <c r="D8" s="25">
        <f>COUNTA(UnitNames)</f>
        <v>4</v>
      </c>
    </row>
    <row r="9" spans="1:6" ht="14.65" thickBot="1">
      <c r="A9" s="4"/>
    </row>
    <row r="10" spans="1:6">
      <c r="A10" s="207" t="s">
        <v>1565</v>
      </c>
      <c r="B10" s="208"/>
      <c r="C10" s="208"/>
      <c r="D10" s="208"/>
    </row>
    <row r="11" spans="1:6">
      <c r="A11" s="166" t="s">
        <v>1569</v>
      </c>
      <c r="B11" s="166" t="s">
        <v>1568</v>
      </c>
      <c r="C11" s="166" t="s">
        <v>1566</v>
      </c>
      <c r="D11" s="167" t="s">
        <v>1567</v>
      </c>
    </row>
    <row r="12" spans="1:6">
      <c r="A12" s="7" t="s">
        <v>1789</v>
      </c>
      <c r="B12" s="7" t="s">
        <v>1792</v>
      </c>
      <c r="C12" s="7" t="s">
        <v>1793</v>
      </c>
      <c r="D12" s="9"/>
    </row>
    <row r="13" spans="1:6" s="4" customFormat="1">
      <c r="A13" s="7" t="s">
        <v>1790</v>
      </c>
      <c r="B13" s="7" t="s">
        <v>1791</v>
      </c>
      <c r="C13" s="7" t="s">
        <v>1794</v>
      </c>
      <c r="D13" s="9"/>
    </row>
    <row r="14" spans="1:6" s="4" customFormat="1">
      <c r="A14" s="7" t="s">
        <v>1600</v>
      </c>
      <c r="B14" s="7" t="s">
        <v>1795</v>
      </c>
      <c r="C14" s="7" t="s">
        <v>1796</v>
      </c>
      <c r="D14" s="9"/>
      <c r="F14" s="186" t="s">
        <v>1810</v>
      </c>
    </row>
    <row r="15" spans="1:6" s="4" customFormat="1">
      <c r="A15" s="7" t="s">
        <v>1560</v>
      </c>
      <c r="B15" s="7" t="s">
        <v>1811</v>
      </c>
      <c r="C15" s="7" t="s">
        <v>1811</v>
      </c>
      <c r="D15" s="9"/>
    </row>
    <row r="16" spans="1:6" s="4" customFormat="1">
      <c r="A16" s="7"/>
      <c r="B16" s="7"/>
      <c r="C16" s="7"/>
      <c r="D16" s="9"/>
    </row>
    <row r="17" spans="1:4" s="4" customFormat="1">
      <c r="A17" s="7"/>
      <c r="B17" s="7"/>
      <c r="C17" s="7"/>
      <c r="D17" s="9"/>
    </row>
    <row r="18" spans="1:4" s="4" customFormat="1">
      <c r="A18" s="7"/>
      <c r="B18" s="7"/>
      <c r="C18" s="7"/>
      <c r="D18" s="9"/>
    </row>
    <row r="19" spans="1:4" s="4" customFormat="1">
      <c r="A19" s="7"/>
      <c r="B19" s="7"/>
      <c r="C19" s="7"/>
      <c r="D19" s="9"/>
    </row>
    <row r="20" spans="1:4" s="4" customFormat="1">
      <c r="A20" s="7"/>
      <c r="B20" s="7"/>
      <c r="C20" s="7"/>
      <c r="D20" s="9"/>
    </row>
    <row r="21" spans="1:4" s="4" customFormat="1">
      <c r="A21" s="7"/>
      <c r="B21" s="7"/>
      <c r="C21" s="7"/>
      <c r="D21" s="9"/>
    </row>
    <row r="22" spans="1:4" s="4" customFormat="1">
      <c r="A22" s="7"/>
      <c r="B22" s="7"/>
      <c r="C22" s="7"/>
      <c r="D22" s="9"/>
    </row>
    <row r="23" spans="1:4" s="4" customFormat="1">
      <c r="A23" s="7"/>
      <c r="B23" s="7"/>
      <c r="C23" s="7"/>
      <c r="D23" s="9"/>
    </row>
    <row r="24" spans="1:4" s="4" customFormat="1">
      <c r="A24" s="7"/>
      <c r="B24" s="7"/>
      <c r="C24" s="7"/>
      <c r="D24" s="9"/>
    </row>
    <row r="25" spans="1:4" s="4" customFormat="1">
      <c r="A25" s="7"/>
      <c r="B25" s="7"/>
      <c r="C25" s="7"/>
      <c r="D25" s="9"/>
    </row>
    <row r="26" spans="1:4" s="4" customFormat="1">
      <c r="A26" s="7"/>
      <c r="B26" s="7"/>
      <c r="C26" s="7"/>
      <c r="D26" s="9"/>
    </row>
    <row r="27" spans="1:4" s="4" customFormat="1">
      <c r="A27" s="7"/>
      <c r="B27" s="7"/>
      <c r="C27" s="7"/>
      <c r="D27" s="9"/>
    </row>
    <row r="28" spans="1:4" s="4" customFormat="1">
      <c r="A28" s="7"/>
      <c r="B28" s="7"/>
      <c r="C28" s="7"/>
      <c r="D28" s="9"/>
    </row>
    <row r="29" spans="1:4" s="4" customFormat="1">
      <c r="A29" s="7"/>
      <c r="B29" s="7"/>
      <c r="C29" s="7"/>
      <c r="D29" s="9"/>
    </row>
    <row r="30" spans="1:4" s="4" customFormat="1">
      <c r="A30" s="7"/>
      <c r="B30" s="7"/>
      <c r="C30" s="7"/>
      <c r="D30" s="9"/>
    </row>
    <row r="31" spans="1:4" s="4" customFormat="1">
      <c r="A31" s="7"/>
      <c r="B31" s="7"/>
      <c r="C31" s="7"/>
      <c r="D31" s="9"/>
    </row>
    <row r="32" spans="1:4" s="4" customFormat="1">
      <c r="A32" s="7"/>
      <c r="B32" s="7"/>
      <c r="C32" s="7"/>
      <c r="D32" s="9"/>
    </row>
    <row r="33" spans="1:4" s="4" customFormat="1">
      <c r="A33" s="7"/>
      <c r="B33" s="7"/>
      <c r="C33" s="7"/>
      <c r="D33" s="9"/>
    </row>
    <row r="34" spans="1:4" s="4" customFormat="1">
      <c r="A34" s="7"/>
      <c r="B34" s="7"/>
      <c r="C34" s="7"/>
      <c r="D34" s="9"/>
    </row>
    <row r="35" spans="1:4" s="4" customFormat="1">
      <c r="A35" s="7"/>
      <c r="B35" s="7"/>
      <c r="C35" s="7"/>
      <c r="D35" s="9"/>
    </row>
    <row r="36" spans="1:4" s="4" customFormat="1">
      <c r="A36" s="7"/>
      <c r="B36" s="7"/>
      <c r="C36" s="7"/>
      <c r="D36" s="9"/>
    </row>
    <row r="37" spans="1:4" s="4" customFormat="1">
      <c r="A37" s="7"/>
      <c r="B37" s="7"/>
      <c r="C37" s="7"/>
      <c r="D37" s="9"/>
    </row>
    <row r="38" spans="1:4" s="4" customFormat="1">
      <c r="A38" s="7"/>
      <c r="B38" s="7"/>
      <c r="C38" s="7"/>
      <c r="D38" s="9"/>
    </row>
    <row r="39" spans="1:4" s="4" customFormat="1">
      <c r="A39" s="7"/>
      <c r="B39" s="7"/>
      <c r="C39" s="7"/>
      <c r="D39" s="9"/>
    </row>
    <row r="40" spans="1:4" s="4" customFormat="1">
      <c r="A40" s="7"/>
      <c r="B40" s="7"/>
      <c r="C40" s="7"/>
      <c r="D40" s="9"/>
    </row>
    <row r="41" spans="1:4" s="4" customFormat="1">
      <c r="A41" s="7"/>
      <c r="B41" s="7"/>
      <c r="C41" s="7"/>
      <c r="D41" s="9"/>
    </row>
    <row r="42" spans="1:4" s="4" customFormat="1">
      <c r="A42" s="7"/>
      <c r="B42" s="7"/>
      <c r="C42" s="7"/>
      <c r="D42" s="9"/>
    </row>
    <row r="43" spans="1:4" s="4" customFormat="1">
      <c r="A43" s="7"/>
      <c r="B43" s="7"/>
      <c r="C43" s="7"/>
      <c r="D43" s="9"/>
    </row>
    <row r="44" spans="1:4" s="4" customFormat="1">
      <c r="A44" s="7"/>
      <c r="B44" s="7"/>
      <c r="C44" s="7"/>
      <c r="D44" s="9"/>
    </row>
    <row r="45" spans="1:4" s="4" customFormat="1">
      <c r="A45" s="7"/>
      <c r="B45" s="7"/>
      <c r="C45" s="7"/>
      <c r="D45" s="9"/>
    </row>
    <row r="46" spans="1:4" s="4" customFormat="1">
      <c r="A46" s="7"/>
      <c r="B46" s="7"/>
      <c r="C46" s="7"/>
      <c r="D46" s="9"/>
    </row>
    <row r="47" spans="1:4" s="4" customFormat="1">
      <c r="A47" s="7"/>
      <c r="B47" s="7"/>
      <c r="C47" s="7"/>
      <c r="D47" s="9"/>
    </row>
    <row r="48" spans="1:4" s="4" customFormat="1">
      <c r="A48" s="7"/>
      <c r="B48" s="7"/>
      <c r="C48" s="7"/>
      <c r="D48" s="9"/>
    </row>
    <row r="49" spans="1:4" s="4" customFormat="1">
      <c r="A49" s="7"/>
      <c r="B49" s="7"/>
      <c r="C49" s="7"/>
      <c r="D49" s="9"/>
    </row>
    <row r="50" spans="1:4" s="4" customFormat="1">
      <c r="A50" s="11"/>
      <c r="B50" s="11"/>
      <c r="C50" s="11"/>
      <c r="D50" s="12"/>
    </row>
  </sheetData>
  <sheetProtection formatColumns="0" insertRows="0" insertHyperlinks="0" deleteRows="0"/>
  <mergeCells count="1">
    <mergeCell ref="A10:D10"/>
  </mergeCells>
  <conditionalFormatting sqref="A30:C50">
    <cfRule type="expression" dxfId="112" priority="33">
      <formula>AND(COUNTA($A30:$D30)&gt;0,$A30="")</formula>
    </cfRule>
  </conditionalFormatting>
  <conditionalFormatting sqref="C30:C50">
    <cfRule type="duplicateValues" dxfId="111" priority="7"/>
    <cfRule type="duplicateValues" dxfId="110" priority="8"/>
  </conditionalFormatting>
  <conditionalFormatting sqref="A30:A50">
    <cfRule type="expression" dxfId="109" priority="34">
      <formula>AND(COUNTIF(UnitsTypeCV,$A30)=0,$A30&lt;&gt;"")</formula>
    </cfRule>
  </conditionalFormatting>
  <conditionalFormatting sqref="A14:C29">
    <cfRule type="expression" dxfId="108" priority="5">
      <formula>AND(COUNTA($A14:$D14)&gt;0,$A14="")</formula>
    </cfRule>
  </conditionalFormatting>
  <conditionalFormatting sqref="C14:C29">
    <cfRule type="duplicateValues" dxfId="107" priority="3"/>
    <cfRule type="duplicateValues" dxfId="106" priority="4"/>
  </conditionalFormatting>
  <conditionalFormatting sqref="A14:A29">
    <cfRule type="expression" dxfId="105" priority="6">
      <formula>AND(COUNTIF(UnitsTypeCV,$A14)=0,$A14&lt;&gt;"")</formula>
    </cfRule>
  </conditionalFormatting>
  <conditionalFormatting sqref="A12:C13">
    <cfRule type="duplicateValues" dxfId="104" priority="1"/>
    <cfRule type="expression" dxfId="103" priority="2">
      <formula>AND(COUNTA($A12:$D12)&gt;0,$A12="")</formula>
    </cfRule>
  </conditionalFormatting>
  <dataValidations count="1">
    <dataValidation type="list" allowBlank="1" showInputMessage="1" showErrorMessage="1" sqref="A12:A50" xr:uid="{00000000-0002-0000-0800-000000000000}">
      <formula1>UnitsTypeCV</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P97"/>
  <sheetViews>
    <sheetView tabSelected="1" topLeftCell="D1" workbookViewId="0">
      <selection activeCell="F20" sqref="F20"/>
    </sheetView>
  </sheetViews>
  <sheetFormatPr defaultColWidth="8.86328125" defaultRowHeight="14.25"/>
  <cols>
    <col min="1" max="1" width="7" style="5" customWidth="1"/>
    <col min="2" max="2" width="14.3984375" style="5" customWidth="1"/>
    <col min="3" max="3" width="14" style="5" bestFit="1" customWidth="1"/>
    <col min="4" max="4" width="24.1328125" style="5" bestFit="1" customWidth="1"/>
    <col min="5" max="5" width="16.265625" style="5" bestFit="1" customWidth="1"/>
    <col min="6" max="7" width="19.86328125" style="5" bestFit="1" customWidth="1"/>
    <col min="8" max="8" width="15.86328125" style="5" bestFit="1" customWidth="1"/>
    <col min="9" max="9" width="18" style="5" bestFit="1" customWidth="1"/>
    <col min="10" max="10" width="19.1328125" style="5" bestFit="1" customWidth="1"/>
    <col min="11" max="11" width="26.3984375" style="5" bestFit="1" customWidth="1"/>
    <col min="12" max="12" width="23.3984375" style="5" bestFit="1" customWidth="1"/>
    <col min="13" max="13" width="21.73046875" style="5" bestFit="1" customWidth="1"/>
    <col min="14" max="14" width="14.3984375" style="5" bestFit="1" customWidth="1"/>
    <col min="15" max="15" width="14.73046875" style="5" bestFit="1" customWidth="1"/>
    <col min="16" max="16" width="12.3984375" style="5" bestFit="1" customWidth="1"/>
    <col min="17" max="16384" width="8.86328125" style="5"/>
  </cols>
  <sheetData>
    <row r="1" spans="1:16" s="23" customFormat="1">
      <c r="A1" s="23" t="s">
        <v>233</v>
      </c>
    </row>
    <row r="2" spans="1:16" s="23" customFormat="1">
      <c r="A2" s="23" t="s">
        <v>218</v>
      </c>
    </row>
    <row r="3" spans="1:16" s="23" customFormat="1">
      <c r="A3" s="23" t="s">
        <v>217</v>
      </c>
    </row>
    <row r="4" spans="1:16" s="23" customFormat="1">
      <c r="A4" s="23" t="s">
        <v>235</v>
      </c>
      <c r="D4" s="142"/>
    </row>
    <row r="5" spans="1:16" s="23" customFormat="1" ht="14.65" thickBot="1">
      <c r="A5" s="23" t="s">
        <v>234</v>
      </c>
    </row>
    <row r="6" spans="1:16" s="23" customFormat="1" ht="14.65" thickBot="1">
      <c r="A6" s="23" t="s">
        <v>138</v>
      </c>
      <c r="D6" s="142"/>
      <c r="M6" s="77" t="s">
        <v>139</v>
      </c>
      <c r="N6" s="25">
        <f ca="1">MAX(DataColumns[Col '#])-2</f>
        <v>13</v>
      </c>
    </row>
    <row r="7" spans="1:16" s="23" customFormat="1">
      <c r="A7" s="23" t="s">
        <v>236</v>
      </c>
      <c r="D7" s="142"/>
    </row>
    <row r="8" spans="1:16" s="23" customFormat="1" ht="14.65" thickBot="1">
      <c r="O8" s="147"/>
    </row>
    <row r="9" spans="1:16" s="23" customFormat="1">
      <c r="A9" s="213" t="s">
        <v>46</v>
      </c>
      <c r="B9" s="214"/>
      <c r="C9" s="214"/>
      <c r="D9" s="214"/>
      <c r="E9" s="214"/>
      <c r="F9" s="214"/>
      <c r="G9" s="214"/>
      <c r="H9" s="214"/>
      <c r="I9" s="214"/>
      <c r="J9" s="214"/>
      <c r="K9" s="214"/>
      <c r="L9" s="214"/>
      <c r="M9" s="214"/>
      <c r="N9" s="214"/>
      <c r="O9" s="214"/>
      <c r="P9" s="215"/>
    </row>
    <row r="10" spans="1:16" s="23" customFormat="1" ht="14.65" thickBot="1">
      <c r="A10" s="76" t="s">
        <v>126</v>
      </c>
      <c r="B10" s="50" t="s">
        <v>132</v>
      </c>
      <c r="C10" s="52" t="s">
        <v>117</v>
      </c>
      <c r="D10" s="48" t="s">
        <v>124</v>
      </c>
      <c r="E10" s="48" t="s">
        <v>51</v>
      </c>
      <c r="F10" s="48" t="s">
        <v>207</v>
      </c>
      <c r="G10" s="48" t="s">
        <v>41</v>
      </c>
      <c r="H10" s="48" t="s">
        <v>48</v>
      </c>
      <c r="I10" s="48" t="s">
        <v>49</v>
      </c>
      <c r="J10" s="48" t="s">
        <v>42</v>
      </c>
      <c r="K10" s="48" t="s">
        <v>118</v>
      </c>
      <c r="L10" s="48" t="s">
        <v>45</v>
      </c>
      <c r="M10" s="48" t="s">
        <v>125</v>
      </c>
      <c r="N10" s="48" t="s">
        <v>120</v>
      </c>
      <c r="O10" s="48" t="s">
        <v>43</v>
      </c>
      <c r="P10" s="121" t="s">
        <v>44</v>
      </c>
    </row>
    <row r="11" spans="1:16" ht="14.65" thickTop="1">
      <c r="A11" s="42">
        <f ca="1">IF(COUNTA(DataColumns[[#This Row],[Column Label]:[Quality Code]])&gt;0,IF(MAX(INDIRECT(CONCATENATE("R",ROW(DataColumns[#Headers]),"C",COLUMN(),":R",ROW()-1,"C",COLUMN()),FALSE))=0,3,MAX(INDIRECT(CONCATENATE("R",ROW(DataColumns[#Headers]),"C",COLUMN(),":R",ROW()-1,"C",COLUMN()),FALSE))+1),"")</f>
        <v>3</v>
      </c>
      <c r="B11" s="13" t="s">
        <v>1818</v>
      </c>
      <c r="C11" s="15" t="s">
        <v>1797</v>
      </c>
      <c r="D11" s="14" t="s">
        <v>1812</v>
      </c>
      <c r="E11" s="14" t="s">
        <v>1764</v>
      </c>
      <c r="F11" s="14" t="s">
        <v>1786</v>
      </c>
      <c r="G11" s="14" t="s">
        <v>576</v>
      </c>
      <c r="H11" s="14" t="s">
        <v>1775</v>
      </c>
      <c r="I11" s="7" t="s">
        <v>1793</v>
      </c>
      <c r="J11" s="14">
        <v>2</v>
      </c>
      <c r="K11" s="14" t="s">
        <v>1571</v>
      </c>
      <c r="L11" s="14">
        <v>1</v>
      </c>
      <c r="M11" s="14" t="s">
        <v>1811</v>
      </c>
      <c r="N11" s="14" t="s">
        <v>121</v>
      </c>
      <c r="O11" s="14" t="s">
        <v>468</v>
      </c>
      <c r="P11" s="27" t="s">
        <v>119</v>
      </c>
    </row>
    <row r="12" spans="1:16">
      <c r="A12" s="43">
        <f ca="1">IF(COUNTA(DataColumns[[#This Row],[Column Label]:[Quality Code]])&gt;0,IF(MAX(INDIRECT(CONCATENATE("R",ROW(DataColumns[#Headers]),"C",COLUMN(),":R",ROW()-1,"C",COLUMN()),FALSE))=0,3,MAX(INDIRECT(CONCATENATE("R",ROW(DataColumns[#Headers]),"C",COLUMN(),":R",ROW()-1,"C",COLUMN()),FALSE))+1),"")</f>
        <v>4</v>
      </c>
      <c r="B12" s="6" t="s">
        <v>1819</v>
      </c>
      <c r="C12" s="18" t="s">
        <v>1798</v>
      </c>
      <c r="D12" s="7" t="s">
        <v>1812</v>
      </c>
      <c r="E12" s="7" t="s">
        <v>1765</v>
      </c>
      <c r="F12" s="7" t="s">
        <v>1786</v>
      </c>
      <c r="G12" s="7" t="s">
        <v>576</v>
      </c>
      <c r="H12" s="7" t="s">
        <v>1851</v>
      </c>
      <c r="I12" s="7" t="s">
        <v>1794</v>
      </c>
      <c r="J12" s="7">
        <v>1</v>
      </c>
      <c r="K12" s="7" t="s">
        <v>1571</v>
      </c>
      <c r="L12" s="7">
        <v>1</v>
      </c>
      <c r="M12" s="14" t="s">
        <v>1811</v>
      </c>
      <c r="N12" s="7" t="s">
        <v>121</v>
      </c>
      <c r="O12" s="7" t="s">
        <v>468</v>
      </c>
      <c r="P12" s="27" t="s">
        <v>119</v>
      </c>
    </row>
    <row r="13" spans="1:16">
      <c r="A13" s="43">
        <f ca="1">IF(COUNTA(DataColumns[[#This Row],[Column Label]:[Quality Code]])&gt;0,IF(MAX(INDIRECT(CONCATENATE("R",ROW(DataColumns[#Headers]),"C",COLUMN(),":R",ROW()-1,"C",COLUMN()),FALSE))=0,3,MAX(INDIRECT(CONCATENATE("R",ROW(DataColumns[#Headers]),"C",COLUMN(),":R",ROW()-1,"C",COLUMN()),FALSE))+1),"")</f>
        <v>5</v>
      </c>
      <c r="B13" s="6" t="s">
        <v>1827</v>
      </c>
      <c r="C13" s="18" t="s">
        <v>1799</v>
      </c>
      <c r="D13" s="7" t="s">
        <v>1813</v>
      </c>
      <c r="E13" s="7" t="s">
        <v>1763</v>
      </c>
      <c r="F13" s="7" t="s">
        <v>1786</v>
      </c>
      <c r="G13" s="7" t="s">
        <v>576</v>
      </c>
      <c r="H13" s="7" t="s">
        <v>1775</v>
      </c>
      <c r="I13" s="7" t="s">
        <v>1793</v>
      </c>
      <c r="J13" s="7">
        <v>2</v>
      </c>
      <c r="K13" s="7" t="s">
        <v>1571</v>
      </c>
      <c r="L13" s="7">
        <v>1</v>
      </c>
      <c r="M13" s="14" t="s">
        <v>1811</v>
      </c>
      <c r="N13" s="7" t="s">
        <v>121</v>
      </c>
      <c r="O13" s="7" t="s">
        <v>468</v>
      </c>
      <c r="P13" s="27" t="s">
        <v>119</v>
      </c>
    </row>
    <row r="14" spans="1:16">
      <c r="A14" s="43">
        <f ca="1">IF(COUNTA(DataColumns[[#This Row],[Column Label]:[Quality Code]])&gt;0,IF(MAX(INDIRECT(CONCATENATE("R",ROW(DataColumns[#Headers]),"C",COLUMN(),":R",ROW()-1,"C",COLUMN()),FALSE))=0,3,MAX(INDIRECT(CONCATENATE("R",ROW(DataColumns[#Headers]),"C",COLUMN(),":R",ROW()-1,"C",COLUMN()),FALSE))+1),"")</f>
        <v>6</v>
      </c>
      <c r="B14" s="6" t="s">
        <v>1828</v>
      </c>
      <c r="C14" s="18" t="s">
        <v>1800</v>
      </c>
      <c r="D14" s="7" t="s">
        <v>1813</v>
      </c>
      <c r="E14" s="7" t="s">
        <v>1852</v>
      </c>
      <c r="F14" s="7" t="s">
        <v>1786</v>
      </c>
      <c r="G14" s="7" t="s">
        <v>576</v>
      </c>
      <c r="H14" s="7" t="s">
        <v>1777</v>
      </c>
      <c r="I14" s="7" t="s">
        <v>1793</v>
      </c>
      <c r="J14" s="7">
        <v>2</v>
      </c>
      <c r="K14" s="7" t="s">
        <v>538</v>
      </c>
      <c r="L14" s="7">
        <v>1</v>
      </c>
      <c r="M14" s="14" t="s">
        <v>1811</v>
      </c>
      <c r="N14" s="7" t="s">
        <v>121</v>
      </c>
      <c r="O14" s="7" t="s">
        <v>468</v>
      </c>
      <c r="P14" s="27" t="s">
        <v>119</v>
      </c>
    </row>
    <row r="15" spans="1:16">
      <c r="A15" s="43">
        <f ca="1">IF(COUNTA(DataColumns[[#This Row],[Column Label]:[Quality Code]])&gt;0,IF(MAX(INDIRECT(CONCATENATE("R",ROW(DataColumns[#Headers]),"C",COLUMN(),":R",ROW()-1,"C",COLUMN()),FALSE))=0,3,MAX(INDIRECT(CONCATENATE("R",ROW(DataColumns[#Headers]),"C",COLUMN(),":R",ROW()-1,"C",COLUMN()),FALSE))+1),"")</f>
        <v>7</v>
      </c>
      <c r="B15" s="6" t="s">
        <v>1820</v>
      </c>
      <c r="C15" s="18" t="s">
        <v>1801</v>
      </c>
      <c r="D15" s="7" t="s">
        <v>1814</v>
      </c>
      <c r="E15" s="7" t="s">
        <v>1763</v>
      </c>
      <c r="F15" s="7" t="s">
        <v>1786</v>
      </c>
      <c r="G15" s="7" t="s">
        <v>576</v>
      </c>
      <c r="H15" s="7" t="s">
        <v>1775</v>
      </c>
      <c r="I15" s="7" t="s">
        <v>1793</v>
      </c>
      <c r="J15" s="7">
        <v>2</v>
      </c>
      <c r="K15" s="7" t="s">
        <v>1571</v>
      </c>
      <c r="L15" s="7">
        <v>1</v>
      </c>
      <c r="M15" s="14" t="s">
        <v>1811</v>
      </c>
      <c r="N15" s="7" t="s">
        <v>121</v>
      </c>
      <c r="O15" s="7" t="s">
        <v>468</v>
      </c>
      <c r="P15" s="27" t="s">
        <v>119</v>
      </c>
    </row>
    <row r="16" spans="1:16">
      <c r="A16" s="43">
        <f ca="1">IF(COUNTA(DataColumns[[#This Row],[Column Label]:[Quality Code]])&gt;0,IF(MAX(INDIRECT(CONCATENATE("R",ROW(DataColumns[#Headers]),"C",COLUMN(),":R",ROW()-1,"C",COLUMN()),FALSE))=0,3,MAX(INDIRECT(CONCATENATE("R",ROW(DataColumns[#Headers]),"C",COLUMN(),":R",ROW()-1,"C",COLUMN()),FALSE))+1),"")</f>
        <v>8</v>
      </c>
      <c r="B16" s="6" t="s">
        <v>1821</v>
      </c>
      <c r="C16" s="18" t="s">
        <v>1802</v>
      </c>
      <c r="D16" s="7" t="s">
        <v>1814</v>
      </c>
      <c r="E16" s="7" t="s">
        <v>1852</v>
      </c>
      <c r="F16" s="7" t="s">
        <v>1786</v>
      </c>
      <c r="G16" s="7" t="s">
        <v>576</v>
      </c>
      <c r="H16" s="7" t="s">
        <v>1777</v>
      </c>
      <c r="I16" s="7" t="s">
        <v>1793</v>
      </c>
      <c r="J16" s="7">
        <v>2</v>
      </c>
      <c r="K16" s="7" t="s">
        <v>538</v>
      </c>
      <c r="L16" s="7">
        <v>1</v>
      </c>
      <c r="M16" s="14" t="s">
        <v>1811</v>
      </c>
      <c r="N16" s="7" t="s">
        <v>121</v>
      </c>
      <c r="O16" s="7" t="s">
        <v>468</v>
      </c>
      <c r="P16" s="27" t="s">
        <v>119</v>
      </c>
    </row>
    <row r="17" spans="1:16">
      <c r="A17" s="43">
        <f ca="1">IF(COUNTA(DataColumns[[#This Row],[Column Label]:[Quality Code]])&gt;0,IF(MAX(INDIRECT(CONCATENATE("R",ROW(DataColumns[#Headers]),"C",COLUMN(),":R",ROW()-1,"C",COLUMN()),FALSE))=0,3,MAX(INDIRECT(CONCATENATE("R",ROW(DataColumns[#Headers]),"C",COLUMN(),":R",ROW()-1,"C",COLUMN()),FALSE))+1),"")</f>
        <v>9</v>
      </c>
      <c r="B17" s="6" t="s">
        <v>1822</v>
      </c>
      <c r="C17" s="18" t="s">
        <v>1803</v>
      </c>
      <c r="D17" s="7" t="s">
        <v>1815</v>
      </c>
      <c r="E17" s="7" t="s">
        <v>1764</v>
      </c>
      <c r="F17" s="7" t="s">
        <v>1786</v>
      </c>
      <c r="G17" s="7" t="s">
        <v>576</v>
      </c>
      <c r="H17" s="7" t="s">
        <v>1775</v>
      </c>
      <c r="I17" s="7" t="s">
        <v>1793</v>
      </c>
      <c r="J17" s="7">
        <v>2</v>
      </c>
      <c r="K17" s="7" t="s">
        <v>1571</v>
      </c>
      <c r="L17" s="7">
        <v>1</v>
      </c>
      <c r="M17" s="14" t="s">
        <v>1811</v>
      </c>
      <c r="N17" s="7" t="s">
        <v>121</v>
      </c>
      <c r="O17" s="7" t="s">
        <v>468</v>
      </c>
      <c r="P17" s="27" t="s">
        <v>119</v>
      </c>
    </row>
    <row r="18" spans="1:16">
      <c r="A18" s="43">
        <f ca="1">IF(COUNTA(DataColumns[[#This Row],[Column Label]:[Quality Code]])&gt;0,IF(MAX(INDIRECT(CONCATENATE("R",ROW(DataColumns[#Headers]),"C",COLUMN(),":R",ROW()-1,"C",COLUMN()),FALSE))=0,3,MAX(INDIRECT(CONCATENATE("R",ROW(DataColumns[#Headers]),"C",COLUMN(),":R",ROW()-1,"C",COLUMN()),FALSE))+1),"")</f>
        <v>10</v>
      </c>
      <c r="B18" s="6" t="s">
        <v>1823</v>
      </c>
      <c r="C18" s="18" t="s">
        <v>1804</v>
      </c>
      <c r="D18" s="7" t="s">
        <v>1815</v>
      </c>
      <c r="E18" s="7" t="s">
        <v>1765</v>
      </c>
      <c r="F18" s="7" t="s">
        <v>1786</v>
      </c>
      <c r="G18" s="7" t="s">
        <v>576</v>
      </c>
      <c r="H18" s="7" t="s">
        <v>1851</v>
      </c>
      <c r="I18" s="7" t="s">
        <v>1794</v>
      </c>
      <c r="J18" s="7">
        <v>1</v>
      </c>
      <c r="K18" s="7" t="s">
        <v>1571</v>
      </c>
      <c r="L18" s="7">
        <v>1</v>
      </c>
      <c r="M18" s="14" t="s">
        <v>1811</v>
      </c>
      <c r="N18" s="7" t="s">
        <v>121</v>
      </c>
      <c r="O18" s="7" t="s">
        <v>468</v>
      </c>
      <c r="P18" s="27" t="s">
        <v>119</v>
      </c>
    </row>
    <row r="19" spans="1:16">
      <c r="A19" s="43">
        <f ca="1">IF(COUNTA(DataColumns[[#This Row],[Column Label]:[Quality Code]])&gt;0,IF(MAX(INDIRECT(CONCATENATE("R",ROW(DataColumns[#Headers]),"C",COLUMN(),":R",ROW()-1,"C",COLUMN()),FALSE))=0,3,MAX(INDIRECT(CONCATENATE("R",ROW(DataColumns[#Headers]),"C",COLUMN(),":R",ROW()-1,"C",COLUMN()),FALSE))+1),"")</f>
        <v>11</v>
      </c>
      <c r="B19" s="6" t="s">
        <v>1824</v>
      </c>
      <c r="C19" s="18" t="s">
        <v>1805</v>
      </c>
      <c r="D19" s="7" t="s">
        <v>1816</v>
      </c>
      <c r="E19" s="7" t="s">
        <v>1763</v>
      </c>
      <c r="F19" s="7" t="s">
        <v>1786</v>
      </c>
      <c r="G19" s="7" t="s">
        <v>576</v>
      </c>
      <c r="H19" s="7" t="s">
        <v>1775</v>
      </c>
      <c r="I19" s="7" t="s">
        <v>1793</v>
      </c>
      <c r="J19" s="7">
        <v>2</v>
      </c>
      <c r="K19" s="7" t="s">
        <v>1571</v>
      </c>
      <c r="L19" s="7">
        <v>1</v>
      </c>
      <c r="M19" s="14" t="s">
        <v>1811</v>
      </c>
      <c r="N19" s="7" t="s">
        <v>121</v>
      </c>
      <c r="O19" s="7" t="s">
        <v>468</v>
      </c>
      <c r="P19" s="27" t="s">
        <v>119</v>
      </c>
    </row>
    <row r="20" spans="1:16">
      <c r="A20" s="43">
        <f ca="1">IF(COUNTA(DataColumns[[#This Row],[Column Label]:[Quality Code]])&gt;0,IF(MAX(INDIRECT(CONCATENATE("R",ROW(DataColumns[#Headers]),"C",COLUMN(),":R",ROW()-1,"C",COLUMN()),FALSE))=0,3,MAX(INDIRECT(CONCATENATE("R",ROW(DataColumns[#Headers]),"C",COLUMN(),":R",ROW()-1,"C",COLUMN()),FALSE))+1),"")</f>
        <v>12</v>
      </c>
      <c r="B20" s="6" t="s">
        <v>1825</v>
      </c>
      <c r="C20" s="18" t="s">
        <v>1806</v>
      </c>
      <c r="D20" s="7" t="s">
        <v>1816</v>
      </c>
      <c r="E20" s="7" t="s">
        <v>1852</v>
      </c>
      <c r="F20" s="7" t="s">
        <v>1786</v>
      </c>
      <c r="G20" s="7" t="s">
        <v>576</v>
      </c>
      <c r="H20" s="7" t="s">
        <v>1777</v>
      </c>
      <c r="I20" s="7" t="s">
        <v>1793</v>
      </c>
      <c r="J20" s="7">
        <v>2</v>
      </c>
      <c r="K20" s="7" t="s">
        <v>538</v>
      </c>
      <c r="L20" s="7">
        <v>1</v>
      </c>
      <c r="M20" s="14" t="s">
        <v>1811</v>
      </c>
      <c r="N20" s="7" t="s">
        <v>121</v>
      </c>
      <c r="O20" s="7" t="s">
        <v>468</v>
      </c>
      <c r="P20" s="27" t="s">
        <v>119</v>
      </c>
    </row>
    <row r="21" spans="1:16">
      <c r="A21" s="43">
        <f ca="1">IF(COUNTA(DataColumns[[#This Row],[Column Label]:[Quality Code]])&gt;0,IF(MAX(INDIRECT(CONCATENATE("R",ROW(DataColumns[#Headers]),"C",COLUMN(),":R",ROW()-1,"C",COLUMN()),FALSE))=0,3,MAX(INDIRECT(CONCATENATE("R",ROW(DataColumns[#Headers]),"C",COLUMN(),":R",ROW()-1,"C",COLUMN()),FALSE))+1),"")</f>
        <v>13</v>
      </c>
      <c r="B21" s="6" t="s">
        <v>1826</v>
      </c>
      <c r="C21" s="18" t="s">
        <v>1807</v>
      </c>
      <c r="D21" s="7" t="s">
        <v>1817</v>
      </c>
      <c r="E21" s="7" t="s">
        <v>1764</v>
      </c>
      <c r="F21" s="7" t="s">
        <v>1786</v>
      </c>
      <c r="G21" s="7" t="s">
        <v>576</v>
      </c>
      <c r="H21" s="7" t="s">
        <v>1775</v>
      </c>
      <c r="I21" s="7" t="s">
        <v>1793</v>
      </c>
      <c r="J21" s="7">
        <v>2</v>
      </c>
      <c r="K21" s="7" t="s">
        <v>1571</v>
      </c>
      <c r="L21" s="7">
        <v>1</v>
      </c>
      <c r="M21" s="14" t="s">
        <v>1811</v>
      </c>
      <c r="N21" s="7" t="s">
        <v>121</v>
      </c>
      <c r="O21" s="7" t="s">
        <v>468</v>
      </c>
      <c r="P21" s="27" t="s">
        <v>119</v>
      </c>
    </row>
    <row r="22" spans="1:16">
      <c r="A22" s="43">
        <f ca="1">IF(COUNTA(DataColumns[[#This Row],[Column Label]:[Quality Code]])&gt;0,IF(MAX(INDIRECT(CONCATENATE("R",ROW(DataColumns[#Headers]),"C",COLUMN(),":R",ROW()-1,"C",COLUMN()),FALSE))=0,3,MAX(INDIRECT(CONCATENATE("R",ROW(DataColumns[#Headers]),"C",COLUMN(),":R",ROW()-1,"C",COLUMN()),FALSE))+1),"")</f>
        <v>14</v>
      </c>
      <c r="B22" s="6" t="s">
        <v>1830</v>
      </c>
      <c r="C22" s="18" t="s">
        <v>1808</v>
      </c>
      <c r="D22" s="7" t="s">
        <v>1817</v>
      </c>
      <c r="E22" s="7" t="s">
        <v>1765</v>
      </c>
      <c r="F22" s="7" t="s">
        <v>1786</v>
      </c>
      <c r="G22" s="7" t="s">
        <v>576</v>
      </c>
      <c r="H22" s="7" t="s">
        <v>1851</v>
      </c>
      <c r="I22" s="7" t="s">
        <v>1794</v>
      </c>
      <c r="J22" s="7">
        <v>1</v>
      </c>
      <c r="K22" s="7" t="s">
        <v>1571</v>
      </c>
      <c r="L22" s="7">
        <v>1</v>
      </c>
      <c r="M22" s="14" t="s">
        <v>1811</v>
      </c>
      <c r="N22" s="7" t="s">
        <v>121</v>
      </c>
      <c r="O22" s="7" t="s">
        <v>468</v>
      </c>
      <c r="P22" s="27" t="s">
        <v>119</v>
      </c>
    </row>
    <row r="23" spans="1:16">
      <c r="A23" s="43">
        <f ca="1">IF(COUNTA(DataColumns[[#This Row],[Column Label]:[Quality Code]])&gt;0,IF(MAX(INDIRECT(CONCATENATE("R",ROW(DataColumns[#Headers]),"C",COLUMN(),":R",ROW()-1,"C",COLUMN()),FALSE))=0,3,MAX(INDIRECT(CONCATENATE("R",ROW(DataColumns[#Headers]),"C",COLUMN(),":R",ROW()-1,"C",COLUMN()),FALSE))+1),"")</f>
        <v>15</v>
      </c>
      <c r="B23" s="6" t="s">
        <v>1829</v>
      </c>
      <c r="C23" s="18" t="s">
        <v>1809</v>
      </c>
      <c r="D23" s="7" t="s">
        <v>1817</v>
      </c>
      <c r="E23" s="7" t="s">
        <v>1852</v>
      </c>
      <c r="F23" s="7" t="s">
        <v>1786</v>
      </c>
      <c r="G23" s="7" t="s">
        <v>576</v>
      </c>
      <c r="H23" s="7" t="s">
        <v>1777</v>
      </c>
      <c r="I23" s="7" t="s">
        <v>1793</v>
      </c>
      <c r="J23" s="7">
        <v>2</v>
      </c>
      <c r="K23" s="7" t="s">
        <v>538</v>
      </c>
      <c r="L23" s="7">
        <v>1</v>
      </c>
      <c r="M23" s="14" t="s">
        <v>1811</v>
      </c>
      <c r="N23" s="7" t="s">
        <v>121</v>
      </c>
      <c r="O23" s="7" t="s">
        <v>468</v>
      </c>
      <c r="P23" s="27" t="s">
        <v>119</v>
      </c>
    </row>
    <row r="24" spans="1:16">
      <c r="A24" s="43"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c r="A25" s="43"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c r="A26" s="43"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c r="A27" s="43"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c r="A28" s="43"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c r="A29" s="43"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c r="A30" s="43"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c r="A31" s="43"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c r="A32" s="43"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c r="A33" s="43"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c r="A34" s="43"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c r="A35" s="43"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c r="A36" s="43" t="str">
        <f ca="1">IF(COUNTA(DataColumns[[#This Row],[Column Label]:[Quality Code]])&gt;0,IF(MAX(INDIRECT(CONCATENATE("R",ROW(DataColumns[#Headers]),"C",COLUMN(),":R",ROW()-1,"C",COLUMN()),FALSE))=0,3,MAX(INDIRECT(CONCATENATE("R",ROW(DataColumns[#Headers]),"C",COLUMN(),":R",ROW()-1,"C",COLUMN()),FALSE))+1),"")</f>
        <v/>
      </c>
      <c r="B36" s="6"/>
      <c r="C36" s="181"/>
      <c r="D36" s="7"/>
      <c r="E36" s="7"/>
      <c r="F36" s="7"/>
      <c r="G36" s="7"/>
      <c r="H36" s="7"/>
      <c r="I36" s="7"/>
      <c r="J36" s="7"/>
      <c r="K36" s="7"/>
      <c r="L36" s="7"/>
      <c r="M36" s="14"/>
      <c r="N36" s="7"/>
      <c r="O36" s="7"/>
      <c r="P36" s="28"/>
    </row>
    <row r="37" spans="1:16">
      <c r="A37" s="43"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c r="A38" s="43"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c r="A39" s="43"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c r="A40" s="43"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c r="A41" s="43"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c r="A42" s="43"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c r="A43" s="43" t="str">
        <f ca="1">IF(COUNTA(DataColumns[[#This Row],[Column Label]:[Quality Code]])&gt;0,IF(MAX(INDIRECT(CONCATENATE("R",ROW(DataColumns[#Headers]),"C",COLUMN(),":R",ROW()-1,"C",COLUMN()),FALSE))=0,3,MAX(INDIRECT(CONCATENATE("R",ROW(DataColumns[#Headers]),"C",COLUMN(),":R",ROW()-1,"C",COLUMN()),FALSE))+1),"")</f>
        <v/>
      </c>
      <c r="B43" s="6"/>
      <c r="C43" s="181"/>
      <c r="D43" s="7"/>
      <c r="E43" s="7"/>
      <c r="F43" s="7"/>
      <c r="G43" s="7"/>
      <c r="H43" s="7"/>
      <c r="I43" s="7"/>
      <c r="J43" s="7"/>
      <c r="K43" s="7"/>
      <c r="L43" s="7"/>
      <c r="M43" s="14"/>
      <c r="N43" s="7"/>
      <c r="O43" s="7"/>
      <c r="P43" s="28"/>
    </row>
    <row r="44" spans="1:16">
      <c r="A44" s="43"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c r="A45" s="43"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c r="A46" s="43"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c r="A47" s="43"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c r="A48" s="43"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c r="A49" s="43"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c r="A50" s="43"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c r="A51" s="43"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c r="A52" s="43"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c r="A53" s="43"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c r="A54" s="43"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c r="A55" s="43"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c r="A56" s="43"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c r="A57" s="43"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c r="A58" s="43"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c r="A59" s="43"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c r="A60" s="43"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c r="A61" s="43"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c r="A62" s="43"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c r="A63" s="43"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c r="A64" s="43"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c r="A65" s="43"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c r="A66" s="43"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c r="A67" s="43"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c r="A68" s="43"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c r="A69" s="43"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c r="A70" s="43"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c r="A71" s="43"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c r="A72" s="43"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c r="A73" s="43"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c r="A74" s="43"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c r="A75" s="43"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c r="A76" s="43"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c r="A77" s="43"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c r="A78" s="43"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c r="A79" s="43"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c r="A80" s="43"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c r="A81" s="43"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c r="A82" s="43"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c r="A83" s="43"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c r="A84" s="43"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c r="A85" s="43"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c r="A86" s="43"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c r="A87" s="43"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c r="A88" s="43"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c r="A89" s="43"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c r="A90" s="43"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c r="A91" s="43"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c r="A92" s="43"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c r="A93" s="43"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c r="A94" s="43"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c r="A95" s="43"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c r="A96" s="43"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4.65" thickBot="1">
      <c r="A97" s="44" t="str">
        <f ca="1">IF(COUNTA(DataColumns[[#This Row],[Column Label]:[Quality Code]])&gt;0,IF(MAX(INDIRECT(CONCATENATE("R",ROW(DataColumns[#Headers]),"C",COLUMN(),":R",ROW()-1,"C",COLUMN()),FALSE))=0,3,MAX(INDIRECT(CONCATENATE("R",ROW(DataColumns[#Headers]),"C",COLUMN(),":R",ROW()-1,"C",COLUMN()),FALSE))+1),"")</f>
        <v/>
      </c>
      <c r="B97" s="122"/>
      <c r="C97" s="123"/>
      <c r="D97" s="100"/>
      <c r="E97" s="100"/>
      <c r="F97" s="100"/>
      <c r="G97" s="100"/>
      <c r="H97" s="100"/>
      <c r="I97" s="7"/>
      <c r="J97" s="100"/>
      <c r="K97" s="100"/>
      <c r="L97" s="100"/>
      <c r="M97" s="14"/>
      <c r="N97" s="100"/>
      <c r="O97" s="100"/>
      <c r="P97" s="30"/>
    </row>
  </sheetData>
  <sheetProtection formatColumns="0" insertRows="0" insertHyperlinks="0" deleteRows="0"/>
  <mergeCells count="1">
    <mergeCell ref="A9:P9"/>
  </mergeCells>
  <conditionalFormatting sqref="D82:D97">
    <cfRule type="expression" dxfId="102" priority="73">
      <formula>AND(COUNTIF(FeatureCodes,$D82)=0,$D82&lt;&gt;"")</formula>
    </cfRule>
  </conditionalFormatting>
  <conditionalFormatting sqref="B82:B97">
    <cfRule type="duplicateValues" dxfId="101" priority="72"/>
  </conditionalFormatting>
  <conditionalFormatting sqref="E82:E97">
    <cfRule type="expression" dxfId="100" priority="71">
      <formula>AND(COUNTIF(MethodCodes,$E82)=0,$E82&lt;&gt;"")</formula>
    </cfRule>
  </conditionalFormatting>
  <conditionalFormatting sqref="F82:F97">
    <cfRule type="expression" dxfId="99" priority="70">
      <formula>AND(COUNTIF(PeopleNames,$F82)=0,$F82&lt;&gt;"")</formula>
    </cfRule>
  </conditionalFormatting>
  <conditionalFormatting sqref="G82:G97">
    <cfRule type="expression" dxfId="98" priority="69">
      <formula>AND(COUNTIF(ApplicableResultTypes,$G82)=0,$G82&lt;&gt;"")</formula>
    </cfRule>
  </conditionalFormatting>
  <conditionalFormatting sqref="H82:H97">
    <cfRule type="expression" dxfId="97" priority="68">
      <formula>AND(COUNTIF(VariableCodes,$H82)=0,$H82&lt;&gt;"")</formula>
    </cfRule>
  </conditionalFormatting>
  <conditionalFormatting sqref="J82:J97">
    <cfRule type="expression" dxfId="96" priority="67">
      <formula>AND(COUNTIF(ProcessingLevelCodes,$J82)=0,$J82&lt;&gt;"")</formula>
    </cfRule>
  </conditionalFormatting>
  <conditionalFormatting sqref="K82:K97">
    <cfRule type="expression" dxfId="95" priority="66">
      <formula>AND(COUNTIF(SampledMediumCV,$K82)=0,$K82&lt;&gt;"")</formula>
    </cfRule>
  </conditionalFormatting>
  <conditionalFormatting sqref="L82:L97">
    <cfRule type="expression" dxfId="94" priority="65">
      <formula>ISTEXT($L82)</formula>
    </cfRule>
  </conditionalFormatting>
  <conditionalFormatting sqref="N82:N97">
    <cfRule type="expression" dxfId="93" priority="64">
      <formula>AND(COUNTIF(AggregationStatisticCV,$N82)=0,$N82&lt;&gt;"")</formula>
    </cfRule>
  </conditionalFormatting>
  <conditionalFormatting sqref="O82:O97">
    <cfRule type="expression" dxfId="92" priority="63">
      <formula>AND(COUNTIF(CensorCodeCV,$O82)=0,$O82&lt;&gt;"")</formula>
    </cfRule>
  </conditionalFormatting>
  <conditionalFormatting sqref="P82:P97">
    <cfRule type="expression" dxfId="91" priority="62">
      <formula>AND(COUNTIF(QualityCodeCV,$P82)=0,$P82&lt;&gt;"")</formula>
    </cfRule>
  </conditionalFormatting>
  <conditionalFormatting sqref="B82:B97 D82:P97">
    <cfRule type="expression" dxfId="90" priority="61">
      <formula>AND(COUNTA($B82:$P82)&gt;0,B82="")</formula>
    </cfRule>
  </conditionalFormatting>
  <conditionalFormatting sqref="B82:P97 C12:C81">
    <cfRule type="expression" dxfId="89" priority="60">
      <formula>AND(COUNTA($B11:$P11)=0,B12&lt;&gt;"")</formula>
    </cfRule>
  </conditionalFormatting>
  <conditionalFormatting sqref="C11:C97">
    <cfRule type="duplicateValues" dxfId="88" priority="59"/>
  </conditionalFormatting>
  <conditionalFormatting sqref="B12 B24:B81">
    <cfRule type="expression" dxfId="87" priority="43">
      <formula>AND(COUNTA($B11:$P11)=0,B12&lt;&gt;"")</formula>
    </cfRule>
  </conditionalFormatting>
  <conditionalFormatting sqref="D11:D81">
    <cfRule type="expression" dxfId="86" priority="58">
      <formula>AND(COUNTIF(FeatureCodes,$D11)=0,$D11&lt;&gt;"")</formula>
    </cfRule>
  </conditionalFormatting>
  <conditionalFormatting sqref="E11:E81">
    <cfRule type="expression" dxfId="85" priority="57">
      <formula>AND(COUNTIF(MethodCodes,$E11)=0,$E11&lt;&gt;"")</formula>
    </cfRule>
  </conditionalFormatting>
  <conditionalFormatting sqref="F11:F81">
    <cfRule type="expression" dxfId="84" priority="56">
      <formula>AND(COUNTIF(PeopleNames,$F11)=0,$F11&lt;&gt;"")</formula>
    </cfRule>
  </conditionalFormatting>
  <conditionalFormatting sqref="G11:G81">
    <cfRule type="expression" dxfId="83" priority="55">
      <formula>AND(COUNTIF(ApplicableResultTypes,$G11)=0,$G11&lt;&gt;"")</formula>
    </cfRule>
  </conditionalFormatting>
  <conditionalFormatting sqref="H11:H81">
    <cfRule type="expression" dxfId="82" priority="54">
      <formula>AND(COUNTIF(VariableCodes,$H11)=0,$H11&lt;&gt;"")</formula>
    </cfRule>
  </conditionalFormatting>
  <conditionalFormatting sqref="J11:J81">
    <cfRule type="expression" dxfId="81" priority="53">
      <formula>AND(COUNTIF(ProcessingLevelCodes,$J11)=0,$J11&lt;&gt;"")</formula>
    </cfRule>
  </conditionalFormatting>
  <conditionalFormatting sqref="K11:K81">
    <cfRule type="expression" dxfId="80" priority="52">
      <formula>AND(COUNTIF(SampledMediumCV,$K11)=0,$K11&lt;&gt;"")</formula>
    </cfRule>
  </conditionalFormatting>
  <conditionalFormatting sqref="L11:L81">
    <cfRule type="expression" dxfId="79" priority="51">
      <formula>ISTEXT($L11)</formula>
    </cfRule>
  </conditionalFormatting>
  <conditionalFormatting sqref="N11:N81">
    <cfRule type="expression" dxfId="78" priority="50">
      <formula>AND(COUNTIF(AggregationStatisticCV,$N11)=0,$N11&lt;&gt;"")</formula>
    </cfRule>
  </conditionalFormatting>
  <conditionalFormatting sqref="O11:O81">
    <cfRule type="expression" dxfId="77" priority="49">
      <formula>AND(COUNTIF(CensorCodeCV,$O11)=0,$O11&lt;&gt;"")</formula>
    </cfRule>
  </conditionalFormatting>
  <conditionalFormatting sqref="P11:P81">
    <cfRule type="expression" dxfId="76" priority="48">
      <formula>AND(COUNTIF(QualityCodeCV,$P11)=0,$P11&lt;&gt;"")</formula>
    </cfRule>
  </conditionalFormatting>
  <conditionalFormatting sqref="D11:P81">
    <cfRule type="expression" dxfId="75" priority="47">
      <formula>AND(COUNTA($B11:$P11)&gt;0,D11="")</formula>
    </cfRule>
  </conditionalFormatting>
  <conditionalFormatting sqref="I11:I81 D12:H81 J12:P81">
    <cfRule type="expression" dxfId="74" priority="46">
      <formula>AND(COUNTA($B10:$P10)=0,D11&lt;&gt;"")</formula>
    </cfRule>
  </conditionalFormatting>
  <conditionalFormatting sqref="B11:B12 B24:B81">
    <cfRule type="duplicateValues" dxfId="73" priority="45"/>
  </conditionalFormatting>
  <conditionalFormatting sqref="B11:B12 B24:B81">
    <cfRule type="expression" dxfId="72" priority="44">
      <formula>AND(COUNTA($B11:$P11)&gt;0,B11="")</formula>
    </cfRule>
  </conditionalFormatting>
  <conditionalFormatting sqref="B21">
    <cfRule type="expression" dxfId="71" priority="5">
      <formula>AND(COUNTA($B21:$P21)&gt;0,B21="")</formula>
    </cfRule>
  </conditionalFormatting>
  <conditionalFormatting sqref="B21">
    <cfRule type="expression" dxfId="70" priority="4">
      <formula>AND(COUNTA($B20:$P20)=0,B21&lt;&gt;"")</formula>
    </cfRule>
  </conditionalFormatting>
  <conditionalFormatting sqref="B13">
    <cfRule type="expression" dxfId="69" priority="37">
      <formula>AND(COUNTA($B12:$P12)=0,B13&lt;&gt;"")</formula>
    </cfRule>
  </conditionalFormatting>
  <conditionalFormatting sqref="B13">
    <cfRule type="duplicateValues" dxfId="68" priority="39"/>
  </conditionalFormatting>
  <conditionalFormatting sqref="B13">
    <cfRule type="expression" dxfId="67" priority="38">
      <formula>AND(COUNTA($B13:$P13)&gt;0,B13="")</formula>
    </cfRule>
  </conditionalFormatting>
  <conditionalFormatting sqref="B14">
    <cfRule type="expression" dxfId="66" priority="31">
      <formula>AND(COUNTA($B13:$P13)=0,B14&lt;&gt;"")</formula>
    </cfRule>
  </conditionalFormatting>
  <conditionalFormatting sqref="B14">
    <cfRule type="duplicateValues" dxfId="65" priority="33"/>
  </conditionalFormatting>
  <conditionalFormatting sqref="B14">
    <cfRule type="expression" dxfId="64" priority="32">
      <formula>AND(COUNTA($B14:$P14)&gt;0,B14="")</formula>
    </cfRule>
  </conditionalFormatting>
  <conditionalFormatting sqref="B22">
    <cfRule type="expression" dxfId="63" priority="1">
      <formula>AND(COUNTA($B21:$P21)=0,B22&lt;&gt;"")</formula>
    </cfRule>
  </conditionalFormatting>
  <conditionalFormatting sqref="B22">
    <cfRule type="expression" dxfId="62" priority="2">
      <formula>AND(COUNTA($B22:$P22)&gt;0,B22="")</formula>
    </cfRule>
  </conditionalFormatting>
  <conditionalFormatting sqref="B23">
    <cfRule type="expression" dxfId="61" priority="25">
      <formula>AND(COUNTA($B22:$P22)=0,B23&lt;&gt;"")</formula>
    </cfRule>
  </conditionalFormatting>
  <conditionalFormatting sqref="B23">
    <cfRule type="duplicateValues" dxfId="60" priority="27"/>
  </conditionalFormatting>
  <conditionalFormatting sqref="B23">
    <cfRule type="expression" dxfId="59" priority="26">
      <formula>AND(COUNTA($B23:$P23)&gt;0,B23="")</formula>
    </cfRule>
  </conditionalFormatting>
  <conditionalFormatting sqref="B15">
    <cfRule type="expression" dxfId="58" priority="22">
      <formula>AND(COUNTA($B14:$P14)=0,B15&lt;&gt;"")</formula>
    </cfRule>
  </conditionalFormatting>
  <conditionalFormatting sqref="B15">
    <cfRule type="duplicateValues" dxfId="57" priority="24"/>
  </conditionalFormatting>
  <conditionalFormatting sqref="B15">
    <cfRule type="expression" dxfId="56" priority="23">
      <formula>AND(COUNTA($B15:$P15)&gt;0,B15="")</formula>
    </cfRule>
  </conditionalFormatting>
  <conditionalFormatting sqref="B16">
    <cfRule type="expression" dxfId="55" priority="19">
      <formula>AND(COUNTA($B15:$P15)=0,B16&lt;&gt;"")</formula>
    </cfRule>
  </conditionalFormatting>
  <conditionalFormatting sqref="B16">
    <cfRule type="duplicateValues" dxfId="54" priority="21"/>
  </conditionalFormatting>
  <conditionalFormatting sqref="B16">
    <cfRule type="expression" dxfId="53" priority="20">
      <formula>AND(COUNTA($B16:$P16)&gt;0,B16="")</formula>
    </cfRule>
  </conditionalFormatting>
  <conditionalFormatting sqref="B17">
    <cfRule type="expression" dxfId="52" priority="16">
      <formula>AND(COUNTA($B16:$P16)=0,B17&lt;&gt;"")</formula>
    </cfRule>
  </conditionalFormatting>
  <conditionalFormatting sqref="B17">
    <cfRule type="duplicateValues" dxfId="51" priority="18"/>
  </conditionalFormatting>
  <conditionalFormatting sqref="B17">
    <cfRule type="expression" dxfId="50" priority="17">
      <formula>AND(COUNTA($B17:$P17)&gt;0,B17="")</formula>
    </cfRule>
  </conditionalFormatting>
  <conditionalFormatting sqref="B18">
    <cfRule type="expression" dxfId="49" priority="13">
      <formula>AND(COUNTA($B17:$P17)=0,B18&lt;&gt;"")</formula>
    </cfRule>
  </conditionalFormatting>
  <conditionalFormatting sqref="B18">
    <cfRule type="duplicateValues" dxfId="48" priority="15"/>
  </conditionalFormatting>
  <conditionalFormatting sqref="B18">
    <cfRule type="expression" dxfId="47" priority="14">
      <formula>AND(COUNTA($B18:$P18)&gt;0,B18="")</formula>
    </cfRule>
  </conditionalFormatting>
  <conditionalFormatting sqref="B19">
    <cfRule type="expression" dxfId="46" priority="10">
      <formula>AND(COUNTA($B18:$P18)=0,B19&lt;&gt;"")</formula>
    </cfRule>
  </conditionalFormatting>
  <conditionalFormatting sqref="B19">
    <cfRule type="duplicateValues" dxfId="45" priority="12"/>
  </conditionalFormatting>
  <conditionalFormatting sqref="B19">
    <cfRule type="expression" dxfId="44" priority="11">
      <formula>AND(COUNTA($B19:$P19)&gt;0,B19="")</formula>
    </cfRule>
  </conditionalFormatting>
  <conditionalFormatting sqref="B20">
    <cfRule type="expression" dxfId="43" priority="7">
      <formula>AND(COUNTA($B19:$P19)=0,B20&lt;&gt;"")</formula>
    </cfRule>
  </conditionalFormatting>
  <conditionalFormatting sqref="B20">
    <cfRule type="duplicateValues" dxfId="42" priority="9"/>
  </conditionalFormatting>
  <conditionalFormatting sqref="B20">
    <cfRule type="expression" dxfId="41" priority="8">
      <formula>AND(COUNTA($B20:$P20)&gt;0,B20="")</formula>
    </cfRule>
  </conditionalFormatting>
  <conditionalFormatting sqref="B21">
    <cfRule type="duplicateValues" dxfId="40" priority="6"/>
  </conditionalFormatting>
  <conditionalFormatting sqref="B22">
    <cfRule type="duplicateValues" dxfId="39" priority="3"/>
  </conditionalFormatting>
  <dataValidations count="11">
    <dataValidation type="list" allowBlank="1" showInputMessage="1" showErrorMessage="1" sqref="D11:D97" xr:uid="{00000000-0002-0000-0900-000000000000}">
      <formula1>FeatureCodes</formula1>
    </dataValidation>
    <dataValidation type="list" allowBlank="1" showInputMessage="1" showErrorMessage="1" sqref="E11:E97" xr:uid="{00000000-0002-0000-0900-000001000000}">
      <formula1>MethodCodes</formula1>
    </dataValidation>
    <dataValidation type="list" allowBlank="1" showInputMessage="1" showErrorMessage="1" sqref="G11:G97" xr:uid="{00000000-0002-0000-0900-000002000000}">
      <formula1>ApplicableResultTypes</formula1>
    </dataValidation>
    <dataValidation type="list" allowBlank="1" showInputMessage="1" showErrorMessage="1" sqref="H11:H97" xr:uid="{00000000-0002-0000-0900-000003000000}">
      <formula1>VariableCodes</formula1>
    </dataValidation>
    <dataValidation type="list" allowBlank="1" showInputMessage="1" showErrorMessage="1" sqref="J11:J97" xr:uid="{00000000-0002-0000-0900-000004000000}">
      <formula1>ProcessingLevelCodes</formula1>
    </dataValidation>
    <dataValidation type="list" allowBlank="1" showInputMessage="1" showErrorMessage="1" sqref="K11:K97" xr:uid="{00000000-0002-0000-0900-000005000000}">
      <formula1>SampledMediumCV</formula1>
    </dataValidation>
    <dataValidation type="list" allowBlank="1" showInputMessage="1" showErrorMessage="1" sqref="N11:N97" xr:uid="{00000000-0002-0000-0900-000006000000}">
      <formula1>AggregationStatisticCV</formula1>
    </dataValidation>
    <dataValidation type="list" allowBlank="1" showInputMessage="1" showErrorMessage="1" sqref="O11:O97" xr:uid="{00000000-0002-0000-0900-000007000000}">
      <formula1>CensorCodeCV</formula1>
    </dataValidation>
    <dataValidation type="list" allowBlank="1" showInputMessage="1" showErrorMessage="1" sqref="P11:P97" xr:uid="{00000000-0002-0000-0900-000008000000}">
      <formula1>QualityCodeCV</formula1>
    </dataValidation>
    <dataValidation type="list" allowBlank="1" showInputMessage="1" showErrorMessage="1" sqref="F11:F97" xr:uid="{00000000-0002-0000-0900-000009000000}">
      <formula1>PeopleNames</formula1>
    </dataValidation>
    <dataValidation type="list" allowBlank="1" showInputMessage="1" showErrorMessage="1" sqref="M11:M97 I11:I97" xr:uid="{00000000-0002-0000-0900-00000A000000}">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51" r:id="rId3" name="Button 11">
              <controlPr defaultSize="0" print="0" autoFill="0" autoPict="0" macro="[0]!CreateGUIDs.CreateGUIDs">
                <anchor moveWithCells="1" sizeWithCells="1">
                  <from>
                    <xdr:col>5</xdr:col>
                    <xdr:colOff>1209675</xdr:colOff>
                    <xdr:row>0</xdr:row>
                    <xdr:rowOff>161925</xdr:rowOff>
                  </from>
                  <to>
                    <xdr:col>7</xdr:col>
                    <xdr:colOff>257175</xdr:colOff>
                    <xdr:row>2</xdr:row>
                    <xdr:rowOff>161925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BJ35981"/>
  <sheetViews>
    <sheetView workbookViewId="0">
      <pane ySplit="570" topLeftCell="A1006" activePane="bottomLeft"/>
      <selection activeCell="L1" sqref="K1:L1048576"/>
      <selection pane="bottomLeft" activeCell="A301" sqref="A301:O1033"/>
    </sheetView>
  </sheetViews>
  <sheetFormatPr defaultColWidth="20.86328125" defaultRowHeight="14.25"/>
  <cols>
    <col min="1" max="1" width="20.86328125" style="4"/>
    <col min="2" max="12" width="20.86328125" style="4" hidden="1" customWidth="1"/>
    <col min="13" max="62" width="20.86328125" style="4"/>
    <col min="63" max="16384" width="20.86328125" style="3"/>
  </cols>
  <sheetData>
    <row r="1" spans="1:62">
      <c r="A1" s="4" t="s">
        <v>1710</v>
      </c>
      <c r="B1" s="4" t="s">
        <v>1711</v>
      </c>
      <c r="C1" s="189" t="s">
        <v>1818</v>
      </c>
      <c r="D1" s="190" t="s">
        <v>1819</v>
      </c>
      <c r="E1" s="190" t="s">
        <v>1827</v>
      </c>
      <c r="F1" s="190" t="s">
        <v>1828</v>
      </c>
      <c r="G1" s="190" t="s">
        <v>1820</v>
      </c>
      <c r="H1" s="190" t="s">
        <v>1821</v>
      </c>
      <c r="I1" s="190" t="s">
        <v>1822</v>
      </c>
      <c r="J1" s="190" t="s">
        <v>1823</v>
      </c>
      <c r="K1" s="190" t="s">
        <v>1824</v>
      </c>
      <c r="L1" s="190" t="s">
        <v>1825</v>
      </c>
      <c r="M1" s="190" t="s">
        <v>1826</v>
      </c>
      <c r="N1" s="190" t="s">
        <v>1830</v>
      </c>
      <c r="O1" s="190" t="s">
        <v>1829</v>
      </c>
    </row>
    <row r="2" spans="1:62">
      <c r="A2" s="188">
        <v>42342</v>
      </c>
      <c r="B2" s="4">
        <v>-8</v>
      </c>
      <c r="E2" s="4">
        <v>1.875</v>
      </c>
      <c r="G2" s="4">
        <v>0.5</v>
      </c>
      <c r="H2" s="4">
        <v>1.75</v>
      </c>
      <c r="K2" s="4">
        <v>-2.25</v>
      </c>
      <c r="L2" s="4">
        <v>0.5</v>
      </c>
      <c r="M2" s="4">
        <v>-3.0459999999999998</v>
      </c>
      <c r="N2" s="4">
        <v>0.5</v>
      </c>
      <c r="O2" s="4">
        <v>106.050625</v>
      </c>
      <c r="Q2" s="183"/>
      <c r="R2" s="183"/>
      <c r="AJ2" s="183"/>
      <c r="AK2" s="183"/>
      <c r="BI2" s="3"/>
      <c r="BJ2" s="3"/>
    </row>
    <row r="3" spans="1:62">
      <c r="A3" s="188">
        <v>42343</v>
      </c>
      <c r="B3" s="4">
        <v>-8</v>
      </c>
      <c r="E3" s="4">
        <v>2.3125</v>
      </c>
      <c r="G3" s="4">
        <v>0.9375</v>
      </c>
      <c r="H3" s="4">
        <v>1</v>
      </c>
      <c r="K3" s="4">
        <v>-2</v>
      </c>
      <c r="L3" s="4">
        <v>0.5</v>
      </c>
      <c r="M3" s="4">
        <v>-2.7947500000000001</v>
      </c>
      <c r="N3" s="4">
        <v>0.5</v>
      </c>
      <c r="O3" s="4">
        <v>106.27475</v>
      </c>
      <c r="P3" s="183"/>
      <c r="Q3" s="183"/>
      <c r="R3" s="183"/>
      <c r="AI3" s="183"/>
      <c r="AJ3" s="183"/>
      <c r="AK3" s="183"/>
      <c r="BJ3" s="3"/>
    </row>
    <row r="4" spans="1:62">
      <c r="A4" s="188">
        <v>42344</v>
      </c>
      <c r="B4" s="4">
        <v>-8</v>
      </c>
      <c r="E4" s="4">
        <v>3.5</v>
      </c>
      <c r="G4" s="4">
        <v>2</v>
      </c>
      <c r="H4" s="4">
        <v>0.9375</v>
      </c>
      <c r="K4" s="4">
        <v>-1.125</v>
      </c>
      <c r="L4" s="4">
        <v>0.5</v>
      </c>
      <c r="M4" s="4">
        <v>-1.9141250000000001</v>
      </c>
      <c r="N4" s="4">
        <v>0.5</v>
      </c>
      <c r="O4" s="4">
        <v>106.9425</v>
      </c>
      <c r="P4" s="183"/>
      <c r="Q4" s="183"/>
      <c r="R4" s="183"/>
      <c r="AI4" s="183"/>
      <c r="AJ4" s="183"/>
      <c r="AK4" s="183"/>
      <c r="BJ4" s="3"/>
    </row>
    <row r="5" spans="1:62">
      <c r="A5" s="188">
        <v>42345</v>
      </c>
      <c r="B5" s="4">
        <v>-8</v>
      </c>
      <c r="E5" s="4">
        <v>4</v>
      </c>
      <c r="G5" s="4">
        <v>2.8125</v>
      </c>
      <c r="H5" s="4">
        <v>1.1875</v>
      </c>
      <c r="K5" s="4">
        <v>-0.125</v>
      </c>
      <c r="L5" s="4">
        <v>0.5</v>
      </c>
      <c r="M5" s="4">
        <v>-0.84550000000000003</v>
      </c>
      <c r="N5" s="4">
        <v>0.5</v>
      </c>
      <c r="O5" s="4">
        <v>107.99437500000001</v>
      </c>
      <c r="P5" s="183"/>
      <c r="Q5" s="183"/>
      <c r="R5" s="183"/>
      <c r="AI5" s="183"/>
      <c r="AJ5" s="183"/>
      <c r="AK5" s="183"/>
      <c r="BJ5" s="3"/>
    </row>
    <row r="6" spans="1:62">
      <c r="A6" s="188">
        <v>42346</v>
      </c>
      <c r="B6" s="4">
        <v>-8</v>
      </c>
      <c r="E6" s="4">
        <v>5</v>
      </c>
      <c r="G6" s="4">
        <v>3.625</v>
      </c>
      <c r="H6" s="4">
        <v>1.5</v>
      </c>
      <c r="K6" s="4">
        <v>1.0625</v>
      </c>
      <c r="L6" s="4">
        <v>0.5</v>
      </c>
      <c r="M6" s="4">
        <v>3.4250000000000003E-2</v>
      </c>
      <c r="N6" s="4">
        <v>0.5</v>
      </c>
      <c r="O6" s="4">
        <v>107.79049999999999</v>
      </c>
      <c r="P6" s="183"/>
      <c r="Q6" s="183"/>
      <c r="R6" s="183"/>
      <c r="AI6" s="183"/>
      <c r="AJ6" s="183"/>
      <c r="AK6" s="183"/>
      <c r="BJ6" s="3"/>
    </row>
    <row r="7" spans="1:62">
      <c r="A7" s="188">
        <v>42347</v>
      </c>
      <c r="B7" s="4">
        <v>-8</v>
      </c>
      <c r="E7" s="4">
        <v>2.6875</v>
      </c>
      <c r="G7" s="4">
        <v>1</v>
      </c>
      <c r="H7" s="4">
        <v>1.4375</v>
      </c>
      <c r="K7" s="4">
        <v>-1.5625</v>
      </c>
      <c r="L7" s="4">
        <v>0.5</v>
      </c>
      <c r="M7" s="4">
        <v>-2.7321249999999999</v>
      </c>
      <c r="N7" s="4">
        <v>0.5</v>
      </c>
      <c r="O7" s="4">
        <v>107.273375</v>
      </c>
      <c r="P7" s="183"/>
      <c r="Q7" s="183"/>
      <c r="R7" s="183"/>
      <c r="AI7" s="183"/>
      <c r="AJ7" s="183"/>
      <c r="AK7" s="183"/>
      <c r="BJ7" s="3"/>
    </row>
    <row r="8" spans="1:62">
      <c r="A8" s="188">
        <v>42348</v>
      </c>
      <c r="B8" s="4">
        <v>-8</v>
      </c>
      <c r="E8" s="4">
        <v>1.8125</v>
      </c>
      <c r="G8" s="4">
        <v>0.5625</v>
      </c>
      <c r="H8" s="4">
        <v>1.5</v>
      </c>
      <c r="K8" s="4">
        <v>-2.4375</v>
      </c>
      <c r="L8" s="4">
        <v>0.5</v>
      </c>
      <c r="M8" s="4">
        <v>-3.4238749999999998</v>
      </c>
      <c r="N8" s="4">
        <v>0.5</v>
      </c>
      <c r="O8" s="4">
        <v>106.3305</v>
      </c>
      <c r="P8" s="183"/>
      <c r="Q8" s="183"/>
      <c r="R8" s="183"/>
      <c r="AI8" s="183"/>
      <c r="AJ8" s="183"/>
      <c r="AK8" s="183"/>
      <c r="BJ8" s="3"/>
    </row>
    <row r="9" spans="1:62">
      <c r="A9" s="188">
        <v>42349</v>
      </c>
      <c r="B9" s="4">
        <v>-8</v>
      </c>
      <c r="E9" s="4">
        <v>1.1875</v>
      </c>
      <c r="G9" s="4">
        <v>-0.3125</v>
      </c>
      <c r="H9" s="4">
        <v>1.5625</v>
      </c>
      <c r="K9" s="4">
        <v>-2.9375</v>
      </c>
      <c r="L9" s="4">
        <v>0.5</v>
      </c>
      <c r="M9" s="4">
        <v>-4.1786250000000003</v>
      </c>
      <c r="N9" s="4">
        <v>0.5</v>
      </c>
      <c r="O9" s="4">
        <v>106.16262500000001</v>
      </c>
      <c r="P9" s="183"/>
      <c r="Q9" s="183"/>
      <c r="R9" s="183"/>
      <c r="AI9" s="183"/>
      <c r="BJ9" s="3"/>
    </row>
    <row r="10" spans="1:62">
      <c r="A10" s="188">
        <v>42350</v>
      </c>
      <c r="B10" s="4">
        <v>-8</v>
      </c>
      <c r="E10" s="4">
        <v>0.625</v>
      </c>
      <c r="G10" s="4">
        <v>-0.25</v>
      </c>
      <c r="H10" s="4">
        <v>2</v>
      </c>
      <c r="K10" s="4">
        <v>-3.125</v>
      </c>
      <c r="L10" s="4">
        <v>0.5</v>
      </c>
      <c r="M10" s="4">
        <v>-4.1786250000000003</v>
      </c>
      <c r="N10" s="4">
        <v>0.5</v>
      </c>
      <c r="O10" s="4">
        <v>106.16187499999999</v>
      </c>
      <c r="P10" s="183"/>
      <c r="Q10" s="183"/>
      <c r="R10" s="183"/>
      <c r="BJ10" s="3"/>
    </row>
    <row r="11" spans="1:62">
      <c r="A11" s="188">
        <v>42351</v>
      </c>
      <c r="B11" s="4">
        <v>-8</v>
      </c>
      <c r="E11" s="4">
        <v>0.375</v>
      </c>
      <c r="G11" s="4">
        <v>-0.375</v>
      </c>
      <c r="H11" s="4">
        <v>2</v>
      </c>
      <c r="K11" s="4">
        <v>-3.5</v>
      </c>
      <c r="L11" s="4">
        <v>0.5</v>
      </c>
      <c r="M11" s="4">
        <v>-4.493125</v>
      </c>
      <c r="N11" s="4">
        <v>0.5</v>
      </c>
      <c r="O11" s="4">
        <v>105.99424999999999</v>
      </c>
      <c r="P11" s="183"/>
      <c r="Q11" s="183"/>
      <c r="R11" s="183"/>
      <c r="BJ11" s="3"/>
    </row>
    <row r="12" spans="1:62">
      <c r="A12" s="188">
        <v>42352</v>
      </c>
      <c r="B12" s="4">
        <v>-8</v>
      </c>
      <c r="E12" s="4">
        <v>-0.125</v>
      </c>
      <c r="G12" s="4">
        <v>-1.6875</v>
      </c>
      <c r="H12" s="4">
        <v>2</v>
      </c>
      <c r="K12" s="4">
        <v>-4.75</v>
      </c>
      <c r="L12" s="4">
        <v>0.5</v>
      </c>
      <c r="M12" s="4">
        <v>-6.0659999999999998</v>
      </c>
      <c r="N12" s="4">
        <v>0.5</v>
      </c>
      <c r="O12" s="4">
        <v>105.036</v>
      </c>
      <c r="P12" s="183"/>
      <c r="Q12" s="183"/>
      <c r="R12" s="183"/>
      <c r="BJ12" s="3"/>
    </row>
    <row r="13" spans="1:62">
      <c r="A13" s="188">
        <v>42353</v>
      </c>
      <c r="B13" s="4">
        <v>-8</v>
      </c>
      <c r="E13" s="4">
        <v>-0.625</v>
      </c>
      <c r="G13" s="4">
        <v>-2.4375</v>
      </c>
      <c r="H13" s="4">
        <v>2</v>
      </c>
      <c r="K13" s="4">
        <v>-5.6875</v>
      </c>
      <c r="L13" s="4">
        <v>0.5</v>
      </c>
      <c r="M13" s="4">
        <v>-6.1922499999999996</v>
      </c>
      <c r="N13" s="4">
        <v>0.5</v>
      </c>
      <c r="O13" s="4">
        <v>105.31887500000001</v>
      </c>
      <c r="P13" s="183"/>
      <c r="Q13" s="183"/>
      <c r="R13" s="183"/>
      <c r="BJ13" s="3"/>
    </row>
    <row r="14" spans="1:62">
      <c r="A14" s="188">
        <v>42354</v>
      </c>
      <c r="B14" s="4">
        <v>-8</v>
      </c>
      <c r="E14" s="4">
        <v>-2.625</v>
      </c>
      <c r="G14" s="4">
        <v>-4.5625</v>
      </c>
      <c r="H14" s="4">
        <v>2</v>
      </c>
      <c r="K14" s="4">
        <v>-7.25</v>
      </c>
      <c r="L14" s="4">
        <v>0.5</v>
      </c>
      <c r="M14" s="4">
        <v>-8.6473750000000003</v>
      </c>
      <c r="N14" s="4">
        <v>0.5</v>
      </c>
      <c r="O14" s="4">
        <v>104.30012499999999</v>
      </c>
      <c r="P14" s="183"/>
      <c r="Q14" s="183"/>
      <c r="R14" s="183"/>
      <c r="BJ14" s="3"/>
    </row>
    <row r="15" spans="1:62">
      <c r="A15" s="188">
        <v>42355</v>
      </c>
      <c r="B15" s="4">
        <v>-8</v>
      </c>
      <c r="E15" s="4">
        <v>-0.5625</v>
      </c>
      <c r="G15" s="4">
        <v>-1.3125</v>
      </c>
      <c r="H15" s="4">
        <v>2</v>
      </c>
      <c r="K15" s="4">
        <v>-4.375</v>
      </c>
      <c r="L15" s="4">
        <v>0.5</v>
      </c>
      <c r="M15" s="4">
        <v>-4.9967499999999996</v>
      </c>
      <c r="N15" s="4">
        <v>0.5</v>
      </c>
      <c r="O15" s="4">
        <v>105.429625</v>
      </c>
      <c r="P15" s="183"/>
      <c r="Q15" s="183"/>
      <c r="R15" s="183"/>
      <c r="BJ15" s="3"/>
    </row>
    <row r="16" spans="1:62">
      <c r="A16" s="188">
        <v>42356</v>
      </c>
      <c r="B16" s="4">
        <v>-8</v>
      </c>
      <c r="E16" s="4">
        <v>0.4375</v>
      </c>
      <c r="G16" s="4">
        <v>-0.25</v>
      </c>
      <c r="H16" s="4">
        <v>0.875</v>
      </c>
      <c r="K16" s="4">
        <v>-3.375</v>
      </c>
      <c r="L16" s="4">
        <v>0.5</v>
      </c>
      <c r="M16" s="4">
        <v>-4.367375</v>
      </c>
      <c r="N16" s="4">
        <v>0.5</v>
      </c>
      <c r="O16" s="4">
        <v>106.047</v>
      </c>
      <c r="P16" s="183"/>
      <c r="Q16" s="183"/>
      <c r="R16" s="183"/>
      <c r="BJ16" s="3"/>
    </row>
    <row r="17" spans="1:62">
      <c r="A17" s="188">
        <v>42357</v>
      </c>
      <c r="B17" s="4">
        <v>-8</v>
      </c>
      <c r="E17" s="4">
        <v>-0.375</v>
      </c>
      <c r="G17" s="4">
        <v>-1.75</v>
      </c>
      <c r="H17" s="4">
        <v>1.5</v>
      </c>
      <c r="K17" s="4">
        <v>-4.6875</v>
      </c>
      <c r="L17" s="4">
        <v>0.5</v>
      </c>
      <c r="M17" s="4">
        <v>-5.8144999999999998</v>
      </c>
      <c r="N17" s="4">
        <v>0.5</v>
      </c>
      <c r="O17" s="4">
        <v>105.544375</v>
      </c>
      <c r="P17" s="183"/>
      <c r="Q17" s="183"/>
      <c r="R17" s="183"/>
      <c r="AJ17" s="183"/>
      <c r="AK17" s="183"/>
      <c r="BJ17" s="3"/>
    </row>
    <row r="18" spans="1:62">
      <c r="A18" s="188">
        <v>42358</v>
      </c>
      <c r="B18" s="4">
        <v>-8</v>
      </c>
      <c r="E18" s="4">
        <v>0</v>
      </c>
      <c r="G18" s="4">
        <v>-1.0625</v>
      </c>
      <c r="H18" s="4">
        <v>2</v>
      </c>
      <c r="K18" s="4">
        <v>-4.3125</v>
      </c>
      <c r="L18" s="4">
        <v>0.5</v>
      </c>
      <c r="M18" s="4">
        <v>-5.5626249999999997</v>
      </c>
      <c r="N18" s="4">
        <v>0.5</v>
      </c>
      <c r="O18" s="4">
        <v>105.432125</v>
      </c>
      <c r="P18" s="183"/>
      <c r="Q18" s="183"/>
      <c r="R18" s="183"/>
      <c r="AI18" s="183"/>
      <c r="AJ18" s="183"/>
      <c r="AK18" s="183"/>
      <c r="BJ18" s="3"/>
    </row>
    <row r="19" spans="1:62">
      <c r="A19" s="188">
        <v>42359</v>
      </c>
      <c r="B19" s="4">
        <v>-8</v>
      </c>
      <c r="E19" s="4">
        <v>-0.1875</v>
      </c>
      <c r="G19" s="4">
        <v>-1.8125</v>
      </c>
      <c r="H19" s="4">
        <v>2</v>
      </c>
      <c r="K19" s="4">
        <v>-5.0625</v>
      </c>
      <c r="L19" s="4">
        <v>0.5</v>
      </c>
      <c r="M19" s="4">
        <v>-6.3178749999999999</v>
      </c>
      <c r="N19" s="4">
        <v>0.5</v>
      </c>
      <c r="O19" s="4">
        <v>105.26300000000001</v>
      </c>
      <c r="P19" s="183"/>
      <c r="Q19" s="183"/>
      <c r="R19" s="183"/>
      <c r="AI19" s="183"/>
      <c r="AJ19" s="183"/>
      <c r="AK19" s="183"/>
      <c r="BJ19" s="3"/>
    </row>
    <row r="20" spans="1:62">
      <c r="A20" s="188">
        <v>42360</v>
      </c>
      <c r="B20" s="4">
        <v>-8</v>
      </c>
      <c r="E20" s="4">
        <v>-0.9375</v>
      </c>
      <c r="G20" s="4">
        <v>-2.6875</v>
      </c>
      <c r="H20" s="4">
        <v>2</v>
      </c>
      <c r="K20" s="4">
        <v>-5.875</v>
      </c>
      <c r="L20" s="4">
        <v>0.5</v>
      </c>
      <c r="M20" s="4">
        <v>-7.2621250000000002</v>
      </c>
      <c r="N20" s="4">
        <v>0.5</v>
      </c>
      <c r="O20" s="4">
        <v>104.754</v>
      </c>
      <c r="P20" s="183"/>
      <c r="Q20" s="183"/>
      <c r="R20" s="183"/>
      <c r="AI20" s="183"/>
      <c r="AJ20" s="183"/>
      <c r="AK20" s="183"/>
      <c r="BJ20" s="3"/>
    </row>
    <row r="21" spans="1:62">
      <c r="A21" s="188">
        <v>42361</v>
      </c>
      <c r="B21" s="4">
        <v>-8</v>
      </c>
      <c r="E21" s="4">
        <v>-0.8125</v>
      </c>
      <c r="G21" s="4">
        <v>-2.5625</v>
      </c>
      <c r="H21" s="4">
        <v>2</v>
      </c>
      <c r="K21" s="4">
        <v>-6</v>
      </c>
      <c r="L21" s="4">
        <v>0.5</v>
      </c>
      <c r="M21" s="4">
        <v>-7.0102500000000001</v>
      </c>
      <c r="N21" s="4">
        <v>0.5</v>
      </c>
      <c r="O21" s="4">
        <v>105.03725</v>
      </c>
      <c r="P21" s="183"/>
      <c r="Q21" s="183"/>
      <c r="R21" s="183"/>
      <c r="AI21" s="183"/>
      <c r="BJ21" s="3"/>
    </row>
    <row r="22" spans="1:62">
      <c r="A22" s="188">
        <v>42362</v>
      </c>
      <c r="B22" s="4">
        <v>-8</v>
      </c>
      <c r="E22" s="4">
        <v>-0.8125</v>
      </c>
      <c r="G22" s="4">
        <v>-2.5</v>
      </c>
      <c r="H22" s="4">
        <v>2</v>
      </c>
      <c r="K22" s="4">
        <v>-5.875</v>
      </c>
      <c r="L22" s="4">
        <v>0.5</v>
      </c>
      <c r="M22" s="4">
        <v>-7.0732499999999998</v>
      </c>
      <c r="N22" s="4">
        <v>0.5</v>
      </c>
      <c r="O22" s="4">
        <v>104.81075</v>
      </c>
      <c r="P22" s="183"/>
      <c r="Q22" s="183"/>
      <c r="R22" s="183"/>
      <c r="BJ22" s="3"/>
    </row>
    <row r="23" spans="1:62">
      <c r="A23" s="188">
        <v>42363</v>
      </c>
      <c r="B23" s="4">
        <v>-8</v>
      </c>
      <c r="E23" s="4">
        <v>-2.125</v>
      </c>
      <c r="G23" s="4">
        <v>-4.1875</v>
      </c>
      <c r="H23" s="4">
        <v>2</v>
      </c>
      <c r="K23" s="4">
        <v>-6.625</v>
      </c>
      <c r="L23" s="4">
        <v>0.5</v>
      </c>
      <c r="M23" s="4">
        <v>-9.2142499999999998</v>
      </c>
      <c r="N23" s="4">
        <v>0.5</v>
      </c>
      <c r="O23" s="4">
        <v>104.18600000000001</v>
      </c>
      <c r="P23" s="183"/>
      <c r="Q23" s="183"/>
      <c r="R23" s="183"/>
      <c r="BJ23" s="3"/>
    </row>
    <row r="24" spans="1:62">
      <c r="A24" s="188">
        <v>42364</v>
      </c>
      <c r="B24" s="4">
        <v>-8</v>
      </c>
      <c r="E24" s="4">
        <v>-2.8125</v>
      </c>
      <c r="G24" s="4">
        <v>-4.625</v>
      </c>
      <c r="H24" s="4">
        <v>2</v>
      </c>
      <c r="K24" s="4">
        <v>-7.8125</v>
      </c>
      <c r="L24" s="4">
        <v>0.5</v>
      </c>
      <c r="M24" s="4">
        <v>-9.0881249999999998</v>
      </c>
      <c r="N24" s="4">
        <v>0.5</v>
      </c>
      <c r="O24" s="4">
        <v>103.957875</v>
      </c>
      <c r="P24" s="183"/>
      <c r="Q24" s="183"/>
      <c r="R24" s="183"/>
      <c r="BJ24" s="3"/>
    </row>
    <row r="25" spans="1:62">
      <c r="A25" s="188">
        <v>42365</v>
      </c>
      <c r="B25" s="4">
        <v>-8</v>
      </c>
      <c r="E25" s="4">
        <v>-0.5</v>
      </c>
      <c r="G25" s="4">
        <v>-1.6875</v>
      </c>
      <c r="H25" s="4">
        <v>2</v>
      </c>
      <c r="K25" s="4">
        <v>-5.125</v>
      </c>
      <c r="L25" s="4">
        <v>0.5</v>
      </c>
      <c r="M25" s="4">
        <v>-5.8146250000000004</v>
      </c>
      <c r="N25" s="4">
        <v>0.5</v>
      </c>
      <c r="O25" s="4">
        <v>105.37575</v>
      </c>
      <c r="P25" s="183"/>
      <c r="Q25" s="183"/>
      <c r="R25" s="183"/>
      <c r="BJ25" s="3"/>
    </row>
    <row r="26" spans="1:62">
      <c r="A26" s="188">
        <v>42366</v>
      </c>
      <c r="B26" s="4">
        <v>-8</v>
      </c>
      <c r="E26" s="4">
        <v>-1</v>
      </c>
      <c r="G26" s="4">
        <v>-2.5625</v>
      </c>
      <c r="H26" s="4">
        <v>2</v>
      </c>
      <c r="K26" s="4">
        <v>-4.5625</v>
      </c>
      <c r="L26" s="4">
        <v>0.5</v>
      </c>
      <c r="M26" s="4">
        <v>-6.5698749999999997</v>
      </c>
      <c r="N26" s="4">
        <v>0.5</v>
      </c>
      <c r="O26" s="4">
        <v>105.20625</v>
      </c>
      <c r="P26" s="183"/>
      <c r="Q26" s="183"/>
      <c r="R26" s="183"/>
      <c r="BJ26" s="3"/>
    </row>
    <row r="27" spans="1:62">
      <c r="A27" s="188">
        <v>42367</v>
      </c>
      <c r="B27" s="4">
        <v>-8</v>
      </c>
      <c r="E27" s="4">
        <v>-3.75</v>
      </c>
      <c r="G27" s="4">
        <v>-5.4375</v>
      </c>
      <c r="H27" s="4">
        <v>2</v>
      </c>
      <c r="K27" s="4">
        <v>-6.75</v>
      </c>
      <c r="L27" s="4">
        <v>0.5</v>
      </c>
      <c r="M27" s="4">
        <v>-9.3401250000000005</v>
      </c>
      <c r="N27" s="4">
        <v>0.5</v>
      </c>
      <c r="O27" s="4">
        <v>104.4135</v>
      </c>
      <c r="P27" s="183"/>
      <c r="Q27" s="183"/>
      <c r="R27" s="183"/>
      <c r="BJ27" s="3"/>
    </row>
    <row r="28" spans="1:62">
      <c r="A28" s="188">
        <v>42368</v>
      </c>
      <c r="B28" s="4">
        <v>-8</v>
      </c>
      <c r="E28" s="4">
        <v>-6.375</v>
      </c>
      <c r="G28" s="4">
        <v>-7.5</v>
      </c>
      <c r="H28" s="4">
        <v>2</v>
      </c>
      <c r="K28" s="4">
        <v>-8.5</v>
      </c>
      <c r="L28" s="4">
        <v>0.5</v>
      </c>
      <c r="M28" s="4">
        <v>-9.0253750000000004</v>
      </c>
      <c r="N28" s="4">
        <v>0.5</v>
      </c>
      <c r="O28" s="4">
        <v>103.214375</v>
      </c>
      <c r="P28" s="183"/>
      <c r="Q28" s="183"/>
      <c r="R28" s="183"/>
      <c r="BJ28" s="3"/>
    </row>
    <row r="29" spans="1:62">
      <c r="A29" s="188">
        <v>42369</v>
      </c>
      <c r="B29" s="4">
        <v>-8</v>
      </c>
      <c r="E29" s="4">
        <v>-4.125</v>
      </c>
      <c r="G29" s="4">
        <v>-4.3125</v>
      </c>
      <c r="H29" s="4">
        <v>2</v>
      </c>
      <c r="K29" s="4">
        <v>-5.25</v>
      </c>
      <c r="L29" s="4">
        <v>0.5</v>
      </c>
      <c r="M29" s="4">
        <v>-4.115875</v>
      </c>
      <c r="N29" s="4">
        <v>0.5</v>
      </c>
      <c r="O29" s="4">
        <v>102.86750000000001</v>
      </c>
      <c r="P29" s="183"/>
      <c r="Q29" s="183"/>
      <c r="R29" s="183"/>
      <c r="BJ29" s="3"/>
    </row>
    <row r="30" spans="1:62">
      <c r="A30" s="188">
        <v>42370</v>
      </c>
      <c r="B30" s="4">
        <v>-8</v>
      </c>
      <c r="E30" s="4">
        <v>-1.6875</v>
      </c>
      <c r="G30" s="4">
        <v>-1.625</v>
      </c>
      <c r="H30" s="4">
        <v>2</v>
      </c>
      <c r="K30" s="4">
        <v>-2.6875</v>
      </c>
      <c r="L30" s="4">
        <v>0.5</v>
      </c>
      <c r="M30" s="4">
        <v>-0.53162500000000001</v>
      </c>
      <c r="N30" s="4">
        <v>0.5</v>
      </c>
      <c r="O30" s="4">
        <v>94.465000000000003</v>
      </c>
      <c r="P30" s="183"/>
      <c r="Q30" s="183"/>
      <c r="R30" s="183"/>
      <c r="BJ30" s="3"/>
    </row>
    <row r="31" spans="1:62">
      <c r="A31" s="188">
        <v>42371</v>
      </c>
      <c r="B31" s="4">
        <v>-8</v>
      </c>
      <c r="E31" s="4">
        <v>-2</v>
      </c>
      <c r="G31" s="4">
        <v>-2.0625</v>
      </c>
      <c r="H31" s="4">
        <v>2</v>
      </c>
      <c r="K31" s="4">
        <v>-2.1875</v>
      </c>
      <c r="L31" s="4">
        <v>0.5</v>
      </c>
      <c r="M31" s="4">
        <v>-1.8518749999999999</v>
      </c>
      <c r="N31" s="4">
        <v>0.5</v>
      </c>
      <c r="O31" s="4">
        <v>63.083125000000003</v>
      </c>
      <c r="P31" s="183"/>
      <c r="Q31" s="183"/>
      <c r="R31" s="183"/>
      <c r="BJ31" s="3"/>
    </row>
    <row r="32" spans="1:62">
      <c r="A32" s="188">
        <v>42372</v>
      </c>
      <c r="B32" s="4">
        <v>-8</v>
      </c>
      <c r="E32" s="4">
        <v>-2.5</v>
      </c>
      <c r="G32" s="4">
        <v>-3</v>
      </c>
      <c r="H32" s="4">
        <v>2</v>
      </c>
      <c r="K32" s="4">
        <v>-5.5</v>
      </c>
      <c r="L32" s="4">
        <v>0.5</v>
      </c>
      <c r="M32" s="4">
        <v>-6.5067500000000003</v>
      </c>
      <c r="N32" s="4">
        <v>0.5</v>
      </c>
      <c r="O32" s="4">
        <v>91.363624999999999</v>
      </c>
      <c r="P32" s="183"/>
      <c r="Q32" s="183"/>
      <c r="R32" s="183"/>
      <c r="BJ32" s="3"/>
    </row>
    <row r="33" spans="1:62">
      <c r="A33" s="188">
        <v>42373</v>
      </c>
      <c r="B33" s="4">
        <v>-8</v>
      </c>
      <c r="E33" s="4">
        <v>-1.4375</v>
      </c>
      <c r="G33" s="4">
        <v>-1.5625</v>
      </c>
      <c r="H33" s="4">
        <v>2</v>
      </c>
      <c r="K33" s="4">
        <v>-3.875</v>
      </c>
      <c r="L33" s="4">
        <v>0.5</v>
      </c>
      <c r="M33" s="4">
        <v>-4.1786250000000003</v>
      </c>
      <c r="N33" s="4">
        <v>0.5</v>
      </c>
      <c r="O33" s="4">
        <v>104.411125</v>
      </c>
      <c r="P33" s="183"/>
      <c r="Q33" s="183"/>
      <c r="R33" s="183"/>
      <c r="AJ33" s="183"/>
      <c r="AK33" s="183"/>
      <c r="BJ33" s="3"/>
    </row>
    <row r="34" spans="1:62">
      <c r="A34" s="188">
        <v>42374</v>
      </c>
      <c r="B34" s="4">
        <v>-8</v>
      </c>
      <c r="E34" s="4">
        <v>0.875</v>
      </c>
      <c r="G34" s="4">
        <v>1.1875</v>
      </c>
      <c r="H34" s="4">
        <v>1</v>
      </c>
      <c r="K34" s="4">
        <v>-1.1875</v>
      </c>
      <c r="L34" s="4">
        <v>0.5</v>
      </c>
      <c r="M34" s="4">
        <v>-2.1027499999999999</v>
      </c>
      <c r="N34" s="4">
        <v>0.5</v>
      </c>
      <c r="O34" s="4">
        <v>105.994</v>
      </c>
      <c r="P34" s="183"/>
      <c r="Q34" s="183"/>
      <c r="R34" s="183"/>
      <c r="AI34" s="183"/>
      <c r="AJ34" s="183"/>
      <c r="AK34" s="183"/>
      <c r="BJ34" s="3"/>
    </row>
    <row r="35" spans="1:62">
      <c r="A35" s="188">
        <v>42375</v>
      </c>
      <c r="B35" s="4">
        <v>-8</v>
      </c>
      <c r="E35" s="4">
        <v>1.1875</v>
      </c>
      <c r="G35" s="4">
        <v>1.5625</v>
      </c>
      <c r="H35" s="4">
        <v>1.0625</v>
      </c>
      <c r="K35" s="4">
        <v>-0.1875</v>
      </c>
      <c r="L35" s="4">
        <v>0.5</v>
      </c>
      <c r="M35" s="4">
        <v>-1.59975</v>
      </c>
      <c r="N35" s="4">
        <v>0.5</v>
      </c>
      <c r="O35" s="4">
        <v>105.01300000000001</v>
      </c>
      <c r="P35" s="183"/>
      <c r="Q35" s="183"/>
      <c r="R35" s="183"/>
      <c r="AI35" s="183"/>
      <c r="AJ35" s="183"/>
      <c r="AK35" s="183"/>
      <c r="BJ35" s="3"/>
    </row>
    <row r="36" spans="1:62">
      <c r="A36" s="188">
        <v>42376</v>
      </c>
      <c r="B36" s="4">
        <v>-8</v>
      </c>
      <c r="E36" s="4">
        <v>1.125</v>
      </c>
      <c r="G36" s="4">
        <v>1.1875</v>
      </c>
      <c r="H36" s="4">
        <v>1.5</v>
      </c>
      <c r="K36" s="4">
        <v>-1</v>
      </c>
      <c r="L36" s="4">
        <v>0.5</v>
      </c>
      <c r="M36" s="4">
        <v>-2.35425</v>
      </c>
      <c r="N36" s="4">
        <v>0.5</v>
      </c>
      <c r="O36" s="4">
        <v>101.982</v>
      </c>
      <c r="P36" s="183"/>
      <c r="Q36" s="183"/>
      <c r="R36" s="183"/>
      <c r="AI36" s="183"/>
      <c r="AJ36" s="183"/>
      <c r="AK36" s="183"/>
      <c r="BJ36" s="3"/>
    </row>
    <row r="37" spans="1:62">
      <c r="A37" s="188">
        <v>42377</v>
      </c>
      <c r="B37" s="4">
        <v>-8</v>
      </c>
      <c r="E37" s="4">
        <v>0.8125</v>
      </c>
      <c r="G37" s="4">
        <v>0.875</v>
      </c>
      <c r="H37" s="4">
        <v>1.75</v>
      </c>
      <c r="K37" s="4">
        <v>-1.9375</v>
      </c>
      <c r="L37" s="4">
        <v>0.5</v>
      </c>
      <c r="M37" s="4">
        <v>-3.235125</v>
      </c>
      <c r="N37" s="4">
        <v>0.5</v>
      </c>
      <c r="O37" s="4">
        <v>97.030874999999995</v>
      </c>
      <c r="P37" s="183"/>
      <c r="Q37" s="183"/>
      <c r="R37" s="183"/>
      <c r="AI37" s="183"/>
      <c r="BJ37" s="3"/>
    </row>
    <row r="38" spans="1:62">
      <c r="A38" s="188">
        <v>42378</v>
      </c>
      <c r="B38" s="4">
        <v>-8</v>
      </c>
      <c r="E38" s="4">
        <v>-0.4375</v>
      </c>
      <c r="G38" s="4">
        <v>-0.125</v>
      </c>
      <c r="H38" s="4">
        <v>2</v>
      </c>
      <c r="K38" s="4">
        <v>-2.1875</v>
      </c>
      <c r="L38" s="4">
        <v>0.5</v>
      </c>
      <c r="M38" s="4">
        <v>-3.298</v>
      </c>
      <c r="N38" s="4">
        <v>0.5</v>
      </c>
      <c r="O38" s="4">
        <v>94.740250000000003</v>
      </c>
      <c r="P38" s="183"/>
      <c r="Q38" s="183"/>
      <c r="R38" s="183"/>
      <c r="BJ38" s="3"/>
    </row>
    <row r="39" spans="1:62">
      <c r="A39" s="188">
        <v>42379</v>
      </c>
      <c r="B39" s="4">
        <v>-8</v>
      </c>
      <c r="E39" s="4">
        <v>-0.5</v>
      </c>
      <c r="G39" s="4">
        <v>0.125</v>
      </c>
      <c r="H39" s="4">
        <v>2</v>
      </c>
      <c r="K39" s="4">
        <v>-2.625</v>
      </c>
      <c r="L39" s="4">
        <v>0.5</v>
      </c>
      <c r="M39" s="4">
        <v>-3.1092499999999998</v>
      </c>
      <c r="N39" s="4">
        <v>0.5</v>
      </c>
      <c r="O39" s="4">
        <v>91.659499999999994</v>
      </c>
      <c r="P39" s="183"/>
      <c r="Q39" s="183"/>
      <c r="R39" s="183"/>
      <c r="BJ39" s="3"/>
    </row>
    <row r="40" spans="1:62">
      <c r="A40" s="188">
        <v>42380</v>
      </c>
      <c r="B40" s="4">
        <v>-8</v>
      </c>
      <c r="E40" s="4">
        <v>1.125</v>
      </c>
      <c r="G40" s="4">
        <v>2.0625</v>
      </c>
      <c r="H40" s="4">
        <v>1.4375</v>
      </c>
      <c r="K40" s="4">
        <v>-2.4375</v>
      </c>
      <c r="L40" s="4">
        <v>0.5</v>
      </c>
      <c r="M40" s="4">
        <v>-2.4801250000000001</v>
      </c>
      <c r="N40" s="4">
        <v>0.5</v>
      </c>
      <c r="O40" s="4">
        <v>91.620249999999999</v>
      </c>
      <c r="P40" s="183"/>
      <c r="Q40" s="183"/>
      <c r="R40" s="183"/>
      <c r="BJ40" s="3"/>
    </row>
    <row r="41" spans="1:62">
      <c r="A41" s="188">
        <v>42381</v>
      </c>
      <c r="B41" s="4">
        <v>-8</v>
      </c>
      <c r="E41" s="4">
        <v>2.375</v>
      </c>
      <c r="G41" s="4">
        <v>2</v>
      </c>
      <c r="H41" s="4">
        <v>0.5</v>
      </c>
      <c r="K41" s="4">
        <v>-0.6875</v>
      </c>
      <c r="L41" s="4">
        <v>0.5</v>
      </c>
      <c r="M41" s="4">
        <v>-1.536875</v>
      </c>
      <c r="N41" s="4">
        <v>0.5</v>
      </c>
      <c r="O41" s="4">
        <v>106.887</v>
      </c>
      <c r="P41" s="183"/>
      <c r="Q41" s="183"/>
      <c r="R41" s="183"/>
      <c r="BJ41" s="3"/>
    </row>
    <row r="42" spans="1:62">
      <c r="A42" s="188">
        <v>42382</v>
      </c>
      <c r="B42" s="4">
        <v>-8</v>
      </c>
      <c r="E42" s="4">
        <v>1.875</v>
      </c>
      <c r="G42" s="4">
        <v>0.875</v>
      </c>
      <c r="H42" s="4">
        <v>0.5</v>
      </c>
      <c r="K42" s="4">
        <v>-1.5625</v>
      </c>
      <c r="L42" s="4">
        <v>0.5</v>
      </c>
      <c r="M42" s="4">
        <v>-3.0463749999999998</v>
      </c>
      <c r="N42" s="4">
        <v>0.5</v>
      </c>
      <c r="O42" s="4">
        <v>106.27187499999999</v>
      </c>
      <c r="P42" s="183"/>
      <c r="Q42" s="183"/>
      <c r="R42" s="183"/>
      <c r="BJ42" s="3"/>
    </row>
    <row r="43" spans="1:62">
      <c r="A43" s="188">
        <v>42383</v>
      </c>
      <c r="B43" s="4">
        <v>-8</v>
      </c>
      <c r="E43" s="4">
        <v>-6.25E-2</v>
      </c>
      <c r="G43" s="4">
        <v>-1.375</v>
      </c>
      <c r="H43" s="4">
        <v>1.125</v>
      </c>
      <c r="K43" s="4">
        <v>-3.3125</v>
      </c>
      <c r="L43" s="4">
        <v>0.5</v>
      </c>
      <c r="M43" s="4">
        <v>-5.0593750000000002</v>
      </c>
      <c r="N43" s="4">
        <v>0.5</v>
      </c>
      <c r="O43" s="4">
        <v>105.03725</v>
      </c>
      <c r="P43" s="183"/>
      <c r="Q43" s="183"/>
      <c r="R43" s="183"/>
      <c r="BJ43" s="3"/>
    </row>
    <row r="44" spans="1:62">
      <c r="A44" s="188">
        <v>42384</v>
      </c>
      <c r="B44" s="4">
        <v>-8</v>
      </c>
      <c r="E44" s="4">
        <v>-0.4375</v>
      </c>
      <c r="G44" s="4">
        <v>-0.8125</v>
      </c>
      <c r="H44" s="4">
        <v>1.5</v>
      </c>
      <c r="K44" s="4">
        <v>-3.875</v>
      </c>
      <c r="L44" s="4">
        <v>0.5</v>
      </c>
      <c r="M44" s="4">
        <v>-4.6192500000000001</v>
      </c>
      <c r="N44" s="4">
        <v>0.5</v>
      </c>
      <c r="O44" s="4">
        <v>104.861875</v>
      </c>
      <c r="P44" s="183"/>
      <c r="Q44" s="183"/>
      <c r="R44" s="183"/>
      <c r="BJ44" s="3"/>
    </row>
    <row r="45" spans="1:62">
      <c r="A45" s="188">
        <v>42385</v>
      </c>
      <c r="B45" s="4">
        <v>-8</v>
      </c>
      <c r="E45" s="4">
        <v>2.375</v>
      </c>
      <c r="G45" s="4">
        <v>1.625</v>
      </c>
      <c r="H45" s="4">
        <v>0.75</v>
      </c>
      <c r="K45" s="4">
        <v>-1.1875</v>
      </c>
      <c r="L45" s="4">
        <v>0.5</v>
      </c>
      <c r="M45" s="4">
        <v>-1.9141250000000001</v>
      </c>
      <c r="N45" s="4">
        <v>0.5</v>
      </c>
      <c r="O45" s="4">
        <v>106.665875</v>
      </c>
      <c r="P45" s="183"/>
      <c r="Q45" s="183"/>
      <c r="R45" s="183"/>
      <c r="BJ45" s="3"/>
    </row>
    <row r="46" spans="1:62">
      <c r="A46" s="188">
        <v>42386</v>
      </c>
      <c r="B46" s="4">
        <v>-8</v>
      </c>
      <c r="E46" s="4">
        <v>1.75</v>
      </c>
      <c r="G46" s="4">
        <v>0.875</v>
      </c>
      <c r="H46" s="4">
        <v>0.5</v>
      </c>
      <c r="K46" s="4">
        <v>-1.5625</v>
      </c>
      <c r="L46" s="4">
        <v>0.5</v>
      </c>
      <c r="M46" s="4">
        <v>-2.6687500000000002</v>
      </c>
      <c r="N46" s="4">
        <v>0.5</v>
      </c>
      <c r="O46" s="4">
        <v>106.330625</v>
      </c>
      <c r="P46" s="183"/>
      <c r="Q46" s="183"/>
      <c r="R46" s="183"/>
      <c r="BJ46" s="3"/>
    </row>
    <row r="47" spans="1:62">
      <c r="A47" s="188">
        <v>42387</v>
      </c>
      <c r="B47" s="4">
        <v>-8</v>
      </c>
      <c r="E47" s="4">
        <v>1.8125</v>
      </c>
      <c r="G47" s="4">
        <v>0.6875</v>
      </c>
      <c r="H47" s="4">
        <v>0.5</v>
      </c>
      <c r="K47" s="4">
        <v>-1.9375</v>
      </c>
      <c r="L47" s="4">
        <v>0.5</v>
      </c>
      <c r="M47" s="4">
        <v>-3.046125</v>
      </c>
      <c r="N47" s="4">
        <v>0.5</v>
      </c>
      <c r="O47" s="4">
        <v>106.16187499999999</v>
      </c>
      <c r="P47" s="183"/>
      <c r="Q47" s="183"/>
      <c r="R47" s="183"/>
      <c r="BJ47" s="3"/>
    </row>
    <row r="48" spans="1:62">
      <c r="A48" s="188">
        <v>42388</v>
      </c>
      <c r="B48" s="4">
        <v>-8</v>
      </c>
      <c r="E48" s="4">
        <v>1.1875</v>
      </c>
      <c r="G48" s="4">
        <v>0.375</v>
      </c>
      <c r="H48" s="4">
        <v>0.875</v>
      </c>
      <c r="K48" s="4">
        <v>-2.6875</v>
      </c>
      <c r="L48" s="4">
        <v>0.5</v>
      </c>
      <c r="M48" s="4">
        <v>-3.7385000000000002</v>
      </c>
      <c r="N48" s="4">
        <v>0.5</v>
      </c>
      <c r="O48" s="4">
        <v>105.82550000000001</v>
      </c>
      <c r="P48" s="183"/>
      <c r="Q48" s="183"/>
      <c r="R48" s="183"/>
      <c r="BJ48" s="3"/>
    </row>
    <row r="49" spans="1:62">
      <c r="A49" s="188">
        <v>42389</v>
      </c>
      <c r="B49" s="4">
        <v>-8</v>
      </c>
      <c r="E49" s="4">
        <v>1.125</v>
      </c>
      <c r="G49" s="4">
        <v>0.125</v>
      </c>
      <c r="H49" s="4">
        <v>1.4375</v>
      </c>
      <c r="K49" s="4">
        <v>-2.75</v>
      </c>
      <c r="L49" s="4">
        <v>0.5</v>
      </c>
      <c r="M49" s="4">
        <v>-3.8011249999999999</v>
      </c>
      <c r="N49" s="4">
        <v>0.5</v>
      </c>
      <c r="O49" s="4">
        <v>105.82474999999999</v>
      </c>
      <c r="P49" s="183"/>
      <c r="Q49" s="183"/>
      <c r="R49" s="183"/>
      <c r="BJ49" s="3"/>
    </row>
    <row r="50" spans="1:62">
      <c r="A50" s="188">
        <v>42390</v>
      </c>
      <c r="B50" s="4">
        <v>-8</v>
      </c>
      <c r="E50" s="4">
        <v>4</v>
      </c>
      <c r="G50" s="4">
        <v>3.9375</v>
      </c>
      <c r="H50" s="4">
        <v>1.375</v>
      </c>
      <c r="K50" s="4">
        <v>0.5</v>
      </c>
      <c r="L50" s="4">
        <v>0.3125</v>
      </c>
      <c r="M50" s="4">
        <v>0.28575</v>
      </c>
      <c r="N50" s="4">
        <v>0.5</v>
      </c>
      <c r="O50" s="4">
        <v>109.51175000000001</v>
      </c>
      <c r="P50" s="183"/>
      <c r="Q50" s="183"/>
      <c r="R50" s="183"/>
      <c r="BJ50" s="3"/>
    </row>
    <row r="51" spans="1:62">
      <c r="A51" s="188">
        <v>42391</v>
      </c>
      <c r="B51" s="4">
        <v>-8</v>
      </c>
      <c r="E51" s="4">
        <v>2.875</v>
      </c>
      <c r="G51" s="4">
        <v>2</v>
      </c>
      <c r="H51" s="4">
        <v>1</v>
      </c>
      <c r="K51" s="4">
        <v>-6.25E-2</v>
      </c>
      <c r="L51" s="4">
        <v>0</v>
      </c>
      <c r="M51" s="4">
        <v>-0.97124999999999995</v>
      </c>
      <c r="N51" s="4">
        <v>0.5</v>
      </c>
      <c r="O51" s="4">
        <v>109.87375</v>
      </c>
      <c r="P51" s="183"/>
      <c r="Q51" s="183"/>
      <c r="R51" s="183"/>
      <c r="BJ51" s="3"/>
    </row>
    <row r="52" spans="1:62">
      <c r="A52" s="188">
        <v>42392</v>
      </c>
      <c r="B52" s="4">
        <v>-8</v>
      </c>
      <c r="E52" s="4">
        <v>1.5625</v>
      </c>
      <c r="G52" s="4">
        <v>0.4375</v>
      </c>
      <c r="H52" s="4">
        <v>1.1875</v>
      </c>
      <c r="K52" s="4">
        <v>-2.0625</v>
      </c>
      <c r="L52" s="4">
        <v>0</v>
      </c>
      <c r="M52" s="4">
        <v>-3.109</v>
      </c>
      <c r="N52" s="4">
        <v>0.5</v>
      </c>
      <c r="O52" s="4">
        <v>106.610625</v>
      </c>
      <c r="P52" s="183"/>
      <c r="Q52" s="183"/>
      <c r="R52" s="183"/>
      <c r="BJ52" s="3"/>
    </row>
    <row r="53" spans="1:62">
      <c r="A53" s="188">
        <v>42393</v>
      </c>
      <c r="B53" s="4">
        <v>-8</v>
      </c>
      <c r="E53" s="4">
        <v>0.9375</v>
      </c>
      <c r="G53" s="4">
        <v>-0.8125</v>
      </c>
      <c r="H53" s="4">
        <v>1.5</v>
      </c>
      <c r="K53" s="4">
        <v>-3.8125</v>
      </c>
      <c r="L53" s="4">
        <v>0</v>
      </c>
      <c r="M53" s="4">
        <v>-5.0591249999999999</v>
      </c>
      <c r="N53" s="4">
        <v>0.5</v>
      </c>
      <c r="O53" s="4">
        <v>105.93837499999999</v>
      </c>
      <c r="P53" s="183"/>
      <c r="Q53" s="183"/>
      <c r="R53" s="183"/>
      <c r="BJ53" s="3"/>
    </row>
    <row r="54" spans="1:62">
      <c r="A54" s="188">
        <v>42394</v>
      </c>
      <c r="B54" s="4">
        <v>-8</v>
      </c>
      <c r="E54" s="4">
        <v>0.375</v>
      </c>
      <c r="G54" s="4">
        <v>-0.5625</v>
      </c>
      <c r="H54" s="4">
        <v>1.5</v>
      </c>
      <c r="K54" s="4">
        <v>-2.5625</v>
      </c>
      <c r="L54" s="4">
        <v>0</v>
      </c>
      <c r="M54" s="4">
        <v>-3.6123750000000001</v>
      </c>
      <c r="N54" s="4">
        <v>0.5</v>
      </c>
      <c r="O54" s="4">
        <v>106.497625</v>
      </c>
      <c r="P54" s="183"/>
      <c r="Q54" s="183"/>
      <c r="R54" s="183"/>
      <c r="BJ54" s="3"/>
    </row>
    <row r="55" spans="1:62">
      <c r="A55" s="188">
        <v>42395</v>
      </c>
      <c r="B55" s="4">
        <v>-8</v>
      </c>
      <c r="E55" s="4">
        <v>4</v>
      </c>
      <c r="G55" s="4">
        <v>4.4375</v>
      </c>
      <c r="H55" s="4">
        <v>0.875</v>
      </c>
      <c r="K55" s="4">
        <v>2.0625</v>
      </c>
      <c r="L55" s="4">
        <v>0</v>
      </c>
      <c r="M55" s="4">
        <v>1.1655</v>
      </c>
      <c r="N55" s="4">
        <v>0.5</v>
      </c>
      <c r="O55" s="4">
        <v>113.44275</v>
      </c>
      <c r="P55" s="183"/>
      <c r="Q55" s="183"/>
      <c r="R55" s="183"/>
      <c r="BJ55" s="3"/>
    </row>
    <row r="56" spans="1:62">
      <c r="A56" s="188">
        <v>42396</v>
      </c>
      <c r="B56" s="4">
        <v>-8</v>
      </c>
      <c r="E56" s="4">
        <v>6.0625</v>
      </c>
      <c r="G56" s="4">
        <v>5.875</v>
      </c>
      <c r="H56" s="4">
        <v>0.9375</v>
      </c>
      <c r="K56" s="4">
        <v>3.4375</v>
      </c>
      <c r="L56" s="4">
        <v>0</v>
      </c>
      <c r="M56" s="4">
        <v>2.5477500000000002</v>
      </c>
      <c r="N56" s="4">
        <v>0.5</v>
      </c>
      <c r="O56" s="4">
        <v>117.77262500000001</v>
      </c>
      <c r="P56" s="183"/>
      <c r="Q56" s="183"/>
      <c r="R56" s="183"/>
      <c r="BJ56" s="3"/>
    </row>
    <row r="57" spans="1:62">
      <c r="A57" s="188">
        <v>42397</v>
      </c>
      <c r="B57" s="4">
        <v>-8</v>
      </c>
      <c r="E57" s="4">
        <v>4.1875</v>
      </c>
      <c r="G57" s="4">
        <v>2.875</v>
      </c>
      <c r="H57" s="4">
        <v>1.75</v>
      </c>
      <c r="K57" s="4">
        <v>0.1875</v>
      </c>
      <c r="L57" s="4">
        <v>0</v>
      </c>
      <c r="M57" s="4">
        <v>-1.223625</v>
      </c>
      <c r="N57" s="4">
        <v>0.5</v>
      </c>
      <c r="O57" s="4">
        <v>111.99912500000001</v>
      </c>
      <c r="P57" s="183"/>
      <c r="Q57" s="183"/>
      <c r="R57" s="183"/>
      <c r="BJ57" s="3"/>
    </row>
    <row r="58" spans="1:62">
      <c r="A58" s="188">
        <v>42398</v>
      </c>
      <c r="B58" s="4">
        <v>-8</v>
      </c>
      <c r="E58" s="4">
        <v>0.625</v>
      </c>
      <c r="G58" s="4">
        <v>-0.75</v>
      </c>
      <c r="H58" s="4">
        <v>1.1875</v>
      </c>
      <c r="K58" s="4">
        <v>-3.9375</v>
      </c>
      <c r="L58" s="4">
        <v>0</v>
      </c>
      <c r="M58" s="4">
        <v>-5.0593750000000002</v>
      </c>
      <c r="N58" s="4">
        <v>0.5</v>
      </c>
      <c r="O58" s="4">
        <v>106.33087500000001</v>
      </c>
      <c r="P58" s="183"/>
      <c r="Q58" s="183"/>
      <c r="R58" s="183"/>
      <c r="BJ58" s="3"/>
    </row>
    <row r="59" spans="1:62">
      <c r="A59" s="188">
        <v>42399</v>
      </c>
      <c r="B59" s="4">
        <v>-8</v>
      </c>
      <c r="E59" s="4">
        <v>-0.1875</v>
      </c>
      <c r="G59" s="4">
        <v>-1.75</v>
      </c>
      <c r="H59" s="4">
        <v>1.5</v>
      </c>
      <c r="K59" s="4">
        <v>-5.375</v>
      </c>
      <c r="L59" s="4">
        <v>0</v>
      </c>
      <c r="M59" s="4">
        <v>-6.56975</v>
      </c>
      <c r="N59" s="4">
        <v>0.5</v>
      </c>
      <c r="O59" s="4">
        <v>105.71375</v>
      </c>
      <c r="P59" s="183"/>
      <c r="Q59" s="183"/>
      <c r="R59" s="183"/>
      <c r="BJ59" s="3"/>
    </row>
    <row r="60" spans="1:62">
      <c r="A60" s="188">
        <v>42400</v>
      </c>
      <c r="B60" s="4">
        <v>-8</v>
      </c>
      <c r="E60" s="4">
        <v>-0.125</v>
      </c>
      <c r="G60" s="4">
        <v>-1.5</v>
      </c>
      <c r="H60" s="4">
        <v>1.5</v>
      </c>
      <c r="K60" s="4">
        <v>-5.1875</v>
      </c>
      <c r="L60" s="4">
        <v>0</v>
      </c>
      <c r="M60" s="4">
        <v>-6.5067500000000003</v>
      </c>
      <c r="N60" s="4">
        <v>0.5</v>
      </c>
      <c r="O60" s="4">
        <v>105.71250000000001</v>
      </c>
      <c r="P60" s="183"/>
      <c r="Q60" s="183"/>
      <c r="R60" s="183"/>
      <c r="BJ60" s="3"/>
    </row>
    <row r="61" spans="1:62">
      <c r="A61" s="188">
        <v>42401</v>
      </c>
      <c r="B61" s="4">
        <v>-8</v>
      </c>
      <c r="E61" s="4">
        <v>-0.4375</v>
      </c>
      <c r="G61" s="4">
        <v>-2.1875</v>
      </c>
      <c r="H61" s="4">
        <v>1.5</v>
      </c>
      <c r="K61" s="4">
        <v>-5.4375</v>
      </c>
      <c r="L61" s="4">
        <v>0</v>
      </c>
      <c r="M61" s="4">
        <v>-6.9473750000000001</v>
      </c>
      <c r="N61" s="4">
        <v>0.5</v>
      </c>
      <c r="O61" s="4">
        <v>105.713375</v>
      </c>
      <c r="P61" s="183"/>
      <c r="Q61" s="183"/>
      <c r="R61" s="183"/>
      <c r="BJ61" s="3"/>
    </row>
    <row r="62" spans="1:62">
      <c r="A62" s="188">
        <v>42402</v>
      </c>
      <c r="B62" s="4">
        <v>-8</v>
      </c>
      <c r="E62" s="4">
        <v>-1.3125</v>
      </c>
      <c r="G62" s="4">
        <v>-3.0625</v>
      </c>
      <c r="H62" s="4">
        <v>1.5</v>
      </c>
      <c r="K62" s="4">
        <v>-6.25</v>
      </c>
      <c r="L62" s="4">
        <v>0</v>
      </c>
      <c r="M62" s="4">
        <v>-7.4511250000000002</v>
      </c>
      <c r="N62" s="4">
        <v>0.5</v>
      </c>
      <c r="O62" s="4">
        <v>105.31975</v>
      </c>
      <c r="P62" s="183"/>
      <c r="Q62" s="183"/>
      <c r="R62" s="183"/>
      <c r="BJ62" s="3"/>
    </row>
    <row r="63" spans="1:62">
      <c r="A63" s="188">
        <v>42403</v>
      </c>
      <c r="B63" s="4">
        <v>-8</v>
      </c>
      <c r="E63" s="4">
        <v>0</v>
      </c>
      <c r="G63" s="4">
        <v>-0.5</v>
      </c>
      <c r="H63" s="4">
        <v>1.5</v>
      </c>
      <c r="K63" s="4">
        <v>-3.75</v>
      </c>
      <c r="L63" s="4">
        <v>0</v>
      </c>
      <c r="M63" s="4">
        <v>-4.7447499999999998</v>
      </c>
      <c r="N63" s="4">
        <v>0.5</v>
      </c>
      <c r="O63" s="4">
        <v>106.32962499999999</v>
      </c>
      <c r="P63" s="183"/>
      <c r="Q63" s="183"/>
      <c r="R63" s="183"/>
      <c r="BJ63" s="3"/>
    </row>
    <row r="64" spans="1:62">
      <c r="A64" s="188">
        <v>42404</v>
      </c>
      <c r="B64" s="4">
        <v>-8</v>
      </c>
      <c r="E64" s="4">
        <v>0.75</v>
      </c>
      <c r="G64" s="4">
        <v>0.1875</v>
      </c>
      <c r="H64" s="4">
        <v>1.5</v>
      </c>
      <c r="K64" s="4">
        <v>-2.875</v>
      </c>
      <c r="L64" s="4">
        <v>0</v>
      </c>
      <c r="M64" s="4">
        <v>-3.6124999999999998</v>
      </c>
      <c r="N64" s="4">
        <v>0.5</v>
      </c>
      <c r="O64" s="4">
        <v>106.553375</v>
      </c>
      <c r="P64" s="183"/>
      <c r="Q64" s="183"/>
      <c r="R64" s="183"/>
      <c r="BJ64" s="3"/>
    </row>
    <row r="65" spans="1:62">
      <c r="A65" s="188">
        <v>42405</v>
      </c>
      <c r="B65" s="4">
        <v>-8</v>
      </c>
      <c r="E65" s="4">
        <v>2.125</v>
      </c>
      <c r="G65" s="4">
        <v>1.875</v>
      </c>
      <c r="H65" s="4">
        <v>1.25</v>
      </c>
      <c r="K65" s="4">
        <v>-1.375</v>
      </c>
      <c r="L65" s="4">
        <v>0</v>
      </c>
      <c r="M65" s="4">
        <v>-2.3543750000000001</v>
      </c>
      <c r="N65" s="4">
        <v>0.5</v>
      </c>
      <c r="O65" s="4">
        <v>107.44475</v>
      </c>
      <c r="P65" s="183"/>
      <c r="Q65" s="183"/>
      <c r="R65" s="183"/>
      <c r="AJ65" s="183"/>
      <c r="AK65" s="183"/>
      <c r="BJ65" s="3"/>
    </row>
    <row r="66" spans="1:62">
      <c r="A66" s="188">
        <v>42406</v>
      </c>
      <c r="B66" s="4">
        <v>-8</v>
      </c>
      <c r="E66" s="4">
        <v>0.375</v>
      </c>
      <c r="G66" s="4">
        <v>-0.625</v>
      </c>
      <c r="H66" s="4">
        <v>0.5</v>
      </c>
      <c r="K66" s="4">
        <v>-3.9375</v>
      </c>
      <c r="L66" s="4">
        <v>0</v>
      </c>
      <c r="M66" s="4">
        <v>-5.1222500000000002</v>
      </c>
      <c r="N66" s="4">
        <v>0.5</v>
      </c>
      <c r="O66" s="4">
        <v>106.0505</v>
      </c>
      <c r="P66" s="183"/>
      <c r="Q66" s="183"/>
      <c r="R66" s="183"/>
      <c r="AI66" s="183"/>
      <c r="AJ66" s="183"/>
      <c r="AK66" s="183"/>
      <c r="BJ66" s="3"/>
    </row>
    <row r="67" spans="1:62">
      <c r="A67" s="188">
        <v>42407</v>
      </c>
      <c r="B67" s="4">
        <v>-8</v>
      </c>
      <c r="E67" s="4">
        <v>1</v>
      </c>
      <c r="G67" s="4">
        <v>0.75</v>
      </c>
      <c r="H67" s="4">
        <v>0.9375</v>
      </c>
      <c r="K67" s="4">
        <v>-0.8125</v>
      </c>
      <c r="L67" s="4">
        <v>0</v>
      </c>
      <c r="M67" s="4">
        <v>-0.97337499999999999</v>
      </c>
      <c r="N67" s="4">
        <v>0.5</v>
      </c>
      <c r="O67" s="4">
        <v>100.01375</v>
      </c>
      <c r="P67" s="183"/>
      <c r="Q67" s="183"/>
      <c r="R67" s="183"/>
      <c r="AI67" s="183"/>
      <c r="AJ67" s="183"/>
      <c r="AK67" s="183"/>
      <c r="BJ67" s="3"/>
    </row>
    <row r="68" spans="1:62">
      <c r="A68" s="188">
        <v>42408</v>
      </c>
      <c r="B68" s="4">
        <v>-8</v>
      </c>
      <c r="E68" s="4">
        <v>4.6875</v>
      </c>
      <c r="G68" s="4">
        <v>8.625</v>
      </c>
      <c r="H68" s="4">
        <v>0.5</v>
      </c>
      <c r="K68" s="4">
        <v>10.375</v>
      </c>
      <c r="L68" s="4">
        <v>0</v>
      </c>
      <c r="M68" s="4">
        <v>8.9499999999999993</v>
      </c>
      <c r="N68" s="4">
        <v>0.5</v>
      </c>
      <c r="O68" s="4">
        <v>64.184375000000003</v>
      </c>
      <c r="P68" s="183"/>
      <c r="Q68" s="183"/>
      <c r="R68" s="183"/>
      <c r="AI68" s="183"/>
      <c r="AJ68" s="183"/>
      <c r="AK68" s="183"/>
      <c r="BJ68" s="3"/>
    </row>
    <row r="69" spans="1:62">
      <c r="A69" s="188">
        <v>42409</v>
      </c>
      <c r="B69" s="4">
        <v>-8</v>
      </c>
      <c r="E69" s="4">
        <v>7.125</v>
      </c>
      <c r="G69" s="4">
        <v>12.375</v>
      </c>
      <c r="H69" s="4">
        <v>0.5</v>
      </c>
      <c r="K69" s="4">
        <v>11.75</v>
      </c>
      <c r="L69" s="4">
        <v>0</v>
      </c>
      <c r="M69" s="4">
        <v>10.831250000000001</v>
      </c>
      <c r="N69" s="4">
        <v>0.5</v>
      </c>
      <c r="O69" s="4">
        <v>30.093</v>
      </c>
      <c r="P69" s="183"/>
      <c r="Q69" s="183"/>
      <c r="R69" s="183"/>
      <c r="AI69" s="183"/>
      <c r="BJ69" s="3"/>
    </row>
    <row r="70" spans="1:62">
      <c r="A70" s="188">
        <v>42410</v>
      </c>
      <c r="B70" s="4">
        <v>-8</v>
      </c>
      <c r="E70" s="4">
        <v>6.0625</v>
      </c>
      <c r="G70" s="4">
        <v>6.25</v>
      </c>
      <c r="H70" s="4">
        <v>0.5</v>
      </c>
      <c r="K70" s="4">
        <v>3.5625</v>
      </c>
      <c r="L70" s="4">
        <v>0</v>
      </c>
      <c r="M70" s="4">
        <v>2.6098750000000002</v>
      </c>
      <c r="N70" s="4">
        <v>0.5</v>
      </c>
      <c r="O70" s="4">
        <v>87.425624999999997</v>
      </c>
      <c r="P70" s="183"/>
      <c r="Q70" s="183"/>
      <c r="R70" s="183"/>
      <c r="BJ70" s="3"/>
    </row>
    <row r="71" spans="1:62">
      <c r="A71" s="188">
        <v>42411</v>
      </c>
      <c r="B71" s="4">
        <v>-8</v>
      </c>
      <c r="E71" s="4">
        <v>4.4375</v>
      </c>
      <c r="G71" s="4">
        <v>4.3125</v>
      </c>
      <c r="H71" s="4">
        <v>0.5</v>
      </c>
      <c r="K71" s="4">
        <v>2.5</v>
      </c>
      <c r="L71" s="4">
        <v>0</v>
      </c>
      <c r="M71" s="4">
        <v>1.9192499999999999</v>
      </c>
      <c r="N71" s="4">
        <v>0.5</v>
      </c>
      <c r="O71" s="4">
        <v>84.433999999999997</v>
      </c>
      <c r="P71" s="183"/>
      <c r="Q71" s="183"/>
      <c r="R71" s="183"/>
      <c r="BJ71" s="3"/>
    </row>
    <row r="72" spans="1:62">
      <c r="A72" s="188">
        <v>42412</v>
      </c>
      <c r="B72" s="4">
        <v>-8</v>
      </c>
      <c r="E72" s="4">
        <v>4.5625</v>
      </c>
      <c r="G72" s="4">
        <v>3.6875</v>
      </c>
      <c r="H72" s="4">
        <v>0.5625</v>
      </c>
      <c r="K72" s="4">
        <v>1.1875</v>
      </c>
      <c r="L72" s="4">
        <v>0</v>
      </c>
      <c r="M72" s="4">
        <v>0.34825</v>
      </c>
      <c r="N72" s="4">
        <v>0.5</v>
      </c>
      <c r="O72" s="4">
        <v>110.32075</v>
      </c>
      <c r="P72" s="183"/>
      <c r="Q72" s="183"/>
      <c r="R72" s="183"/>
      <c r="BJ72" s="3"/>
    </row>
    <row r="73" spans="1:62">
      <c r="A73" s="188">
        <v>42413</v>
      </c>
      <c r="B73" s="4">
        <v>-8</v>
      </c>
      <c r="E73" s="4">
        <v>1.0625</v>
      </c>
      <c r="G73" s="4">
        <v>0.4375</v>
      </c>
      <c r="H73" s="4">
        <v>0.875</v>
      </c>
      <c r="K73" s="4">
        <v>-2.6875</v>
      </c>
      <c r="L73" s="4">
        <v>0</v>
      </c>
      <c r="M73" s="4">
        <v>-3.8011249999999999</v>
      </c>
      <c r="N73" s="4">
        <v>0.5</v>
      </c>
      <c r="O73" s="4">
        <v>106.386375</v>
      </c>
      <c r="P73" s="183"/>
      <c r="Q73" s="183"/>
      <c r="R73" s="183"/>
      <c r="BJ73" s="3"/>
    </row>
    <row r="74" spans="1:62">
      <c r="A74" s="188">
        <v>42414</v>
      </c>
      <c r="B74" s="4">
        <v>-8</v>
      </c>
      <c r="E74" s="4">
        <v>2.75</v>
      </c>
      <c r="G74" s="4">
        <v>1.625</v>
      </c>
      <c r="H74" s="4">
        <v>0.8125</v>
      </c>
      <c r="K74" s="4">
        <v>-0.3125</v>
      </c>
      <c r="L74" s="4">
        <v>0</v>
      </c>
      <c r="M74" s="4">
        <v>-0.90837500000000004</v>
      </c>
      <c r="N74" s="4">
        <v>0.5</v>
      </c>
      <c r="O74" s="4">
        <v>108.80249999999999</v>
      </c>
      <c r="P74" s="183"/>
      <c r="Q74" s="183"/>
      <c r="R74" s="183"/>
      <c r="BJ74" s="3"/>
    </row>
    <row r="75" spans="1:62">
      <c r="A75" s="188">
        <v>42415</v>
      </c>
      <c r="B75" s="4">
        <v>-8</v>
      </c>
      <c r="E75" s="4">
        <v>2.6875</v>
      </c>
      <c r="G75" s="4">
        <v>1.375</v>
      </c>
      <c r="H75" s="4">
        <v>0.625</v>
      </c>
      <c r="K75" s="4">
        <v>-0.5625</v>
      </c>
      <c r="L75" s="4">
        <v>0</v>
      </c>
      <c r="M75" s="4">
        <v>-1.2224999999999999</v>
      </c>
      <c r="N75" s="4">
        <v>0.5</v>
      </c>
      <c r="O75" s="4">
        <v>107.55562500000001</v>
      </c>
      <c r="P75" s="183"/>
      <c r="Q75" s="183"/>
      <c r="R75" s="183"/>
      <c r="BJ75" s="3"/>
    </row>
    <row r="76" spans="1:62">
      <c r="A76" s="188">
        <v>42416</v>
      </c>
      <c r="B76" s="4">
        <v>-8</v>
      </c>
      <c r="E76" s="4">
        <v>2.8125</v>
      </c>
      <c r="G76" s="4">
        <v>1.4375</v>
      </c>
      <c r="H76" s="4">
        <v>0.5625</v>
      </c>
      <c r="K76" s="4">
        <v>-0.6875</v>
      </c>
      <c r="L76" s="4">
        <v>0</v>
      </c>
      <c r="M76" s="4">
        <v>-1.7255</v>
      </c>
      <c r="N76" s="4">
        <v>0.5</v>
      </c>
      <c r="O76" s="4">
        <v>107.27825</v>
      </c>
      <c r="P76" s="183"/>
      <c r="Q76" s="183"/>
      <c r="R76" s="183"/>
      <c r="BJ76" s="3"/>
    </row>
    <row r="77" spans="1:62">
      <c r="A77" s="188">
        <v>42417</v>
      </c>
      <c r="B77" s="4">
        <v>-8</v>
      </c>
      <c r="E77" s="4">
        <v>4.5625</v>
      </c>
      <c r="G77" s="4">
        <v>4.125</v>
      </c>
      <c r="H77" s="4">
        <v>0.5</v>
      </c>
      <c r="K77" s="4">
        <v>1.1875</v>
      </c>
      <c r="L77" s="4">
        <v>0</v>
      </c>
      <c r="M77" s="4">
        <v>3.4250000000000003E-2</v>
      </c>
      <c r="N77" s="4">
        <v>0.5</v>
      </c>
      <c r="O77" s="4">
        <v>109.626125</v>
      </c>
      <c r="P77" s="183"/>
      <c r="Q77" s="183"/>
      <c r="R77" s="183"/>
      <c r="BJ77" s="3"/>
    </row>
    <row r="78" spans="1:62">
      <c r="A78" s="188">
        <v>42418</v>
      </c>
      <c r="B78" s="4">
        <v>-8</v>
      </c>
      <c r="E78" s="4">
        <v>2.9375</v>
      </c>
      <c r="G78" s="4">
        <v>0.8125</v>
      </c>
      <c r="H78" s="4">
        <v>0.5</v>
      </c>
      <c r="K78" s="4">
        <v>-2.0625</v>
      </c>
      <c r="L78" s="4">
        <v>0</v>
      </c>
      <c r="M78" s="4">
        <v>-3.2981250000000002</v>
      </c>
      <c r="N78" s="4">
        <v>0.5</v>
      </c>
      <c r="O78" s="4">
        <v>107.11175</v>
      </c>
      <c r="P78" s="183"/>
      <c r="Q78" s="183"/>
      <c r="R78" s="183"/>
      <c r="BJ78" s="3"/>
    </row>
    <row r="79" spans="1:62">
      <c r="A79" s="188">
        <v>42419</v>
      </c>
      <c r="B79" s="4">
        <v>-8</v>
      </c>
      <c r="E79" s="4">
        <v>1.8125</v>
      </c>
      <c r="G79" s="4">
        <v>0.3125</v>
      </c>
      <c r="H79" s="4">
        <v>0.625</v>
      </c>
      <c r="K79" s="4">
        <v>-2.5625</v>
      </c>
      <c r="L79" s="4">
        <v>0</v>
      </c>
      <c r="M79" s="4">
        <v>-3.6755</v>
      </c>
      <c r="N79" s="4">
        <v>0.5</v>
      </c>
      <c r="O79" s="4">
        <v>106.66575</v>
      </c>
      <c r="P79" s="183"/>
      <c r="Q79" s="183"/>
      <c r="R79" s="183"/>
      <c r="BJ79" s="3"/>
    </row>
    <row r="80" spans="1:62">
      <c r="A80" s="188">
        <v>42420</v>
      </c>
      <c r="B80" s="4">
        <v>-8</v>
      </c>
      <c r="E80" s="4">
        <v>0.25</v>
      </c>
      <c r="G80" s="4">
        <v>-0.6875</v>
      </c>
      <c r="H80" s="4">
        <v>0.6875</v>
      </c>
      <c r="K80" s="4">
        <v>-4.1875</v>
      </c>
      <c r="L80" s="4">
        <v>0</v>
      </c>
      <c r="M80" s="4">
        <v>-5.5626249999999997</v>
      </c>
      <c r="N80" s="4">
        <v>0.5</v>
      </c>
      <c r="O80" s="4">
        <v>106.33087500000001</v>
      </c>
      <c r="P80" s="183"/>
      <c r="Q80" s="183"/>
      <c r="R80" s="183"/>
      <c r="BJ80" s="3"/>
    </row>
    <row r="81" spans="1:62">
      <c r="A81" s="188">
        <v>42421</v>
      </c>
      <c r="B81" s="4">
        <v>-8</v>
      </c>
      <c r="E81" s="4">
        <v>0</v>
      </c>
      <c r="G81" s="4">
        <v>-0.8125</v>
      </c>
      <c r="H81" s="4">
        <v>1</v>
      </c>
      <c r="K81" s="4">
        <v>-4.25</v>
      </c>
      <c r="L81" s="4">
        <v>0</v>
      </c>
      <c r="M81" s="4">
        <v>-5.1851250000000002</v>
      </c>
      <c r="N81" s="4">
        <v>0.5</v>
      </c>
      <c r="O81" s="4">
        <v>105.99437500000001</v>
      </c>
      <c r="P81" s="183"/>
      <c r="Q81" s="183"/>
      <c r="R81" s="183"/>
      <c r="AJ81" s="183"/>
      <c r="AK81" s="183"/>
      <c r="BJ81" s="3"/>
    </row>
    <row r="82" spans="1:62">
      <c r="A82" s="188">
        <v>42422</v>
      </c>
      <c r="B82" s="4">
        <v>-8</v>
      </c>
      <c r="E82" s="4">
        <v>0.375</v>
      </c>
      <c r="G82" s="4">
        <v>-0.375</v>
      </c>
      <c r="H82" s="4">
        <v>1</v>
      </c>
      <c r="K82" s="4">
        <v>-2.875</v>
      </c>
      <c r="L82" s="4">
        <v>0</v>
      </c>
      <c r="M82" s="4">
        <v>-4.8707500000000001</v>
      </c>
      <c r="N82" s="4">
        <v>0.5</v>
      </c>
      <c r="O82" s="4">
        <v>106.33087500000001</v>
      </c>
      <c r="P82" s="183"/>
      <c r="Q82" s="183"/>
      <c r="R82" s="183"/>
      <c r="AI82" s="183"/>
      <c r="AJ82" s="183"/>
      <c r="AK82" s="183"/>
      <c r="BJ82" s="3"/>
    </row>
    <row r="83" spans="1:62">
      <c r="A83" s="188">
        <v>42423</v>
      </c>
      <c r="B83" s="4">
        <v>-8</v>
      </c>
      <c r="E83" s="4">
        <v>0.1875</v>
      </c>
      <c r="G83" s="4">
        <v>-0.125</v>
      </c>
      <c r="H83" s="4">
        <v>1</v>
      </c>
      <c r="K83" s="4">
        <v>-2.625</v>
      </c>
      <c r="L83" s="4">
        <v>0</v>
      </c>
      <c r="M83" s="4">
        <v>-4.1156249999999996</v>
      </c>
      <c r="N83" s="4">
        <v>0.5</v>
      </c>
      <c r="O83" s="4">
        <v>98.532375000000002</v>
      </c>
      <c r="P83" s="183"/>
      <c r="Q83" s="183"/>
      <c r="R83" s="183"/>
      <c r="AI83" s="183"/>
      <c r="AJ83" s="183"/>
      <c r="AK83" s="183"/>
      <c r="BJ83" s="3"/>
    </row>
    <row r="84" spans="1:62">
      <c r="A84" s="188">
        <v>42424</v>
      </c>
      <c r="B84" s="4">
        <v>-8</v>
      </c>
      <c r="E84" s="4">
        <v>2.625</v>
      </c>
      <c r="G84" s="4">
        <v>3.625</v>
      </c>
      <c r="H84" s="4">
        <v>1</v>
      </c>
      <c r="K84" s="4">
        <v>1.75</v>
      </c>
      <c r="L84" s="4">
        <v>0</v>
      </c>
      <c r="M84" s="4">
        <v>9.7250000000000003E-2</v>
      </c>
      <c r="N84" s="4">
        <v>0.5</v>
      </c>
      <c r="O84" s="4">
        <v>73.882750000000001</v>
      </c>
      <c r="P84" s="183"/>
      <c r="Q84" s="183"/>
      <c r="R84" s="183"/>
      <c r="AI84" s="183"/>
      <c r="AJ84" s="183"/>
      <c r="AK84" s="183"/>
      <c r="BJ84" s="3"/>
    </row>
    <row r="85" spans="1:62">
      <c r="A85" s="188">
        <v>42425</v>
      </c>
      <c r="B85" s="4">
        <v>-8</v>
      </c>
      <c r="E85" s="4">
        <v>4.5</v>
      </c>
      <c r="G85" s="4">
        <v>6.25</v>
      </c>
      <c r="H85" s="4">
        <v>0.75</v>
      </c>
      <c r="K85" s="4">
        <v>4.8125</v>
      </c>
      <c r="L85" s="4">
        <v>0</v>
      </c>
      <c r="M85" s="4">
        <v>2.6103749999999999</v>
      </c>
      <c r="N85" s="4">
        <v>0.5</v>
      </c>
      <c r="O85" s="4">
        <v>86.146500000000003</v>
      </c>
      <c r="P85" s="183"/>
      <c r="Q85" s="183"/>
      <c r="R85" s="183"/>
      <c r="AI85" s="183"/>
      <c r="AJ85" s="183"/>
      <c r="AK85" s="183"/>
      <c r="BJ85" s="3"/>
    </row>
    <row r="86" spans="1:62">
      <c r="A86" s="188">
        <v>42426</v>
      </c>
      <c r="B86" s="4">
        <v>-8</v>
      </c>
      <c r="E86" s="4">
        <v>5.9375</v>
      </c>
      <c r="G86" s="4">
        <v>6.5625</v>
      </c>
      <c r="H86" s="4">
        <v>0.5</v>
      </c>
      <c r="K86" s="4">
        <v>3.75</v>
      </c>
      <c r="L86" s="4">
        <v>0</v>
      </c>
      <c r="M86" s="4">
        <v>2.9245000000000001</v>
      </c>
      <c r="N86" s="4">
        <v>0.5</v>
      </c>
      <c r="O86" s="4">
        <v>82.549374999999998</v>
      </c>
      <c r="P86" s="183"/>
      <c r="Q86" s="183"/>
      <c r="R86" s="183"/>
      <c r="AI86" s="183"/>
      <c r="AJ86" s="183"/>
      <c r="AK86" s="183"/>
      <c r="BJ86" s="3"/>
    </row>
    <row r="87" spans="1:62">
      <c r="A87" s="188">
        <v>42427</v>
      </c>
      <c r="B87" s="4">
        <v>-8</v>
      </c>
      <c r="E87" s="4">
        <v>4.5</v>
      </c>
      <c r="G87" s="4">
        <v>3.25</v>
      </c>
      <c r="H87" s="4">
        <v>0.5</v>
      </c>
      <c r="K87" s="4">
        <v>0.25</v>
      </c>
      <c r="L87" s="4">
        <v>0</v>
      </c>
      <c r="M87" s="4">
        <v>-0.78262500000000002</v>
      </c>
      <c r="N87" s="4">
        <v>0.5</v>
      </c>
      <c r="O87" s="4">
        <v>106.55500000000001</v>
      </c>
      <c r="P87" s="183"/>
      <c r="Q87" s="183"/>
      <c r="R87" s="183"/>
      <c r="AI87" s="183"/>
      <c r="AJ87" s="183"/>
      <c r="AK87" s="183"/>
      <c r="BJ87" s="3"/>
    </row>
    <row r="88" spans="1:62">
      <c r="A88" s="188">
        <v>42428</v>
      </c>
      <c r="B88" s="4">
        <v>-8</v>
      </c>
      <c r="E88" s="4">
        <v>2.5</v>
      </c>
      <c r="G88" s="4">
        <v>1</v>
      </c>
      <c r="H88" s="4">
        <v>0.5</v>
      </c>
      <c r="K88" s="4">
        <v>-2</v>
      </c>
      <c r="L88" s="4">
        <v>0</v>
      </c>
      <c r="M88" s="4">
        <v>-3.1720000000000002</v>
      </c>
      <c r="N88" s="4">
        <v>0.5</v>
      </c>
      <c r="O88" s="4">
        <v>106.385625</v>
      </c>
      <c r="P88" s="183"/>
      <c r="Q88" s="183"/>
      <c r="R88" s="183"/>
      <c r="AI88" s="183"/>
      <c r="AJ88" s="183"/>
      <c r="AK88" s="183"/>
      <c r="BJ88" s="3"/>
    </row>
    <row r="89" spans="1:62">
      <c r="A89" s="188">
        <v>42429</v>
      </c>
      <c r="B89" s="4">
        <v>-8</v>
      </c>
      <c r="E89" s="4">
        <v>0.875</v>
      </c>
      <c r="G89" s="4">
        <v>-0.25</v>
      </c>
      <c r="H89" s="4">
        <v>0.5625</v>
      </c>
      <c r="K89" s="4">
        <v>-3.0625</v>
      </c>
      <c r="L89" s="4">
        <v>0</v>
      </c>
      <c r="M89" s="4">
        <v>-4.6818749999999998</v>
      </c>
      <c r="N89" s="4">
        <v>0.5</v>
      </c>
      <c r="O89" s="4">
        <v>105.71237499999999</v>
      </c>
      <c r="P89" s="183"/>
      <c r="Q89" s="183"/>
      <c r="R89" s="183"/>
      <c r="AI89" s="183"/>
      <c r="BJ89" s="3"/>
    </row>
    <row r="90" spans="1:62">
      <c r="A90" s="188">
        <v>42430</v>
      </c>
      <c r="B90" s="4">
        <v>-8</v>
      </c>
      <c r="E90" s="4">
        <v>2.1875</v>
      </c>
      <c r="G90" s="4">
        <v>0.875</v>
      </c>
      <c r="H90" s="4">
        <v>0.6875</v>
      </c>
      <c r="K90" s="4">
        <v>-1.9375</v>
      </c>
      <c r="L90" s="4">
        <v>0</v>
      </c>
      <c r="M90" s="4">
        <v>-2.8576250000000001</v>
      </c>
      <c r="N90" s="4">
        <v>0.5</v>
      </c>
      <c r="O90" s="4">
        <v>106.49612500000001</v>
      </c>
      <c r="P90" s="183"/>
      <c r="Q90" s="183"/>
      <c r="R90" s="183"/>
      <c r="BJ90" s="3"/>
    </row>
    <row r="91" spans="1:62">
      <c r="A91" s="188">
        <v>42431</v>
      </c>
      <c r="B91" s="4">
        <v>-8</v>
      </c>
      <c r="E91" s="4">
        <v>2.9375</v>
      </c>
      <c r="G91" s="4">
        <v>1.5</v>
      </c>
      <c r="H91" s="4">
        <v>0.5</v>
      </c>
      <c r="K91" s="4">
        <v>-1.25</v>
      </c>
      <c r="L91" s="4">
        <v>0</v>
      </c>
      <c r="M91" s="4">
        <v>-2.3543750000000001</v>
      </c>
      <c r="N91" s="4">
        <v>0.5</v>
      </c>
      <c r="O91" s="4">
        <v>106.72225</v>
      </c>
      <c r="P91" s="183"/>
      <c r="Q91" s="183"/>
      <c r="R91" s="183"/>
      <c r="BJ91" s="3"/>
    </row>
    <row r="92" spans="1:62">
      <c r="A92" s="188">
        <v>42432</v>
      </c>
      <c r="B92" s="4">
        <v>-8</v>
      </c>
      <c r="E92" s="4">
        <v>3.375</v>
      </c>
      <c r="G92" s="4">
        <v>1.8125</v>
      </c>
      <c r="H92" s="4">
        <v>0.5</v>
      </c>
      <c r="K92" s="4">
        <v>-0.4375</v>
      </c>
      <c r="L92" s="4">
        <v>0</v>
      </c>
      <c r="M92" s="4">
        <v>-1.4741249999999999</v>
      </c>
      <c r="N92" s="4">
        <v>0.5</v>
      </c>
      <c r="O92" s="4">
        <v>106.999875</v>
      </c>
      <c r="P92" s="183"/>
      <c r="Q92" s="183"/>
      <c r="R92" s="183"/>
      <c r="BJ92" s="3"/>
    </row>
    <row r="93" spans="1:62">
      <c r="A93" s="188">
        <v>42433</v>
      </c>
      <c r="B93" s="4">
        <v>-8</v>
      </c>
      <c r="E93" s="4">
        <v>3.75</v>
      </c>
      <c r="G93" s="4">
        <v>3.4375</v>
      </c>
      <c r="H93" s="4">
        <v>0.5</v>
      </c>
      <c r="K93" s="4">
        <v>-0.75</v>
      </c>
      <c r="L93" s="4">
        <v>0</v>
      </c>
      <c r="M93" s="4">
        <v>-1.59975</v>
      </c>
      <c r="N93" s="4">
        <v>0.5</v>
      </c>
      <c r="O93" s="4">
        <v>107.05612499999999</v>
      </c>
      <c r="P93" s="183"/>
      <c r="Q93" s="183"/>
      <c r="R93" s="183"/>
      <c r="AJ93" s="183"/>
      <c r="AK93" s="183"/>
      <c r="BJ93" s="3"/>
    </row>
    <row r="94" spans="1:62">
      <c r="A94" s="188">
        <v>42434</v>
      </c>
      <c r="B94" s="4">
        <v>-8</v>
      </c>
      <c r="E94" s="4">
        <v>4.4375</v>
      </c>
      <c r="G94" s="4">
        <v>4</v>
      </c>
      <c r="H94" s="4">
        <v>0.5</v>
      </c>
      <c r="K94" s="4">
        <v>1</v>
      </c>
      <c r="L94" s="4">
        <v>0</v>
      </c>
      <c r="M94" s="4">
        <v>-0.65687499999999999</v>
      </c>
      <c r="N94" s="4">
        <v>0.5</v>
      </c>
      <c r="O94" s="4">
        <v>107.72199999999999</v>
      </c>
      <c r="P94" s="183"/>
      <c r="Q94" s="183"/>
      <c r="R94" s="183"/>
      <c r="AI94" s="183"/>
      <c r="AJ94" s="183"/>
      <c r="AK94" s="183"/>
      <c r="BJ94" s="3"/>
    </row>
    <row r="95" spans="1:62">
      <c r="A95" s="188">
        <v>42435</v>
      </c>
      <c r="B95" s="4">
        <v>-8</v>
      </c>
      <c r="E95" s="4">
        <v>3.1875</v>
      </c>
      <c r="G95" s="4">
        <v>1.1875</v>
      </c>
      <c r="H95" s="4">
        <v>0.5</v>
      </c>
      <c r="K95" s="4">
        <v>-1.5625</v>
      </c>
      <c r="L95" s="4">
        <v>0</v>
      </c>
      <c r="M95" s="4">
        <v>-2.6691250000000002</v>
      </c>
      <c r="N95" s="4">
        <v>0.5</v>
      </c>
      <c r="O95" s="4">
        <v>106.9975</v>
      </c>
      <c r="P95" s="183"/>
      <c r="Q95" s="183"/>
      <c r="R95" s="183"/>
      <c r="AI95" s="183"/>
      <c r="AJ95" s="183"/>
      <c r="AK95" s="183"/>
      <c r="BJ95" s="3"/>
    </row>
    <row r="96" spans="1:62">
      <c r="A96" s="188">
        <v>42436</v>
      </c>
      <c r="B96" s="4">
        <v>-8</v>
      </c>
      <c r="E96" s="4">
        <v>1.5</v>
      </c>
      <c r="G96" s="4">
        <v>0</v>
      </c>
      <c r="H96" s="4">
        <v>0.875</v>
      </c>
      <c r="K96" s="4">
        <v>-3.0625</v>
      </c>
      <c r="L96" s="4">
        <v>0</v>
      </c>
      <c r="M96" s="4">
        <v>-4.1786250000000003</v>
      </c>
      <c r="N96" s="4">
        <v>0.5</v>
      </c>
      <c r="O96" s="4">
        <v>106.1065</v>
      </c>
      <c r="P96" s="183"/>
      <c r="Q96" s="183"/>
      <c r="R96" s="183"/>
      <c r="AI96" s="183"/>
      <c r="AJ96" s="183"/>
      <c r="AK96" s="183"/>
      <c r="BJ96" s="3"/>
    </row>
    <row r="97" spans="1:62">
      <c r="A97" s="188">
        <v>42437</v>
      </c>
      <c r="B97" s="4">
        <v>-8</v>
      </c>
      <c r="E97" s="4">
        <v>1.375</v>
      </c>
      <c r="G97" s="4">
        <v>-0.375</v>
      </c>
      <c r="H97" s="4">
        <v>1</v>
      </c>
      <c r="K97" s="4">
        <v>-3.875</v>
      </c>
      <c r="L97" s="4">
        <v>0</v>
      </c>
      <c r="M97" s="4">
        <v>-5.1851250000000002</v>
      </c>
      <c r="N97" s="4">
        <v>0.5</v>
      </c>
      <c r="O97" s="4">
        <v>105.65712499999999</v>
      </c>
      <c r="P97" s="183"/>
      <c r="Q97" s="183"/>
      <c r="R97" s="183"/>
      <c r="AI97" s="183"/>
      <c r="BJ97" s="3"/>
    </row>
    <row r="98" spans="1:62">
      <c r="A98" s="188">
        <v>42438</v>
      </c>
      <c r="B98" s="4">
        <v>-8</v>
      </c>
      <c r="E98" s="4">
        <v>2.125</v>
      </c>
      <c r="G98" s="4">
        <v>0.625</v>
      </c>
      <c r="H98" s="4">
        <v>0.9375</v>
      </c>
      <c r="K98" s="4">
        <v>-2.25</v>
      </c>
      <c r="L98" s="4">
        <v>0</v>
      </c>
      <c r="M98" s="4">
        <v>-3.4866250000000001</v>
      </c>
      <c r="N98" s="4">
        <v>0.5</v>
      </c>
      <c r="O98" s="4">
        <v>106.162125</v>
      </c>
      <c r="P98" s="183"/>
      <c r="Q98" s="183"/>
      <c r="R98" s="183"/>
      <c r="BJ98" s="3"/>
    </row>
    <row r="99" spans="1:62">
      <c r="A99" s="188">
        <v>42439</v>
      </c>
      <c r="B99" s="4">
        <v>-8</v>
      </c>
      <c r="E99" s="4">
        <v>2.8125</v>
      </c>
      <c r="G99" s="4">
        <v>1.0625</v>
      </c>
      <c r="H99" s="4">
        <v>0.5</v>
      </c>
      <c r="K99" s="4">
        <v>-1.6875</v>
      </c>
      <c r="L99" s="4">
        <v>0</v>
      </c>
      <c r="M99" s="4">
        <v>-2.6688749999999999</v>
      </c>
      <c r="N99" s="4">
        <v>0.5</v>
      </c>
      <c r="O99" s="4">
        <v>106.88875</v>
      </c>
      <c r="P99" s="183"/>
      <c r="Q99" s="183"/>
      <c r="R99" s="183"/>
      <c r="BJ99" s="3"/>
    </row>
    <row r="100" spans="1:62">
      <c r="A100" s="188">
        <v>42440</v>
      </c>
      <c r="B100" s="4">
        <v>-8</v>
      </c>
      <c r="E100" s="4">
        <v>2.625</v>
      </c>
      <c r="G100" s="4">
        <v>1.75</v>
      </c>
      <c r="H100" s="4">
        <v>0.8125</v>
      </c>
      <c r="K100" s="4">
        <v>-1.875</v>
      </c>
      <c r="L100" s="4">
        <v>0</v>
      </c>
      <c r="M100" s="4">
        <v>-3.1723750000000002</v>
      </c>
      <c r="N100" s="4">
        <v>0.5</v>
      </c>
      <c r="O100" s="4">
        <v>106.88775</v>
      </c>
      <c r="P100" s="183"/>
      <c r="Q100" s="183"/>
      <c r="R100" s="183"/>
      <c r="BJ100" s="3"/>
    </row>
    <row r="101" spans="1:62">
      <c r="A101" s="188">
        <v>42441</v>
      </c>
      <c r="B101" s="4">
        <v>-8</v>
      </c>
      <c r="E101" s="4">
        <v>2.25</v>
      </c>
      <c r="G101" s="4">
        <v>0.4375</v>
      </c>
      <c r="H101" s="4">
        <v>0.5625</v>
      </c>
      <c r="K101" s="4">
        <v>-2.5625</v>
      </c>
      <c r="L101" s="4">
        <v>0</v>
      </c>
      <c r="M101" s="4">
        <v>-3.6124999999999998</v>
      </c>
      <c r="N101" s="4">
        <v>0.5</v>
      </c>
      <c r="O101" s="4">
        <v>106.72087500000001</v>
      </c>
      <c r="P101" s="183"/>
      <c r="Q101" s="183"/>
      <c r="R101" s="183"/>
      <c r="AJ101" s="183"/>
      <c r="AK101" s="183"/>
      <c r="BJ101" s="3"/>
    </row>
    <row r="102" spans="1:62">
      <c r="A102" s="188">
        <v>42442</v>
      </c>
      <c r="B102" s="4">
        <v>-8</v>
      </c>
      <c r="E102" s="4">
        <v>0.64285714285700002</v>
      </c>
      <c r="G102" s="4">
        <v>-0.428571428571</v>
      </c>
      <c r="H102" s="4">
        <v>1</v>
      </c>
      <c r="K102" s="4">
        <v>-3.8571428571399999</v>
      </c>
      <c r="L102" s="4">
        <v>0</v>
      </c>
      <c r="M102" s="4">
        <v>-5.1404285714300002</v>
      </c>
      <c r="N102" s="4">
        <v>0.5</v>
      </c>
      <c r="O102" s="4">
        <v>106.026571429</v>
      </c>
      <c r="P102" s="183"/>
      <c r="Q102" s="183"/>
      <c r="R102" s="183"/>
      <c r="AI102" s="183"/>
      <c r="AJ102" s="183"/>
      <c r="AK102" s="183"/>
      <c r="BJ102" s="3"/>
    </row>
    <row r="103" spans="1:62">
      <c r="A103" s="188">
        <v>42443</v>
      </c>
      <c r="B103" s="4">
        <v>-8</v>
      </c>
      <c r="E103" s="4">
        <v>0.25</v>
      </c>
      <c r="G103" s="4">
        <v>-0.625</v>
      </c>
      <c r="H103" s="4">
        <v>1</v>
      </c>
      <c r="K103" s="4">
        <v>-4.1875</v>
      </c>
      <c r="L103" s="4">
        <v>0</v>
      </c>
      <c r="M103" s="4">
        <v>-5.3109999999999999</v>
      </c>
      <c r="N103" s="4">
        <v>0.5</v>
      </c>
      <c r="O103" s="4">
        <v>105.882125</v>
      </c>
      <c r="P103" s="183"/>
      <c r="Q103" s="183"/>
      <c r="R103" s="183"/>
      <c r="AI103" s="183"/>
      <c r="AJ103" s="183"/>
      <c r="AK103" s="183"/>
      <c r="BJ103" s="3"/>
    </row>
    <row r="104" spans="1:62">
      <c r="A104" s="188">
        <v>42444</v>
      </c>
      <c r="B104" s="4">
        <v>-8</v>
      </c>
      <c r="E104" s="4">
        <v>0.3125</v>
      </c>
      <c r="G104" s="4">
        <v>-0.4375</v>
      </c>
      <c r="H104" s="4">
        <v>1</v>
      </c>
      <c r="K104" s="4">
        <v>-4.0625</v>
      </c>
      <c r="L104" s="4">
        <v>0</v>
      </c>
      <c r="M104" s="4">
        <v>-5.1852499999999999</v>
      </c>
      <c r="N104" s="4">
        <v>0.5</v>
      </c>
      <c r="O104" s="4">
        <v>105.825125</v>
      </c>
      <c r="P104" s="183"/>
      <c r="Q104" s="183"/>
      <c r="R104" s="183"/>
      <c r="AI104" s="183"/>
      <c r="AJ104" s="183"/>
      <c r="AK104" s="183"/>
      <c r="BJ104" s="3"/>
    </row>
    <row r="105" spans="1:62">
      <c r="A105" s="188">
        <v>42445</v>
      </c>
      <c r="B105" s="4">
        <v>-8</v>
      </c>
      <c r="E105" s="4">
        <v>0.5625</v>
      </c>
      <c r="G105" s="4">
        <v>-0.4375</v>
      </c>
      <c r="H105" s="4">
        <v>1</v>
      </c>
      <c r="K105" s="4">
        <v>-3.375</v>
      </c>
      <c r="L105" s="4">
        <v>0</v>
      </c>
      <c r="M105" s="4">
        <v>-5.2482499999999996</v>
      </c>
      <c r="N105" s="4">
        <v>0.5</v>
      </c>
      <c r="O105" s="4">
        <v>105.93837499999999</v>
      </c>
      <c r="P105" s="183"/>
      <c r="Q105" s="183"/>
      <c r="R105" s="183"/>
      <c r="AI105" s="183"/>
      <c r="AJ105" s="183"/>
      <c r="AK105" s="183"/>
      <c r="BJ105" s="3"/>
    </row>
    <row r="106" spans="1:62">
      <c r="A106" s="188">
        <v>42446</v>
      </c>
      <c r="B106" s="4">
        <v>-8</v>
      </c>
      <c r="E106" s="4">
        <v>-0.375</v>
      </c>
      <c r="G106" s="4">
        <v>-1.625</v>
      </c>
      <c r="H106" s="4">
        <v>1</v>
      </c>
      <c r="K106" s="4">
        <v>-5.375</v>
      </c>
      <c r="L106" s="4">
        <v>0</v>
      </c>
      <c r="M106" s="4">
        <v>-6.506875</v>
      </c>
      <c r="N106" s="4">
        <v>0.5</v>
      </c>
      <c r="O106" s="4">
        <v>104.86725</v>
      </c>
      <c r="P106" s="183"/>
      <c r="Q106" s="183"/>
      <c r="R106" s="183"/>
      <c r="AI106" s="183"/>
      <c r="AJ106" s="183"/>
      <c r="AK106" s="183"/>
      <c r="BJ106" s="3"/>
    </row>
    <row r="107" spans="1:62">
      <c r="A107" s="188">
        <v>42447</v>
      </c>
      <c r="B107" s="4">
        <v>-8</v>
      </c>
      <c r="E107" s="4">
        <v>1.1875</v>
      </c>
      <c r="G107" s="4">
        <v>0.9375</v>
      </c>
      <c r="H107" s="4">
        <v>1</v>
      </c>
      <c r="K107" s="4">
        <v>-3.9375</v>
      </c>
      <c r="L107" s="4">
        <v>0</v>
      </c>
      <c r="M107" s="4">
        <v>-4.7450000000000001</v>
      </c>
      <c r="N107" s="4">
        <v>0.5</v>
      </c>
      <c r="O107" s="4">
        <v>102.52249999999999</v>
      </c>
      <c r="P107" s="183"/>
      <c r="Q107" s="183"/>
      <c r="R107" s="183"/>
      <c r="AI107" s="183"/>
      <c r="AJ107" s="183"/>
      <c r="AK107" s="183"/>
      <c r="BJ107" s="3"/>
    </row>
    <row r="108" spans="1:62">
      <c r="A108" s="188">
        <v>42448</v>
      </c>
      <c r="B108" s="4">
        <v>-8</v>
      </c>
      <c r="E108" s="4">
        <v>4.125</v>
      </c>
      <c r="G108" s="4">
        <v>5.5625</v>
      </c>
      <c r="H108" s="4">
        <v>0.9375</v>
      </c>
      <c r="K108" s="4">
        <v>0.625</v>
      </c>
      <c r="L108" s="4">
        <v>0</v>
      </c>
      <c r="M108" s="4">
        <v>-1.16025</v>
      </c>
      <c r="N108" s="4">
        <v>0.5</v>
      </c>
      <c r="O108" s="4">
        <v>100.93662500000001</v>
      </c>
      <c r="P108" s="183"/>
      <c r="Q108" s="183"/>
      <c r="R108" s="183"/>
      <c r="AI108" s="183"/>
      <c r="AJ108" s="183"/>
      <c r="AK108" s="183"/>
      <c r="BJ108" s="3"/>
    </row>
    <row r="109" spans="1:62">
      <c r="A109" s="188">
        <v>42449</v>
      </c>
      <c r="B109" s="4">
        <v>-8</v>
      </c>
      <c r="E109" s="4">
        <v>5.625</v>
      </c>
      <c r="G109" s="4">
        <v>5.875</v>
      </c>
      <c r="H109" s="4">
        <v>0.5</v>
      </c>
      <c r="K109" s="4">
        <v>3.125</v>
      </c>
      <c r="L109" s="4">
        <v>0</v>
      </c>
      <c r="M109" s="4">
        <v>1.165375</v>
      </c>
      <c r="N109" s="4">
        <v>0.5</v>
      </c>
      <c r="O109" s="4">
        <v>102.55275</v>
      </c>
      <c r="P109" s="183"/>
      <c r="Q109" s="183"/>
      <c r="R109" s="183"/>
      <c r="AI109" s="183"/>
      <c r="AJ109" s="183"/>
      <c r="AK109" s="183"/>
      <c r="BJ109" s="3"/>
    </row>
    <row r="110" spans="1:62">
      <c r="A110" s="188">
        <v>42450</v>
      </c>
      <c r="B110" s="4">
        <v>-8</v>
      </c>
      <c r="E110" s="4">
        <v>4.375</v>
      </c>
      <c r="G110" s="4">
        <v>2.8125</v>
      </c>
      <c r="H110" s="4">
        <v>0.5</v>
      </c>
      <c r="K110" s="4">
        <v>-0.1875</v>
      </c>
      <c r="L110" s="4">
        <v>0</v>
      </c>
      <c r="M110" s="4">
        <v>-1.3482499999999999</v>
      </c>
      <c r="N110" s="4">
        <v>0.5</v>
      </c>
      <c r="O110" s="4">
        <v>107.77200000000001</v>
      </c>
      <c r="P110" s="183"/>
      <c r="Q110" s="183"/>
      <c r="R110" s="183"/>
      <c r="AI110" s="183"/>
      <c r="AJ110" s="183"/>
      <c r="AK110" s="183"/>
      <c r="BJ110" s="3"/>
    </row>
    <row r="111" spans="1:62">
      <c r="A111" s="188">
        <v>42451</v>
      </c>
      <c r="B111" s="4">
        <v>-8</v>
      </c>
      <c r="E111" s="4">
        <v>3.5</v>
      </c>
      <c r="G111" s="4">
        <v>1.8125</v>
      </c>
      <c r="H111" s="4">
        <v>0.5</v>
      </c>
      <c r="K111" s="4">
        <v>-0.6875</v>
      </c>
      <c r="L111" s="4">
        <v>0</v>
      </c>
      <c r="M111" s="4">
        <v>-2.1656249999999999</v>
      </c>
      <c r="N111" s="4">
        <v>0.5</v>
      </c>
      <c r="O111" s="4">
        <v>107.33225</v>
      </c>
      <c r="P111" s="183"/>
      <c r="Q111" s="183"/>
      <c r="R111" s="183"/>
      <c r="AI111" s="183"/>
      <c r="AJ111" s="183"/>
      <c r="AK111" s="183"/>
      <c r="BJ111" s="3"/>
    </row>
    <row r="112" spans="1:62">
      <c r="A112" s="188">
        <v>42452</v>
      </c>
      <c r="B112" s="4">
        <v>-8</v>
      </c>
      <c r="E112" s="4">
        <v>3.125</v>
      </c>
      <c r="G112" s="4">
        <v>1.125</v>
      </c>
      <c r="H112" s="4">
        <v>0.5</v>
      </c>
      <c r="K112" s="4">
        <v>-1.8125</v>
      </c>
      <c r="L112" s="4">
        <v>0</v>
      </c>
      <c r="M112" s="4">
        <v>-2.7315</v>
      </c>
      <c r="N112" s="4">
        <v>0.5</v>
      </c>
      <c r="O112" s="4">
        <v>107.05625000000001</v>
      </c>
      <c r="P112" s="183"/>
      <c r="Q112" s="183"/>
      <c r="R112" s="183"/>
      <c r="AI112" s="183"/>
      <c r="AJ112" s="183"/>
      <c r="AK112" s="183"/>
      <c r="BJ112" s="3"/>
    </row>
    <row r="113" spans="1:62">
      <c r="A113" s="188">
        <v>42453</v>
      </c>
      <c r="B113" s="4">
        <v>-8</v>
      </c>
      <c r="E113" s="4">
        <v>1.0625</v>
      </c>
      <c r="G113" s="4">
        <v>6.25E-2</v>
      </c>
      <c r="H113" s="4">
        <v>0.5</v>
      </c>
      <c r="K113" s="4">
        <v>-2.875</v>
      </c>
      <c r="L113" s="4">
        <v>0</v>
      </c>
      <c r="M113" s="4">
        <v>-4.1784999999999997</v>
      </c>
      <c r="N113" s="4">
        <v>0.5</v>
      </c>
      <c r="O113" s="4">
        <v>106.499</v>
      </c>
      <c r="P113" s="183"/>
      <c r="Q113" s="183"/>
      <c r="R113" s="183"/>
      <c r="AI113" s="183"/>
      <c r="BJ113" s="3"/>
    </row>
    <row r="114" spans="1:62">
      <c r="A114" s="188">
        <v>42454</v>
      </c>
      <c r="B114" s="4">
        <v>-8</v>
      </c>
      <c r="E114" s="4">
        <v>1.3125</v>
      </c>
      <c r="G114" s="4">
        <v>0.4375</v>
      </c>
      <c r="H114" s="4">
        <v>0.875</v>
      </c>
      <c r="K114" s="4">
        <v>-1.9375</v>
      </c>
      <c r="L114" s="4">
        <v>0</v>
      </c>
      <c r="M114" s="4">
        <v>-3.4866250000000001</v>
      </c>
      <c r="N114" s="4">
        <v>0.5</v>
      </c>
      <c r="O114" s="4">
        <v>106.44199999999999</v>
      </c>
      <c r="P114" s="183"/>
      <c r="Q114" s="183"/>
      <c r="R114" s="183"/>
      <c r="BJ114" s="3"/>
    </row>
    <row r="115" spans="1:62">
      <c r="A115" s="188">
        <v>42455</v>
      </c>
      <c r="B115" s="4">
        <v>-8</v>
      </c>
      <c r="E115" s="4">
        <v>2.75</v>
      </c>
      <c r="G115" s="4">
        <v>2.3125</v>
      </c>
      <c r="H115" s="4">
        <v>0.9375</v>
      </c>
      <c r="K115" s="4">
        <v>-1.5</v>
      </c>
      <c r="L115" s="4">
        <v>0</v>
      </c>
      <c r="M115" s="4">
        <v>-3.1092499999999998</v>
      </c>
      <c r="N115" s="4">
        <v>0.5</v>
      </c>
      <c r="O115" s="4">
        <v>106.498625</v>
      </c>
      <c r="P115" s="183"/>
      <c r="Q115" s="183"/>
      <c r="R115" s="183"/>
      <c r="BJ115" s="3"/>
    </row>
    <row r="116" spans="1:62">
      <c r="A116" s="188">
        <v>42456</v>
      </c>
      <c r="B116" s="4">
        <v>-8</v>
      </c>
      <c r="E116" s="4">
        <v>2.1875</v>
      </c>
      <c r="G116" s="4">
        <v>0.8125</v>
      </c>
      <c r="H116" s="4">
        <v>0.5</v>
      </c>
      <c r="K116" s="4">
        <v>-2.0625</v>
      </c>
      <c r="L116" s="4">
        <v>0</v>
      </c>
      <c r="M116" s="4">
        <v>-3.4867499999999998</v>
      </c>
      <c r="N116" s="4">
        <v>0.5</v>
      </c>
      <c r="O116" s="4">
        <v>106.553</v>
      </c>
      <c r="P116" s="183"/>
      <c r="Q116" s="183"/>
      <c r="R116" s="183"/>
      <c r="BJ116" s="3"/>
    </row>
    <row r="117" spans="1:62">
      <c r="A117" s="188">
        <v>42457</v>
      </c>
      <c r="B117" s="4">
        <v>-8</v>
      </c>
      <c r="E117" s="4">
        <v>2.25</v>
      </c>
      <c r="G117" s="4">
        <v>1.125</v>
      </c>
      <c r="H117" s="4">
        <v>0.5625</v>
      </c>
      <c r="K117" s="4">
        <v>-2.3125</v>
      </c>
      <c r="L117" s="4">
        <v>0</v>
      </c>
      <c r="M117" s="4">
        <v>-3.1095000000000002</v>
      </c>
      <c r="N117" s="4">
        <v>0.5</v>
      </c>
      <c r="O117" s="4">
        <v>105.88187499999999</v>
      </c>
      <c r="P117" s="183"/>
      <c r="Q117" s="183"/>
      <c r="R117" s="183"/>
      <c r="AJ117" s="183"/>
      <c r="AK117" s="183"/>
      <c r="BJ117" s="3"/>
    </row>
    <row r="118" spans="1:62">
      <c r="A118" s="188">
        <v>42458</v>
      </c>
      <c r="B118" s="4">
        <v>-8</v>
      </c>
      <c r="E118" s="4">
        <v>4.0625</v>
      </c>
      <c r="G118" s="4">
        <v>4.125</v>
      </c>
      <c r="H118" s="4">
        <v>0.5625</v>
      </c>
      <c r="K118" s="4">
        <v>0.8125</v>
      </c>
      <c r="L118" s="4">
        <v>0</v>
      </c>
      <c r="M118" s="4">
        <v>-0.59487500000000004</v>
      </c>
      <c r="N118" s="4">
        <v>0.5</v>
      </c>
      <c r="O118" s="4">
        <v>92.83475</v>
      </c>
      <c r="P118" s="183"/>
      <c r="Q118" s="183"/>
      <c r="R118" s="183"/>
      <c r="AI118" s="183"/>
      <c r="AJ118" s="183"/>
      <c r="AK118" s="183"/>
      <c r="BJ118" s="3"/>
    </row>
    <row r="119" spans="1:62">
      <c r="A119" s="188">
        <v>42459</v>
      </c>
      <c r="B119" s="4">
        <v>-8</v>
      </c>
      <c r="E119" s="4">
        <v>8.0625</v>
      </c>
      <c r="G119" s="4">
        <v>9.5</v>
      </c>
      <c r="H119" s="4">
        <v>0.5</v>
      </c>
      <c r="K119" s="4">
        <v>8.5625</v>
      </c>
      <c r="L119" s="4">
        <v>0</v>
      </c>
      <c r="M119" s="4">
        <v>4.8081250000000004</v>
      </c>
      <c r="N119" s="4">
        <v>0.5</v>
      </c>
      <c r="O119" s="4">
        <v>78.569999999999993</v>
      </c>
      <c r="P119" s="183"/>
      <c r="Q119" s="183"/>
      <c r="R119" s="183"/>
      <c r="AI119" s="183"/>
      <c r="AJ119" s="183"/>
      <c r="AK119" s="183"/>
      <c r="BJ119" s="3"/>
    </row>
    <row r="120" spans="1:62">
      <c r="A120" s="188">
        <v>42460</v>
      </c>
      <c r="B120" s="4">
        <v>-8</v>
      </c>
      <c r="E120" s="4">
        <v>8.5625</v>
      </c>
      <c r="G120" s="4">
        <v>10.3125</v>
      </c>
      <c r="H120" s="4">
        <v>0.5</v>
      </c>
      <c r="K120" s="4">
        <v>10</v>
      </c>
      <c r="L120" s="4">
        <v>0</v>
      </c>
      <c r="M120" s="4">
        <v>7.883375</v>
      </c>
      <c r="N120" s="4">
        <v>0.5</v>
      </c>
      <c r="O120" s="4">
        <v>65.804874999999996</v>
      </c>
      <c r="P120" s="183"/>
      <c r="Q120" s="183"/>
      <c r="R120" s="183"/>
      <c r="AI120" s="183"/>
      <c r="AJ120" s="183"/>
      <c r="AK120" s="183"/>
      <c r="BJ120" s="3"/>
    </row>
    <row r="121" spans="1:62">
      <c r="A121" s="188">
        <v>42461</v>
      </c>
      <c r="B121" s="4">
        <v>-8</v>
      </c>
      <c r="E121" s="4">
        <v>8.875</v>
      </c>
      <c r="G121" s="4">
        <v>9.75</v>
      </c>
      <c r="H121" s="4">
        <v>0.5</v>
      </c>
      <c r="K121" s="4">
        <v>9.125</v>
      </c>
      <c r="L121" s="4">
        <v>0</v>
      </c>
      <c r="M121" s="4">
        <v>7.3817500000000003</v>
      </c>
      <c r="N121" s="4">
        <v>0.5</v>
      </c>
      <c r="O121" s="4">
        <v>81.059375000000003</v>
      </c>
      <c r="P121" s="183"/>
      <c r="Q121" s="183"/>
      <c r="R121" s="183"/>
      <c r="AI121" s="183"/>
      <c r="BJ121" s="3"/>
    </row>
    <row r="122" spans="1:62">
      <c r="A122" s="188">
        <v>42462</v>
      </c>
      <c r="B122" s="4">
        <v>-8</v>
      </c>
      <c r="E122" s="4">
        <v>8</v>
      </c>
      <c r="G122" s="4">
        <v>7.875</v>
      </c>
      <c r="H122" s="4">
        <v>0.5</v>
      </c>
      <c r="K122" s="4">
        <v>5.5</v>
      </c>
      <c r="L122" s="4">
        <v>0</v>
      </c>
      <c r="M122" s="4">
        <v>3.3014999999999999</v>
      </c>
      <c r="N122" s="4">
        <v>0.5</v>
      </c>
      <c r="O122" s="4">
        <v>99.47475</v>
      </c>
      <c r="P122" s="183"/>
      <c r="Q122" s="183"/>
      <c r="R122" s="183"/>
      <c r="BJ122" s="3"/>
    </row>
    <row r="123" spans="1:62">
      <c r="A123" s="188">
        <v>42463</v>
      </c>
      <c r="B123" s="4">
        <v>-8</v>
      </c>
      <c r="E123" s="4">
        <v>8.4375</v>
      </c>
      <c r="G123" s="4">
        <v>8.1875</v>
      </c>
      <c r="H123" s="4">
        <v>0.5</v>
      </c>
      <c r="K123" s="4">
        <v>5.9375</v>
      </c>
      <c r="L123" s="4">
        <v>0</v>
      </c>
      <c r="M123" s="4">
        <v>4.8082500000000001</v>
      </c>
      <c r="N123" s="4">
        <v>0.5</v>
      </c>
      <c r="O123" s="4">
        <v>78.085499999999996</v>
      </c>
      <c r="P123" s="183"/>
      <c r="Q123" s="183"/>
      <c r="R123" s="183"/>
      <c r="BJ123" s="3"/>
    </row>
    <row r="124" spans="1:62">
      <c r="A124" s="188">
        <v>42464</v>
      </c>
      <c r="B124" s="4">
        <v>-8</v>
      </c>
      <c r="E124" s="4">
        <v>4.75</v>
      </c>
      <c r="G124" s="4">
        <v>3</v>
      </c>
      <c r="H124" s="4">
        <v>0.5</v>
      </c>
      <c r="K124" s="4">
        <v>-0.125</v>
      </c>
      <c r="L124" s="4">
        <v>0</v>
      </c>
      <c r="M124" s="4">
        <v>-1.788875</v>
      </c>
      <c r="N124" s="4">
        <v>0.5</v>
      </c>
      <c r="O124" s="4">
        <v>104.629125</v>
      </c>
      <c r="P124" s="183"/>
      <c r="Q124" s="183"/>
      <c r="R124" s="183"/>
      <c r="BJ124" s="3"/>
    </row>
    <row r="125" spans="1:62">
      <c r="A125" s="188">
        <v>42465</v>
      </c>
      <c r="B125" s="4">
        <v>-8</v>
      </c>
      <c r="E125" s="4">
        <v>3.1875</v>
      </c>
      <c r="G125" s="4">
        <v>1.3125</v>
      </c>
      <c r="H125" s="4">
        <v>0.9375</v>
      </c>
      <c r="K125" s="4">
        <v>-1.375</v>
      </c>
      <c r="L125" s="4">
        <v>0</v>
      </c>
      <c r="M125" s="4">
        <v>-2.9206249999999998</v>
      </c>
      <c r="N125" s="4">
        <v>0.5</v>
      </c>
      <c r="O125" s="4">
        <v>105.88175</v>
      </c>
      <c r="P125" s="183"/>
      <c r="Q125" s="183"/>
      <c r="R125" s="183"/>
      <c r="AJ125" s="183"/>
      <c r="AK125" s="183"/>
      <c r="BJ125" s="3"/>
    </row>
    <row r="126" spans="1:62">
      <c r="A126" s="188">
        <v>42466</v>
      </c>
      <c r="B126" s="4">
        <v>-8</v>
      </c>
      <c r="E126" s="4">
        <v>6.375</v>
      </c>
      <c r="G126" s="4">
        <v>5.4375</v>
      </c>
      <c r="H126" s="4">
        <v>0.5</v>
      </c>
      <c r="K126" s="4">
        <v>2</v>
      </c>
      <c r="L126" s="4">
        <v>0</v>
      </c>
      <c r="M126" s="4">
        <v>0.97650000000000003</v>
      </c>
      <c r="N126" s="4">
        <v>0.5</v>
      </c>
      <c r="O126" s="4">
        <v>101.004375</v>
      </c>
      <c r="P126" s="183"/>
      <c r="Q126" s="183"/>
      <c r="R126" s="183"/>
      <c r="AI126" s="183"/>
      <c r="AJ126" s="183"/>
      <c r="AK126" s="183"/>
      <c r="BJ126" s="3"/>
    </row>
    <row r="127" spans="1:62">
      <c r="A127" s="188">
        <v>42467</v>
      </c>
      <c r="B127" s="4">
        <v>-8</v>
      </c>
      <c r="E127" s="4">
        <v>10.6875</v>
      </c>
      <c r="G127" s="4">
        <v>14.0625</v>
      </c>
      <c r="H127" s="4">
        <v>0.5625</v>
      </c>
      <c r="K127" s="4">
        <v>13.6875</v>
      </c>
      <c r="L127" s="4">
        <v>0</v>
      </c>
      <c r="M127" s="4">
        <v>11.896875</v>
      </c>
      <c r="N127" s="4">
        <v>0.5</v>
      </c>
      <c r="O127" s="4">
        <v>31.513000000000002</v>
      </c>
      <c r="P127" s="183"/>
      <c r="Q127" s="183"/>
      <c r="R127" s="183"/>
      <c r="AI127" s="183"/>
      <c r="AJ127" s="183"/>
      <c r="AK127" s="183"/>
      <c r="BJ127" s="3"/>
    </row>
    <row r="128" spans="1:62">
      <c r="A128" s="188">
        <v>42468</v>
      </c>
      <c r="B128" s="4">
        <v>-8</v>
      </c>
      <c r="E128" s="4">
        <v>12.375</v>
      </c>
      <c r="G128" s="4">
        <v>14.3125</v>
      </c>
      <c r="H128" s="4">
        <v>1.375</v>
      </c>
      <c r="K128" s="4">
        <v>13.375</v>
      </c>
      <c r="L128" s="4">
        <v>0</v>
      </c>
      <c r="M128" s="4">
        <v>11.96</v>
      </c>
      <c r="N128" s="4">
        <v>0.5</v>
      </c>
      <c r="O128" s="4">
        <v>40.557749999999999</v>
      </c>
      <c r="P128" s="183"/>
      <c r="Q128" s="183"/>
      <c r="R128" s="183"/>
      <c r="AI128" s="183"/>
      <c r="AJ128" s="183"/>
      <c r="AK128" s="183"/>
      <c r="BJ128" s="3"/>
    </row>
    <row r="129" spans="1:62">
      <c r="A129" s="188">
        <v>42469</v>
      </c>
      <c r="B129" s="4">
        <v>-8</v>
      </c>
      <c r="E129" s="4">
        <v>9.25</v>
      </c>
      <c r="G129" s="4">
        <v>9.25</v>
      </c>
      <c r="H129" s="4">
        <v>3.25</v>
      </c>
      <c r="K129" s="4">
        <v>7.8125</v>
      </c>
      <c r="L129" s="4">
        <v>0</v>
      </c>
      <c r="M129" s="4">
        <v>6.1266249999999998</v>
      </c>
      <c r="N129" s="4">
        <v>0.5</v>
      </c>
      <c r="O129" s="4">
        <v>69.361625000000004</v>
      </c>
      <c r="P129" s="183"/>
      <c r="Q129" s="183"/>
      <c r="R129" s="183"/>
      <c r="AI129" s="183"/>
      <c r="AJ129" s="183"/>
      <c r="AK129" s="183"/>
      <c r="BJ129" s="3"/>
    </row>
    <row r="130" spans="1:62">
      <c r="A130" s="188">
        <v>42470</v>
      </c>
      <c r="B130" s="4">
        <v>-8</v>
      </c>
      <c r="E130" s="4">
        <v>8</v>
      </c>
      <c r="G130" s="4">
        <v>7.375</v>
      </c>
      <c r="H130" s="4">
        <v>3.9375</v>
      </c>
      <c r="K130" s="4">
        <v>5.0625</v>
      </c>
      <c r="L130" s="4">
        <v>0</v>
      </c>
      <c r="M130" s="4">
        <v>4.0549999999999997</v>
      </c>
      <c r="N130" s="4">
        <v>0.5</v>
      </c>
      <c r="O130" s="4">
        <v>88.8185</v>
      </c>
      <c r="P130" s="183"/>
      <c r="Q130" s="183"/>
      <c r="R130" s="183"/>
      <c r="AI130" s="183"/>
      <c r="AJ130" s="183"/>
      <c r="AK130" s="183"/>
      <c r="BJ130" s="3"/>
    </row>
    <row r="131" spans="1:62">
      <c r="A131" s="188">
        <v>42471</v>
      </c>
      <c r="B131" s="4">
        <v>-8</v>
      </c>
      <c r="E131" s="4">
        <v>7.1875</v>
      </c>
      <c r="G131" s="4">
        <v>5.25</v>
      </c>
      <c r="H131" s="4">
        <v>3.875</v>
      </c>
      <c r="K131" s="4">
        <v>0.8125</v>
      </c>
      <c r="L131" s="4">
        <v>0</v>
      </c>
      <c r="M131" s="4">
        <v>-0.34275</v>
      </c>
      <c r="N131" s="4">
        <v>0.5</v>
      </c>
      <c r="O131" s="4">
        <v>107.052125</v>
      </c>
      <c r="P131" s="183"/>
      <c r="Q131" s="183"/>
      <c r="R131" s="183"/>
      <c r="AI131" s="183"/>
      <c r="AJ131" s="183"/>
      <c r="AK131" s="183"/>
      <c r="BJ131" s="3"/>
    </row>
    <row r="132" spans="1:62">
      <c r="A132" s="188">
        <v>42472</v>
      </c>
      <c r="B132" s="4">
        <v>-8</v>
      </c>
      <c r="E132" s="4">
        <v>5.1875</v>
      </c>
      <c r="G132" s="4">
        <v>3</v>
      </c>
      <c r="H132" s="4">
        <v>3.4375</v>
      </c>
      <c r="K132" s="4">
        <v>-0.625</v>
      </c>
      <c r="L132" s="4">
        <v>0</v>
      </c>
      <c r="M132" s="4">
        <v>-1.9141250000000001</v>
      </c>
      <c r="N132" s="4">
        <v>0.5</v>
      </c>
      <c r="O132" s="4">
        <v>106.66612499999999</v>
      </c>
      <c r="P132" s="183"/>
      <c r="Q132" s="183"/>
      <c r="R132" s="183"/>
      <c r="AI132" s="183"/>
      <c r="AJ132" s="183"/>
      <c r="AK132" s="183"/>
      <c r="BJ132" s="3"/>
    </row>
    <row r="133" spans="1:62">
      <c r="A133" s="188">
        <v>42473</v>
      </c>
      <c r="B133" s="4">
        <v>-8</v>
      </c>
      <c r="E133" s="4">
        <v>3.6875</v>
      </c>
      <c r="G133" s="4">
        <v>2</v>
      </c>
      <c r="H133" s="4">
        <v>2.4375</v>
      </c>
      <c r="K133" s="4">
        <v>-1.6875</v>
      </c>
      <c r="L133" s="4">
        <v>0</v>
      </c>
      <c r="M133" s="4">
        <v>-2.9833750000000001</v>
      </c>
      <c r="N133" s="4">
        <v>0.5</v>
      </c>
      <c r="O133" s="4">
        <v>106.10612500000001</v>
      </c>
      <c r="P133" s="183"/>
      <c r="Q133" s="183"/>
      <c r="R133" s="183"/>
      <c r="AI133" s="183"/>
      <c r="BJ133" s="3"/>
    </row>
    <row r="134" spans="1:62">
      <c r="A134" s="188">
        <v>42474</v>
      </c>
      <c r="B134" s="4">
        <v>-8</v>
      </c>
      <c r="E134" s="4">
        <v>3.6875</v>
      </c>
      <c r="G134" s="4">
        <v>2.25</v>
      </c>
      <c r="H134" s="4">
        <v>2.5</v>
      </c>
      <c r="K134" s="4">
        <v>-1.0625</v>
      </c>
      <c r="L134" s="4">
        <v>0</v>
      </c>
      <c r="M134" s="4">
        <v>-2.1027499999999999</v>
      </c>
      <c r="N134" s="4">
        <v>0.5</v>
      </c>
      <c r="O134" s="4">
        <v>106.27424999999999</v>
      </c>
      <c r="P134" s="183"/>
      <c r="Q134" s="183"/>
      <c r="R134" s="183"/>
      <c r="BJ134" s="3"/>
    </row>
    <row r="135" spans="1:62">
      <c r="A135" s="188">
        <v>42475</v>
      </c>
      <c r="B135" s="4">
        <v>-8</v>
      </c>
      <c r="E135" s="4">
        <v>5.0625</v>
      </c>
      <c r="G135" s="4">
        <v>3.375</v>
      </c>
      <c r="H135" s="4">
        <v>2.875</v>
      </c>
      <c r="K135" s="4">
        <v>-0.125</v>
      </c>
      <c r="L135" s="4">
        <v>0</v>
      </c>
      <c r="M135" s="4">
        <v>-1.2855000000000001</v>
      </c>
      <c r="N135" s="4">
        <v>0.5</v>
      </c>
      <c r="O135" s="4">
        <v>106.94499999999999</v>
      </c>
      <c r="P135" s="183"/>
      <c r="Q135" s="183"/>
      <c r="R135" s="183"/>
      <c r="BJ135" s="3"/>
    </row>
    <row r="136" spans="1:62">
      <c r="A136" s="188">
        <v>42476</v>
      </c>
      <c r="B136" s="4">
        <v>-8</v>
      </c>
      <c r="E136" s="4">
        <v>6.1875</v>
      </c>
      <c r="G136" s="4">
        <v>5.5625</v>
      </c>
      <c r="H136" s="4">
        <v>3.1875</v>
      </c>
      <c r="K136" s="4">
        <v>1.5</v>
      </c>
      <c r="L136" s="4">
        <v>0</v>
      </c>
      <c r="M136" s="4">
        <v>-2.9000000000000001E-2</v>
      </c>
      <c r="N136" s="4">
        <v>0.5</v>
      </c>
      <c r="O136" s="4">
        <v>96.069249999999997</v>
      </c>
      <c r="P136" s="183"/>
      <c r="Q136" s="183"/>
      <c r="R136" s="183"/>
      <c r="BJ136" s="3"/>
    </row>
    <row r="137" spans="1:62">
      <c r="A137" s="188">
        <v>42477</v>
      </c>
      <c r="B137" s="4">
        <v>-8</v>
      </c>
      <c r="E137" s="4">
        <v>10.875</v>
      </c>
      <c r="G137" s="4">
        <v>12.375</v>
      </c>
      <c r="H137" s="4">
        <v>4.6875</v>
      </c>
      <c r="K137" s="4">
        <v>10.375</v>
      </c>
      <c r="L137" s="4">
        <v>0</v>
      </c>
      <c r="M137" s="4">
        <v>8.7613749999999992</v>
      </c>
      <c r="N137" s="4">
        <v>0.5</v>
      </c>
      <c r="O137" s="4">
        <v>59.595374999999997</v>
      </c>
      <c r="P137" s="183"/>
      <c r="Q137" s="183"/>
      <c r="R137" s="183"/>
      <c r="BJ137" s="3"/>
    </row>
    <row r="138" spans="1:62">
      <c r="A138" s="188">
        <v>42478</v>
      </c>
      <c r="B138" s="4">
        <v>-8</v>
      </c>
      <c r="E138" s="4">
        <v>13.875</v>
      </c>
      <c r="G138" s="4">
        <v>17.1875</v>
      </c>
      <c r="H138" s="4">
        <v>6.5</v>
      </c>
      <c r="K138" s="4">
        <v>15.0625</v>
      </c>
      <c r="L138" s="4">
        <v>0</v>
      </c>
      <c r="M138" s="4">
        <v>13.52725</v>
      </c>
      <c r="N138" s="4">
        <v>0.5</v>
      </c>
      <c r="O138" s="4">
        <v>32.451749999999997</v>
      </c>
      <c r="P138" s="183"/>
      <c r="Q138" s="183"/>
      <c r="R138" s="183"/>
      <c r="BJ138" s="3"/>
    </row>
    <row r="139" spans="1:62">
      <c r="A139" s="188">
        <v>42479</v>
      </c>
      <c r="B139" s="4">
        <v>-8</v>
      </c>
      <c r="E139" s="4">
        <v>14.5</v>
      </c>
      <c r="G139" s="4">
        <v>16.75</v>
      </c>
      <c r="H139" s="4">
        <v>7.25</v>
      </c>
      <c r="K139" s="4">
        <v>15.625</v>
      </c>
      <c r="L139" s="4">
        <v>0</v>
      </c>
      <c r="M139" s="4">
        <v>14.279</v>
      </c>
      <c r="N139" s="4">
        <v>0.5</v>
      </c>
      <c r="O139" s="4">
        <v>39.280875000000002</v>
      </c>
      <c r="P139" s="183"/>
      <c r="Q139" s="183"/>
      <c r="R139" s="183"/>
      <c r="BJ139" s="3"/>
    </row>
    <row r="140" spans="1:62">
      <c r="A140" s="188">
        <v>42480</v>
      </c>
      <c r="B140" s="4">
        <v>-8</v>
      </c>
      <c r="E140" s="4">
        <v>14.9375</v>
      </c>
      <c r="G140" s="4">
        <v>17.5</v>
      </c>
      <c r="H140" s="4">
        <v>7.9375</v>
      </c>
      <c r="K140" s="4">
        <v>17.25</v>
      </c>
      <c r="L140" s="4">
        <v>0</v>
      </c>
      <c r="M140" s="4">
        <v>14.717499999999999</v>
      </c>
      <c r="N140" s="4">
        <v>0.5</v>
      </c>
      <c r="O140" s="4">
        <v>36.093249999999998</v>
      </c>
      <c r="P140" s="183"/>
      <c r="Q140" s="183"/>
      <c r="R140" s="183"/>
      <c r="BJ140" s="3"/>
    </row>
    <row r="141" spans="1:62">
      <c r="A141" s="188">
        <v>42481</v>
      </c>
      <c r="B141" s="4">
        <v>-8</v>
      </c>
      <c r="E141" s="4">
        <v>14</v>
      </c>
      <c r="G141" s="4">
        <v>14.0625</v>
      </c>
      <c r="H141" s="4">
        <v>8.25</v>
      </c>
      <c r="K141" s="4">
        <v>10.1875</v>
      </c>
      <c r="L141" s="4">
        <v>0</v>
      </c>
      <c r="M141" s="4">
        <v>9.0128749999999993</v>
      </c>
      <c r="N141" s="4">
        <v>0.5</v>
      </c>
      <c r="O141" s="4">
        <v>89.714500000000001</v>
      </c>
      <c r="P141" s="183"/>
      <c r="Q141" s="183"/>
      <c r="R141" s="183"/>
      <c r="BJ141" s="3"/>
    </row>
    <row r="142" spans="1:62">
      <c r="A142" s="188">
        <v>42482</v>
      </c>
      <c r="B142" s="4">
        <v>-8</v>
      </c>
      <c r="E142" s="4">
        <v>9.375</v>
      </c>
      <c r="G142" s="4">
        <v>8.625</v>
      </c>
      <c r="H142" s="4">
        <v>7.4375</v>
      </c>
      <c r="K142" s="4">
        <v>5.5</v>
      </c>
      <c r="L142" s="4">
        <v>0</v>
      </c>
      <c r="M142" s="4">
        <v>5.4359999999999999</v>
      </c>
      <c r="N142" s="4">
        <v>0.5</v>
      </c>
      <c r="O142" s="4">
        <v>96.699124999999995</v>
      </c>
      <c r="P142" s="183"/>
      <c r="Q142" s="183"/>
      <c r="R142" s="183"/>
      <c r="BJ142" s="3"/>
    </row>
    <row r="143" spans="1:62">
      <c r="A143" s="188">
        <v>42483</v>
      </c>
      <c r="B143" s="4">
        <v>-8</v>
      </c>
      <c r="E143" s="4">
        <v>7.5625</v>
      </c>
      <c r="G143" s="4">
        <v>6.25</v>
      </c>
      <c r="H143" s="4">
        <v>6.375</v>
      </c>
      <c r="K143" s="4">
        <v>2.4375</v>
      </c>
      <c r="L143" s="4">
        <v>0</v>
      </c>
      <c r="M143" s="4">
        <v>1.3540000000000001</v>
      </c>
      <c r="N143" s="4">
        <v>0.5</v>
      </c>
      <c r="O143" s="4">
        <v>109.69562500000001</v>
      </c>
      <c r="P143" s="183"/>
      <c r="Q143" s="183"/>
      <c r="R143" s="183"/>
      <c r="BJ143" s="3"/>
    </row>
    <row r="144" spans="1:62">
      <c r="A144" s="188">
        <v>42484</v>
      </c>
      <c r="B144" s="4">
        <v>-8</v>
      </c>
      <c r="E144" s="4">
        <v>4.75</v>
      </c>
      <c r="G144" s="4">
        <v>2.875</v>
      </c>
      <c r="H144" s="4">
        <v>4.875</v>
      </c>
      <c r="K144" s="4">
        <v>-0.125</v>
      </c>
      <c r="L144" s="4">
        <v>0</v>
      </c>
      <c r="M144" s="4">
        <v>-1.4112499999999999</v>
      </c>
      <c r="N144" s="4">
        <v>0.5</v>
      </c>
      <c r="O144" s="4">
        <v>107.762</v>
      </c>
      <c r="P144" s="183"/>
      <c r="Q144" s="183"/>
      <c r="R144" s="183"/>
      <c r="BJ144" s="3"/>
    </row>
    <row r="145" spans="1:62">
      <c r="A145" s="188">
        <v>42485</v>
      </c>
      <c r="B145" s="4">
        <v>-8</v>
      </c>
      <c r="E145" s="4">
        <v>4.25</v>
      </c>
      <c r="G145" s="4">
        <v>2.25</v>
      </c>
      <c r="H145" s="4">
        <v>3.8125</v>
      </c>
      <c r="K145" s="4">
        <v>-0.625</v>
      </c>
      <c r="L145" s="4">
        <v>0</v>
      </c>
      <c r="M145" s="4">
        <v>-2.4173749999999998</v>
      </c>
      <c r="N145" s="4">
        <v>0.5</v>
      </c>
      <c r="O145" s="4">
        <v>105.373875</v>
      </c>
      <c r="P145" s="183"/>
      <c r="Q145" s="183"/>
      <c r="R145" s="183"/>
      <c r="BJ145" s="3"/>
    </row>
    <row r="146" spans="1:62">
      <c r="A146" s="188">
        <v>42486</v>
      </c>
      <c r="B146" s="4">
        <v>-8</v>
      </c>
      <c r="E146" s="4">
        <v>5.9375</v>
      </c>
      <c r="G146" s="4">
        <v>4.375</v>
      </c>
      <c r="H146" s="4">
        <v>3.875</v>
      </c>
      <c r="K146" s="4">
        <v>0.5625</v>
      </c>
      <c r="L146" s="4">
        <v>0</v>
      </c>
      <c r="M146" s="4">
        <v>-1.097375</v>
      </c>
      <c r="N146" s="4">
        <v>0.5</v>
      </c>
      <c r="O146" s="4">
        <v>103.00675</v>
      </c>
      <c r="P146" s="183"/>
      <c r="Q146" s="183"/>
      <c r="R146" s="183"/>
      <c r="BJ146" s="3"/>
    </row>
    <row r="147" spans="1:62">
      <c r="A147" s="188">
        <v>42487</v>
      </c>
      <c r="B147" s="4">
        <v>-8</v>
      </c>
      <c r="E147" s="4">
        <v>7.4375</v>
      </c>
      <c r="G147" s="4">
        <v>5.6875</v>
      </c>
      <c r="H147" s="4">
        <v>4.6875</v>
      </c>
      <c r="K147" s="4">
        <v>2.625</v>
      </c>
      <c r="L147" s="4">
        <v>0</v>
      </c>
      <c r="M147" s="4">
        <v>0.85124999999999995</v>
      </c>
      <c r="N147" s="4">
        <v>0.5</v>
      </c>
      <c r="O147" s="4">
        <v>104.80549999999999</v>
      </c>
      <c r="P147" s="183"/>
      <c r="Q147" s="183"/>
      <c r="R147" s="183"/>
      <c r="BJ147" s="3"/>
    </row>
    <row r="148" spans="1:62">
      <c r="A148" s="188">
        <v>42488</v>
      </c>
      <c r="B148" s="4">
        <v>-8</v>
      </c>
      <c r="E148" s="4">
        <v>7.75</v>
      </c>
      <c r="G148" s="4">
        <v>5.9375</v>
      </c>
      <c r="H148" s="4">
        <v>5.125</v>
      </c>
      <c r="K148" s="4">
        <v>2.4375</v>
      </c>
      <c r="L148" s="4">
        <v>0</v>
      </c>
      <c r="M148" s="4">
        <v>1.5427500000000001</v>
      </c>
      <c r="N148" s="4">
        <v>0.5</v>
      </c>
      <c r="O148" s="4">
        <v>106.375625</v>
      </c>
      <c r="P148" s="183"/>
      <c r="Q148" s="183"/>
      <c r="R148" s="183"/>
      <c r="BJ148" s="3"/>
    </row>
    <row r="149" spans="1:62">
      <c r="A149" s="188">
        <v>42489</v>
      </c>
      <c r="B149" s="4">
        <v>-8</v>
      </c>
      <c r="E149" s="4">
        <v>7.0625</v>
      </c>
      <c r="G149" s="4">
        <v>5.1875</v>
      </c>
      <c r="H149" s="4">
        <v>5</v>
      </c>
      <c r="K149" s="4">
        <v>1.375</v>
      </c>
      <c r="L149" s="4">
        <v>0</v>
      </c>
      <c r="M149" s="4">
        <v>0.22275</v>
      </c>
      <c r="N149" s="4">
        <v>0.5</v>
      </c>
      <c r="O149" s="4">
        <v>107.437625</v>
      </c>
      <c r="P149" s="183"/>
      <c r="Q149" s="183"/>
      <c r="R149" s="183"/>
      <c r="BJ149" s="3"/>
    </row>
    <row r="150" spans="1:62">
      <c r="A150" s="188">
        <v>42490</v>
      </c>
      <c r="B150" s="4">
        <v>-8</v>
      </c>
      <c r="E150" s="4">
        <v>8.375</v>
      </c>
      <c r="G150" s="4">
        <v>7.125</v>
      </c>
      <c r="H150" s="4">
        <v>4.8125</v>
      </c>
      <c r="K150" s="4">
        <v>4.625</v>
      </c>
      <c r="L150" s="4">
        <v>0</v>
      </c>
      <c r="M150" s="4">
        <v>3.8654999999999999</v>
      </c>
      <c r="N150" s="4">
        <v>0.5</v>
      </c>
      <c r="O150" s="4">
        <v>75.091750000000005</v>
      </c>
      <c r="P150" s="183"/>
      <c r="Q150" s="183"/>
      <c r="R150" s="183"/>
      <c r="BJ150" s="3"/>
    </row>
    <row r="151" spans="1:62">
      <c r="A151" s="188">
        <v>42491</v>
      </c>
      <c r="B151" s="4">
        <v>-8</v>
      </c>
      <c r="E151" s="4">
        <v>11.875</v>
      </c>
      <c r="G151" s="4">
        <v>12.625</v>
      </c>
      <c r="H151" s="4">
        <v>5.8125</v>
      </c>
      <c r="K151" s="4">
        <v>10.75</v>
      </c>
      <c r="L151" s="4">
        <v>0</v>
      </c>
      <c r="M151" s="4">
        <v>8.9497499999999999</v>
      </c>
      <c r="N151" s="4">
        <v>0.5</v>
      </c>
      <c r="O151" s="4">
        <v>42.848624999999998</v>
      </c>
      <c r="P151" s="183"/>
      <c r="Q151" s="183"/>
      <c r="R151" s="183"/>
      <c r="BJ151" s="3"/>
    </row>
    <row r="152" spans="1:62">
      <c r="A152" s="188">
        <v>42492</v>
      </c>
      <c r="B152" s="4">
        <v>-8</v>
      </c>
      <c r="E152" s="4">
        <v>14.75</v>
      </c>
      <c r="G152" s="4">
        <v>16.0625</v>
      </c>
      <c r="H152" s="4">
        <v>7.3125</v>
      </c>
      <c r="K152" s="4">
        <v>13.0625</v>
      </c>
      <c r="L152" s="4">
        <v>0</v>
      </c>
      <c r="M152" s="4">
        <v>11.52125</v>
      </c>
      <c r="N152" s="4">
        <v>0.5</v>
      </c>
      <c r="O152" s="4">
        <v>47.158000000000001</v>
      </c>
      <c r="P152" s="183"/>
      <c r="Q152" s="183"/>
      <c r="R152" s="183"/>
      <c r="BJ152" s="3"/>
    </row>
    <row r="153" spans="1:62">
      <c r="A153" s="188">
        <v>42493</v>
      </c>
      <c r="B153" s="4">
        <v>-8</v>
      </c>
      <c r="E153" s="4">
        <v>13.9375</v>
      </c>
      <c r="G153" s="4">
        <v>13.625</v>
      </c>
      <c r="H153" s="4">
        <v>7.9375</v>
      </c>
      <c r="K153" s="4">
        <v>11.0625</v>
      </c>
      <c r="L153" s="4">
        <v>0</v>
      </c>
      <c r="M153" s="4">
        <v>10.204499999999999</v>
      </c>
      <c r="N153" s="4">
        <v>0.5</v>
      </c>
      <c r="O153" s="4">
        <v>63.576625</v>
      </c>
      <c r="P153" s="183"/>
      <c r="Q153" s="183"/>
      <c r="R153" s="183"/>
      <c r="BJ153" s="3"/>
    </row>
    <row r="154" spans="1:62">
      <c r="A154" s="188">
        <v>42494</v>
      </c>
      <c r="B154" s="4">
        <v>-8</v>
      </c>
      <c r="E154" s="4">
        <v>9.25</v>
      </c>
      <c r="G154" s="4">
        <v>8</v>
      </c>
      <c r="H154" s="4">
        <v>7.25</v>
      </c>
      <c r="K154" s="4">
        <v>5.3125</v>
      </c>
      <c r="L154" s="4">
        <v>0</v>
      </c>
      <c r="M154" s="4">
        <v>4.7461250000000001</v>
      </c>
      <c r="N154" s="4">
        <v>0.5</v>
      </c>
      <c r="O154" s="4">
        <v>105.87175000000001</v>
      </c>
      <c r="P154" s="183"/>
      <c r="Q154" s="183"/>
      <c r="R154" s="183"/>
      <c r="BJ154" s="3"/>
    </row>
    <row r="155" spans="1:62">
      <c r="A155" s="188">
        <v>42495</v>
      </c>
      <c r="B155" s="4">
        <v>-8</v>
      </c>
      <c r="E155" s="4">
        <v>10.5625</v>
      </c>
      <c r="G155" s="4">
        <v>9.625</v>
      </c>
      <c r="H155" s="4">
        <v>6.875</v>
      </c>
      <c r="K155" s="4">
        <v>6</v>
      </c>
      <c r="L155" s="4">
        <v>0</v>
      </c>
      <c r="M155" s="4">
        <v>5.0591249999999999</v>
      </c>
      <c r="N155" s="4">
        <v>0.5</v>
      </c>
      <c r="O155" s="4">
        <v>89.402874999999995</v>
      </c>
      <c r="P155" s="183"/>
      <c r="Q155" s="183"/>
      <c r="R155" s="183"/>
      <c r="BJ155" s="3"/>
    </row>
    <row r="156" spans="1:62">
      <c r="A156" s="188">
        <v>42496</v>
      </c>
      <c r="B156" s="4">
        <v>-8</v>
      </c>
      <c r="E156" s="4">
        <v>14.25</v>
      </c>
      <c r="G156" s="4">
        <v>14.25</v>
      </c>
      <c r="H156" s="4">
        <v>7.25</v>
      </c>
      <c r="K156" s="4">
        <v>11.125</v>
      </c>
      <c r="L156" s="4">
        <v>0</v>
      </c>
      <c r="M156" s="4">
        <v>9.7014999999999993</v>
      </c>
      <c r="N156" s="4">
        <v>0.5</v>
      </c>
      <c r="O156" s="4">
        <v>45.753500000000003</v>
      </c>
      <c r="P156" s="183"/>
      <c r="Q156" s="183"/>
      <c r="R156" s="183"/>
      <c r="BJ156" s="3"/>
    </row>
    <row r="157" spans="1:62">
      <c r="A157" s="188">
        <v>42497</v>
      </c>
      <c r="B157" s="4">
        <v>-8</v>
      </c>
      <c r="E157" s="4">
        <v>16.0625</v>
      </c>
      <c r="G157" s="4">
        <v>16.4375</v>
      </c>
      <c r="H157" s="4">
        <v>8.5625</v>
      </c>
      <c r="K157" s="4">
        <v>13.875</v>
      </c>
      <c r="L157" s="4">
        <v>0</v>
      </c>
      <c r="M157" s="4">
        <v>13.088374999999999</v>
      </c>
      <c r="N157" s="4">
        <v>0.5</v>
      </c>
      <c r="O157" s="4">
        <v>44.15175</v>
      </c>
      <c r="P157" s="183"/>
      <c r="Q157" s="183"/>
      <c r="R157" s="183"/>
      <c r="BJ157" s="3"/>
    </row>
    <row r="158" spans="1:62">
      <c r="A158" s="188">
        <v>42498</v>
      </c>
      <c r="B158" s="4">
        <v>-8</v>
      </c>
      <c r="E158" s="4">
        <v>9.875</v>
      </c>
      <c r="G158" s="4">
        <v>8.4375</v>
      </c>
      <c r="H158" s="4">
        <v>7.8125</v>
      </c>
      <c r="K158" s="4">
        <v>3.25</v>
      </c>
      <c r="L158" s="4">
        <v>0</v>
      </c>
      <c r="M158" s="4">
        <v>2.6103749999999999</v>
      </c>
      <c r="N158" s="4">
        <v>0.5</v>
      </c>
      <c r="O158" s="4">
        <v>93.847999999999999</v>
      </c>
      <c r="P158" s="183"/>
      <c r="Q158" s="183"/>
      <c r="R158" s="183"/>
      <c r="BJ158" s="3"/>
    </row>
    <row r="159" spans="1:62">
      <c r="A159" s="188">
        <v>42499</v>
      </c>
      <c r="B159" s="4">
        <v>-8</v>
      </c>
      <c r="E159" s="4">
        <v>8.75</v>
      </c>
      <c r="G159" s="4">
        <v>6.5625</v>
      </c>
      <c r="H159" s="4">
        <v>6</v>
      </c>
      <c r="K159" s="4">
        <v>3.75</v>
      </c>
      <c r="L159" s="4">
        <v>0</v>
      </c>
      <c r="M159" s="4">
        <v>2.2956249999999998</v>
      </c>
      <c r="N159" s="4">
        <v>0.5</v>
      </c>
      <c r="O159" s="4">
        <v>82.442625000000007</v>
      </c>
      <c r="P159" s="183"/>
      <c r="Q159" s="183"/>
      <c r="R159" s="183"/>
      <c r="BJ159" s="3"/>
    </row>
    <row r="160" spans="1:62">
      <c r="A160" s="188">
        <v>42500</v>
      </c>
      <c r="B160" s="4">
        <v>-8</v>
      </c>
      <c r="E160" s="4">
        <v>11.3125</v>
      </c>
      <c r="G160" s="4">
        <v>10.5</v>
      </c>
      <c r="H160" s="4">
        <v>6.375</v>
      </c>
      <c r="K160" s="4">
        <v>7.1875</v>
      </c>
      <c r="L160" s="4">
        <v>0</v>
      </c>
      <c r="M160" s="4">
        <v>5.5612500000000002</v>
      </c>
      <c r="N160" s="4">
        <v>0.5</v>
      </c>
      <c r="O160" s="4">
        <v>62.702125000000002</v>
      </c>
      <c r="P160" s="183"/>
      <c r="Q160" s="183"/>
      <c r="R160" s="183"/>
      <c r="BJ160" s="3"/>
    </row>
    <row r="161" spans="1:62">
      <c r="A161" s="188">
        <v>42501</v>
      </c>
      <c r="B161" s="4">
        <v>-8</v>
      </c>
      <c r="E161" s="4">
        <v>13.0625</v>
      </c>
      <c r="G161" s="4">
        <v>11.6875</v>
      </c>
      <c r="H161" s="4">
        <v>7.1875</v>
      </c>
      <c r="K161" s="4">
        <v>8.125</v>
      </c>
      <c r="L161" s="4">
        <v>0</v>
      </c>
      <c r="M161" s="4">
        <v>6.8797499999999996</v>
      </c>
      <c r="N161" s="4">
        <v>0.5</v>
      </c>
      <c r="O161" s="4">
        <v>62.79025</v>
      </c>
      <c r="P161" s="183"/>
      <c r="Q161" s="183"/>
      <c r="R161" s="183"/>
      <c r="BJ161" s="3"/>
    </row>
    <row r="162" spans="1:62">
      <c r="A162" s="188">
        <v>42502</v>
      </c>
      <c r="B162" s="4">
        <v>-8</v>
      </c>
      <c r="E162" s="4">
        <v>13.3125</v>
      </c>
      <c r="G162" s="4">
        <v>12.625</v>
      </c>
      <c r="H162" s="4">
        <v>7.625</v>
      </c>
      <c r="K162" s="4">
        <v>9.1875</v>
      </c>
      <c r="L162" s="4">
        <v>0</v>
      </c>
      <c r="M162" s="4">
        <v>8.0091249999999992</v>
      </c>
      <c r="N162" s="4">
        <v>0.5</v>
      </c>
      <c r="O162" s="4">
        <v>66.119624999999999</v>
      </c>
      <c r="P162" s="183"/>
      <c r="Q162" s="183"/>
      <c r="R162" s="183"/>
      <c r="BJ162" s="3"/>
    </row>
    <row r="163" spans="1:62">
      <c r="A163" s="188">
        <v>42503</v>
      </c>
      <c r="B163" s="4">
        <v>-8</v>
      </c>
      <c r="E163" s="4">
        <v>15.875</v>
      </c>
      <c r="G163" s="4">
        <v>15</v>
      </c>
      <c r="H163" s="4">
        <v>8.1875</v>
      </c>
      <c r="K163" s="4">
        <v>11.75</v>
      </c>
      <c r="L163" s="4">
        <v>0</v>
      </c>
      <c r="M163" s="4">
        <v>9.702375</v>
      </c>
      <c r="N163" s="4">
        <v>0.5</v>
      </c>
      <c r="O163" s="4">
        <v>58.136000000000003</v>
      </c>
      <c r="P163" s="183"/>
      <c r="Q163" s="183"/>
      <c r="R163" s="183"/>
      <c r="BJ163" s="3"/>
    </row>
    <row r="164" spans="1:62">
      <c r="A164" s="188">
        <v>42504</v>
      </c>
      <c r="B164" s="4">
        <v>-8</v>
      </c>
      <c r="E164" s="4">
        <v>16.0625</v>
      </c>
      <c r="G164" s="4">
        <v>15.1875</v>
      </c>
      <c r="H164" s="4">
        <v>9.0625</v>
      </c>
      <c r="K164" s="4">
        <v>11.5</v>
      </c>
      <c r="L164" s="4">
        <v>0</v>
      </c>
      <c r="M164" s="4">
        <v>10.016125000000001</v>
      </c>
      <c r="N164" s="4">
        <v>0.5</v>
      </c>
      <c r="O164" s="4">
        <v>62.058999999999997</v>
      </c>
      <c r="P164" s="183"/>
      <c r="Q164" s="183"/>
      <c r="R164" s="183"/>
      <c r="BJ164" s="3"/>
    </row>
    <row r="165" spans="1:62">
      <c r="A165" s="188">
        <v>42505</v>
      </c>
      <c r="B165" s="4">
        <v>-8</v>
      </c>
      <c r="E165" s="4">
        <v>11.6875</v>
      </c>
      <c r="G165" s="4">
        <v>10.1875</v>
      </c>
      <c r="H165" s="4">
        <v>8.375</v>
      </c>
      <c r="K165" s="4">
        <v>5.75</v>
      </c>
      <c r="L165" s="4">
        <v>0</v>
      </c>
      <c r="M165" s="4">
        <v>5.2477499999999999</v>
      </c>
      <c r="N165" s="4">
        <v>0.5</v>
      </c>
      <c r="O165" s="4">
        <v>100.3715</v>
      </c>
      <c r="P165" s="183"/>
      <c r="Q165" s="183"/>
      <c r="R165" s="183"/>
      <c r="BJ165" s="3"/>
    </row>
    <row r="166" spans="1:62">
      <c r="A166" s="188">
        <v>42506</v>
      </c>
      <c r="B166" s="4">
        <v>-8</v>
      </c>
      <c r="E166" s="4">
        <v>10.5</v>
      </c>
      <c r="G166" s="4">
        <v>8.9375</v>
      </c>
      <c r="H166" s="4">
        <v>7.75</v>
      </c>
      <c r="K166" s="4">
        <v>4.75</v>
      </c>
      <c r="L166" s="4">
        <v>0</v>
      </c>
      <c r="M166" s="4">
        <v>4.4946250000000001</v>
      </c>
      <c r="N166" s="4">
        <v>0.5</v>
      </c>
      <c r="O166" s="4">
        <v>106.193</v>
      </c>
      <c r="P166" s="183"/>
      <c r="Q166" s="183"/>
      <c r="R166" s="183"/>
      <c r="BJ166" s="3"/>
    </row>
    <row r="167" spans="1:62">
      <c r="A167" s="188">
        <v>42507</v>
      </c>
      <c r="B167" s="4">
        <v>-8</v>
      </c>
      <c r="E167" s="4">
        <v>12.25</v>
      </c>
      <c r="G167" s="4">
        <v>10.25</v>
      </c>
      <c r="H167" s="4">
        <v>7.625</v>
      </c>
      <c r="K167" s="4">
        <v>6.5625</v>
      </c>
      <c r="L167" s="4">
        <v>0</v>
      </c>
      <c r="M167" s="4">
        <v>5.6237500000000002</v>
      </c>
      <c r="N167" s="4">
        <v>0.5</v>
      </c>
      <c r="O167" s="4">
        <v>96.898375000000001</v>
      </c>
      <c r="P167" s="183"/>
      <c r="Q167" s="183"/>
      <c r="R167" s="183"/>
      <c r="BJ167" s="3"/>
    </row>
    <row r="168" spans="1:62">
      <c r="A168" s="188">
        <v>42508</v>
      </c>
      <c r="B168" s="4">
        <v>-8</v>
      </c>
      <c r="E168" s="4">
        <v>10.625</v>
      </c>
      <c r="G168" s="4">
        <v>9.4375</v>
      </c>
      <c r="H168" s="4">
        <v>7.875</v>
      </c>
      <c r="K168" s="4">
        <v>5.375</v>
      </c>
      <c r="L168" s="4">
        <v>0</v>
      </c>
      <c r="M168" s="4">
        <v>4.8085000000000004</v>
      </c>
      <c r="N168" s="4">
        <v>0.5</v>
      </c>
      <c r="O168" s="4">
        <v>105.80175</v>
      </c>
      <c r="P168" s="183"/>
      <c r="Q168" s="183"/>
      <c r="R168" s="183"/>
      <c r="BJ168" s="3"/>
    </row>
    <row r="169" spans="1:62">
      <c r="A169" s="188">
        <v>42509</v>
      </c>
      <c r="B169" s="4">
        <v>-8</v>
      </c>
      <c r="E169" s="4">
        <v>5.8125</v>
      </c>
      <c r="G169" s="4">
        <v>4</v>
      </c>
      <c r="H169" s="4">
        <v>5.9375</v>
      </c>
      <c r="K169" s="4">
        <v>0.125</v>
      </c>
      <c r="L169" s="4">
        <v>0</v>
      </c>
      <c r="M169" s="4">
        <v>-1.034</v>
      </c>
      <c r="N169" s="4">
        <v>0.5</v>
      </c>
      <c r="O169" s="4">
        <v>107.328625</v>
      </c>
      <c r="P169" s="183"/>
      <c r="Q169" s="183"/>
      <c r="R169" s="183"/>
      <c r="BJ169" s="3"/>
    </row>
    <row r="170" spans="1:62">
      <c r="A170" s="188">
        <v>42510</v>
      </c>
      <c r="B170" s="4">
        <v>-8</v>
      </c>
      <c r="E170" s="4">
        <v>8.75</v>
      </c>
      <c r="G170" s="4">
        <v>6.875</v>
      </c>
      <c r="H170" s="4">
        <v>5.875</v>
      </c>
      <c r="K170" s="4">
        <v>2.625</v>
      </c>
      <c r="L170" s="4">
        <v>0</v>
      </c>
      <c r="M170" s="4">
        <v>1.228</v>
      </c>
      <c r="N170" s="4">
        <v>0.5</v>
      </c>
      <c r="O170" s="4">
        <v>102.523875</v>
      </c>
      <c r="P170" s="183"/>
      <c r="Q170" s="183"/>
      <c r="R170" s="183"/>
      <c r="BJ170" s="3"/>
    </row>
    <row r="171" spans="1:62">
      <c r="A171" s="188">
        <v>42511</v>
      </c>
      <c r="B171" s="4">
        <v>-8</v>
      </c>
      <c r="E171" s="4">
        <v>8.5</v>
      </c>
      <c r="G171" s="4">
        <v>6.9375</v>
      </c>
      <c r="H171" s="4">
        <v>6.625</v>
      </c>
      <c r="K171" s="4">
        <v>3.6875</v>
      </c>
      <c r="L171" s="4">
        <v>0</v>
      </c>
      <c r="M171" s="4">
        <v>2.4848750000000002</v>
      </c>
      <c r="N171" s="4">
        <v>0.5</v>
      </c>
      <c r="O171" s="4">
        <v>102.054625</v>
      </c>
      <c r="P171" s="183"/>
      <c r="Q171" s="183"/>
      <c r="R171" s="183"/>
      <c r="BJ171" s="3"/>
    </row>
    <row r="172" spans="1:62">
      <c r="A172" s="188">
        <v>42512</v>
      </c>
      <c r="B172" s="4">
        <v>-8</v>
      </c>
      <c r="E172" s="4">
        <v>7.875</v>
      </c>
      <c r="G172" s="4">
        <v>6.1875</v>
      </c>
      <c r="H172" s="4">
        <v>6.375</v>
      </c>
      <c r="K172" s="4">
        <v>2.625</v>
      </c>
      <c r="L172" s="4">
        <v>0</v>
      </c>
      <c r="M172" s="4">
        <v>1.4797499999999999</v>
      </c>
      <c r="N172" s="4">
        <v>0.5</v>
      </c>
      <c r="O172" s="4">
        <v>106.15300000000001</v>
      </c>
      <c r="P172" s="183"/>
      <c r="Q172" s="183"/>
      <c r="R172" s="183"/>
      <c r="BJ172" s="3"/>
    </row>
    <row r="173" spans="1:62">
      <c r="A173" s="188">
        <v>42513</v>
      </c>
      <c r="B173" s="4">
        <v>-8</v>
      </c>
      <c r="E173" s="4">
        <v>7.875</v>
      </c>
      <c r="G173" s="4">
        <v>6.25</v>
      </c>
      <c r="H173" s="4">
        <v>6.1875</v>
      </c>
      <c r="K173" s="4">
        <v>2.625</v>
      </c>
      <c r="L173" s="4">
        <v>0</v>
      </c>
      <c r="M173" s="4">
        <v>1.605375</v>
      </c>
      <c r="N173" s="4">
        <v>0.5</v>
      </c>
      <c r="O173" s="4">
        <v>108.2135</v>
      </c>
      <c r="P173" s="183"/>
      <c r="Q173" s="183"/>
      <c r="R173" s="183"/>
      <c r="BJ173" s="3"/>
    </row>
    <row r="174" spans="1:62">
      <c r="A174" s="188">
        <v>42514</v>
      </c>
      <c r="B174" s="4">
        <v>-8</v>
      </c>
      <c r="E174" s="4">
        <v>9.375</v>
      </c>
      <c r="G174" s="4">
        <v>7.8125</v>
      </c>
      <c r="H174" s="4">
        <v>6.625</v>
      </c>
      <c r="K174" s="4">
        <v>4.5</v>
      </c>
      <c r="L174" s="4">
        <v>0</v>
      </c>
      <c r="M174" s="4">
        <v>3.4271250000000002</v>
      </c>
      <c r="N174" s="4">
        <v>0.5</v>
      </c>
      <c r="O174" s="4">
        <v>107.15662500000001</v>
      </c>
      <c r="P174" s="183"/>
      <c r="Q174" s="183"/>
      <c r="R174" s="183"/>
      <c r="BJ174" s="3"/>
    </row>
    <row r="175" spans="1:62">
      <c r="A175" s="188">
        <v>42515</v>
      </c>
      <c r="B175" s="4">
        <v>-8</v>
      </c>
      <c r="E175" s="4">
        <v>11.125</v>
      </c>
      <c r="G175" s="4">
        <v>9.3125</v>
      </c>
      <c r="H175" s="4">
        <v>7.125</v>
      </c>
      <c r="K175" s="4">
        <v>5.375</v>
      </c>
      <c r="L175" s="4">
        <v>0</v>
      </c>
      <c r="M175" s="4">
        <v>4.3688750000000001</v>
      </c>
      <c r="N175" s="4">
        <v>0.5</v>
      </c>
      <c r="O175" s="4">
        <v>99.470875000000007</v>
      </c>
      <c r="P175" s="183"/>
      <c r="Q175" s="183"/>
      <c r="R175" s="183"/>
      <c r="BJ175" s="3"/>
    </row>
    <row r="176" spans="1:62">
      <c r="A176" s="188">
        <v>42516</v>
      </c>
      <c r="B176" s="4">
        <v>-8</v>
      </c>
      <c r="E176" s="4">
        <v>8.25</v>
      </c>
      <c r="G176" s="4">
        <v>6.6875</v>
      </c>
      <c r="H176" s="4">
        <v>7</v>
      </c>
      <c r="K176" s="4">
        <v>2.75</v>
      </c>
      <c r="L176" s="4">
        <v>0</v>
      </c>
      <c r="M176" s="4">
        <v>1.982375</v>
      </c>
      <c r="N176" s="4">
        <v>0.5</v>
      </c>
      <c r="O176" s="4">
        <v>110.31587500000001</v>
      </c>
      <c r="P176" s="183"/>
      <c r="Q176" s="183"/>
      <c r="R176" s="183"/>
      <c r="BJ176" s="3"/>
    </row>
    <row r="177" spans="1:62">
      <c r="A177" s="188">
        <v>42517</v>
      </c>
      <c r="B177" s="4">
        <v>-8</v>
      </c>
      <c r="E177" s="4">
        <v>5.5625</v>
      </c>
      <c r="G177" s="4">
        <v>3.75</v>
      </c>
      <c r="H177" s="4">
        <v>5.6875</v>
      </c>
      <c r="K177" s="4">
        <v>6.25E-2</v>
      </c>
      <c r="L177" s="4">
        <v>0</v>
      </c>
      <c r="M177" s="4">
        <v>-0.97124999999999995</v>
      </c>
      <c r="N177" s="4">
        <v>0.5</v>
      </c>
      <c r="O177" s="4">
        <v>108.405125</v>
      </c>
      <c r="P177" s="183"/>
      <c r="Q177" s="183"/>
      <c r="R177" s="183"/>
      <c r="BJ177" s="3"/>
    </row>
    <row r="178" spans="1:62">
      <c r="A178" s="188">
        <v>42518</v>
      </c>
      <c r="B178" s="4">
        <v>-8</v>
      </c>
      <c r="E178" s="4">
        <v>5.75</v>
      </c>
      <c r="G178" s="4">
        <v>4.375</v>
      </c>
      <c r="H178" s="4">
        <v>5.3125</v>
      </c>
      <c r="K178" s="4">
        <v>0.5625</v>
      </c>
      <c r="L178" s="4">
        <v>0</v>
      </c>
      <c r="M178" s="4">
        <v>-0.53137500000000004</v>
      </c>
      <c r="N178" s="4">
        <v>0.5</v>
      </c>
      <c r="O178" s="4">
        <v>108.422875</v>
      </c>
      <c r="P178" s="183"/>
      <c r="Q178" s="183"/>
      <c r="R178" s="183"/>
      <c r="BJ178" s="3"/>
    </row>
    <row r="179" spans="1:62">
      <c r="A179" s="188">
        <v>42519</v>
      </c>
      <c r="B179" s="4">
        <v>-8</v>
      </c>
      <c r="E179" s="4">
        <v>7.3125</v>
      </c>
      <c r="G179" s="4">
        <v>5.9375</v>
      </c>
      <c r="H179" s="4">
        <v>5.875</v>
      </c>
      <c r="K179" s="4">
        <v>2.625</v>
      </c>
      <c r="L179" s="4">
        <v>0</v>
      </c>
      <c r="M179" s="4">
        <v>1.4168750000000001</v>
      </c>
      <c r="N179" s="4">
        <v>0.5</v>
      </c>
      <c r="O179" s="4">
        <v>114.637125</v>
      </c>
      <c r="P179" s="183"/>
      <c r="Q179" s="183"/>
      <c r="R179" s="183"/>
      <c r="BJ179" s="3"/>
    </row>
    <row r="180" spans="1:62">
      <c r="A180" s="188">
        <v>42520</v>
      </c>
      <c r="B180" s="4">
        <v>-8</v>
      </c>
      <c r="E180" s="4">
        <v>9.5625</v>
      </c>
      <c r="G180" s="4">
        <v>8.625</v>
      </c>
      <c r="H180" s="4">
        <v>6</v>
      </c>
      <c r="K180" s="4">
        <v>5.0625</v>
      </c>
      <c r="L180" s="4">
        <v>0</v>
      </c>
      <c r="M180" s="4">
        <v>4.556</v>
      </c>
      <c r="N180" s="4">
        <v>0.5</v>
      </c>
      <c r="O180" s="4">
        <v>91.729875000000007</v>
      </c>
      <c r="P180" s="183"/>
      <c r="Q180" s="183"/>
      <c r="R180" s="183"/>
      <c r="BJ180" s="3"/>
    </row>
    <row r="181" spans="1:62">
      <c r="A181" s="188">
        <v>42521</v>
      </c>
      <c r="B181" s="4">
        <v>-8</v>
      </c>
      <c r="E181" s="4">
        <v>14.25</v>
      </c>
      <c r="G181" s="4">
        <v>13.75</v>
      </c>
      <c r="H181" s="4">
        <v>7.375</v>
      </c>
      <c r="K181" s="4">
        <v>11.125</v>
      </c>
      <c r="L181" s="4">
        <v>0</v>
      </c>
      <c r="M181" s="4">
        <v>9.7025000000000006</v>
      </c>
      <c r="N181" s="4">
        <v>0.5</v>
      </c>
      <c r="O181" s="4">
        <v>56.738875</v>
      </c>
      <c r="P181" s="183"/>
      <c r="Q181" s="183"/>
      <c r="R181" s="183"/>
      <c r="BJ181" s="3"/>
    </row>
    <row r="182" spans="1:62">
      <c r="A182" s="188">
        <v>42522</v>
      </c>
      <c r="B182" s="4">
        <v>-8</v>
      </c>
      <c r="E182" s="4">
        <v>13.5625</v>
      </c>
      <c r="G182" s="4">
        <v>13</v>
      </c>
      <c r="H182" s="4">
        <v>8.5</v>
      </c>
      <c r="K182" s="4">
        <v>8.6875</v>
      </c>
      <c r="L182" s="4">
        <v>0</v>
      </c>
      <c r="M182" s="4">
        <v>7.57</v>
      </c>
      <c r="N182" s="4">
        <v>1.5625</v>
      </c>
      <c r="O182" s="4">
        <v>83.777375000000006</v>
      </c>
      <c r="P182" s="183"/>
      <c r="Q182" s="183"/>
      <c r="R182" s="183"/>
      <c r="BJ182" s="3"/>
    </row>
    <row r="183" spans="1:62">
      <c r="A183" s="188">
        <v>42523</v>
      </c>
      <c r="B183" s="4">
        <v>-8</v>
      </c>
      <c r="E183" s="4">
        <v>10.25</v>
      </c>
      <c r="G183" s="4">
        <v>9.0625</v>
      </c>
      <c r="H183" s="4">
        <v>8.9375</v>
      </c>
      <c r="K183" s="4">
        <v>5.6875</v>
      </c>
      <c r="L183" s="4">
        <v>0.75</v>
      </c>
      <c r="M183" s="4">
        <v>4.5576249999999998</v>
      </c>
      <c r="N183" s="4">
        <v>4.9375</v>
      </c>
      <c r="O183" s="4">
        <v>109.127375</v>
      </c>
      <c r="P183" s="183"/>
      <c r="Q183" s="183"/>
      <c r="R183" s="183"/>
      <c r="BJ183" s="3"/>
    </row>
    <row r="184" spans="1:62">
      <c r="A184" s="188">
        <v>42524</v>
      </c>
      <c r="B184" s="4">
        <v>-8</v>
      </c>
      <c r="E184" s="4">
        <v>13.125</v>
      </c>
      <c r="G184" s="4">
        <v>12.5</v>
      </c>
      <c r="H184" s="4">
        <v>8.5</v>
      </c>
      <c r="K184" s="4">
        <v>8.5</v>
      </c>
      <c r="L184" s="4">
        <v>1.75</v>
      </c>
      <c r="M184" s="4">
        <v>7.1923750000000002</v>
      </c>
      <c r="N184" s="4">
        <v>6</v>
      </c>
      <c r="O184" s="4">
        <v>100.37887499999999</v>
      </c>
      <c r="P184" s="183"/>
      <c r="Q184" s="183"/>
      <c r="R184" s="183"/>
      <c r="BJ184" s="3"/>
    </row>
    <row r="185" spans="1:62">
      <c r="A185" s="188">
        <v>42525</v>
      </c>
      <c r="B185" s="4">
        <v>-8</v>
      </c>
      <c r="E185" s="4">
        <v>18.5625</v>
      </c>
      <c r="G185" s="4">
        <v>19.5625</v>
      </c>
      <c r="H185" s="4">
        <v>10.0625</v>
      </c>
      <c r="K185" s="4">
        <v>17.6875</v>
      </c>
      <c r="L185" s="4">
        <v>5.5625</v>
      </c>
      <c r="M185" s="4">
        <v>16.22025</v>
      </c>
      <c r="N185" s="4">
        <v>9.5</v>
      </c>
      <c r="O185" s="4">
        <v>57.178874999999998</v>
      </c>
      <c r="P185" s="183"/>
      <c r="Q185" s="183"/>
      <c r="R185" s="183"/>
      <c r="BJ185" s="3"/>
    </row>
    <row r="186" spans="1:62">
      <c r="A186" s="188">
        <v>42526</v>
      </c>
      <c r="B186" s="4">
        <v>-8</v>
      </c>
      <c r="E186" s="4">
        <v>21.8125</v>
      </c>
      <c r="G186" s="4">
        <v>23.125</v>
      </c>
      <c r="H186" s="4">
        <v>11.6875</v>
      </c>
      <c r="K186" s="4">
        <v>21.125</v>
      </c>
      <c r="L186" s="4">
        <v>8.4375</v>
      </c>
      <c r="M186" s="4">
        <v>20.0395</v>
      </c>
      <c r="N186" s="4">
        <v>12.25</v>
      </c>
      <c r="O186" s="4">
        <v>43.076250000000002</v>
      </c>
      <c r="P186" s="183"/>
      <c r="Q186" s="183"/>
      <c r="R186" s="183"/>
      <c r="BJ186" s="3"/>
    </row>
    <row r="187" spans="1:62">
      <c r="A187" s="188">
        <v>42527</v>
      </c>
      <c r="B187" s="4">
        <v>-8</v>
      </c>
      <c r="E187" s="4">
        <v>20.625</v>
      </c>
      <c r="G187" s="4">
        <v>20.375</v>
      </c>
      <c r="H187" s="4">
        <v>12.0625</v>
      </c>
      <c r="K187" s="4">
        <v>17.75</v>
      </c>
      <c r="L187" s="4">
        <v>9.6875</v>
      </c>
      <c r="M187" s="4">
        <v>16.283874999999998</v>
      </c>
      <c r="N187" s="4">
        <v>12.625</v>
      </c>
      <c r="O187" s="4">
        <v>57.156750000000002</v>
      </c>
      <c r="P187" s="183"/>
      <c r="Q187" s="183"/>
      <c r="R187" s="183"/>
      <c r="BJ187" s="3"/>
    </row>
    <row r="188" spans="1:62">
      <c r="A188" s="188">
        <v>42528</v>
      </c>
      <c r="B188" s="4">
        <v>-8</v>
      </c>
      <c r="E188" s="4">
        <v>19</v>
      </c>
      <c r="G188" s="4">
        <v>18.25</v>
      </c>
      <c r="H188" s="4">
        <v>11.4375</v>
      </c>
      <c r="K188" s="4">
        <v>15.5</v>
      </c>
      <c r="L188" s="4">
        <v>8.6875</v>
      </c>
      <c r="M188" s="4">
        <v>14.09125</v>
      </c>
      <c r="N188" s="4">
        <v>11.1875</v>
      </c>
      <c r="O188" s="4">
        <v>52.682000000000002</v>
      </c>
      <c r="P188" s="183"/>
      <c r="Q188" s="183"/>
      <c r="R188" s="183"/>
      <c r="BJ188" s="3"/>
    </row>
    <row r="189" spans="1:62">
      <c r="A189" s="188">
        <v>42529</v>
      </c>
      <c r="B189" s="4">
        <v>-8</v>
      </c>
      <c r="E189" s="4">
        <v>15.3125</v>
      </c>
      <c r="G189" s="4">
        <v>13.9375</v>
      </c>
      <c r="H189" s="4">
        <v>11</v>
      </c>
      <c r="K189" s="4">
        <v>10</v>
      </c>
      <c r="L189" s="4">
        <v>7.6875</v>
      </c>
      <c r="M189" s="4">
        <v>8.7614999999999998</v>
      </c>
      <c r="N189" s="4">
        <v>9.5</v>
      </c>
      <c r="O189" s="4">
        <v>74.2</v>
      </c>
      <c r="P189" s="183"/>
      <c r="Q189" s="183"/>
      <c r="R189" s="183"/>
      <c r="BJ189" s="3"/>
    </row>
    <row r="190" spans="1:62">
      <c r="A190" s="188">
        <v>42530</v>
      </c>
      <c r="B190" s="4">
        <v>-8</v>
      </c>
      <c r="E190" s="4">
        <v>9.5</v>
      </c>
      <c r="G190" s="4">
        <v>7.5</v>
      </c>
      <c r="H190" s="4">
        <v>8.875</v>
      </c>
      <c r="K190" s="4">
        <v>2.9375</v>
      </c>
      <c r="L190" s="4">
        <v>3.9375</v>
      </c>
      <c r="M190" s="4">
        <v>1.79375</v>
      </c>
      <c r="N190" s="4">
        <v>4.25</v>
      </c>
      <c r="O190" s="4">
        <v>109.473</v>
      </c>
      <c r="P190" s="183"/>
      <c r="Q190" s="183"/>
      <c r="R190" s="183"/>
      <c r="BJ190" s="3"/>
    </row>
    <row r="191" spans="1:62">
      <c r="A191" s="188">
        <v>42531</v>
      </c>
      <c r="B191" s="4">
        <v>-8</v>
      </c>
      <c r="E191" s="4">
        <v>8</v>
      </c>
      <c r="G191" s="4">
        <v>6.25</v>
      </c>
      <c r="H191" s="4">
        <v>7.4375</v>
      </c>
      <c r="K191" s="4">
        <v>2</v>
      </c>
      <c r="L191" s="4">
        <v>2.8125</v>
      </c>
      <c r="M191" s="4">
        <v>0.78837500000000005</v>
      </c>
      <c r="N191" s="4">
        <v>2.375</v>
      </c>
      <c r="O191" s="4">
        <v>111.3085</v>
      </c>
      <c r="P191" s="183"/>
      <c r="Q191" s="183"/>
      <c r="R191" s="183"/>
      <c r="BJ191" s="3"/>
    </row>
    <row r="192" spans="1:62">
      <c r="A192" s="188">
        <v>42532</v>
      </c>
      <c r="B192" s="4">
        <v>-8</v>
      </c>
      <c r="E192" s="4">
        <v>7.1875</v>
      </c>
      <c r="G192" s="4">
        <v>5.125</v>
      </c>
      <c r="H192" s="4">
        <v>6.6875</v>
      </c>
      <c r="K192" s="4">
        <v>1.5</v>
      </c>
      <c r="L192" s="4">
        <v>1.25</v>
      </c>
      <c r="M192" s="4">
        <v>0.28549999999999998</v>
      </c>
      <c r="N192" s="4">
        <v>1.5</v>
      </c>
      <c r="O192" s="4">
        <v>111.57962499999999</v>
      </c>
      <c r="P192" s="183"/>
      <c r="Q192" s="183"/>
      <c r="R192" s="183"/>
      <c r="BJ192" s="3"/>
    </row>
    <row r="193" spans="1:62">
      <c r="A193" s="188">
        <v>42533</v>
      </c>
      <c r="B193" s="4">
        <v>-8</v>
      </c>
      <c r="E193" s="4">
        <v>9.25</v>
      </c>
      <c r="G193" s="4">
        <v>7.0625</v>
      </c>
      <c r="H193" s="4">
        <v>6.75</v>
      </c>
      <c r="K193" s="4">
        <v>3.5</v>
      </c>
      <c r="L193" s="4">
        <v>2.25</v>
      </c>
      <c r="M193" s="4">
        <v>2.1706249999999998</v>
      </c>
      <c r="N193" s="4">
        <v>1</v>
      </c>
      <c r="O193" s="4">
        <v>114.64425</v>
      </c>
      <c r="P193" s="183"/>
      <c r="Q193" s="183"/>
      <c r="R193" s="183"/>
      <c r="BJ193" s="3"/>
    </row>
    <row r="194" spans="1:62">
      <c r="A194" s="188">
        <v>42534</v>
      </c>
      <c r="B194" s="4">
        <v>-8</v>
      </c>
      <c r="E194" s="4">
        <v>7.8125</v>
      </c>
      <c r="G194" s="4">
        <v>6.3125</v>
      </c>
      <c r="H194" s="4">
        <v>7.1875</v>
      </c>
      <c r="K194" s="4">
        <v>3.1875</v>
      </c>
      <c r="L194" s="4">
        <v>2.9375</v>
      </c>
      <c r="M194" s="4">
        <v>1.794</v>
      </c>
      <c r="N194" s="4">
        <v>1.75</v>
      </c>
      <c r="O194" s="4">
        <v>112.85275</v>
      </c>
      <c r="P194" s="183"/>
      <c r="Q194" s="183"/>
      <c r="R194" s="183"/>
      <c r="BJ194" s="3"/>
    </row>
    <row r="195" spans="1:62">
      <c r="A195" s="188">
        <v>42535</v>
      </c>
      <c r="B195" s="4">
        <v>-8</v>
      </c>
      <c r="E195" s="4">
        <v>4.875</v>
      </c>
      <c r="G195" s="4">
        <v>2.9375</v>
      </c>
      <c r="H195" s="4">
        <v>4.75</v>
      </c>
      <c r="K195" s="4">
        <v>-1</v>
      </c>
      <c r="L195" s="4">
        <v>1</v>
      </c>
      <c r="M195" s="4">
        <v>-2.2913749999999999</v>
      </c>
      <c r="N195" s="4">
        <v>1.125</v>
      </c>
      <c r="O195" s="4">
        <v>107.222375</v>
      </c>
      <c r="P195" s="183"/>
      <c r="Q195" s="183"/>
      <c r="R195" s="183"/>
      <c r="BJ195" s="3"/>
    </row>
    <row r="196" spans="1:62">
      <c r="A196" s="188">
        <v>42536</v>
      </c>
      <c r="B196" s="4">
        <v>-8</v>
      </c>
      <c r="E196" s="4">
        <v>6.625</v>
      </c>
      <c r="G196" s="4">
        <v>5.125</v>
      </c>
      <c r="H196" s="4">
        <v>5.4375</v>
      </c>
      <c r="K196" s="4">
        <v>0.4375</v>
      </c>
      <c r="L196" s="4">
        <v>0.5</v>
      </c>
      <c r="M196" s="4">
        <v>-0.90849999999999997</v>
      </c>
      <c r="N196" s="4">
        <v>0.9375</v>
      </c>
      <c r="O196" s="4">
        <v>107.555125</v>
      </c>
      <c r="P196" s="183"/>
      <c r="Q196" s="183"/>
      <c r="R196" s="183"/>
      <c r="BJ196" s="3"/>
    </row>
    <row r="197" spans="1:62">
      <c r="A197" s="188">
        <v>42537</v>
      </c>
      <c r="B197" s="4">
        <v>-8</v>
      </c>
      <c r="E197" s="4">
        <v>6.875</v>
      </c>
      <c r="G197" s="4">
        <v>4.9375</v>
      </c>
      <c r="H197" s="4">
        <v>5.8125</v>
      </c>
      <c r="K197" s="4">
        <v>1.875</v>
      </c>
      <c r="L197" s="4">
        <v>0.5</v>
      </c>
      <c r="M197" s="4">
        <v>0.6</v>
      </c>
      <c r="N197" s="4">
        <v>0.5</v>
      </c>
      <c r="O197" s="4">
        <v>106.268125</v>
      </c>
      <c r="P197" s="183"/>
      <c r="Q197" s="183"/>
      <c r="R197" s="183"/>
      <c r="BJ197" s="3"/>
    </row>
    <row r="198" spans="1:62">
      <c r="A198" s="188">
        <v>42538</v>
      </c>
      <c r="B198" s="4">
        <v>-8</v>
      </c>
      <c r="E198" s="4">
        <v>10.3125</v>
      </c>
      <c r="G198" s="4">
        <v>9.1875</v>
      </c>
      <c r="H198" s="4">
        <v>6.25</v>
      </c>
      <c r="K198" s="4">
        <v>5.75</v>
      </c>
      <c r="L198" s="4">
        <v>0.5</v>
      </c>
      <c r="M198" s="4">
        <v>4.3676250000000003</v>
      </c>
      <c r="N198" s="4">
        <v>0.5</v>
      </c>
      <c r="O198" s="4">
        <v>82.101249999999993</v>
      </c>
      <c r="P198" s="183"/>
      <c r="Q198" s="183"/>
      <c r="R198" s="183"/>
      <c r="BJ198" s="3"/>
    </row>
    <row r="199" spans="1:62">
      <c r="A199" s="188">
        <v>42539</v>
      </c>
      <c r="B199" s="4">
        <v>-8</v>
      </c>
      <c r="E199" s="4">
        <v>8.25</v>
      </c>
      <c r="G199" s="4">
        <v>6.5</v>
      </c>
      <c r="H199" s="4">
        <v>7</v>
      </c>
      <c r="K199" s="4">
        <v>3.4375</v>
      </c>
      <c r="L199" s="4">
        <v>0.375</v>
      </c>
      <c r="M199" s="4">
        <v>2.7360000000000002</v>
      </c>
      <c r="N199" s="4">
        <v>0.6875</v>
      </c>
      <c r="O199" s="4">
        <v>99.727500000000006</v>
      </c>
      <c r="P199" s="183"/>
      <c r="Q199" s="183"/>
      <c r="R199" s="183"/>
      <c r="BJ199" s="3"/>
    </row>
    <row r="200" spans="1:62">
      <c r="A200" s="188">
        <v>42540</v>
      </c>
      <c r="B200" s="4">
        <v>-8</v>
      </c>
      <c r="E200" s="4">
        <v>9.375</v>
      </c>
      <c r="G200" s="4">
        <v>8.1875</v>
      </c>
      <c r="H200" s="4">
        <v>6.6875</v>
      </c>
      <c r="K200" s="4">
        <v>4.625</v>
      </c>
      <c r="L200" s="4">
        <v>1.375</v>
      </c>
      <c r="M200" s="4">
        <v>3.3002500000000001</v>
      </c>
      <c r="N200" s="4">
        <v>1.4375</v>
      </c>
      <c r="O200" s="4">
        <v>98.648499999999999</v>
      </c>
      <c r="P200" s="183"/>
      <c r="Q200" s="183"/>
      <c r="R200" s="183"/>
      <c r="BJ200" s="3"/>
    </row>
    <row r="201" spans="1:62">
      <c r="A201" s="188">
        <v>42541</v>
      </c>
      <c r="B201" s="4">
        <v>-8</v>
      </c>
      <c r="E201" s="4">
        <v>12.6875</v>
      </c>
      <c r="G201" s="4">
        <v>12.5625</v>
      </c>
      <c r="H201" s="4">
        <v>7.9375</v>
      </c>
      <c r="K201" s="4">
        <v>10</v>
      </c>
      <c r="L201" s="4">
        <v>4.1875</v>
      </c>
      <c r="M201" s="4">
        <v>8.8246249999999993</v>
      </c>
      <c r="N201" s="4">
        <v>4.375</v>
      </c>
      <c r="O201" s="4">
        <v>66.630750000000006</v>
      </c>
      <c r="P201" s="183"/>
      <c r="Q201" s="183"/>
      <c r="R201" s="183"/>
      <c r="AJ201" s="183"/>
      <c r="AK201" s="183"/>
      <c r="BJ201" s="3"/>
    </row>
    <row r="202" spans="1:62">
      <c r="A202" s="188">
        <v>42542</v>
      </c>
      <c r="B202" s="4">
        <v>-8</v>
      </c>
      <c r="E202" s="4">
        <v>11.8125</v>
      </c>
      <c r="G202" s="4">
        <v>10.1875</v>
      </c>
      <c r="H202" s="4">
        <v>8.25</v>
      </c>
      <c r="K202" s="4">
        <v>5.625</v>
      </c>
      <c r="L202" s="4">
        <v>4.75</v>
      </c>
      <c r="M202" s="4">
        <v>4.6202500000000004</v>
      </c>
      <c r="N202" s="4">
        <v>4.875</v>
      </c>
      <c r="O202" s="4">
        <v>108.534875</v>
      </c>
      <c r="P202" s="183"/>
      <c r="Q202" s="183"/>
      <c r="R202" s="183"/>
      <c r="AI202" s="183"/>
      <c r="AJ202" s="183"/>
      <c r="AK202" s="183"/>
      <c r="BJ202" s="3"/>
    </row>
    <row r="203" spans="1:62">
      <c r="A203" s="188">
        <v>42543</v>
      </c>
      <c r="B203" s="4">
        <v>-8</v>
      </c>
      <c r="E203" s="4">
        <v>13.6875</v>
      </c>
      <c r="G203" s="4">
        <v>12.25</v>
      </c>
      <c r="H203" s="4">
        <v>8.4375</v>
      </c>
      <c r="K203" s="4">
        <v>8.25</v>
      </c>
      <c r="L203" s="4">
        <v>5.75</v>
      </c>
      <c r="M203" s="4">
        <v>6.8795000000000002</v>
      </c>
      <c r="N203" s="4">
        <v>5.75</v>
      </c>
      <c r="O203" s="4">
        <v>93.458749999999995</v>
      </c>
      <c r="P203" s="183"/>
      <c r="Q203" s="183"/>
      <c r="R203" s="183"/>
      <c r="AI203" s="183"/>
      <c r="AJ203" s="183"/>
      <c r="AK203" s="183"/>
      <c r="BJ203" s="3"/>
    </row>
    <row r="204" spans="1:62">
      <c r="A204" s="188">
        <v>42544</v>
      </c>
      <c r="B204" s="4">
        <v>-8</v>
      </c>
      <c r="E204" s="4">
        <v>10.5</v>
      </c>
      <c r="G204" s="4">
        <v>8.9375</v>
      </c>
      <c r="H204" s="4">
        <v>8.6875</v>
      </c>
      <c r="K204" s="4">
        <v>5.25</v>
      </c>
      <c r="L204" s="4">
        <v>5.25</v>
      </c>
      <c r="M204" s="4">
        <v>3.8667500000000001</v>
      </c>
      <c r="N204" s="4">
        <v>5.1875</v>
      </c>
      <c r="O204" s="4">
        <v>107.754125</v>
      </c>
      <c r="P204" s="183"/>
      <c r="Q204" s="183"/>
      <c r="R204" s="183"/>
      <c r="AI204" s="183"/>
      <c r="AJ204" s="183"/>
      <c r="AK204" s="183"/>
      <c r="BJ204" s="3"/>
    </row>
    <row r="205" spans="1:62">
      <c r="A205" s="188">
        <v>42545</v>
      </c>
      <c r="B205" s="4">
        <v>-8</v>
      </c>
      <c r="E205" s="4">
        <v>8.6875</v>
      </c>
      <c r="G205" s="4">
        <v>6.875</v>
      </c>
      <c r="H205" s="4">
        <v>7.75</v>
      </c>
      <c r="K205" s="4">
        <v>3.375</v>
      </c>
      <c r="L205" s="4">
        <v>3.6875</v>
      </c>
      <c r="M205" s="4">
        <v>2.2965</v>
      </c>
      <c r="N205" s="4">
        <v>3.875</v>
      </c>
      <c r="O205" s="4">
        <v>113.21837499999999</v>
      </c>
      <c r="P205" s="183"/>
      <c r="Q205" s="183"/>
      <c r="R205" s="183"/>
      <c r="AI205" s="183"/>
      <c r="BJ205" s="3"/>
    </row>
    <row r="206" spans="1:62">
      <c r="A206" s="188">
        <v>42546</v>
      </c>
      <c r="B206" s="4">
        <v>-8</v>
      </c>
      <c r="E206" s="4">
        <v>11.375</v>
      </c>
      <c r="G206" s="4">
        <v>10</v>
      </c>
      <c r="H206" s="4">
        <v>7.875</v>
      </c>
      <c r="K206" s="4">
        <v>6.625</v>
      </c>
      <c r="L206" s="4">
        <v>4.8125</v>
      </c>
      <c r="M206" s="4">
        <v>5.4359999999999999</v>
      </c>
      <c r="N206" s="4">
        <v>5</v>
      </c>
      <c r="O206" s="4">
        <v>111.60625</v>
      </c>
      <c r="P206" s="183"/>
      <c r="Q206" s="183"/>
      <c r="R206" s="183"/>
      <c r="BJ206" s="3"/>
    </row>
    <row r="207" spans="1:62">
      <c r="A207" s="188">
        <v>42547</v>
      </c>
      <c r="B207" s="4">
        <v>-8</v>
      </c>
      <c r="E207" s="4">
        <v>14.6875</v>
      </c>
      <c r="G207" s="4">
        <v>14.375</v>
      </c>
      <c r="H207" s="4">
        <v>8.75</v>
      </c>
      <c r="K207" s="4">
        <v>12</v>
      </c>
      <c r="L207" s="4">
        <v>6.6875</v>
      </c>
      <c r="M207" s="4">
        <v>10.642125</v>
      </c>
      <c r="N207" s="4">
        <v>6.875</v>
      </c>
      <c r="O207" s="4">
        <v>73.063249999999996</v>
      </c>
      <c r="P207" s="183"/>
      <c r="Q207" s="183"/>
      <c r="R207" s="183"/>
      <c r="BJ207" s="3"/>
    </row>
    <row r="208" spans="1:62">
      <c r="A208" s="188">
        <v>42548</v>
      </c>
      <c r="B208" s="4">
        <v>-8</v>
      </c>
      <c r="E208" s="4">
        <v>18.9375</v>
      </c>
      <c r="G208" s="4">
        <v>18.875</v>
      </c>
      <c r="H208" s="4">
        <v>10.5</v>
      </c>
      <c r="K208" s="4">
        <v>17.0625</v>
      </c>
      <c r="L208" s="4">
        <v>9.3125</v>
      </c>
      <c r="M208" s="4">
        <v>15.657500000000001</v>
      </c>
      <c r="N208" s="4">
        <v>9.8125</v>
      </c>
      <c r="O208" s="4">
        <v>57.766874999999999</v>
      </c>
      <c r="P208" s="183"/>
      <c r="Q208" s="183"/>
      <c r="R208" s="183"/>
      <c r="BJ208" s="3"/>
    </row>
    <row r="209" spans="1:62">
      <c r="A209" s="188">
        <v>42549</v>
      </c>
      <c r="B209" s="4">
        <v>-8</v>
      </c>
      <c r="E209" s="4">
        <v>18.5625</v>
      </c>
      <c r="G209" s="4">
        <v>17.1875</v>
      </c>
      <c r="H209" s="4">
        <v>11.0625</v>
      </c>
      <c r="K209" s="4">
        <v>15.4375</v>
      </c>
      <c r="L209" s="4">
        <v>10.1875</v>
      </c>
      <c r="M209" s="4">
        <v>14.153625</v>
      </c>
      <c r="N209" s="4">
        <v>11</v>
      </c>
      <c r="O209" s="4">
        <v>77.289124999999999</v>
      </c>
      <c r="P209" s="183"/>
      <c r="Q209" s="183"/>
      <c r="R209" s="183"/>
      <c r="AJ209" s="183"/>
      <c r="AK209" s="183"/>
      <c r="BJ209" s="3"/>
    </row>
    <row r="210" spans="1:62">
      <c r="A210" s="188">
        <v>42550</v>
      </c>
      <c r="B210" s="4">
        <v>-8</v>
      </c>
      <c r="E210" s="4">
        <v>18</v>
      </c>
      <c r="G210" s="4">
        <v>17</v>
      </c>
      <c r="H210" s="4">
        <v>11.125</v>
      </c>
      <c r="K210" s="4">
        <v>14.75</v>
      </c>
      <c r="L210" s="4">
        <v>10.125</v>
      </c>
      <c r="M210" s="4">
        <v>13.339</v>
      </c>
      <c r="N210" s="4">
        <v>11.125</v>
      </c>
      <c r="O210" s="4">
        <v>75.380250000000004</v>
      </c>
      <c r="P210" s="183"/>
      <c r="Q210" s="183"/>
      <c r="R210" s="183"/>
      <c r="AI210" s="183"/>
      <c r="AJ210" s="183"/>
      <c r="AK210" s="183"/>
      <c r="BJ210" s="3"/>
    </row>
    <row r="211" spans="1:62">
      <c r="A211" s="188">
        <v>42551</v>
      </c>
      <c r="B211" s="4">
        <v>-8</v>
      </c>
      <c r="E211" s="4">
        <v>16.125</v>
      </c>
      <c r="G211" s="4">
        <v>14.125</v>
      </c>
      <c r="H211" s="4">
        <v>10.8125</v>
      </c>
      <c r="K211" s="4">
        <v>10.4375</v>
      </c>
      <c r="L211" s="4">
        <v>9.5</v>
      </c>
      <c r="M211" s="4">
        <v>8.9501249999999999</v>
      </c>
      <c r="N211" s="4">
        <v>10</v>
      </c>
      <c r="O211" s="4">
        <v>100.090875</v>
      </c>
      <c r="P211" s="183"/>
      <c r="Q211" s="183"/>
      <c r="R211" s="183"/>
      <c r="AI211" s="183"/>
      <c r="AJ211" s="183"/>
      <c r="AK211" s="183"/>
      <c r="BJ211" s="3"/>
    </row>
    <row r="212" spans="1:62">
      <c r="A212" s="188">
        <v>42552</v>
      </c>
      <c r="B212" s="4">
        <v>-8</v>
      </c>
      <c r="E212" s="4">
        <v>14.125</v>
      </c>
      <c r="G212" s="4">
        <v>12.125</v>
      </c>
      <c r="H212" s="4">
        <v>10.375</v>
      </c>
      <c r="K212" s="4">
        <v>9</v>
      </c>
      <c r="L212" s="4">
        <v>8.1875</v>
      </c>
      <c r="M212" s="4">
        <v>8.0718750000000004</v>
      </c>
      <c r="N212" s="4">
        <v>8.6875</v>
      </c>
      <c r="O212" s="4">
        <v>100.310875</v>
      </c>
      <c r="P212" s="183"/>
      <c r="Q212" s="183"/>
      <c r="R212" s="183"/>
      <c r="AI212" s="183"/>
      <c r="AJ212" s="183"/>
      <c r="AK212" s="183"/>
      <c r="BJ212" s="3"/>
    </row>
    <row r="213" spans="1:62">
      <c r="A213" s="188">
        <v>42553</v>
      </c>
      <c r="B213" s="4">
        <v>-8</v>
      </c>
      <c r="E213" s="4">
        <v>16.25</v>
      </c>
      <c r="G213" s="4">
        <v>14.875</v>
      </c>
      <c r="H213" s="4">
        <v>10.4375</v>
      </c>
      <c r="K213" s="4">
        <v>10.5625</v>
      </c>
      <c r="L213" s="4">
        <v>8.8125</v>
      </c>
      <c r="M213" s="4">
        <v>8.6364999999999998</v>
      </c>
      <c r="N213" s="4">
        <v>8.6875</v>
      </c>
      <c r="O213" s="4">
        <v>104.9675</v>
      </c>
      <c r="P213" s="183"/>
      <c r="Q213" s="183"/>
      <c r="R213" s="183"/>
      <c r="AI213" s="183"/>
      <c r="AJ213" s="183"/>
      <c r="AK213" s="183"/>
      <c r="BJ213" s="3"/>
    </row>
    <row r="214" spans="1:62">
      <c r="A214" s="188">
        <v>42554</v>
      </c>
      <c r="B214" s="4">
        <v>-8</v>
      </c>
      <c r="E214" s="4">
        <v>13.4375</v>
      </c>
      <c r="G214" s="4">
        <v>11.25</v>
      </c>
      <c r="H214" s="4">
        <v>10.1875</v>
      </c>
      <c r="K214" s="4">
        <v>6.3125</v>
      </c>
      <c r="L214" s="4">
        <v>7.25</v>
      </c>
      <c r="M214" s="4">
        <v>5.436375</v>
      </c>
      <c r="N214" s="4">
        <v>7.625</v>
      </c>
      <c r="O214" s="4">
        <v>105.09587500000001</v>
      </c>
      <c r="P214" s="183"/>
      <c r="Q214" s="183"/>
      <c r="R214" s="183"/>
      <c r="AI214" s="183"/>
      <c r="AJ214" s="183"/>
      <c r="AK214" s="183"/>
      <c r="BJ214" s="3"/>
    </row>
    <row r="215" spans="1:62">
      <c r="A215" s="188">
        <v>42555</v>
      </c>
      <c r="B215" s="4">
        <v>-8</v>
      </c>
      <c r="E215" s="4">
        <v>9.75</v>
      </c>
      <c r="G215" s="4">
        <v>7.875</v>
      </c>
      <c r="H215" s="4">
        <v>8.6875</v>
      </c>
      <c r="K215" s="4">
        <v>4.25</v>
      </c>
      <c r="L215" s="4">
        <v>4.8125</v>
      </c>
      <c r="M215" s="4">
        <v>3.3643749999999999</v>
      </c>
      <c r="N215" s="4">
        <v>5.3125</v>
      </c>
      <c r="O215" s="4">
        <v>108.33862499999999</v>
      </c>
      <c r="P215" s="183"/>
      <c r="Q215" s="183"/>
      <c r="R215" s="183"/>
      <c r="AI215" s="183"/>
      <c r="AJ215" s="183"/>
      <c r="AK215" s="183"/>
      <c r="BJ215" s="3"/>
    </row>
    <row r="216" spans="1:62">
      <c r="A216" s="188">
        <v>42556</v>
      </c>
      <c r="B216" s="4">
        <v>-8</v>
      </c>
      <c r="E216" s="4">
        <v>9.1875</v>
      </c>
      <c r="G216" s="4">
        <v>7.375</v>
      </c>
      <c r="H216" s="4">
        <v>8.1875</v>
      </c>
      <c r="K216" s="4">
        <v>4.25</v>
      </c>
      <c r="L216" s="4">
        <v>4.1875</v>
      </c>
      <c r="M216" s="4">
        <v>2.7991250000000001</v>
      </c>
      <c r="N216" s="4">
        <v>3.8125</v>
      </c>
      <c r="O216" s="4">
        <v>113.176125</v>
      </c>
      <c r="P216" s="183"/>
      <c r="Q216" s="183"/>
      <c r="R216" s="183"/>
      <c r="AI216" s="183"/>
      <c r="AJ216" s="183"/>
      <c r="AK216" s="183"/>
      <c r="BJ216" s="3"/>
    </row>
    <row r="217" spans="1:62">
      <c r="A217" s="188">
        <v>42557</v>
      </c>
      <c r="B217" s="4">
        <v>-8</v>
      </c>
      <c r="E217" s="4">
        <v>11.1875</v>
      </c>
      <c r="G217" s="4">
        <v>10.1875</v>
      </c>
      <c r="H217" s="4">
        <v>8.375</v>
      </c>
      <c r="K217" s="4">
        <v>6.5</v>
      </c>
      <c r="L217" s="4">
        <v>5.375</v>
      </c>
      <c r="M217" s="4">
        <v>5.4357499999999996</v>
      </c>
      <c r="N217" s="4">
        <v>5.0625</v>
      </c>
      <c r="O217" s="4">
        <v>107.92675</v>
      </c>
      <c r="P217" s="183"/>
      <c r="Q217" s="183"/>
      <c r="R217" s="183"/>
      <c r="AI217" s="183"/>
      <c r="AJ217" s="183"/>
      <c r="AK217" s="183"/>
      <c r="BJ217" s="3"/>
    </row>
    <row r="218" spans="1:62">
      <c r="A218" s="188">
        <v>42558</v>
      </c>
      <c r="B218" s="4">
        <v>-8</v>
      </c>
      <c r="E218" s="4">
        <v>11.75</v>
      </c>
      <c r="G218" s="4">
        <v>10.5625</v>
      </c>
      <c r="H218" s="4">
        <v>9.125</v>
      </c>
      <c r="K218" s="4">
        <v>7.375</v>
      </c>
      <c r="L218" s="4">
        <v>6.25</v>
      </c>
      <c r="M218" s="4">
        <v>6.1267500000000004</v>
      </c>
      <c r="N218" s="4">
        <v>6.1875</v>
      </c>
      <c r="O218" s="4">
        <v>105.55225</v>
      </c>
      <c r="P218" s="183"/>
      <c r="Q218" s="183"/>
      <c r="R218" s="183"/>
      <c r="AI218" s="183"/>
      <c r="AJ218" s="183"/>
      <c r="AK218" s="183"/>
      <c r="BJ218" s="3"/>
    </row>
    <row r="219" spans="1:62">
      <c r="A219" s="188">
        <v>42559</v>
      </c>
      <c r="B219" s="4">
        <v>-8</v>
      </c>
      <c r="E219" s="4">
        <v>12.625</v>
      </c>
      <c r="G219" s="4">
        <v>11.1875</v>
      </c>
      <c r="H219" s="4">
        <v>9.8125</v>
      </c>
      <c r="K219" s="4">
        <v>7.875</v>
      </c>
      <c r="L219" s="4">
        <v>6.75</v>
      </c>
      <c r="M219" s="4">
        <v>6.3777499999999998</v>
      </c>
      <c r="N219" s="4">
        <v>6.6875</v>
      </c>
      <c r="O219" s="4">
        <v>112.85787500000001</v>
      </c>
      <c r="P219" s="183"/>
      <c r="Q219" s="183"/>
      <c r="R219" s="183"/>
      <c r="AI219" s="183"/>
      <c r="AJ219" s="183"/>
      <c r="AK219" s="183"/>
      <c r="BJ219" s="3"/>
    </row>
    <row r="220" spans="1:62">
      <c r="A220" s="188">
        <v>42560</v>
      </c>
      <c r="B220" s="4">
        <v>-8</v>
      </c>
      <c r="E220" s="4">
        <v>11.3125</v>
      </c>
      <c r="G220" s="4">
        <v>10.125</v>
      </c>
      <c r="H220" s="4">
        <v>9.375</v>
      </c>
      <c r="K220" s="4">
        <v>5.6875</v>
      </c>
      <c r="L220" s="4">
        <v>5.8125</v>
      </c>
      <c r="M220" s="4">
        <v>4.2435</v>
      </c>
      <c r="N220" s="4">
        <v>5.625</v>
      </c>
      <c r="O220" s="4">
        <v>114.85250000000001</v>
      </c>
      <c r="P220" s="183"/>
      <c r="Q220" s="183"/>
      <c r="R220" s="183"/>
      <c r="AI220" s="183"/>
      <c r="AJ220" s="183"/>
      <c r="AK220" s="183"/>
      <c r="BJ220" s="3"/>
    </row>
    <row r="221" spans="1:62">
      <c r="A221" s="188">
        <v>42561</v>
      </c>
      <c r="B221" s="4">
        <v>-8</v>
      </c>
      <c r="E221" s="4">
        <v>11.3125</v>
      </c>
      <c r="G221" s="4">
        <v>9.5625</v>
      </c>
      <c r="H221" s="4">
        <v>8.9375</v>
      </c>
      <c r="K221" s="4">
        <v>6.125</v>
      </c>
      <c r="L221" s="4">
        <v>5.5625</v>
      </c>
      <c r="M221" s="4">
        <v>4.9968750000000002</v>
      </c>
      <c r="N221" s="4">
        <v>5.5</v>
      </c>
      <c r="O221" s="4">
        <v>106.266375</v>
      </c>
      <c r="P221" s="183"/>
      <c r="Q221" s="183"/>
      <c r="R221" s="183"/>
      <c r="AI221" s="183"/>
      <c r="BJ221" s="3"/>
    </row>
    <row r="222" spans="1:62">
      <c r="A222" s="188">
        <v>42562</v>
      </c>
      <c r="B222" s="4">
        <v>-8</v>
      </c>
      <c r="E222" s="4">
        <v>11.9375</v>
      </c>
      <c r="G222" s="4">
        <v>10</v>
      </c>
      <c r="H222" s="4">
        <v>8.9375</v>
      </c>
      <c r="K222" s="4">
        <v>6.375</v>
      </c>
      <c r="L222" s="4">
        <v>6</v>
      </c>
      <c r="M222" s="4">
        <v>4.9969999999999999</v>
      </c>
      <c r="N222" s="4">
        <v>5.875</v>
      </c>
      <c r="O222" s="4">
        <v>111.054625</v>
      </c>
      <c r="P222" s="183"/>
      <c r="Q222" s="183"/>
      <c r="R222" s="183"/>
      <c r="BJ222" s="3"/>
    </row>
    <row r="223" spans="1:62">
      <c r="A223" s="188">
        <v>42563</v>
      </c>
      <c r="B223" s="4">
        <v>-8</v>
      </c>
      <c r="E223" s="4">
        <v>12.5</v>
      </c>
      <c r="G223" s="4">
        <v>10.875</v>
      </c>
      <c r="H223" s="4">
        <v>9.1875</v>
      </c>
      <c r="K223" s="4">
        <v>7.25</v>
      </c>
      <c r="L223" s="4">
        <v>6.5625</v>
      </c>
      <c r="M223" s="4">
        <v>5.8756250000000003</v>
      </c>
      <c r="N223" s="4">
        <v>6.5625</v>
      </c>
      <c r="O223" s="4">
        <v>107.6345</v>
      </c>
      <c r="P223" s="183"/>
      <c r="Q223" s="183"/>
      <c r="R223" s="183"/>
      <c r="BJ223" s="3"/>
    </row>
    <row r="224" spans="1:62">
      <c r="A224" s="188">
        <v>42564</v>
      </c>
      <c r="B224" s="4">
        <v>-8</v>
      </c>
      <c r="E224" s="4">
        <v>12.8125</v>
      </c>
      <c r="G224" s="4">
        <v>11.0625</v>
      </c>
      <c r="H224" s="4">
        <v>9.3125</v>
      </c>
      <c r="K224" s="4">
        <v>8.5</v>
      </c>
      <c r="L224" s="4">
        <v>7.5</v>
      </c>
      <c r="M224" s="4">
        <v>6.8170000000000002</v>
      </c>
      <c r="N224" s="4">
        <v>6.9375</v>
      </c>
      <c r="O224" s="4">
        <v>105.619625</v>
      </c>
      <c r="P224" s="183"/>
      <c r="Q224" s="183"/>
      <c r="R224" s="183"/>
      <c r="BJ224" s="3"/>
    </row>
    <row r="225" spans="1:62">
      <c r="A225" s="188">
        <v>42565</v>
      </c>
      <c r="B225" s="4">
        <v>-8</v>
      </c>
      <c r="E225" s="4">
        <v>13.875</v>
      </c>
      <c r="G225" s="4">
        <v>11.625</v>
      </c>
      <c r="H225" s="4">
        <v>9.625</v>
      </c>
      <c r="K225" s="4">
        <v>8.625</v>
      </c>
      <c r="L225" s="4">
        <v>7.9375</v>
      </c>
      <c r="M225" s="4">
        <v>7.1307499999999999</v>
      </c>
      <c r="N225" s="4">
        <v>7.5</v>
      </c>
      <c r="O225" s="4">
        <v>101.22150000000001</v>
      </c>
      <c r="P225" s="183"/>
      <c r="Q225" s="183"/>
      <c r="R225" s="183"/>
      <c r="BJ225" s="3"/>
    </row>
    <row r="226" spans="1:62">
      <c r="A226" s="188">
        <v>42566</v>
      </c>
      <c r="B226" s="4">
        <v>-8</v>
      </c>
      <c r="E226" s="4">
        <v>10.625</v>
      </c>
      <c r="G226" s="4">
        <v>9.1875</v>
      </c>
      <c r="H226" s="4">
        <v>9</v>
      </c>
      <c r="K226" s="4">
        <v>6.25</v>
      </c>
      <c r="L226" s="4">
        <v>6.1875</v>
      </c>
      <c r="M226" s="4">
        <v>5.2478749999999996</v>
      </c>
      <c r="N226" s="4">
        <v>6.375</v>
      </c>
      <c r="O226" s="4">
        <v>105.17874999999999</v>
      </c>
      <c r="P226" s="183"/>
      <c r="Q226" s="183"/>
      <c r="R226" s="183"/>
      <c r="BJ226" s="3"/>
    </row>
    <row r="227" spans="1:62">
      <c r="A227" s="188">
        <v>42567</v>
      </c>
      <c r="B227" s="4">
        <v>-8</v>
      </c>
      <c r="E227" s="4">
        <v>12.6875</v>
      </c>
      <c r="G227" s="4">
        <v>11.1875</v>
      </c>
      <c r="H227" s="4">
        <v>9.4375</v>
      </c>
      <c r="K227" s="4">
        <v>8.375</v>
      </c>
      <c r="L227" s="4">
        <v>7.25</v>
      </c>
      <c r="M227" s="4">
        <v>7.3817500000000003</v>
      </c>
      <c r="N227" s="4">
        <v>7.25</v>
      </c>
      <c r="O227" s="4">
        <v>112.795875</v>
      </c>
      <c r="P227" s="183"/>
      <c r="Q227" s="183"/>
      <c r="R227" s="183"/>
      <c r="BJ227" s="3"/>
    </row>
    <row r="228" spans="1:62">
      <c r="A228" s="188">
        <v>42568</v>
      </c>
      <c r="B228" s="4">
        <v>-8</v>
      </c>
      <c r="E228" s="4">
        <v>14.25</v>
      </c>
      <c r="G228" s="4">
        <v>12.9375</v>
      </c>
      <c r="H228" s="4">
        <v>10</v>
      </c>
      <c r="K228" s="4">
        <v>10.375</v>
      </c>
      <c r="L228" s="4">
        <v>8.25</v>
      </c>
      <c r="M228" s="4">
        <v>9.3263750000000005</v>
      </c>
      <c r="N228" s="4">
        <v>8.5</v>
      </c>
      <c r="O228" s="4">
        <v>98.173249999999996</v>
      </c>
      <c r="P228" s="183"/>
      <c r="Q228" s="183"/>
      <c r="R228" s="183"/>
      <c r="BJ228" s="3"/>
    </row>
    <row r="229" spans="1:62">
      <c r="A229" s="188">
        <v>42569</v>
      </c>
      <c r="B229" s="4">
        <v>-8</v>
      </c>
      <c r="E229" s="4">
        <v>14.1875</v>
      </c>
      <c r="G229" s="4">
        <v>12.75</v>
      </c>
      <c r="H229" s="4">
        <v>10.3125</v>
      </c>
      <c r="K229" s="4">
        <v>10.625</v>
      </c>
      <c r="L229" s="4">
        <v>8.5625</v>
      </c>
      <c r="M229" s="4">
        <v>9.8285</v>
      </c>
      <c r="N229" s="4">
        <v>8.6875</v>
      </c>
      <c r="O229" s="4">
        <v>90.66</v>
      </c>
      <c r="P229" s="183"/>
      <c r="Q229" s="183"/>
      <c r="R229" s="183"/>
      <c r="AJ229" s="183"/>
      <c r="AK229" s="183"/>
      <c r="BJ229" s="3"/>
    </row>
    <row r="230" spans="1:62">
      <c r="A230" s="188">
        <v>42570</v>
      </c>
      <c r="B230" s="4">
        <v>-8</v>
      </c>
      <c r="E230" s="4">
        <v>14.0625</v>
      </c>
      <c r="G230" s="4">
        <v>12.6875</v>
      </c>
      <c r="H230" s="4">
        <v>10.3125</v>
      </c>
      <c r="K230" s="4">
        <v>8.875</v>
      </c>
      <c r="L230" s="4">
        <v>8.375</v>
      </c>
      <c r="M230" s="4">
        <v>7.1935000000000002</v>
      </c>
      <c r="N230" s="4">
        <v>8</v>
      </c>
      <c r="O230" s="4">
        <v>112.0035</v>
      </c>
      <c r="P230" s="183"/>
      <c r="Q230" s="183"/>
      <c r="R230" s="183"/>
      <c r="AI230" s="183"/>
      <c r="AJ230" s="183"/>
      <c r="AK230" s="183"/>
      <c r="BJ230" s="3"/>
    </row>
    <row r="231" spans="1:62">
      <c r="A231" s="188">
        <v>42571</v>
      </c>
      <c r="B231" s="4">
        <v>-8</v>
      </c>
      <c r="E231" s="4">
        <v>14.25</v>
      </c>
      <c r="G231" s="4">
        <v>12.75</v>
      </c>
      <c r="H231" s="4">
        <v>10.1875</v>
      </c>
      <c r="K231" s="4">
        <v>10</v>
      </c>
      <c r="L231" s="4">
        <v>8.4375</v>
      </c>
      <c r="M231" s="4">
        <v>7.88375</v>
      </c>
      <c r="N231" s="4">
        <v>8.1875</v>
      </c>
      <c r="O231" s="4">
        <v>101.79237500000001</v>
      </c>
      <c r="P231" s="183"/>
      <c r="Q231" s="183"/>
      <c r="R231" s="183"/>
      <c r="AI231" s="183"/>
      <c r="AJ231" s="183"/>
      <c r="AK231" s="183"/>
      <c r="BJ231" s="3"/>
    </row>
    <row r="232" spans="1:62">
      <c r="A232" s="188">
        <v>42572</v>
      </c>
      <c r="B232" s="4">
        <v>-8</v>
      </c>
      <c r="E232" s="4">
        <v>16.9375</v>
      </c>
      <c r="G232" s="4">
        <v>15.875</v>
      </c>
      <c r="H232" s="4">
        <v>10.5625</v>
      </c>
      <c r="K232" s="4">
        <v>14.6875</v>
      </c>
      <c r="L232" s="4">
        <v>9.3125</v>
      </c>
      <c r="M232" s="4">
        <v>12.9</v>
      </c>
      <c r="N232" s="4">
        <v>9.1875</v>
      </c>
      <c r="O232" s="4">
        <v>70.208624999999998</v>
      </c>
      <c r="P232" s="183"/>
      <c r="Q232" s="183"/>
      <c r="R232" s="183"/>
      <c r="AI232" s="183"/>
      <c r="AJ232" s="183"/>
      <c r="AK232" s="183"/>
      <c r="BJ232" s="3"/>
    </row>
    <row r="233" spans="1:62">
      <c r="A233" s="188">
        <v>42573</v>
      </c>
      <c r="B233" s="4">
        <v>-8</v>
      </c>
      <c r="E233" s="4">
        <v>12.9375</v>
      </c>
      <c r="G233" s="4">
        <v>12.0625</v>
      </c>
      <c r="H233" s="4">
        <v>10.75</v>
      </c>
      <c r="K233" s="4">
        <v>8.6875</v>
      </c>
      <c r="L233" s="4">
        <v>8.6875</v>
      </c>
      <c r="M233" s="4">
        <v>7.632625</v>
      </c>
      <c r="N233" s="4">
        <v>9.0625</v>
      </c>
      <c r="O233" s="4">
        <v>100.73975</v>
      </c>
      <c r="P233" s="183"/>
      <c r="Q233" s="183"/>
      <c r="R233" s="183"/>
      <c r="AI233" s="183"/>
      <c r="BJ233" s="3"/>
    </row>
    <row r="234" spans="1:62">
      <c r="A234" s="188">
        <v>42574</v>
      </c>
      <c r="B234" s="4">
        <v>-8</v>
      </c>
      <c r="E234" s="4">
        <v>12.875</v>
      </c>
      <c r="G234" s="4">
        <v>11.1875</v>
      </c>
      <c r="H234" s="4">
        <v>10</v>
      </c>
      <c r="K234" s="4">
        <v>7.6875</v>
      </c>
      <c r="L234" s="4">
        <v>7.5625</v>
      </c>
      <c r="M234" s="4">
        <v>6.3150000000000004</v>
      </c>
      <c r="N234" s="4">
        <v>7.625</v>
      </c>
      <c r="O234" s="4">
        <v>109.363375</v>
      </c>
      <c r="P234" s="183"/>
      <c r="Q234" s="183"/>
      <c r="R234" s="183"/>
      <c r="BJ234" s="3"/>
    </row>
    <row r="235" spans="1:62">
      <c r="A235" s="188">
        <v>42575</v>
      </c>
      <c r="B235" s="4">
        <v>-8</v>
      </c>
      <c r="E235" s="4">
        <v>15.9375</v>
      </c>
      <c r="G235" s="4">
        <v>14.5</v>
      </c>
      <c r="H235" s="4">
        <v>10.1875</v>
      </c>
      <c r="K235" s="4">
        <v>13.4375</v>
      </c>
      <c r="L235" s="4">
        <v>8.8125</v>
      </c>
      <c r="M235" s="4">
        <v>12.084125</v>
      </c>
      <c r="N235" s="4">
        <v>8.9375</v>
      </c>
      <c r="O235" s="4">
        <v>80.264375000000001</v>
      </c>
      <c r="P235" s="183"/>
      <c r="Q235" s="183"/>
      <c r="R235" s="183"/>
      <c r="BJ235" s="3"/>
    </row>
    <row r="236" spans="1:62">
      <c r="A236" s="188">
        <v>42576</v>
      </c>
      <c r="B236" s="4">
        <v>-8</v>
      </c>
      <c r="E236" s="4">
        <v>18.3125</v>
      </c>
      <c r="G236" s="4">
        <v>17.375</v>
      </c>
      <c r="H236" s="4">
        <v>11.6875</v>
      </c>
      <c r="K236" s="4">
        <v>17.0625</v>
      </c>
      <c r="L236" s="4">
        <v>11.25</v>
      </c>
      <c r="M236" s="4">
        <v>15.344125</v>
      </c>
      <c r="N236" s="4">
        <v>11.6875</v>
      </c>
      <c r="O236" s="4">
        <v>76.565375000000003</v>
      </c>
      <c r="P236" s="183"/>
      <c r="Q236" s="183"/>
      <c r="R236" s="183"/>
      <c r="BJ236" s="3"/>
    </row>
    <row r="237" spans="1:62">
      <c r="A237" s="188">
        <v>42577</v>
      </c>
      <c r="B237" s="4">
        <v>-8</v>
      </c>
      <c r="E237" s="4">
        <v>18.6875</v>
      </c>
      <c r="G237" s="4">
        <v>17.0625</v>
      </c>
      <c r="H237" s="4">
        <v>12.0625</v>
      </c>
      <c r="K237" s="4">
        <v>15.375</v>
      </c>
      <c r="L237" s="4">
        <v>11.6875</v>
      </c>
      <c r="M237" s="4">
        <v>14.404125000000001</v>
      </c>
      <c r="N237" s="4">
        <v>12.375</v>
      </c>
      <c r="O237" s="4">
        <v>83.534875</v>
      </c>
      <c r="P237" s="183"/>
      <c r="Q237" s="183"/>
      <c r="R237" s="183"/>
      <c r="BJ237" s="3"/>
    </row>
    <row r="238" spans="1:62">
      <c r="A238" s="188">
        <v>42578</v>
      </c>
      <c r="B238" s="4">
        <v>-8</v>
      </c>
      <c r="E238" s="4">
        <v>18.9375</v>
      </c>
      <c r="G238" s="4">
        <v>17.4375</v>
      </c>
      <c r="H238" s="4">
        <v>12.125</v>
      </c>
      <c r="K238" s="4">
        <v>17.0625</v>
      </c>
      <c r="L238" s="4">
        <v>11.6875</v>
      </c>
      <c r="M238" s="4">
        <v>15.53125</v>
      </c>
      <c r="N238" s="4">
        <v>12.6875</v>
      </c>
      <c r="O238" s="4">
        <v>78.416499999999999</v>
      </c>
      <c r="P238" s="183"/>
      <c r="Q238" s="183"/>
      <c r="R238" s="183"/>
      <c r="BJ238" s="3"/>
    </row>
    <row r="239" spans="1:62">
      <c r="A239" s="188">
        <v>42579</v>
      </c>
      <c r="B239" s="4">
        <v>-8</v>
      </c>
      <c r="E239" s="4">
        <v>20</v>
      </c>
      <c r="G239" s="4">
        <v>18.75</v>
      </c>
      <c r="H239" s="4">
        <v>12.75</v>
      </c>
      <c r="K239" s="4">
        <v>18.375</v>
      </c>
      <c r="L239" s="4">
        <v>12.3125</v>
      </c>
      <c r="M239" s="4">
        <v>16.721499999999999</v>
      </c>
      <c r="N239" s="4">
        <v>13.375</v>
      </c>
      <c r="O239" s="4">
        <v>65.195125000000004</v>
      </c>
      <c r="P239" s="183"/>
      <c r="Q239" s="183"/>
      <c r="R239" s="183"/>
      <c r="BJ239" s="3"/>
    </row>
    <row r="240" spans="1:62">
      <c r="A240" s="188">
        <v>42580</v>
      </c>
      <c r="B240" s="4">
        <v>-8</v>
      </c>
      <c r="E240" s="4">
        <v>20.625</v>
      </c>
      <c r="G240" s="4">
        <v>19.4375</v>
      </c>
      <c r="H240" s="4">
        <v>13</v>
      </c>
      <c r="K240" s="4">
        <v>18.875</v>
      </c>
      <c r="L240" s="4">
        <v>13.25</v>
      </c>
      <c r="M240" s="4">
        <v>17.2225</v>
      </c>
      <c r="N240" s="4">
        <v>14</v>
      </c>
      <c r="O240" s="4">
        <v>64.999499999999998</v>
      </c>
      <c r="P240" s="183"/>
      <c r="Q240" s="183"/>
      <c r="R240" s="183"/>
      <c r="BJ240" s="3"/>
    </row>
    <row r="241" spans="1:62">
      <c r="A241" s="188">
        <v>42581</v>
      </c>
      <c r="B241" s="4">
        <v>-8</v>
      </c>
      <c r="E241" s="4">
        <v>16.9375</v>
      </c>
      <c r="G241" s="4">
        <v>15.4375</v>
      </c>
      <c r="H241" s="4">
        <v>12.0625</v>
      </c>
      <c r="K241" s="4">
        <v>13.5625</v>
      </c>
      <c r="L241" s="4">
        <v>11.5</v>
      </c>
      <c r="M241" s="4">
        <v>11.396125</v>
      </c>
      <c r="N241" s="4">
        <v>11.9375</v>
      </c>
      <c r="O241" s="4">
        <v>72.710750000000004</v>
      </c>
      <c r="P241" s="183"/>
      <c r="Q241" s="183"/>
      <c r="R241" s="183"/>
      <c r="BJ241" s="3"/>
    </row>
    <row r="242" spans="1:62">
      <c r="A242" s="188">
        <v>42582</v>
      </c>
      <c r="B242" s="4">
        <v>-8</v>
      </c>
      <c r="E242" s="4">
        <v>14.9375</v>
      </c>
      <c r="G242" s="4">
        <v>12.375</v>
      </c>
      <c r="H242" s="4">
        <v>10.9375</v>
      </c>
      <c r="K242" s="4">
        <v>9.5</v>
      </c>
      <c r="L242" s="4">
        <v>9.375</v>
      </c>
      <c r="M242" s="4">
        <v>8.1343750000000004</v>
      </c>
      <c r="N242" s="4">
        <v>9.5625</v>
      </c>
      <c r="O242" s="4">
        <v>92.403000000000006</v>
      </c>
      <c r="P242" s="183"/>
      <c r="BJ242" s="3"/>
    </row>
    <row r="243" spans="1:62">
      <c r="A243" s="188">
        <v>42583</v>
      </c>
      <c r="B243" s="4">
        <v>-8</v>
      </c>
      <c r="E243" s="4">
        <v>15.75</v>
      </c>
      <c r="G243" s="4">
        <v>14.25</v>
      </c>
      <c r="H243" s="4">
        <v>10.875</v>
      </c>
      <c r="K243" s="4">
        <v>12.3125</v>
      </c>
      <c r="L243" s="4">
        <v>9.875</v>
      </c>
      <c r="M243" s="4">
        <v>10.9565</v>
      </c>
      <c r="N243" s="4">
        <v>10.0625</v>
      </c>
      <c r="O243" s="4">
        <v>81.968625000000003</v>
      </c>
      <c r="Q243" s="183"/>
      <c r="R243" s="183"/>
      <c r="BJ243" s="3"/>
    </row>
    <row r="244" spans="1:62">
      <c r="A244" s="188">
        <v>42584</v>
      </c>
      <c r="B244" s="4">
        <v>-8</v>
      </c>
      <c r="E244" s="4">
        <v>12.5625</v>
      </c>
      <c r="G244" s="4">
        <v>10.625</v>
      </c>
      <c r="H244" s="4">
        <v>10.6875</v>
      </c>
      <c r="K244" s="4">
        <v>7.0625</v>
      </c>
      <c r="L244" s="4">
        <v>8.4375</v>
      </c>
      <c r="M244" s="4">
        <v>5.9385000000000003</v>
      </c>
      <c r="N244" s="4">
        <v>8.625</v>
      </c>
      <c r="O244" s="4">
        <v>105.83725</v>
      </c>
      <c r="P244" s="183"/>
      <c r="Q244" s="183"/>
      <c r="R244" s="183"/>
      <c r="BJ244" s="3"/>
    </row>
    <row r="245" spans="1:62">
      <c r="A245" s="188">
        <v>42585</v>
      </c>
      <c r="B245" s="4">
        <v>-8</v>
      </c>
      <c r="E245" s="4">
        <v>13.125</v>
      </c>
      <c r="G245" s="4">
        <v>11</v>
      </c>
      <c r="H245" s="4">
        <v>10.1875</v>
      </c>
      <c r="K245" s="4">
        <v>8</v>
      </c>
      <c r="L245" s="4">
        <v>7.625</v>
      </c>
      <c r="M245" s="4">
        <v>7.0052500000000002</v>
      </c>
      <c r="N245" s="4">
        <v>7.8125</v>
      </c>
      <c r="O245" s="4">
        <v>111.476</v>
      </c>
      <c r="P245" s="183"/>
      <c r="Q245" s="183"/>
      <c r="R245" s="183"/>
      <c r="BJ245" s="3"/>
    </row>
    <row r="246" spans="1:62">
      <c r="A246" s="188">
        <v>42586</v>
      </c>
      <c r="B246" s="4">
        <v>-8</v>
      </c>
      <c r="E246" s="4">
        <v>15.375</v>
      </c>
      <c r="G246" s="4">
        <v>14.0625</v>
      </c>
      <c r="H246" s="4">
        <v>10.625</v>
      </c>
      <c r="K246" s="4">
        <v>11.75</v>
      </c>
      <c r="L246" s="4">
        <v>9</v>
      </c>
      <c r="M246" s="4">
        <v>10.893625</v>
      </c>
      <c r="N246" s="4">
        <v>8.5</v>
      </c>
      <c r="O246" s="4">
        <v>74.054749999999999</v>
      </c>
      <c r="P246" s="183"/>
      <c r="Q246" s="183"/>
      <c r="R246" s="183"/>
      <c r="BJ246" s="3"/>
    </row>
    <row r="247" spans="1:62">
      <c r="A247" s="188">
        <v>42587</v>
      </c>
      <c r="B247" s="4">
        <v>-8</v>
      </c>
      <c r="E247" s="4">
        <v>15.6875</v>
      </c>
      <c r="G247" s="4">
        <v>15.125</v>
      </c>
      <c r="H247" s="4">
        <v>11.25</v>
      </c>
      <c r="K247" s="4">
        <v>12.5625</v>
      </c>
      <c r="L247" s="4">
        <v>9.9375</v>
      </c>
      <c r="M247" s="4">
        <v>11.145125</v>
      </c>
      <c r="N247" s="4">
        <v>9.6875</v>
      </c>
      <c r="O247" s="4">
        <v>76.690375000000003</v>
      </c>
      <c r="P247" s="183"/>
      <c r="Q247" s="183"/>
      <c r="R247" s="183"/>
      <c r="BJ247" s="3"/>
    </row>
    <row r="248" spans="1:62">
      <c r="A248" s="188">
        <v>42588</v>
      </c>
      <c r="B248" s="4">
        <v>-8</v>
      </c>
      <c r="E248" s="4">
        <v>13.75</v>
      </c>
      <c r="G248" s="4">
        <v>11.75</v>
      </c>
      <c r="H248" s="4">
        <v>10.4375</v>
      </c>
      <c r="K248" s="4">
        <v>9.875</v>
      </c>
      <c r="L248" s="4">
        <v>8.625</v>
      </c>
      <c r="M248" s="4">
        <v>8.5108750000000004</v>
      </c>
      <c r="N248" s="4">
        <v>8.625</v>
      </c>
      <c r="O248" s="4">
        <v>87.701875000000001</v>
      </c>
      <c r="P248" s="183"/>
      <c r="Q248" s="183"/>
      <c r="R248" s="183"/>
      <c r="BJ248" s="3"/>
    </row>
    <row r="249" spans="1:62">
      <c r="A249" s="188">
        <v>42589</v>
      </c>
      <c r="B249" s="4">
        <v>-8</v>
      </c>
      <c r="E249" s="4">
        <v>12</v>
      </c>
      <c r="G249" s="4">
        <v>10.125</v>
      </c>
      <c r="H249" s="4">
        <v>10.125</v>
      </c>
      <c r="K249" s="4">
        <v>7.0625</v>
      </c>
      <c r="L249" s="4">
        <v>7.9375</v>
      </c>
      <c r="M249" s="4">
        <v>6.0012499999999998</v>
      </c>
      <c r="N249" s="4">
        <v>8.0625</v>
      </c>
      <c r="O249" s="4">
        <v>106.07537499999999</v>
      </c>
      <c r="P249" s="183"/>
      <c r="Q249" s="183"/>
      <c r="R249" s="183"/>
      <c r="BJ249" s="3"/>
    </row>
    <row r="250" spans="1:62">
      <c r="A250" s="188">
        <v>42590</v>
      </c>
      <c r="B250" s="4">
        <v>-8</v>
      </c>
      <c r="E250" s="4">
        <v>12.4375</v>
      </c>
      <c r="G250" s="4">
        <v>10.25</v>
      </c>
      <c r="H250" s="4">
        <v>9.75</v>
      </c>
      <c r="K250" s="4">
        <v>7.1875</v>
      </c>
      <c r="L250" s="4">
        <v>7.3125</v>
      </c>
      <c r="M250" s="4">
        <v>5.87575</v>
      </c>
      <c r="N250" s="4">
        <v>7.0625</v>
      </c>
      <c r="O250" s="4">
        <v>112.011375</v>
      </c>
      <c r="P250" s="183"/>
      <c r="Q250" s="183"/>
      <c r="R250" s="183"/>
      <c r="BJ250" s="3"/>
    </row>
    <row r="251" spans="1:62">
      <c r="A251" s="188">
        <v>42591</v>
      </c>
      <c r="B251" s="4">
        <v>-8</v>
      </c>
      <c r="E251" s="4">
        <v>13.1875</v>
      </c>
      <c r="G251" s="4">
        <v>11.125</v>
      </c>
      <c r="H251" s="4">
        <v>10.125</v>
      </c>
      <c r="K251" s="4">
        <v>8.125</v>
      </c>
      <c r="L251" s="4">
        <v>7.5</v>
      </c>
      <c r="M251" s="4">
        <v>6.7542499999999999</v>
      </c>
      <c r="N251" s="4">
        <v>7.5625</v>
      </c>
      <c r="O251" s="4">
        <v>112.86225</v>
      </c>
      <c r="P251" s="183"/>
      <c r="Q251" s="183"/>
      <c r="R251" s="183"/>
      <c r="BJ251" s="3"/>
    </row>
    <row r="252" spans="1:62">
      <c r="A252" s="188">
        <v>42592</v>
      </c>
      <c r="B252" s="4">
        <v>-8</v>
      </c>
      <c r="E252" s="4">
        <v>14.625</v>
      </c>
      <c r="G252" s="4">
        <v>12.8125</v>
      </c>
      <c r="H252" s="4">
        <v>10.5</v>
      </c>
      <c r="K252" s="4">
        <v>10</v>
      </c>
      <c r="L252" s="4">
        <v>8.4375</v>
      </c>
      <c r="M252" s="4">
        <v>8.8247499999999999</v>
      </c>
      <c r="N252" s="4">
        <v>8.5625</v>
      </c>
      <c r="O252" s="4">
        <v>112.861875</v>
      </c>
      <c r="P252" s="183"/>
      <c r="Q252" s="183"/>
      <c r="R252" s="183"/>
      <c r="BJ252" s="3"/>
    </row>
    <row r="253" spans="1:62">
      <c r="A253" s="188">
        <v>42593</v>
      </c>
      <c r="B253" s="4">
        <v>-8</v>
      </c>
      <c r="E253" s="4">
        <v>16.5625</v>
      </c>
      <c r="G253" s="4">
        <v>15.6875</v>
      </c>
      <c r="H253" s="4">
        <v>11.1875</v>
      </c>
      <c r="K253" s="4">
        <v>14.9375</v>
      </c>
      <c r="L253" s="4">
        <v>10</v>
      </c>
      <c r="M253" s="4">
        <v>13.7765</v>
      </c>
      <c r="N253" s="4">
        <v>10.125</v>
      </c>
      <c r="O253" s="4">
        <v>77.156499999999994</v>
      </c>
      <c r="P253" s="183"/>
      <c r="Q253" s="183"/>
      <c r="R253" s="183"/>
      <c r="AJ253" s="183"/>
      <c r="AK253" s="183"/>
      <c r="BJ253" s="3"/>
    </row>
    <row r="254" spans="1:62">
      <c r="A254" s="188">
        <v>42594</v>
      </c>
      <c r="B254" s="4">
        <v>-8</v>
      </c>
      <c r="E254" s="4">
        <v>19.3125</v>
      </c>
      <c r="G254" s="4">
        <v>19.625</v>
      </c>
      <c r="H254" s="4">
        <v>12.4375</v>
      </c>
      <c r="K254" s="4">
        <v>18.6875</v>
      </c>
      <c r="L254" s="4">
        <v>11.5625</v>
      </c>
      <c r="M254" s="4">
        <v>16.784125</v>
      </c>
      <c r="N254" s="4">
        <v>11.875</v>
      </c>
      <c r="O254" s="4">
        <v>58.760375000000003</v>
      </c>
      <c r="P254" s="183"/>
      <c r="Q254" s="183"/>
      <c r="R254" s="183"/>
      <c r="AI254" s="183"/>
      <c r="AJ254" s="183"/>
      <c r="AK254" s="183"/>
      <c r="BJ254" s="3"/>
    </row>
    <row r="255" spans="1:62">
      <c r="A255" s="188">
        <v>42595</v>
      </c>
      <c r="B255" s="4">
        <v>-8</v>
      </c>
      <c r="E255" s="4">
        <v>20.3125</v>
      </c>
      <c r="G255" s="4">
        <v>19.9375</v>
      </c>
      <c r="H255" s="4">
        <v>13.1875</v>
      </c>
      <c r="K255" s="4">
        <v>18.875</v>
      </c>
      <c r="L255" s="4">
        <v>12.625</v>
      </c>
      <c r="M255" s="4">
        <v>16.847000000000001</v>
      </c>
      <c r="N255" s="4">
        <v>12.75</v>
      </c>
      <c r="O255" s="4">
        <v>59.900624999999998</v>
      </c>
      <c r="P255" s="183"/>
      <c r="Q255" s="183"/>
      <c r="R255" s="183"/>
      <c r="AI255" s="183"/>
      <c r="AJ255" s="183"/>
      <c r="AK255" s="183"/>
      <c r="BJ255" s="3"/>
    </row>
    <row r="256" spans="1:62">
      <c r="A256" s="188">
        <v>42596</v>
      </c>
      <c r="B256" s="4">
        <v>-8</v>
      </c>
      <c r="E256" s="4">
        <v>19.125</v>
      </c>
      <c r="G256" s="4">
        <v>18.0625</v>
      </c>
      <c r="H256" s="4">
        <v>13</v>
      </c>
      <c r="K256" s="4">
        <v>16.6875</v>
      </c>
      <c r="L256" s="4">
        <v>12.375</v>
      </c>
      <c r="M256" s="4">
        <v>14.968249999999999</v>
      </c>
      <c r="N256" s="4">
        <v>12.875</v>
      </c>
      <c r="O256" s="4">
        <v>73.165750000000003</v>
      </c>
      <c r="P256" s="183"/>
      <c r="Q256" s="183"/>
      <c r="R256" s="183"/>
      <c r="AI256" s="183"/>
      <c r="AJ256" s="183"/>
      <c r="AK256" s="183"/>
      <c r="BJ256" s="3"/>
    </row>
    <row r="257" spans="1:62">
      <c r="A257" s="188">
        <v>42597</v>
      </c>
      <c r="B257" s="4">
        <v>-8</v>
      </c>
      <c r="E257" s="4">
        <v>18.375</v>
      </c>
      <c r="G257" s="4">
        <v>17.25</v>
      </c>
      <c r="H257" s="4">
        <v>12.4375</v>
      </c>
      <c r="K257" s="4">
        <v>16.625</v>
      </c>
      <c r="L257" s="4">
        <v>11.875</v>
      </c>
      <c r="M257" s="4">
        <v>14.654375</v>
      </c>
      <c r="N257" s="4">
        <v>12.4375</v>
      </c>
      <c r="O257" s="4">
        <v>72.047375000000002</v>
      </c>
      <c r="P257" s="183"/>
      <c r="Q257" s="183"/>
      <c r="R257" s="183"/>
      <c r="AI257" s="183"/>
      <c r="AJ257" s="183"/>
      <c r="AK257" s="183"/>
      <c r="BJ257" s="3"/>
    </row>
    <row r="258" spans="1:62">
      <c r="A258" s="188">
        <v>42598</v>
      </c>
      <c r="B258" s="4">
        <v>-8</v>
      </c>
      <c r="C258" s="4">
        <v>22.736750000000001</v>
      </c>
      <c r="D258" s="4">
        <v>54.617750000000001</v>
      </c>
      <c r="E258" s="4">
        <v>16.7</v>
      </c>
      <c r="G258" s="4">
        <v>20.166666666699999</v>
      </c>
      <c r="H258" s="4">
        <v>12.3</v>
      </c>
      <c r="K258" s="4">
        <v>15.1</v>
      </c>
      <c r="L258" s="4">
        <v>11.4</v>
      </c>
      <c r="M258" s="4">
        <v>14.9258333333</v>
      </c>
      <c r="N258" s="4">
        <v>12.083333333300001</v>
      </c>
      <c r="O258" s="4">
        <v>72.014833333300004</v>
      </c>
      <c r="P258" s="183"/>
      <c r="Q258" s="183"/>
      <c r="R258" s="183"/>
      <c r="AI258" s="183"/>
      <c r="AJ258" s="183"/>
      <c r="AK258" s="183"/>
      <c r="BJ258" s="3"/>
    </row>
    <row r="259" spans="1:62">
      <c r="A259" s="188">
        <v>42599</v>
      </c>
      <c r="B259" s="4">
        <v>-8</v>
      </c>
      <c r="C259" s="4">
        <v>18.607624999999999</v>
      </c>
      <c r="D259" s="4">
        <v>69.394750000000002</v>
      </c>
      <c r="G259" s="4">
        <v>17.1875</v>
      </c>
      <c r="P259" s="183"/>
      <c r="Q259" s="183"/>
      <c r="R259" s="183"/>
      <c r="AI259" s="183"/>
      <c r="AJ259" s="183"/>
      <c r="AK259" s="183"/>
      <c r="BJ259" s="3"/>
    </row>
    <row r="260" spans="1:62">
      <c r="A260" s="188">
        <v>42600</v>
      </c>
      <c r="B260" s="4">
        <v>-8</v>
      </c>
      <c r="C260" s="4">
        <v>21.671624999999999</v>
      </c>
      <c r="D260" s="4">
        <v>52.707625</v>
      </c>
      <c r="G260" s="4">
        <v>21.5</v>
      </c>
      <c r="P260" s="183"/>
      <c r="Q260" s="183"/>
      <c r="R260" s="183"/>
      <c r="AI260" s="183"/>
      <c r="AJ260" s="183"/>
      <c r="AK260" s="183"/>
      <c r="BJ260" s="3"/>
    </row>
    <row r="261" spans="1:62">
      <c r="A261" s="188">
        <v>42601</v>
      </c>
      <c r="B261" s="4">
        <v>-8</v>
      </c>
      <c r="C261" s="4">
        <v>22.171875</v>
      </c>
      <c r="D261" s="4">
        <v>46.026249999999997</v>
      </c>
      <c r="G261" s="4">
        <v>21.4375</v>
      </c>
      <c r="P261" s="183"/>
      <c r="Q261" s="183"/>
      <c r="R261" s="183"/>
      <c r="AI261" s="183"/>
      <c r="AJ261" s="183"/>
      <c r="AK261" s="183"/>
      <c r="BJ261" s="3"/>
    </row>
    <row r="262" spans="1:62">
      <c r="A262" s="188">
        <v>42602</v>
      </c>
      <c r="B262" s="4">
        <v>-8</v>
      </c>
      <c r="C262" s="4">
        <v>21.921875</v>
      </c>
      <c r="D262" s="4">
        <v>48.498874999999998</v>
      </c>
      <c r="G262" s="4">
        <v>21.125</v>
      </c>
      <c r="P262" s="183"/>
      <c r="Q262" s="183"/>
      <c r="R262" s="183"/>
      <c r="AI262" s="183"/>
      <c r="AJ262" s="183"/>
      <c r="AK262" s="183"/>
      <c r="BJ262" s="3"/>
    </row>
    <row r="263" spans="1:62">
      <c r="A263" s="188">
        <v>42603</v>
      </c>
      <c r="B263" s="4">
        <v>-8</v>
      </c>
      <c r="C263" s="4">
        <v>18.358125000000001</v>
      </c>
      <c r="D263" s="4">
        <v>57.051250000000003</v>
      </c>
      <c r="G263" s="4">
        <v>16.5</v>
      </c>
      <c r="P263" s="183"/>
      <c r="Q263" s="183"/>
      <c r="R263" s="183"/>
      <c r="AI263" s="183"/>
      <c r="AJ263" s="183"/>
      <c r="AK263" s="183"/>
      <c r="BJ263" s="3"/>
    </row>
    <row r="264" spans="1:62">
      <c r="A264" s="188">
        <v>42604</v>
      </c>
      <c r="B264" s="4">
        <v>-8</v>
      </c>
      <c r="C264" s="4">
        <v>13.851125</v>
      </c>
      <c r="D264" s="4">
        <v>74.959500000000006</v>
      </c>
      <c r="G264" s="4">
        <v>9.5625</v>
      </c>
      <c r="P264" s="183"/>
      <c r="Q264" s="183"/>
      <c r="R264" s="183"/>
      <c r="AI264" s="183"/>
      <c r="AJ264" s="183"/>
      <c r="AK264" s="183"/>
      <c r="BJ264" s="3"/>
    </row>
    <row r="265" spans="1:62">
      <c r="A265" s="188">
        <v>42605</v>
      </c>
      <c r="B265" s="4">
        <v>-8</v>
      </c>
      <c r="C265" s="4">
        <v>15.664999999999999</v>
      </c>
      <c r="D265" s="4">
        <v>71.40925</v>
      </c>
      <c r="G265" s="4">
        <v>13.0625</v>
      </c>
      <c r="P265" s="183"/>
      <c r="Q265" s="183"/>
      <c r="R265" s="183"/>
      <c r="AI265" s="183"/>
      <c r="BJ265" s="3"/>
    </row>
    <row r="266" spans="1:62">
      <c r="A266" s="188">
        <v>42606</v>
      </c>
      <c r="B266" s="4">
        <v>-8</v>
      </c>
      <c r="C266" s="4">
        <v>19.044499999999999</v>
      </c>
      <c r="D266" s="4">
        <v>58.983125000000001</v>
      </c>
      <c r="G266" s="4">
        <v>17.375</v>
      </c>
      <c r="P266" s="183"/>
      <c r="Q266" s="183"/>
      <c r="R266" s="183"/>
      <c r="BJ266" s="3"/>
    </row>
    <row r="267" spans="1:62">
      <c r="A267" s="188">
        <v>42607</v>
      </c>
      <c r="B267" s="4">
        <v>-8</v>
      </c>
      <c r="C267" s="4">
        <v>20.421624999999999</v>
      </c>
      <c r="D267" s="4">
        <v>53.282625000000003</v>
      </c>
      <c r="G267" s="4">
        <v>19.5625</v>
      </c>
      <c r="P267" s="183"/>
      <c r="Q267" s="183"/>
      <c r="R267" s="183"/>
      <c r="BJ267" s="3"/>
    </row>
    <row r="268" spans="1:62">
      <c r="A268" s="188">
        <v>42608</v>
      </c>
      <c r="B268" s="4">
        <v>-8</v>
      </c>
      <c r="C268" s="4">
        <v>20.859249999999999</v>
      </c>
      <c r="D268" s="4">
        <v>50.722499999999997</v>
      </c>
      <c r="G268" s="4">
        <v>20.25</v>
      </c>
      <c r="P268" s="183"/>
      <c r="Q268" s="183"/>
      <c r="R268" s="183"/>
      <c r="BJ268" s="3"/>
    </row>
    <row r="269" spans="1:62">
      <c r="A269" s="188">
        <v>42609</v>
      </c>
      <c r="B269" s="4">
        <v>-8</v>
      </c>
      <c r="C269" s="4">
        <v>17.482375000000001</v>
      </c>
      <c r="D269" s="4">
        <v>64.445999999999998</v>
      </c>
      <c r="G269" s="4">
        <v>15.6875</v>
      </c>
      <c r="P269" s="183"/>
      <c r="Q269" s="183"/>
      <c r="R269" s="183"/>
      <c r="BJ269" s="3"/>
    </row>
    <row r="270" spans="1:62">
      <c r="A270" s="188">
        <v>42610</v>
      </c>
      <c r="B270" s="4">
        <v>-8</v>
      </c>
      <c r="C270" s="4">
        <v>13.97625</v>
      </c>
      <c r="D270" s="4">
        <v>84.068875000000006</v>
      </c>
      <c r="G270" s="4">
        <v>11.9375</v>
      </c>
      <c r="P270" s="183"/>
      <c r="Q270" s="183"/>
      <c r="R270" s="183"/>
      <c r="BJ270" s="3"/>
    </row>
    <row r="271" spans="1:62">
      <c r="A271" s="188">
        <v>42611</v>
      </c>
      <c r="B271" s="4">
        <v>-8</v>
      </c>
      <c r="C271" s="4">
        <v>16.103999999999999</v>
      </c>
      <c r="D271" s="4">
        <v>81.3035</v>
      </c>
      <c r="G271" s="4">
        <v>16.125</v>
      </c>
      <c r="P271" s="183"/>
      <c r="Q271" s="183"/>
      <c r="R271" s="183"/>
      <c r="BJ271" s="3"/>
    </row>
    <row r="272" spans="1:62">
      <c r="A272" s="188">
        <v>42612</v>
      </c>
      <c r="B272" s="4">
        <v>-8</v>
      </c>
      <c r="C272" s="4">
        <v>15.165374999999999</v>
      </c>
      <c r="D272" s="4">
        <v>80.757999999999996</v>
      </c>
      <c r="G272" s="4">
        <v>14.4375</v>
      </c>
      <c r="P272" s="183"/>
      <c r="Q272" s="183"/>
      <c r="R272" s="183"/>
      <c r="BJ272" s="3"/>
    </row>
    <row r="273" spans="1:62">
      <c r="A273" s="188">
        <v>42613</v>
      </c>
      <c r="B273" s="4">
        <v>-8</v>
      </c>
      <c r="C273" s="4">
        <v>13.663500000000001</v>
      </c>
      <c r="D273" s="4">
        <v>93.489125000000001</v>
      </c>
      <c r="G273" s="4">
        <v>11.0625</v>
      </c>
      <c r="P273" s="183"/>
      <c r="Q273" s="183"/>
      <c r="R273" s="183"/>
      <c r="AJ273" s="183"/>
      <c r="AK273" s="183"/>
      <c r="BJ273" s="3"/>
    </row>
    <row r="274" spans="1:62">
      <c r="A274" s="188">
        <v>42614</v>
      </c>
      <c r="B274" s="4">
        <v>-8</v>
      </c>
      <c r="C274" s="4">
        <v>11.65875</v>
      </c>
      <c r="D274" s="4">
        <v>101.10612500000001</v>
      </c>
      <c r="G274" s="4">
        <v>8.0625</v>
      </c>
      <c r="P274" s="183"/>
      <c r="Q274" s="183"/>
      <c r="R274" s="183"/>
      <c r="AI274" s="183"/>
      <c r="AJ274" s="183"/>
      <c r="AK274" s="183"/>
      <c r="BJ274" s="3"/>
    </row>
    <row r="275" spans="1:62">
      <c r="A275" s="188">
        <v>42615</v>
      </c>
      <c r="B275" s="4">
        <v>-8</v>
      </c>
      <c r="C275" s="4">
        <v>10.781499999999999</v>
      </c>
      <c r="D275" s="4">
        <v>102.300875</v>
      </c>
      <c r="G275" s="4">
        <v>7.5</v>
      </c>
      <c r="P275" s="183"/>
      <c r="Q275" s="183"/>
      <c r="R275" s="183"/>
      <c r="AI275" s="183"/>
      <c r="AJ275" s="183"/>
      <c r="AK275" s="183"/>
      <c r="BJ275" s="3"/>
    </row>
    <row r="276" spans="1:62">
      <c r="A276" s="188">
        <v>42616</v>
      </c>
      <c r="B276" s="4">
        <v>-8</v>
      </c>
      <c r="C276" s="4">
        <v>11.094875</v>
      </c>
      <c r="D276" s="4">
        <v>101.53449999999999</v>
      </c>
      <c r="G276" s="4">
        <v>7.9375</v>
      </c>
      <c r="P276" s="183"/>
      <c r="Q276" s="183"/>
      <c r="R276" s="183"/>
      <c r="AI276" s="183"/>
      <c r="AJ276" s="183"/>
      <c r="AK276" s="183"/>
      <c r="BJ276" s="3"/>
    </row>
    <row r="277" spans="1:62">
      <c r="A277" s="188">
        <v>42617</v>
      </c>
      <c r="B277" s="4">
        <v>-8</v>
      </c>
      <c r="C277" s="4">
        <v>10.718500000000001</v>
      </c>
      <c r="D277" s="4">
        <v>94.553124999999994</v>
      </c>
      <c r="G277" s="4">
        <v>7.75</v>
      </c>
      <c r="P277" s="183"/>
      <c r="Q277" s="183"/>
      <c r="R277" s="183"/>
      <c r="AI277" s="183"/>
      <c r="BJ277" s="3"/>
    </row>
    <row r="278" spans="1:62">
      <c r="A278" s="188">
        <v>42618</v>
      </c>
      <c r="B278" s="4">
        <v>-8</v>
      </c>
      <c r="C278" s="4">
        <v>11.72125</v>
      </c>
      <c r="D278" s="4">
        <v>95.760374999999996</v>
      </c>
      <c r="G278" s="4">
        <v>8.75</v>
      </c>
      <c r="P278" s="183"/>
      <c r="Q278" s="183"/>
      <c r="R278" s="183"/>
      <c r="BJ278" s="3"/>
    </row>
    <row r="279" spans="1:62">
      <c r="A279" s="188">
        <v>42619</v>
      </c>
      <c r="B279" s="4">
        <v>-8</v>
      </c>
      <c r="C279" s="4">
        <v>12.285375</v>
      </c>
      <c r="D279" s="4">
        <v>94.670375000000007</v>
      </c>
      <c r="G279" s="4">
        <v>8.6875</v>
      </c>
      <c r="P279" s="183"/>
      <c r="Q279" s="183"/>
      <c r="R279" s="183"/>
      <c r="BJ279" s="3"/>
    </row>
    <row r="280" spans="1:62">
      <c r="A280" s="188">
        <v>42620</v>
      </c>
      <c r="B280" s="4">
        <v>-8</v>
      </c>
      <c r="C280" s="4">
        <v>12.159875</v>
      </c>
      <c r="D280" s="4">
        <v>99.384249999999994</v>
      </c>
      <c r="G280" s="4">
        <v>9.0625</v>
      </c>
      <c r="P280" s="183"/>
      <c r="Q280" s="183"/>
      <c r="R280" s="183"/>
      <c r="BJ280" s="3"/>
    </row>
    <row r="281" spans="1:62">
      <c r="A281" s="188">
        <v>42621</v>
      </c>
      <c r="B281" s="4">
        <v>-8</v>
      </c>
      <c r="C281" s="4">
        <v>11.095000000000001</v>
      </c>
      <c r="D281" s="4">
        <v>102.1395</v>
      </c>
      <c r="G281" s="4">
        <v>8.3125</v>
      </c>
      <c r="P281" s="183"/>
      <c r="Q281" s="183"/>
      <c r="R281" s="183"/>
      <c r="AJ281" s="183"/>
      <c r="AK281" s="183"/>
      <c r="BJ281" s="3"/>
    </row>
    <row r="282" spans="1:62">
      <c r="A282" s="188">
        <v>42622</v>
      </c>
      <c r="B282" s="4">
        <v>-8</v>
      </c>
      <c r="C282" s="4">
        <v>11.156375000000001</v>
      </c>
      <c r="D282" s="4">
        <v>92.954250000000002</v>
      </c>
      <c r="G282" s="4">
        <v>9.625</v>
      </c>
      <c r="P282" s="183"/>
      <c r="Q282" s="183"/>
      <c r="R282" s="183"/>
      <c r="AI282" s="183"/>
      <c r="AJ282" s="183"/>
      <c r="AK282" s="183"/>
      <c r="BJ282" s="3"/>
    </row>
    <row r="283" spans="1:62">
      <c r="A283" s="188">
        <v>42623</v>
      </c>
      <c r="B283" s="4">
        <v>-8</v>
      </c>
      <c r="C283" s="4">
        <v>13.97575</v>
      </c>
      <c r="D283" s="4">
        <v>89.258125000000007</v>
      </c>
      <c r="G283" s="4">
        <v>13.25</v>
      </c>
      <c r="P283" s="183"/>
      <c r="Q283" s="183"/>
      <c r="R283" s="183"/>
      <c r="AI283" s="183"/>
      <c r="AJ283" s="183"/>
      <c r="AK283" s="183"/>
      <c r="BJ283" s="3"/>
    </row>
    <row r="284" spans="1:62">
      <c r="A284" s="188">
        <v>42624</v>
      </c>
      <c r="B284" s="4">
        <v>-8</v>
      </c>
      <c r="C284" s="4">
        <v>13.537750000000001</v>
      </c>
      <c r="D284" s="4">
        <v>79.206500000000005</v>
      </c>
      <c r="G284" s="4">
        <v>10</v>
      </c>
      <c r="P284" s="183"/>
      <c r="Q284" s="183"/>
      <c r="R284" s="183"/>
      <c r="AI284" s="183"/>
      <c r="AJ284" s="183"/>
      <c r="AK284" s="183"/>
      <c r="BJ284" s="3"/>
    </row>
    <row r="285" spans="1:62">
      <c r="A285" s="188">
        <v>42625</v>
      </c>
      <c r="B285" s="4">
        <v>-8</v>
      </c>
      <c r="C285" s="4">
        <v>11.72025</v>
      </c>
      <c r="D285" s="4">
        <v>74.045000000000002</v>
      </c>
      <c r="G285" s="4">
        <v>10.75</v>
      </c>
      <c r="P285" s="183"/>
      <c r="Q285" s="183"/>
      <c r="R285" s="183"/>
      <c r="AI285" s="183"/>
      <c r="AJ285" s="183"/>
      <c r="AK285" s="183"/>
      <c r="BJ285" s="3"/>
    </row>
    <row r="286" spans="1:62">
      <c r="A286" s="188">
        <v>42626</v>
      </c>
      <c r="B286" s="4">
        <v>-8</v>
      </c>
      <c r="C286" s="4">
        <v>12.596875000000001</v>
      </c>
      <c r="D286" s="4">
        <v>71.191249999999997</v>
      </c>
      <c r="G286" s="4">
        <v>12.6875</v>
      </c>
      <c r="P286" s="183"/>
      <c r="Q286" s="183"/>
      <c r="R286" s="183"/>
      <c r="AI286" s="183"/>
      <c r="AJ286" s="183"/>
      <c r="AK286" s="183"/>
      <c r="BJ286" s="3"/>
    </row>
    <row r="287" spans="1:62">
      <c r="A287" s="188">
        <v>42627</v>
      </c>
      <c r="B287" s="4">
        <v>-8</v>
      </c>
      <c r="C287" s="4">
        <v>13.78725</v>
      </c>
      <c r="D287" s="4">
        <v>77.40325</v>
      </c>
      <c r="G287" s="4">
        <v>13.75</v>
      </c>
      <c r="P287" s="183"/>
      <c r="Q287" s="183"/>
      <c r="R287" s="183"/>
      <c r="AI287" s="183"/>
      <c r="AJ287" s="183"/>
      <c r="AK287" s="183"/>
      <c r="BJ287" s="3"/>
    </row>
    <row r="288" spans="1:62">
      <c r="A288" s="188">
        <v>42628</v>
      </c>
      <c r="B288" s="4">
        <v>-8</v>
      </c>
      <c r="C288" s="4">
        <v>13.912875</v>
      </c>
      <c r="D288" s="4">
        <v>80.276124999999993</v>
      </c>
      <c r="G288" s="4">
        <v>12.9375</v>
      </c>
      <c r="P288" s="183"/>
      <c r="Q288" s="183"/>
      <c r="R288" s="183"/>
      <c r="AI288" s="183"/>
      <c r="AJ288" s="183"/>
      <c r="AK288" s="183"/>
      <c r="BJ288" s="3"/>
    </row>
    <row r="289" spans="1:62">
      <c r="A289" s="188">
        <v>42629</v>
      </c>
      <c r="B289" s="4">
        <v>-8</v>
      </c>
      <c r="C289" s="4">
        <v>14.539249999999999</v>
      </c>
      <c r="D289" s="4">
        <v>79.073125000000005</v>
      </c>
      <c r="G289" s="4">
        <v>13.75</v>
      </c>
      <c r="P289" s="183"/>
      <c r="Q289" s="183"/>
      <c r="R289" s="183"/>
      <c r="AI289" s="183"/>
      <c r="BJ289" s="3"/>
    </row>
    <row r="290" spans="1:62">
      <c r="A290" s="188">
        <v>42630</v>
      </c>
      <c r="B290" s="4">
        <v>-8</v>
      </c>
      <c r="C290" s="4">
        <v>12.16</v>
      </c>
      <c r="D290" s="4">
        <v>100.222875</v>
      </c>
      <c r="G290" s="4">
        <v>9.375</v>
      </c>
      <c r="P290" s="183"/>
      <c r="Q290" s="183"/>
      <c r="R290" s="183"/>
      <c r="BJ290" s="3"/>
    </row>
    <row r="291" spans="1:62">
      <c r="A291" s="188">
        <v>42631</v>
      </c>
      <c r="B291" s="4">
        <v>-8</v>
      </c>
      <c r="C291" s="4">
        <v>10.844125</v>
      </c>
      <c r="D291" s="4">
        <v>101.70099999999999</v>
      </c>
      <c r="G291" s="4">
        <v>8</v>
      </c>
      <c r="P291" s="183"/>
      <c r="Q291" s="183"/>
      <c r="R291" s="183"/>
      <c r="BJ291" s="3"/>
    </row>
    <row r="292" spans="1:62">
      <c r="A292" s="188">
        <v>42632</v>
      </c>
      <c r="B292" s="4">
        <v>-8</v>
      </c>
      <c r="C292" s="4">
        <v>9.4657499999999999</v>
      </c>
      <c r="D292" s="4">
        <v>102.4085</v>
      </c>
      <c r="G292" s="4">
        <v>6.25</v>
      </c>
      <c r="P292" s="183"/>
      <c r="Q292" s="183"/>
      <c r="R292" s="183"/>
      <c r="BJ292" s="3"/>
    </row>
    <row r="293" spans="1:62">
      <c r="A293" s="188">
        <v>42633</v>
      </c>
      <c r="B293" s="4">
        <v>-8</v>
      </c>
      <c r="C293" s="4">
        <v>9.4653749999999999</v>
      </c>
      <c r="D293" s="4">
        <v>99.542625000000001</v>
      </c>
      <c r="G293" s="4">
        <v>6.5625</v>
      </c>
      <c r="P293" s="183"/>
      <c r="Q293" s="183"/>
      <c r="R293" s="183"/>
      <c r="AJ293" s="183"/>
      <c r="AK293" s="183"/>
      <c r="BJ293" s="3"/>
    </row>
    <row r="294" spans="1:62">
      <c r="A294" s="188">
        <v>42634</v>
      </c>
      <c r="B294" s="4">
        <v>-8</v>
      </c>
      <c r="C294" s="4">
        <v>9.6528749999999999</v>
      </c>
      <c r="D294" s="4">
        <v>90.067250000000001</v>
      </c>
      <c r="G294" s="4">
        <v>8.625</v>
      </c>
      <c r="P294" s="183"/>
      <c r="Q294" s="183"/>
      <c r="R294" s="183"/>
      <c r="AI294" s="183"/>
      <c r="AJ294" s="183"/>
      <c r="AK294" s="183"/>
      <c r="BJ294" s="3"/>
    </row>
    <row r="295" spans="1:62">
      <c r="A295" s="188">
        <v>42635</v>
      </c>
      <c r="B295" s="4">
        <v>-8</v>
      </c>
      <c r="C295" s="4">
        <v>10.592499999999999</v>
      </c>
      <c r="D295" s="4">
        <v>85.268249999999995</v>
      </c>
      <c r="G295" s="4">
        <v>8.875</v>
      </c>
      <c r="P295" s="183"/>
      <c r="Q295" s="183"/>
      <c r="R295" s="183"/>
      <c r="AI295" s="183"/>
      <c r="AJ295" s="183"/>
      <c r="AK295" s="183"/>
      <c r="BJ295" s="3"/>
    </row>
    <row r="296" spans="1:62">
      <c r="A296" s="188">
        <v>42636</v>
      </c>
      <c r="B296" s="4">
        <v>-8</v>
      </c>
      <c r="C296" s="4">
        <v>9.4657499999999999</v>
      </c>
      <c r="D296" s="4">
        <v>97.982375000000005</v>
      </c>
      <c r="G296" s="4">
        <v>6.625</v>
      </c>
      <c r="P296" s="183"/>
      <c r="Q296" s="183"/>
      <c r="R296" s="183"/>
      <c r="AI296" s="183"/>
      <c r="AJ296" s="183"/>
      <c r="AK296" s="183"/>
      <c r="BJ296" s="3"/>
    </row>
    <row r="297" spans="1:62">
      <c r="A297" s="188">
        <v>42637</v>
      </c>
      <c r="B297" s="4">
        <v>-8</v>
      </c>
      <c r="C297" s="4">
        <v>10.217750000000001</v>
      </c>
      <c r="D297" s="4">
        <v>98.161000000000001</v>
      </c>
      <c r="G297" s="4">
        <v>7.75</v>
      </c>
      <c r="P297" s="183"/>
      <c r="Q297" s="183"/>
      <c r="R297" s="183"/>
      <c r="AI297" s="183"/>
      <c r="BJ297" s="3"/>
    </row>
    <row r="298" spans="1:62">
      <c r="A298" s="188">
        <v>42638</v>
      </c>
      <c r="B298" s="4">
        <v>-8</v>
      </c>
      <c r="C298" s="4">
        <v>11.846500000000001</v>
      </c>
      <c r="D298" s="4">
        <v>99.947125</v>
      </c>
      <c r="G298" s="4">
        <v>9.875</v>
      </c>
      <c r="P298" s="183"/>
      <c r="Q298" s="183"/>
      <c r="R298" s="183"/>
      <c r="BJ298" s="3"/>
    </row>
    <row r="299" spans="1:62">
      <c r="A299" s="188">
        <v>42639</v>
      </c>
      <c r="B299" s="4">
        <v>-8</v>
      </c>
      <c r="C299" s="4">
        <v>14.16375</v>
      </c>
      <c r="D299" s="4">
        <v>93.377250000000004</v>
      </c>
      <c r="G299" s="4">
        <v>14.5625</v>
      </c>
      <c r="P299" s="183"/>
      <c r="Q299" s="183"/>
      <c r="R299" s="183"/>
      <c r="BJ299" s="3"/>
    </row>
    <row r="300" spans="1:62">
      <c r="A300" s="188">
        <v>42640</v>
      </c>
      <c r="B300" s="4">
        <v>-8</v>
      </c>
      <c r="C300" s="4">
        <v>13.412750000000001</v>
      </c>
      <c r="D300" s="4">
        <v>91.666749999999993</v>
      </c>
      <c r="G300" s="4">
        <v>11.125</v>
      </c>
      <c r="P300" s="183"/>
      <c r="Q300" s="183"/>
      <c r="R300" s="183"/>
      <c r="BJ300" s="3"/>
    </row>
    <row r="301" spans="1:62">
      <c r="A301" s="188">
        <v>42641</v>
      </c>
      <c r="B301" s="4">
        <v>-8</v>
      </c>
      <c r="C301" s="4">
        <v>11.031499999999999</v>
      </c>
      <c r="D301" s="4">
        <v>87.280749999999998</v>
      </c>
      <c r="G301" s="4">
        <v>9.6875</v>
      </c>
      <c r="I301" s="4">
        <v>14.5956666667</v>
      </c>
      <c r="K301" s="4">
        <v>10</v>
      </c>
      <c r="M301" s="4">
        <v>9.6494999999999997</v>
      </c>
      <c r="O301" s="4">
        <v>69.174999999999997</v>
      </c>
      <c r="P301" s="183"/>
      <c r="Q301" s="183"/>
      <c r="R301" s="183"/>
      <c r="BJ301" s="3"/>
    </row>
    <row r="302" spans="1:62">
      <c r="A302" s="188">
        <v>42642</v>
      </c>
      <c r="B302" s="4">
        <v>-8</v>
      </c>
      <c r="C302" s="4">
        <v>10.342499999999999</v>
      </c>
      <c r="D302" s="4">
        <v>90.187124999999995</v>
      </c>
      <c r="G302" s="4">
        <v>9.25</v>
      </c>
      <c r="I302" s="4">
        <v>7.8348750000000003</v>
      </c>
      <c r="K302" s="4">
        <v>9.3333333333299997</v>
      </c>
      <c r="M302" s="4">
        <v>8.0823750000000008</v>
      </c>
      <c r="O302" s="4">
        <v>81.882249999999999</v>
      </c>
      <c r="P302" s="183"/>
      <c r="Q302" s="183"/>
      <c r="R302" s="183"/>
      <c r="BJ302" s="3"/>
    </row>
    <row r="303" spans="1:62">
      <c r="A303" s="188">
        <v>42643</v>
      </c>
      <c r="B303" s="4">
        <v>-8</v>
      </c>
      <c r="C303" s="4">
        <v>10.718875000000001</v>
      </c>
      <c r="D303" s="4">
        <v>89.827500000000001</v>
      </c>
      <c r="G303" s="4">
        <v>8.25</v>
      </c>
      <c r="I303" s="4">
        <v>7.7725</v>
      </c>
      <c r="J303" s="4">
        <v>81.744500000000002</v>
      </c>
      <c r="K303" s="4">
        <v>6.75</v>
      </c>
      <c r="M303" s="4">
        <v>4.2582500000000003</v>
      </c>
      <c r="O303" s="4">
        <v>97.031000000000006</v>
      </c>
      <c r="P303" s="183"/>
      <c r="Q303" s="183"/>
      <c r="R303" s="183"/>
      <c r="BJ303" s="3"/>
    </row>
    <row r="304" spans="1:62">
      <c r="A304" s="188">
        <v>42644</v>
      </c>
      <c r="B304" s="4">
        <v>-8</v>
      </c>
      <c r="C304" s="4">
        <v>8.0233749999999997</v>
      </c>
      <c r="D304" s="4">
        <v>92.430875</v>
      </c>
      <c r="G304" s="4">
        <v>5.5</v>
      </c>
      <c r="I304" s="4">
        <v>4.2607499999999998</v>
      </c>
      <c r="J304" s="4">
        <v>89.576875000000001</v>
      </c>
      <c r="K304" s="4">
        <v>2</v>
      </c>
      <c r="M304" s="4">
        <v>0.871</v>
      </c>
      <c r="O304" s="4">
        <v>100.9075</v>
      </c>
      <c r="P304" s="183"/>
      <c r="Q304" s="183"/>
      <c r="R304" s="183"/>
      <c r="BJ304" s="3"/>
    </row>
    <row r="305" spans="1:62">
      <c r="A305" s="188">
        <v>42645</v>
      </c>
      <c r="B305" s="4">
        <v>-8</v>
      </c>
      <c r="C305" s="4">
        <v>8.9009999999999998</v>
      </c>
      <c r="D305" s="4">
        <v>91.639375000000001</v>
      </c>
      <c r="G305" s="4">
        <v>6</v>
      </c>
      <c r="I305" s="4">
        <v>6.3291250000000003</v>
      </c>
      <c r="J305" s="4">
        <v>80.211124999999996</v>
      </c>
      <c r="K305" s="4">
        <v>5.3333333333299997</v>
      </c>
      <c r="M305" s="4">
        <v>3.5052500000000002</v>
      </c>
      <c r="O305" s="4">
        <v>87.596125000000001</v>
      </c>
      <c r="P305" s="183"/>
      <c r="Q305" s="183"/>
      <c r="R305" s="183"/>
      <c r="AJ305" s="183"/>
      <c r="AK305" s="183"/>
      <c r="BJ305" s="3"/>
    </row>
    <row r="306" spans="1:62">
      <c r="A306" s="188">
        <v>42646</v>
      </c>
      <c r="B306" s="4">
        <v>-8</v>
      </c>
      <c r="C306" s="4">
        <v>8.5875000000000004</v>
      </c>
      <c r="D306" s="4">
        <v>92.361500000000007</v>
      </c>
      <c r="G306" s="4">
        <v>6.3125</v>
      </c>
      <c r="I306" s="4">
        <v>5.327</v>
      </c>
      <c r="J306" s="4">
        <v>94.047375000000002</v>
      </c>
      <c r="K306" s="4">
        <v>3.8333333333300001</v>
      </c>
      <c r="M306" s="4">
        <v>2.3766250000000002</v>
      </c>
      <c r="O306" s="4">
        <v>99.494375000000005</v>
      </c>
      <c r="P306" s="183"/>
      <c r="Q306" s="183"/>
      <c r="R306" s="183"/>
      <c r="AI306" s="183"/>
      <c r="AJ306" s="183"/>
      <c r="AK306" s="183"/>
      <c r="BJ306" s="3"/>
    </row>
    <row r="307" spans="1:62">
      <c r="A307" s="188">
        <v>42647</v>
      </c>
      <c r="B307" s="4">
        <v>-8</v>
      </c>
      <c r="C307" s="4">
        <v>8.7758749999999992</v>
      </c>
      <c r="D307" s="4">
        <v>100.94225</v>
      </c>
      <c r="G307" s="4">
        <v>5.4375</v>
      </c>
      <c r="I307" s="4">
        <v>3.9472499999999999</v>
      </c>
      <c r="J307" s="4">
        <v>99.219374999999999</v>
      </c>
      <c r="K307" s="4">
        <v>2.4166666666699999</v>
      </c>
      <c r="M307" s="4">
        <v>0.99650000000000005</v>
      </c>
      <c r="O307" s="4">
        <v>105.28675</v>
      </c>
      <c r="P307" s="183"/>
      <c r="Q307" s="183"/>
      <c r="R307" s="183"/>
      <c r="AI307" s="183"/>
      <c r="AJ307" s="183"/>
      <c r="AK307" s="183"/>
      <c r="BJ307" s="3"/>
    </row>
    <row r="308" spans="1:62">
      <c r="A308" s="188">
        <v>42648</v>
      </c>
      <c r="B308" s="4">
        <v>-8</v>
      </c>
      <c r="C308" s="4">
        <v>9.0893750000000004</v>
      </c>
      <c r="D308" s="4">
        <v>97.119500000000002</v>
      </c>
      <c r="G308" s="4">
        <v>6.125</v>
      </c>
      <c r="I308" s="4">
        <v>5.5151250000000003</v>
      </c>
      <c r="J308" s="4">
        <v>91.714124999999996</v>
      </c>
      <c r="K308" s="4">
        <v>4.5833333333299997</v>
      </c>
      <c r="M308" s="4">
        <v>2.752875</v>
      </c>
      <c r="O308" s="4">
        <v>99.899874999999994</v>
      </c>
      <c r="P308" s="183"/>
      <c r="Q308" s="183"/>
      <c r="R308" s="183"/>
      <c r="AI308" s="183"/>
      <c r="AJ308" s="183"/>
      <c r="AK308" s="183"/>
      <c r="BJ308" s="3"/>
    </row>
    <row r="309" spans="1:62">
      <c r="A309" s="188">
        <v>42649</v>
      </c>
      <c r="B309" s="4">
        <v>-8</v>
      </c>
      <c r="C309" s="4">
        <v>9.3402499999999993</v>
      </c>
      <c r="D309" s="4">
        <v>101.541625</v>
      </c>
      <c r="G309" s="4">
        <v>6.3125</v>
      </c>
      <c r="I309" s="4">
        <v>5.1387499999999999</v>
      </c>
      <c r="J309" s="4">
        <v>97.721999999999994</v>
      </c>
      <c r="K309" s="4">
        <v>3.6666666666699999</v>
      </c>
      <c r="M309" s="4">
        <v>2.3140000000000001</v>
      </c>
      <c r="O309" s="4">
        <v>104.738125</v>
      </c>
      <c r="P309" s="183"/>
      <c r="Q309" s="183"/>
      <c r="R309" s="183"/>
      <c r="AI309" s="183"/>
      <c r="AJ309" s="183"/>
      <c r="AK309" s="183"/>
      <c r="BJ309" s="3"/>
    </row>
    <row r="310" spans="1:62">
      <c r="A310" s="188">
        <v>42650</v>
      </c>
      <c r="B310" s="4">
        <v>-8</v>
      </c>
      <c r="C310" s="4">
        <v>8.5254999999999992</v>
      </c>
      <c r="D310" s="4">
        <v>103.105875</v>
      </c>
      <c r="G310" s="4">
        <v>5.625</v>
      </c>
      <c r="I310" s="4">
        <v>4.1353749999999998</v>
      </c>
      <c r="J310" s="4">
        <v>102.459625</v>
      </c>
      <c r="K310" s="4">
        <v>2.9166666666699999</v>
      </c>
      <c r="M310" s="4">
        <v>1.373</v>
      </c>
      <c r="O310" s="4">
        <v>105.45125</v>
      </c>
      <c r="P310" s="183"/>
      <c r="Q310" s="183"/>
      <c r="R310" s="183"/>
      <c r="AI310" s="183"/>
      <c r="AJ310" s="183"/>
      <c r="AK310" s="183"/>
      <c r="BJ310" s="3"/>
    </row>
    <row r="311" spans="1:62">
      <c r="A311" s="188">
        <v>42651</v>
      </c>
      <c r="B311" s="4">
        <v>-8</v>
      </c>
      <c r="C311" s="4">
        <v>8.9013749999999998</v>
      </c>
      <c r="D311" s="4">
        <v>102.83812500000001</v>
      </c>
      <c r="G311" s="4">
        <v>7.5625</v>
      </c>
      <c r="I311" s="4">
        <v>6.5185000000000004</v>
      </c>
      <c r="J311" s="4">
        <v>101.834875</v>
      </c>
      <c r="K311" s="4">
        <v>5.1666666666700003</v>
      </c>
      <c r="M311" s="4">
        <v>4.2578750000000003</v>
      </c>
      <c r="O311" s="4">
        <v>105.0125</v>
      </c>
      <c r="P311" s="183"/>
      <c r="Q311" s="183"/>
      <c r="R311" s="183"/>
      <c r="AI311" s="183"/>
      <c r="AJ311" s="183"/>
      <c r="AK311" s="183"/>
      <c r="BJ311" s="3"/>
    </row>
    <row r="312" spans="1:62">
      <c r="A312" s="188">
        <v>42652</v>
      </c>
      <c r="B312" s="4">
        <v>-8</v>
      </c>
      <c r="C312" s="4">
        <v>8.3371250000000003</v>
      </c>
      <c r="D312" s="4">
        <v>103.532375</v>
      </c>
      <c r="G312" s="4">
        <v>6</v>
      </c>
      <c r="I312" s="4">
        <v>5.4522500000000003</v>
      </c>
      <c r="J312" s="4">
        <v>94.135750000000002</v>
      </c>
      <c r="K312" s="4">
        <v>3.1666666666699999</v>
      </c>
      <c r="M312" s="4">
        <v>0.99637500000000001</v>
      </c>
      <c r="O312" s="4">
        <v>105.886875</v>
      </c>
      <c r="P312" s="183"/>
      <c r="Q312" s="183"/>
      <c r="R312" s="183"/>
      <c r="AI312" s="183"/>
      <c r="AJ312" s="183"/>
      <c r="AK312" s="183"/>
      <c r="BJ312" s="3"/>
    </row>
    <row r="313" spans="1:62">
      <c r="A313" s="188">
        <v>42653</v>
      </c>
      <c r="B313" s="4">
        <v>-8</v>
      </c>
      <c r="C313" s="4">
        <v>6.2678750000000001</v>
      </c>
      <c r="D313" s="4">
        <v>101.893</v>
      </c>
      <c r="G313" s="4">
        <v>2.5625</v>
      </c>
      <c r="I313" s="4">
        <v>1.4997499999999999</v>
      </c>
      <c r="J313" s="4">
        <v>93.897874999999999</v>
      </c>
      <c r="K313" s="4">
        <v>0.33333333333300003</v>
      </c>
      <c r="M313" s="4">
        <v>-1.38825</v>
      </c>
      <c r="O313" s="4">
        <v>101.462</v>
      </c>
      <c r="P313" s="183"/>
      <c r="Q313" s="183"/>
      <c r="R313" s="183"/>
      <c r="AI313" s="183"/>
      <c r="BJ313" s="3"/>
    </row>
    <row r="314" spans="1:62">
      <c r="A314" s="188">
        <v>42654</v>
      </c>
      <c r="B314" s="4">
        <v>-8</v>
      </c>
      <c r="C314" s="4">
        <v>3.4446249999999998</v>
      </c>
      <c r="D314" s="4">
        <v>95.694374999999994</v>
      </c>
      <c r="G314" s="4">
        <v>2</v>
      </c>
      <c r="I314" s="4">
        <v>1.5607500000000001</v>
      </c>
      <c r="J314" s="4">
        <v>71.013750000000002</v>
      </c>
      <c r="K314" s="4">
        <v>1.6666666666700001</v>
      </c>
      <c r="M314" s="4">
        <v>-0.19625000000000001</v>
      </c>
      <c r="O314" s="4">
        <v>67.126125000000002</v>
      </c>
      <c r="P314" s="183"/>
      <c r="Q314" s="183"/>
      <c r="R314" s="183"/>
      <c r="BJ314" s="3"/>
    </row>
    <row r="315" spans="1:62">
      <c r="A315" s="188">
        <v>42655</v>
      </c>
      <c r="B315" s="4">
        <v>-8</v>
      </c>
      <c r="C315" s="4">
        <v>4.5736249999999998</v>
      </c>
      <c r="D315" s="4">
        <v>94.958375000000004</v>
      </c>
      <c r="G315" s="4">
        <v>5.5</v>
      </c>
      <c r="I315" s="4">
        <v>4.5727500000000001</v>
      </c>
      <c r="J315" s="4">
        <v>57.643999999999998</v>
      </c>
      <c r="K315" s="4">
        <v>4.75</v>
      </c>
      <c r="M315" s="4">
        <v>2.752875</v>
      </c>
      <c r="O315" s="4">
        <v>52.044125000000001</v>
      </c>
      <c r="P315" s="183"/>
      <c r="Q315" s="183"/>
      <c r="R315" s="183"/>
      <c r="BJ315" s="3"/>
    </row>
    <row r="316" spans="1:62">
      <c r="A316" s="188">
        <v>42656</v>
      </c>
      <c r="B316" s="4">
        <v>-8</v>
      </c>
      <c r="C316" s="4">
        <v>8.6504999999999992</v>
      </c>
      <c r="D316" s="4">
        <v>101.85899999999999</v>
      </c>
      <c r="G316" s="4">
        <v>6.875</v>
      </c>
      <c r="I316" s="4">
        <v>5.4526250000000003</v>
      </c>
      <c r="J316" s="4">
        <v>96.132249999999999</v>
      </c>
      <c r="K316" s="4">
        <v>4.0833333333299997</v>
      </c>
      <c r="M316" s="4">
        <v>2.752875</v>
      </c>
      <c r="O316" s="4">
        <v>101.00725</v>
      </c>
      <c r="P316" s="183"/>
      <c r="Q316" s="183"/>
      <c r="R316" s="183"/>
      <c r="BJ316" s="3"/>
    </row>
    <row r="317" spans="1:62">
      <c r="A317" s="188">
        <v>42657</v>
      </c>
      <c r="B317" s="4">
        <v>-8</v>
      </c>
      <c r="C317" s="4">
        <v>7.8983749999999997</v>
      </c>
      <c r="D317" s="4">
        <v>103.3725</v>
      </c>
      <c r="G317" s="4">
        <v>4.625</v>
      </c>
      <c r="I317" s="4">
        <v>3.1311249999999999</v>
      </c>
      <c r="J317" s="4">
        <v>103.764</v>
      </c>
      <c r="K317" s="4">
        <v>2</v>
      </c>
      <c r="M317" s="4">
        <v>0.93362500000000004</v>
      </c>
      <c r="O317" s="4">
        <v>105.723625</v>
      </c>
      <c r="P317" s="183"/>
      <c r="Q317" s="183"/>
      <c r="R317" s="183"/>
      <c r="AJ317" s="183"/>
      <c r="AK317" s="183"/>
      <c r="BJ317" s="3"/>
    </row>
    <row r="318" spans="1:62">
      <c r="A318" s="188">
        <v>42658</v>
      </c>
      <c r="B318" s="4">
        <v>-8</v>
      </c>
      <c r="C318" s="4">
        <v>7.4592499999999999</v>
      </c>
      <c r="D318" s="4">
        <v>103.851625</v>
      </c>
      <c r="G318" s="4">
        <v>4.375</v>
      </c>
      <c r="I318" s="4">
        <v>2.8178749999999999</v>
      </c>
      <c r="J318" s="4">
        <v>104.78525</v>
      </c>
      <c r="K318" s="4">
        <v>1.6666666666700001</v>
      </c>
      <c r="M318" s="4">
        <v>0.55725000000000002</v>
      </c>
      <c r="O318" s="4">
        <v>106.26725</v>
      </c>
      <c r="P318" s="183"/>
      <c r="Q318" s="183"/>
      <c r="R318" s="183"/>
      <c r="AI318" s="183"/>
      <c r="AJ318" s="183"/>
      <c r="AK318" s="183"/>
      <c r="BJ318" s="3"/>
    </row>
    <row r="319" spans="1:62">
      <c r="A319" s="188">
        <v>42659</v>
      </c>
      <c r="B319" s="4">
        <v>-8</v>
      </c>
      <c r="C319" s="4">
        <v>7.4593749999999996</v>
      </c>
      <c r="D319" s="4">
        <v>103.90475000000001</v>
      </c>
      <c r="G319" s="4">
        <v>4.3125</v>
      </c>
      <c r="I319" s="4">
        <v>2.6296249999999999</v>
      </c>
      <c r="J319" s="4">
        <v>105.120625</v>
      </c>
      <c r="K319" s="4">
        <v>1.3333333333299999</v>
      </c>
      <c r="M319" s="4">
        <v>0.18074999999999999</v>
      </c>
      <c r="O319" s="4">
        <v>106.42887500000001</v>
      </c>
      <c r="P319" s="183"/>
      <c r="Q319" s="183"/>
      <c r="R319" s="183"/>
      <c r="AI319" s="183"/>
      <c r="AJ319" s="183"/>
      <c r="AK319" s="183"/>
      <c r="BJ319" s="3"/>
    </row>
    <row r="320" spans="1:62">
      <c r="A320" s="188">
        <v>42660</v>
      </c>
      <c r="B320" s="4">
        <v>-8</v>
      </c>
      <c r="C320" s="4">
        <v>7.3339999999999996</v>
      </c>
      <c r="D320" s="4">
        <v>104.063125</v>
      </c>
      <c r="G320" s="4">
        <v>4.1875</v>
      </c>
      <c r="I320" s="4">
        <v>2.252875</v>
      </c>
      <c r="J320" s="4">
        <v>103.713875</v>
      </c>
      <c r="K320" s="4">
        <v>0.66666666666700003</v>
      </c>
      <c r="M320" s="4">
        <v>-7.0250000000000007E-2</v>
      </c>
      <c r="O320" s="4">
        <v>106.319</v>
      </c>
      <c r="P320" s="183"/>
      <c r="Q320" s="183"/>
      <c r="R320" s="183"/>
      <c r="AI320" s="183"/>
      <c r="AJ320" s="183"/>
      <c r="AK320" s="183"/>
      <c r="BJ320" s="3"/>
    </row>
    <row r="321" spans="1:62">
      <c r="A321" s="188">
        <v>42661</v>
      </c>
      <c r="B321" s="4">
        <v>-8</v>
      </c>
      <c r="C321" s="4">
        <v>7.1459999999999999</v>
      </c>
      <c r="D321" s="4">
        <v>104.27437500000001</v>
      </c>
      <c r="G321" s="4">
        <v>3.75</v>
      </c>
      <c r="I321" s="4">
        <v>1.939125</v>
      </c>
      <c r="J321" s="4">
        <v>103.714375</v>
      </c>
      <c r="K321" s="4">
        <v>0.58333333333299997</v>
      </c>
      <c r="M321" s="4">
        <v>-0.25850000000000001</v>
      </c>
      <c r="O321" s="4">
        <v>106.429125</v>
      </c>
      <c r="P321" s="183"/>
      <c r="Q321" s="183"/>
      <c r="R321" s="183"/>
      <c r="AI321" s="183"/>
      <c r="AJ321" s="183"/>
      <c r="AK321" s="183"/>
      <c r="BJ321" s="3"/>
    </row>
    <row r="322" spans="1:62">
      <c r="A322" s="188">
        <v>42662</v>
      </c>
      <c r="B322" s="4">
        <v>-8</v>
      </c>
      <c r="C322" s="4">
        <v>6.7068750000000001</v>
      </c>
      <c r="D322" s="4">
        <v>104.4325</v>
      </c>
      <c r="G322" s="4">
        <v>3.6875</v>
      </c>
      <c r="I322" s="4">
        <v>2.6917499999999999</v>
      </c>
      <c r="J322" s="4">
        <v>96.343625000000003</v>
      </c>
      <c r="K322" s="4">
        <v>1</v>
      </c>
      <c r="M322" s="4">
        <v>-0.50949999999999995</v>
      </c>
      <c r="O322" s="4">
        <v>106.32</v>
      </c>
      <c r="P322" s="183"/>
      <c r="Q322" s="183"/>
      <c r="R322" s="183"/>
      <c r="AI322" s="183"/>
      <c r="AJ322" s="183"/>
      <c r="AK322" s="183"/>
      <c r="BJ322" s="3"/>
    </row>
    <row r="323" spans="1:62">
      <c r="A323" s="188">
        <v>42663</v>
      </c>
      <c r="B323" s="4">
        <v>-8</v>
      </c>
      <c r="C323" s="4">
        <v>8.0236249999999991</v>
      </c>
      <c r="D323" s="4">
        <v>103.957125</v>
      </c>
      <c r="G323" s="4">
        <v>5.4375</v>
      </c>
      <c r="I323" s="4">
        <v>4.1351250000000004</v>
      </c>
      <c r="J323" s="4">
        <v>102.864</v>
      </c>
      <c r="K323" s="4">
        <v>2.5833333333300001</v>
      </c>
      <c r="M323" s="4">
        <v>1.3728750000000001</v>
      </c>
      <c r="O323" s="4">
        <v>106.58799999999999</v>
      </c>
      <c r="P323" s="183"/>
      <c r="Q323" s="183"/>
      <c r="R323" s="183"/>
      <c r="AI323" s="183"/>
      <c r="AJ323" s="183"/>
      <c r="AK323" s="183"/>
      <c r="BJ323" s="3"/>
    </row>
    <row r="324" spans="1:62">
      <c r="A324" s="188">
        <v>42664</v>
      </c>
      <c r="B324" s="4">
        <v>-8</v>
      </c>
      <c r="C324" s="4">
        <v>6.4557500000000001</v>
      </c>
      <c r="D324" s="4">
        <v>104.589125</v>
      </c>
      <c r="G324" s="4">
        <v>3.8125</v>
      </c>
      <c r="I324" s="4">
        <v>2.75475</v>
      </c>
      <c r="J324" s="4">
        <v>98.878</v>
      </c>
      <c r="K324" s="4">
        <v>1.4166666666700001</v>
      </c>
      <c r="M324" s="4">
        <v>-7.4999999999999997E-3</v>
      </c>
      <c r="O324" s="4">
        <v>107.022875</v>
      </c>
      <c r="P324" s="183"/>
      <c r="Q324" s="183"/>
      <c r="R324" s="183"/>
      <c r="AI324" s="183"/>
      <c r="AJ324" s="183"/>
      <c r="AK324" s="183"/>
      <c r="BJ324" s="3"/>
    </row>
    <row r="325" spans="1:62">
      <c r="A325" s="188">
        <v>42665</v>
      </c>
      <c r="B325" s="4">
        <v>-8</v>
      </c>
      <c r="C325" s="4">
        <v>6.3304999999999998</v>
      </c>
      <c r="D325" s="4">
        <v>104.800375</v>
      </c>
      <c r="G325" s="4">
        <v>3.4375</v>
      </c>
      <c r="I325" s="4">
        <v>2.44075</v>
      </c>
      <c r="J325" s="4">
        <v>93.631874999999994</v>
      </c>
      <c r="K325" s="4">
        <v>0.91666666666700003</v>
      </c>
      <c r="M325" s="4">
        <v>-0.57225000000000004</v>
      </c>
      <c r="O325" s="4">
        <v>103.547625</v>
      </c>
      <c r="P325" s="183"/>
      <c r="Q325" s="183"/>
      <c r="R325" s="183"/>
      <c r="AI325" s="183"/>
      <c r="BJ325" s="3"/>
    </row>
    <row r="326" spans="1:62">
      <c r="A326" s="188">
        <v>42666</v>
      </c>
      <c r="B326" s="4">
        <v>-8</v>
      </c>
      <c r="C326" s="4">
        <v>7.5847499999999997</v>
      </c>
      <c r="D326" s="4">
        <v>103.632125</v>
      </c>
      <c r="G326" s="4">
        <v>5.4375</v>
      </c>
      <c r="I326" s="4">
        <v>4.6997499999999999</v>
      </c>
      <c r="J326" s="4">
        <v>87.691125</v>
      </c>
      <c r="K326" s="4">
        <v>2.8333333333300001</v>
      </c>
      <c r="M326" s="4">
        <v>1.05925</v>
      </c>
      <c r="O326" s="4">
        <v>100.781125</v>
      </c>
      <c r="P326" s="183"/>
      <c r="Q326" s="183"/>
      <c r="R326" s="183"/>
      <c r="BJ326" s="3"/>
    </row>
    <row r="327" spans="1:62">
      <c r="A327" s="188">
        <v>42667</v>
      </c>
      <c r="B327" s="4">
        <v>-8</v>
      </c>
      <c r="C327" s="4">
        <v>9.4026250000000005</v>
      </c>
      <c r="D327" s="4">
        <v>99.289124999999999</v>
      </c>
      <c r="G327" s="4">
        <v>7.625</v>
      </c>
      <c r="I327" s="4">
        <v>6.8318750000000001</v>
      </c>
      <c r="J327" s="4">
        <v>80.656999999999996</v>
      </c>
      <c r="K327" s="4">
        <v>6.6666666666700003</v>
      </c>
      <c r="M327" s="4">
        <v>4.6342499999999998</v>
      </c>
      <c r="O327" s="4">
        <v>81.592624999999998</v>
      </c>
      <c r="P327" s="183"/>
      <c r="Q327" s="183"/>
      <c r="R327" s="183"/>
      <c r="BJ327" s="3"/>
    </row>
    <row r="328" spans="1:62">
      <c r="A328" s="188">
        <v>42668</v>
      </c>
      <c r="B328" s="4">
        <v>-8</v>
      </c>
      <c r="C328" s="4">
        <v>7.772875</v>
      </c>
      <c r="D328" s="4">
        <v>102.8865</v>
      </c>
      <c r="G328" s="4">
        <v>4.25</v>
      </c>
      <c r="I328" s="4">
        <v>3.1317499999999998</v>
      </c>
      <c r="J328" s="4">
        <v>99.280124999999998</v>
      </c>
      <c r="K328" s="4">
        <v>1.5833333333299999</v>
      </c>
      <c r="M328" s="4">
        <v>0.36899999999999999</v>
      </c>
      <c r="O328" s="4">
        <v>105.995875</v>
      </c>
      <c r="P328" s="183"/>
      <c r="Q328" s="183"/>
      <c r="R328" s="183"/>
      <c r="BJ328" s="3"/>
    </row>
    <row r="329" spans="1:62">
      <c r="A329" s="188">
        <v>42669</v>
      </c>
      <c r="B329" s="4">
        <v>-8</v>
      </c>
      <c r="C329" s="4">
        <v>7.3339999999999996</v>
      </c>
      <c r="D329" s="4">
        <v>102.66437500000001</v>
      </c>
      <c r="G329" s="4">
        <v>5.625</v>
      </c>
      <c r="I329" s="4">
        <v>4.1353749999999998</v>
      </c>
      <c r="J329" s="4">
        <v>98.015124999999998</v>
      </c>
      <c r="K329" s="4">
        <v>3.1666666666699999</v>
      </c>
      <c r="M329" s="4">
        <v>2.0001250000000002</v>
      </c>
      <c r="O329" s="4">
        <v>100.55875</v>
      </c>
      <c r="P329" s="183"/>
      <c r="Q329" s="183"/>
      <c r="R329" s="183"/>
      <c r="BJ329" s="3"/>
    </row>
    <row r="330" spans="1:62">
      <c r="A330" s="188">
        <v>42670</v>
      </c>
      <c r="B330" s="4">
        <v>-8</v>
      </c>
      <c r="C330" s="4">
        <v>8.4</v>
      </c>
      <c r="D330" s="4">
        <v>103.851375</v>
      </c>
      <c r="G330" s="4">
        <v>5</v>
      </c>
      <c r="I330" s="4">
        <v>3.6963750000000002</v>
      </c>
      <c r="J330" s="4">
        <v>101.483</v>
      </c>
      <c r="K330" s="4">
        <v>2.3333333333300001</v>
      </c>
      <c r="M330" s="4">
        <v>0.93374999999999997</v>
      </c>
      <c r="O330" s="4">
        <v>106.32112499999999</v>
      </c>
      <c r="P330" s="183"/>
      <c r="Q330" s="183"/>
      <c r="R330" s="183"/>
      <c r="BJ330" s="3"/>
    </row>
    <row r="331" spans="1:62">
      <c r="A331" s="188">
        <v>42671</v>
      </c>
      <c r="B331" s="4">
        <v>-8</v>
      </c>
      <c r="C331" s="4">
        <v>7.5848750000000003</v>
      </c>
      <c r="D331" s="4">
        <v>103.95762499999999</v>
      </c>
      <c r="G331" s="4">
        <v>5.3125</v>
      </c>
      <c r="I331" s="4">
        <v>4.6998749999999996</v>
      </c>
      <c r="J331" s="4">
        <v>94.698625000000007</v>
      </c>
      <c r="K331" s="4">
        <v>3.5</v>
      </c>
      <c r="M331" s="4">
        <v>1.623875</v>
      </c>
      <c r="O331" s="4">
        <v>105.068</v>
      </c>
      <c r="P331" s="183"/>
      <c r="Q331" s="183"/>
      <c r="R331" s="183"/>
      <c r="BJ331" s="3"/>
    </row>
    <row r="332" spans="1:62">
      <c r="A332" s="188">
        <v>42672</v>
      </c>
      <c r="B332" s="4">
        <v>-8</v>
      </c>
      <c r="C332" s="4">
        <v>6.5815000000000001</v>
      </c>
      <c r="D332" s="4">
        <v>102.348375</v>
      </c>
      <c r="G332" s="4">
        <v>4.8125</v>
      </c>
      <c r="I332" s="4">
        <v>3.5078749999999999</v>
      </c>
      <c r="J332" s="4">
        <v>88.682500000000005</v>
      </c>
      <c r="K332" s="4">
        <v>2.5</v>
      </c>
      <c r="M332" s="4">
        <v>1.3727499999999999</v>
      </c>
      <c r="O332" s="4">
        <v>91.264125000000007</v>
      </c>
      <c r="P332" s="183"/>
      <c r="Q332" s="183"/>
      <c r="R332" s="183"/>
      <c r="BJ332" s="3"/>
    </row>
    <row r="333" spans="1:62">
      <c r="A333" s="188">
        <v>42673</v>
      </c>
      <c r="B333" s="4">
        <v>-8</v>
      </c>
      <c r="C333" s="4">
        <v>5.9541250000000003</v>
      </c>
      <c r="D333" s="4">
        <v>103.204375</v>
      </c>
      <c r="G333" s="4">
        <v>4.1875</v>
      </c>
      <c r="I333" s="4">
        <v>3.1307499999999999</v>
      </c>
      <c r="J333" s="4">
        <v>93.206249999999997</v>
      </c>
      <c r="K333" s="4">
        <v>2.75</v>
      </c>
      <c r="M333" s="4">
        <v>1.310125</v>
      </c>
      <c r="O333" s="4">
        <v>95.418499999999995</v>
      </c>
      <c r="P333" s="183"/>
      <c r="Q333" s="183"/>
      <c r="R333" s="183"/>
      <c r="BJ333" s="3"/>
    </row>
    <row r="334" spans="1:62">
      <c r="A334" s="188">
        <v>42674</v>
      </c>
      <c r="B334" s="4">
        <v>-8</v>
      </c>
      <c r="C334" s="4">
        <v>7.4593749999999996</v>
      </c>
      <c r="D334" s="4">
        <v>103.957375</v>
      </c>
      <c r="G334" s="4">
        <v>4.375</v>
      </c>
      <c r="I334" s="4">
        <v>2.9432499999999999</v>
      </c>
      <c r="J334" s="4">
        <v>102.23575</v>
      </c>
      <c r="K334" s="4">
        <v>1.75</v>
      </c>
      <c r="M334" s="4">
        <v>0.4945</v>
      </c>
      <c r="O334" s="4">
        <v>105.99575</v>
      </c>
      <c r="P334" s="183"/>
      <c r="Q334" s="183"/>
      <c r="R334" s="183"/>
      <c r="BJ334" s="3"/>
    </row>
    <row r="335" spans="1:62">
      <c r="A335" s="188">
        <v>42675</v>
      </c>
      <c r="B335" s="4">
        <v>-8</v>
      </c>
      <c r="C335" s="4">
        <v>6.3935000000000004</v>
      </c>
      <c r="D335" s="4">
        <v>104.80137499999999</v>
      </c>
      <c r="G335" s="4">
        <v>3.125</v>
      </c>
      <c r="I335" s="4">
        <v>1.374125</v>
      </c>
      <c r="J335" s="4">
        <v>103.541625</v>
      </c>
      <c r="K335" s="4">
        <v>8.3333333333299994E-2</v>
      </c>
      <c r="M335" s="4">
        <v>-0.94874999999999998</v>
      </c>
      <c r="O335" s="4">
        <v>106.10375000000001</v>
      </c>
      <c r="P335" s="183"/>
      <c r="Q335" s="183"/>
      <c r="R335" s="183"/>
      <c r="BJ335" s="3"/>
    </row>
    <row r="336" spans="1:62">
      <c r="A336" s="188">
        <v>42676</v>
      </c>
      <c r="B336" s="4">
        <v>-8</v>
      </c>
      <c r="C336" s="4">
        <v>7.3968749999999996</v>
      </c>
      <c r="D336" s="4">
        <v>104.380375</v>
      </c>
      <c r="G336" s="4">
        <v>4.9375</v>
      </c>
      <c r="I336" s="4">
        <v>3.0053749999999999</v>
      </c>
      <c r="J336" s="4">
        <v>102.197</v>
      </c>
      <c r="K336" s="4">
        <v>1.4166666666700001</v>
      </c>
      <c r="M336" s="4">
        <v>0.55725000000000002</v>
      </c>
      <c r="O336" s="4">
        <v>106.1045</v>
      </c>
      <c r="P336" s="183"/>
      <c r="Q336" s="183"/>
      <c r="R336" s="183"/>
      <c r="BJ336" s="3"/>
    </row>
    <row r="337" spans="1:62">
      <c r="A337" s="188">
        <v>42677</v>
      </c>
      <c r="B337" s="4">
        <v>-8</v>
      </c>
      <c r="C337" s="4">
        <v>7.8356250000000003</v>
      </c>
      <c r="D337" s="4">
        <v>104.3275</v>
      </c>
      <c r="G337" s="4">
        <v>6.75</v>
      </c>
      <c r="I337" s="4">
        <v>6.3931250000000004</v>
      </c>
      <c r="J337" s="4">
        <v>76.211375000000004</v>
      </c>
      <c r="K337" s="4">
        <v>4.75</v>
      </c>
      <c r="M337" s="4">
        <v>2.9409999999999998</v>
      </c>
      <c r="O337" s="4">
        <v>86.701125000000005</v>
      </c>
      <c r="P337" s="183"/>
      <c r="Q337" s="183"/>
      <c r="R337" s="183"/>
      <c r="BJ337" s="3"/>
    </row>
    <row r="338" spans="1:62">
      <c r="A338" s="188">
        <v>42678</v>
      </c>
      <c r="B338" s="4">
        <v>-8</v>
      </c>
      <c r="C338" s="4">
        <v>7.3332499999999996</v>
      </c>
      <c r="D338" s="4">
        <v>99.787374999999997</v>
      </c>
      <c r="G338" s="4">
        <v>11.6875</v>
      </c>
      <c r="I338" s="4">
        <v>10.65625</v>
      </c>
      <c r="J338" s="4">
        <v>38.735500000000002</v>
      </c>
      <c r="K338" s="4">
        <v>8.9166666666700003</v>
      </c>
      <c r="M338" s="4">
        <v>7.6437499999999998</v>
      </c>
      <c r="O338" s="4">
        <v>42.247500000000002</v>
      </c>
      <c r="P338" s="183"/>
      <c r="BJ338" s="3"/>
    </row>
    <row r="339" spans="1:62">
      <c r="A339" s="188">
        <v>42679</v>
      </c>
      <c r="B339" s="4">
        <v>-8</v>
      </c>
      <c r="C339" s="4">
        <v>9.7787500000000005</v>
      </c>
      <c r="D339" s="4">
        <v>102.377875</v>
      </c>
      <c r="G339" s="4">
        <v>7.625</v>
      </c>
      <c r="I339" s="4">
        <v>6.5813750000000004</v>
      </c>
      <c r="J339" s="4">
        <v>91.913749999999993</v>
      </c>
      <c r="K339" s="4">
        <v>5.1666666666700003</v>
      </c>
      <c r="M339" s="4">
        <v>3.6937500000000001</v>
      </c>
      <c r="O339" s="4">
        <v>98.9465</v>
      </c>
      <c r="Q339" s="183"/>
      <c r="R339" s="183"/>
      <c r="BJ339" s="3"/>
    </row>
    <row r="340" spans="1:62">
      <c r="A340" s="188">
        <v>42680</v>
      </c>
      <c r="B340" s="4">
        <v>-8</v>
      </c>
      <c r="C340" s="4">
        <v>6.2469999999999999</v>
      </c>
      <c r="D340" s="4">
        <v>104.794666667</v>
      </c>
      <c r="G340" s="4">
        <v>3.1666666666699999</v>
      </c>
      <c r="I340" s="4">
        <v>2.3435555555600001</v>
      </c>
      <c r="J340" s="4">
        <v>99.3155555556</v>
      </c>
      <c r="K340" s="4">
        <v>1.1428571428600001</v>
      </c>
      <c r="M340" s="4">
        <v>-4.9333333333299999E-2</v>
      </c>
      <c r="O340" s="4">
        <v>106.237111111</v>
      </c>
      <c r="P340" s="183"/>
      <c r="Q340" s="183"/>
      <c r="R340" s="183"/>
      <c r="BJ340" s="3"/>
    </row>
    <row r="341" spans="1:62">
      <c r="A341" s="188">
        <v>42681</v>
      </c>
      <c r="B341" s="4">
        <v>-8</v>
      </c>
      <c r="C341" s="4">
        <v>8.8386250000000004</v>
      </c>
      <c r="D341" s="4">
        <v>104.01</v>
      </c>
      <c r="G341" s="4">
        <v>7.9375</v>
      </c>
      <c r="I341" s="4">
        <v>6.5808749999999998</v>
      </c>
      <c r="J341" s="4">
        <v>91.120750000000001</v>
      </c>
      <c r="K341" s="4">
        <v>4.5833333333299997</v>
      </c>
      <c r="M341" s="4">
        <v>3.442625</v>
      </c>
      <c r="O341" s="4">
        <v>102.17149999999999</v>
      </c>
      <c r="P341" s="183"/>
      <c r="Q341" s="183"/>
      <c r="R341" s="183"/>
      <c r="BJ341" s="3"/>
    </row>
    <row r="342" spans="1:62">
      <c r="A342" s="188">
        <v>42682</v>
      </c>
      <c r="B342" s="4">
        <v>-8</v>
      </c>
      <c r="C342" s="4">
        <v>11.094749999999999</v>
      </c>
      <c r="D342" s="4">
        <v>103.25425</v>
      </c>
      <c r="G342" s="4">
        <v>12.9375</v>
      </c>
      <c r="I342" s="4">
        <v>11.596</v>
      </c>
      <c r="J342" s="4">
        <v>68.025750000000002</v>
      </c>
      <c r="K342" s="4">
        <v>9.3333333333299997</v>
      </c>
      <c r="M342" s="4">
        <v>7.7691249999999998</v>
      </c>
      <c r="O342" s="4">
        <v>82.190749999999994</v>
      </c>
      <c r="P342" s="183"/>
      <c r="Q342" s="183"/>
      <c r="R342" s="183"/>
      <c r="BJ342" s="3"/>
    </row>
    <row r="343" spans="1:62">
      <c r="A343" s="188">
        <v>42683</v>
      </c>
      <c r="B343" s="4">
        <v>-8</v>
      </c>
      <c r="C343" s="4">
        <v>10.844125</v>
      </c>
      <c r="D343" s="4">
        <v>102.498125</v>
      </c>
      <c r="G343" s="4">
        <v>8.75</v>
      </c>
      <c r="I343" s="4">
        <v>7.5220000000000002</v>
      </c>
      <c r="J343" s="4">
        <v>96.048625000000001</v>
      </c>
      <c r="K343" s="4">
        <v>6.1666666666700003</v>
      </c>
      <c r="M343" s="4">
        <v>4.8855000000000004</v>
      </c>
      <c r="O343" s="4">
        <v>102.05125</v>
      </c>
      <c r="P343" s="183"/>
      <c r="Q343" s="183"/>
      <c r="R343" s="183"/>
      <c r="BJ343" s="3"/>
    </row>
    <row r="344" spans="1:62">
      <c r="A344" s="188">
        <v>42684</v>
      </c>
      <c r="B344" s="4">
        <v>-8</v>
      </c>
      <c r="C344" s="4">
        <v>9.4026250000000005</v>
      </c>
      <c r="D344" s="4">
        <v>103.36975</v>
      </c>
      <c r="G344" s="4">
        <v>11.625</v>
      </c>
      <c r="I344" s="4">
        <v>11.094250000000001</v>
      </c>
      <c r="J344" s="4">
        <v>56.064</v>
      </c>
      <c r="K344" s="4">
        <v>10.166666666699999</v>
      </c>
      <c r="M344" s="4">
        <v>8.4585000000000008</v>
      </c>
      <c r="O344" s="4">
        <v>59.247624999999999</v>
      </c>
      <c r="P344" s="183"/>
      <c r="Q344" s="183"/>
      <c r="R344" s="183"/>
      <c r="BJ344" s="3"/>
    </row>
    <row r="345" spans="1:62">
      <c r="A345" s="188">
        <v>42685</v>
      </c>
      <c r="B345" s="4">
        <v>-8</v>
      </c>
      <c r="C345" s="4">
        <v>10.468125000000001</v>
      </c>
      <c r="D345" s="4">
        <v>101.59425</v>
      </c>
      <c r="G345" s="4">
        <v>11.875</v>
      </c>
      <c r="I345" s="4">
        <v>10.78125</v>
      </c>
      <c r="J345" s="4">
        <v>60.613</v>
      </c>
      <c r="K345" s="4">
        <v>9.1666666666700003</v>
      </c>
      <c r="M345" s="4">
        <v>7.5185000000000004</v>
      </c>
      <c r="O345" s="4">
        <v>67.804500000000004</v>
      </c>
      <c r="P345" s="183"/>
      <c r="Q345" s="183"/>
      <c r="R345" s="183"/>
      <c r="AJ345" s="183"/>
      <c r="AK345" s="183"/>
      <c r="BJ345" s="3"/>
    </row>
    <row r="346" spans="1:62">
      <c r="A346" s="188">
        <v>42686</v>
      </c>
      <c r="B346" s="4">
        <v>-8</v>
      </c>
      <c r="C346" s="4">
        <v>9.2146249999999998</v>
      </c>
      <c r="D346" s="4">
        <v>103.02862500000001</v>
      </c>
      <c r="G346" s="4">
        <v>5.9375</v>
      </c>
      <c r="I346" s="4">
        <v>5.1388749999999996</v>
      </c>
      <c r="J346" s="4">
        <v>97.713250000000002</v>
      </c>
      <c r="K346" s="4">
        <v>3.5</v>
      </c>
      <c r="M346" s="4">
        <v>2.3134999999999999</v>
      </c>
      <c r="O346" s="4">
        <v>104.25075</v>
      </c>
      <c r="P346" s="183"/>
      <c r="Q346" s="183"/>
      <c r="R346" s="183"/>
      <c r="AI346" s="183"/>
      <c r="AJ346" s="183"/>
      <c r="AK346" s="183"/>
      <c r="BJ346" s="3"/>
    </row>
    <row r="347" spans="1:62">
      <c r="A347" s="188">
        <v>42687</v>
      </c>
      <c r="B347" s="4">
        <v>-8</v>
      </c>
      <c r="C347" s="4">
        <v>6.5818750000000001</v>
      </c>
      <c r="D347" s="4">
        <v>104.801125</v>
      </c>
      <c r="G347" s="4">
        <v>3.625</v>
      </c>
      <c r="I347" s="4">
        <v>1.6252500000000001</v>
      </c>
      <c r="J347" s="4">
        <v>101.935875</v>
      </c>
      <c r="K347" s="4">
        <v>8.3333333333299994E-2</v>
      </c>
      <c r="M347" s="4">
        <v>-0.76049999999999995</v>
      </c>
      <c r="O347" s="4">
        <v>106.212875</v>
      </c>
      <c r="P347" s="183"/>
      <c r="Q347" s="183"/>
      <c r="R347" s="183"/>
      <c r="AI347" s="183"/>
      <c r="AJ347" s="183"/>
      <c r="AK347" s="183"/>
      <c r="BJ347" s="3"/>
    </row>
    <row r="348" spans="1:62">
      <c r="A348" s="188">
        <v>42688</v>
      </c>
      <c r="B348" s="4">
        <v>-8</v>
      </c>
      <c r="C348" s="4">
        <v>6.1425000000000001</v>
      </c>
      <c r="D348" s="4">
        <v>105.010125</v>
      </c>
      <c r="G348" s="4">
        <v>2.9375</v>
      </c>
      <c r="I348" s="4">
        <v>1.373875</v>
      </c>
      <c r="J348" s="4">
        <v>101.35875</v>
      </c>
      <c r="K348" s="4">
        <v>0.33333333333300003</v>
      </c>
      <c r="M348" s="4">
        <v>-0.94887500000000002</v>
      </c>
      <c r="O348" s="4">
        <v>102.09575</v>
      </c>
      <c r="P348" s="183"/>
      <c r="Q348" s="183"/>
      <c r="R348" s="183"/>
      <c r="AI348" s="183"/>
      <c r="AJ348" s="183"/>
      <c r="AK348" s="183"/>
      <c r="BJ348" s="3"/>
    </row>
    <row r="349" spans="1:62">
      <c r="A349" s="188">
        <v>42689</v>
      </c>
      <c r="B349" s="4">
        <v>-8</v>
      </c>
      <c r="C349" s="4">
        <v>4.8879999999999999</v>
      </c>
      <c r="D349" s="4">
        <v>105.48</v>
      </c>
      <c r="G349" s="4">
        <v>1.8125</v>
      </c>
      <c r="I349" s="4">
        <v>0.30675000000000002</v>
      </c>
      <c r="J349" s="4">
        <v>102.377875</v>
      </c>
      <c r="K349" s="4">
        <v>-1.4166666666700001</v>
      </c>
      <c r="M349" s="4">
        <v>-2.1415000000000002</v>
      </c>
      <c r="O349" s="4">
        <v>104.90049999999999</v>
      </c>
      <c r="P349" s="183"/>
      <c r="Q349" s="183"/>
      <c r="R349" s="183"/>
      <c r="AI349" s="183"/>
      <c r="BJ349" s="3"/>
    </row>
    <row r="350" spans="1:62">
      <c r="A350" s="188">
        <v>42690</v>
      </c>
      <c r="B350" s="4">
        <v>-8</v>
      </c>
      <c r="C350" s="4">
        <v>2.6295000000000002</v>
      </c>
      <c r="D350" s="4">
        <v>106.103375</v>
      </c>
      <c r="G350" s="4">
        <v>6.25E-2</v>
      </c>
      <c r="I350" s="4">
        <v>-1.3885000000000001</v>
      </c>
      <c r="J350" s="4">
        <v>100.63025</v>
      </c>
      <c r="K350" s="4">
        <v>-3.1666666666699999</v>
      </c>
      <c r="M350" s="4">
        <v>-4.4647500000000004</v>
      </c>
      <c r="O350" s="4">
        <v>104.629375</v>
      </c>
      <c r="P350" s="183"/>
      <c r="Q350" s="183"/>
      <c r="R350" s="183"/>
      <c r="BJ350" s="3"/>
    </row>
    <row r="351" spans="1:62">
      <c r="A351" s="188">
        <v>42691</v>
      </c>
      <c r="B351" s="4">
        <v>-8</v>
      </c>
      <c r="C351" s="4">
        <v>2.5037500000000001</v>
      </c>
      <c r="D351" s="4">
        <v>106.41175</v>
      </c>
      <c r="G351" s="4">
        <v>-0.3125</v>
      </c>
      <c r="I351" s="4">
        <v>-1.5141249999999999</v>
      </c>
      <c r="J351" s="4">
        <v>100.38525</v>
      </c>
      <c r="K351" s="4">
        <v>-2.8333333333300001</v>
      </c>
      <c r="M351" s="4">
        <v>-4.0252499999999998</v>
      </c>
      <c r="O351" s="4">
        <v>104.68474999999999</v>
      </c>
      <c r="P351" s="183"/>
      <c r="Q351" s="183"/>
      <c r="R351" s="183"/>
      <c r="BJ351" s="3"/>
    </row>
    <row r="352" spans="1:62">
      <c r="A352" s="188">
        <v>42692</v>
      </c>
      <c r="B352" s="4">
        <v>-8</v>
      </c>
      <c r="C352" s="4">
        <v>2.5038749999999999</v>
      </c>
      <c r="D352" s="4">
        <v>106.206625</v>
      </c>
      <c r="G352" s="4">
        <v>-0.5</v>
      </c>
      <c r="I352" s="4">
        <v>-1.6401250000000001</v>
      </c>
      <c r="J352" s="4">
        <v>92.447249999999997</v>
      </c>
      <c r="K352" s="4">
        <v>-2.8333333333300001</v>
      </c>
      <c r="M352" s="4">
        <v>-4.2136250000000004</v>
      </c>
      <c r="O352" s="4">
        <v>102.13849999999999</v>
      </c>
      <c r="P352" s="183"/>
      <c r="Q352" s="183"/>
      <c r="R352" s="183"/>
      <c r="BJ352" s="3"/>
    </row>
    <row r="353" spans="1:62">
      <c r="A353" s="188">
        <v>42693</v>
      </c>
      <c r="B353" s="4">
        <v>-8</v>
      </c>
      <c r="C353" s="4">
        <v>4.6998749999999996</v>
      </c>
      <c r="D353" s="4">
        <v>105.21912500000001</v>
      </c>
      <c r="G353" s="4">
        <v>1.625</v>
      </c>
      <c r="I353" s="4">
        <v>1.248375</v>
      </c>
      <c r="J353" s="4">
        <v>98.834500000000006</v>
      </c>
      <c r="K353" s="4">
        <v>-0.58333333333299997</v>
      </c>
      <c r="M353" s="4">
        <v>-1.5765</v>
      </c>
      <c r="O353" s="4">
        <v>104.0395</v>
      </c>
      <c r="P353" s="183"/>
      <c r="Q353" s="183"/>
      <c r="R353" s="183"/>
      <c r="BJ353" s="3"/>
    </row>
    <row r="354" spans="1:62">
      <c r="A354" s="188">
        <v>42694</v>
      </c>
      <c r="B354" s="4">
        <v>-8</v>
      </c>
      <c r="C354" s="4">
        <v>6.2681250000000004</v>
      </c>
      <c r="D354" s="4">
        <v>105.11512500000001</v>
      </c>
      <c r="G354" s="4">
        <v>3.0625</v>
      </c>
      <c r="I354" s="4">
        <v>1.5623750000000001</v>
      </c>
      <c r="J354" s="4">
        <v>103.20274999999999</v>
      </c>
      <c r="K354" s="4">
        <v>0.33333333333300003</v>
      </c>
      <c r="M354" s="4">
        <v>-0.44674999999999998</v>
      </c>
      <c r="O354" s="4">
        <v>106.05012499999999</v>
      </c>
      <c r="P354" s="183"/>
      <c r="Q354" s="183"/>
      <c r="R354" s="183"/>
      <c r="BJ354" s="3"/>
    </row>
    <row r="355" spans="1:62">
      <c r="A355" s="188">
        <v>42695</v>
      </c>
      <c r="B355" s="4">
        <v>-8</v>
      </c>
      <c r="C355" s="4">
        <v>4.8879999999999999</v>
      </c>
      <c r="D355" s="4">
        <v>105.48050000000001</v>
      </c>
      <c r="G355" s="4">
        <v>1.8125</v>
      </c>
      <c r="I355" s="4">
        <v>0.68362500000000004</v>
      </c>
      <c r="J355" s="4">
        <v>102.51075</v>
      </c>
      <c r="K355" s="4">
        <v>-0.91666666666700003</v>
      </c>
      <c r="M355" s="4">
        <v>-1.8276250000000001</v>
      </c>
      <c r="O355" s="4">
        <v>105.669375</v>
      </c>
      <c r="P355" s="183"/>
      <c r="Q355" s="183"/>
      <c r="R355" s="183"/>
      <c r="BJ355" s="3"/>
    </row>
    <row r="356" spans="1:62">
      <c r="A356" s="188">
        <v>42696</v>
      </c>
      <c r="B356" s="4">
        <v>-8</v>
      </c>
      <c r="C356" s="4">
        <v>4.1978749999999998</v>
      </c>
      <c r="D356" s="4">
        <v>105.73975</v>
      </c>
      <c r="G356" s="4">
        <v>1.4375</v>
      </c>
      <c r="I356" s="4">
        <v>0.24387500000000001</v>
      </c>
      <c r="J356" s="4">
        <v>99.355625000000003</v>
      </c>
      <c r="K356" s="4">
        <v>-1.4166666666700001</v>
      </c>
      <c r="M356" s="4">
        <v>-2.581</v>
      </c>
      <c r="O356" s="4">
        <v>105.669375</v>
      </c>
      <c r="P356" s="183"/>
      <c r="Q356" s="183"/>
      <c r="R356" s="183"/>
      <c r="BJ356" s="3"/>
    </row>
    <row r="357" spans="1:62">
      <c r="A357" s="188">
        <v>42697</v>
      </c>
      <c r="B357" s="4">
        <v>-8</v>
      </c>
      <c r="C357" s="4">
        <v>3.759125</v>
      </c>
      <c r="D357" s="4">
        <v>105.89624999999999</v>
      </c>
      <c r="G357" s="4">
        <v>0.5</v>
      </c>
      <c r="I357" s="4">
        <v>-0.88624999999999998</v>
      </c>
      <c r="J357" s="4">
        <v>102.631125</v>
      </c>
      <c r="K357" s="4">
        <v>-2.25</v>
      </c>
      <c r="M357" s="4">
        <v>-3.5858750000000001</v>
      </c>
      <c r="O357" s="4">
        <v>105.068625</v>
      </c>
      <c r="P357" s="183"/>
      <c r="Q357" s="183"/>
      <c r="R357" s="183"/>
      <c r="BJ357" s="3"/>
    </row>
    <row r="358" spans="1:62">
      <c r="A358" s="188">
        <v>42698</v>
      </c>
      <c r="B358" s="4">
        <v>-8</v>
      </c>
      <c r="C358" s="4">
        <v>3.0062500000000001</v>
      </c>
      <c r="D358" s="4">
        <v>106.25825</v>
      </c>
      <c r="G358" s="4">
        <v>0.5</v>
      </c>
      <c r="I358" s="4">
        <v>-0.44674999999999998</v>
      </c>
      <c r="J358" s="4">
        <v>102.920625</v>
      </c>
      <c r="K358" s="4">
        <v>-2.1666666666699999</v>
      </c>
      <c r="M358" s="4">
        <v>-2.895</v>
      </c>
      <c r="O358" s="4">
        <v>105.178625</v>
      </c>
      <c r="P358" s="183"/>
      <c r="Q358" s="183"/>
      <c r="R358" s="183"/>
      <c r="BJ358" s="3"/>
    </row>
    <row r="359" spans="1:62">
      <c r="A359" s="188">
        <v>42699</v>
      </c>
      <c r="B359" s="4">
        <v>-8</v>
      </c>
      <c r="C359" s="4">
        <v>3.32</v>
      </c>
      <c r="D359" s="4">
        <v>106.051</v>
      </c>
      <c r="G359" s="4">
        <v>0.5</v>
      </c>
      <c r="I359" s="4">
        <v>-0.38387500000000002</v>
      </c>
      <c r="J359" s="4">
        <v>99.562375000000003</v>
      </c>
      <c r="K359" s="4">
        <v>-2</v>
      </c>
      <c r="M359" s="4">
        <v>-3.2090000000000001</v>
      </c>
      <c r="O359" s="4">
        <v>105.23275</v>
      </c>
      <c r="P359" s="183"/>
      <c r="Q359" s="183"/>
      <c r="R359" s="183"/>
      <c r="BJ359" s="3"/>
    </row>
    <row r="360" spans="1:62">
      <c r="A360" s="188">
        <v>42700</v>
      </c>
      <c r="B360" s="4">
        <v>-8</v>
      </c>
      <c r="C360" s="4">
        <v>4.0098750000000001</v>
      </c>
      <c r="D360" s="4">
        <v>105.94799999999999</v>
      </c>
      <c r="G360" s="4">
        <v>0.875</v>
      </c>
      <c r="I360" s="4">
        <v>0.43237500000000001</v>
      </c>
      <c r="J360" s="4">
        <v>104.053375</v>
      </c>
      <c r="K360" s="4">
        <v>-0.83333333333299997</v>
      </c>
      <c r="M360" s="4">
        <v>-1.7645</v>
      </c>
      <c r="O360" s="4">
        <v>105.941625</v>
      </c>
      <c r="P360" s="183"/>
      <c r="Q360" s="183"/>
      <c r="R360" s="183"/>
      <c r="BJ360" s="3"/>
    </row>
    <row r="361" spans="1:62">
      <c r="A361" s="188">
        <v>42701</v>
      </c>
      <c r="B361" s="4">
        <v>-8</v>
      </c>
      <c r="C361" s="4">
        <v>2.5670000000000002</v>
      </c>
      <c r="D361" s="4">
        <v>106.36225</v>
      </c>
      <c r="G361" s="4">
        <v>0</v>
      </c>
      <c r="I361" s="4">
        <v>-1.63975</v>
      </c>
      <c r="J361" s="4">
        <v>103.194125</v>
      </c>
      <c r="K361" s="4">
        <v>-3.0833333333300001</v>
      </c>
      <c r="M361" s="4">
        <v>-3.9624999999999999</v>
      </c>
      <c r="O361" s="4">
        <v>105.068625</v>
      </c>
      <c r="P361" s="183"/>
      <c r="Q361" s="183"/>
      <c r="R361" s="183"/>
      <c r="BJ361" s="3"/>
    </row>
    <row r="362" spans="1:62">
      <c r="A362" s="188">
        <v>42702</v>
      </c>
      <c r="B362" s="4">
        <v>-8</v>
      </c>
      <c r="C362" s="4">
        <v>2.1273749999999998</v>
      </c>
      <c r="D362" s="4">
        <v>106.46425000000001</v>
      </c>
      <c r="G362" s="4">
        <v>-0.125</v>
      </c>
      <c r="I362" s="4">
        <v>-1.5141249999999999</v>
      </c>
      <c r="J362" s="4">
        <v>102.00937500000001</v>
      </c>
      <c r="K362" s="4">
        <v>-3</v>
      </c>
      <c r="M362" s="4">
        <v>-4.2134999999999998</v>
      </c>
      <c r="O362" s="4">
        <v>104.848375</v>
      </c>
      <c r="P362" s="183"/>
      <c r="Q362" s="183"/>
      <c r="R362" s="183"/>
      <c r="BJ362" s="3"/>
    </row>
    <row r="363" spans="1:62">
      <c r="A363" s="188">
        <v>42703</v>
      </c>
      <c r="B363" s="4">
        <v>-8</v>
      </c>
      <c r="C363" s="4">
        <v>2.6923750000000002</v>
      </c>
      <c r="D363" s="4">
        <v>106.36150000000001</v>
      </c>
      <c r="G363" s="4">
        <v>-0.3125</v>
      </c>
      <c r="I363" s="4">
        <v>-1.7026250000000001</v>
      </c>
      <c r="J363" s="4">
        <v>99.433000000000007</v>
      </c>
      <c r="K363" s="4">
        <v>-3.0833333333300001</v>
      </c>
      <c r="M363" s="4">
        <v>-4.0252499999999998</v>
      </c>
      <c r="O363" s="4">
        <v>104.79474999999999</v>
      </c>
      <c r="P363" s="183"/>
      <c r="Q363" s="183"/>
      <c r="R363" s="183"/>
      <c r="BJ363" s="3"/>
    </row>
    <row r="364" spans="1:62">
      <c r="A364" s="188">
        <v>42704</v>
      </c>
      <c r="B364" s="4">
        <v>-8</v>
      </c>
      <c r="C364" s="4">
        <v>2.5666250000000002</v>
      </c>
      <c r="D364" s="4">
        <v>106.413625</v>
      </c>
      <c r="G364" s="4">
        <v>0.25</v>
      </c>
      <c r="I364" s="4">
        <v>-1.3258749999999999</v>
      </c>
      <c r="J364" s="4">
        <v>102.39400000000001</v>
      </c>
      <c r="K364" s="4">
        <v>-2.9166666666699999</v>
      </c>
      <c r="M364" s="4">
        <v>-3.9624999999999999</v>
      </c>
      <c r="O364" s="4">
        <v>104.904</v>
      </c>
      <c r="P364" s="183"/>
      <c r="Q364" s="183"/>
      <c r="R364" s="183"/>
      <c r="BJ364" s="3"/>
    </row>
    <row r="365" spans="1:62">
      <c r="A365" s="188">
        <v>42705</v>
      </c>
      <c r="B365" s="4">
        <v>-8</v>
      </c>
      <c r="C365" s="4">
        <v>2.0019999999999998</v>
      </c>
      <c r="D365" s="4">
        <v>106.773625</v>
      </c>
      <c r="G365" s="4">
        <v>-1.125</v>
      </c>
      <c r="I365" s="4">
        <v>-2.45675</v>
      </c>
      <c r="J365" s="4">
        <v>96.247749999999996</v>
      </c>
      <c r="K365" s="4">
        <v>-4</v>
      </c>
      <c r="M365" s="4">
        <v>-5.092625</v>
      </c>
      <c r="O365" s="4">
        <v>104.297875</v>
      </c>
      <c r="P365" s="183"/>
      <c r="Q365" s="183"/>
      <c r="R365" s="183"/>
      <c r="AJ365" s="183"/>
      <c r="AK365" s="183"/>
      <c r="BJ365" s="3"/>
    </row>
    <row r="366" spans="1:62">
      <c r="A366" s="188">
        <v>42706</v>
      </c>
      <c r="B366" s="4">
        <v>-8</v>
      </c>
      <c r="C366" s="4">
        <v>3.32</v>
      </c>
      <c r="D366" s="4">
        <v>106.309625</v>
      </c>
      <c r="G366" s="4">
        <v>0.4375</v>
      </c>
      <c r="I366" s="4">
        <v>-0.50949999999999995</v>
      </c>
      <c r="J366" s="4">
        <v>101.885375</v>
      </c>
      <c r="K366" s="4">
        <v>-2.1666666666699999</v>
      </c>
      <c r="M366" s="4">
        <v>-3.1461250000000001</v>
      </c>
      <c r="O366" s="4">
        <v>105.39687499999999</v>
      </c>
      <c r="P366" s="183"/>
      <c r="Q366" s="183"/>
      <c r="R366" s="183"/>
      <c r="AI366" s="183"/>
      <c r="AJ366" s="183"/>
      <c r="AK366" s="183"/>
      <c r="BJ366" s="3"/>
    </row>
    <row r="367" spans="1:62">
      <c r="A367" s="188">
        <v>42707</v>
      </c>
      <c r="B367" s="4">
        <v>-8</v>
      </c>
      <c r="C367" s="4">
        <v>2.504</v>
      </c>
      <c r="D367" s="4">
        <v>106.567125</v>
      </c>
      <c r="G367" s="4">
        <v>6.25E-2</v>
      </c>
      <c r="I367" s="4">
        <v>-1.514</v>
      </c>
      <c r="J367" s="4">
        <v>102.2825</v>
      </c>
      <c r="K367" s="4">
        <v>-2.6666666666699999</v>
      </c>
      <c r="M367" s="4">
        <v>-4.2765000000000004</v>
      </c>
      <c r="O367" s="4">
        <v>105.287375</v>
      </c>
      <c r="P367" s="183"/>
      <c r="Q367" s="183"/>
      <c r="R367" s="183"/>
      <c r="AI367" s="183"/>
      <c r="AJ367" s="183"/>
      <c r="AK367" s="183"/>
      <c r="BJ367" s="3"/>
    </row>
    <row r="368" spans="1:62">
      <c r="A368" s="188">
        <v>42708</v>
      </c>
      <c r="B368" s="4">
        <v>-8</v>
      </c>
      <c r="C368" s="4">
        <v>0.36962499999999998</v>
      </c>
      <c r="D368" s="4">
        <v>106.978375</v>
      </c>
      <c r="G368" s="4">
        <v>-3.1875</v>
      </c>
      <c r="I368" s="4">
        <v>-5.0962500000000004</v>
      </c>
      <c r="J368" s="4">
        <v>95.028999999999996</v>
      </c>
      <c r="K368" s="4">
        <v>-5.6666666666700003</v>
      </c>
      <c r="M368" s="4">
        <v>-8.1712500000000006</v>
      </c>
      <c r="O368" s="4">
        <v>103.68962500000001</v>
      </c>
      <c r="P368" s="183"/>
      <c r="Q368" s="183"/>
      <c r="R368" s="183"/>
      <c r="AI368" s="183"/>
      <c r="AJ368" s="183"/>
      <c r="AK368" s="183"/>
      <c r="BJ368" s="3"/>
    </row>
    <row r="369" spans="1:62">
      <c r="A369" s="188">
        <v>42709</v>
      </c>
      <c r="B369" s="4">
        <v>-8</v>
      </c>
      <c r="C369" s="4">
        <v>-1.3258749999999999</v>
      </c>
      <c r="D369" s="4">
        <v>105.6875</v>
      </c>
      <c r="G369" s="4">
        <v>-4.75</v>
      </c>
      <c r="I369" s="4">
        <v>-7.4213750000000003</v>
      </c>
      <c r="J369" s="4">
        <v>99.142124999999993</v>
      </c>
      <c r="K369" s="4">
        <v>-7.5833333333299997</v>
      </c>
      <c r="M369" s="4">
        <v>-9.1137499999999996</v>
      </c>
      <c r="O369" s="4">
        <v>103.301</v>
      </c>
      <c r="P369" s="183"/>
      <c r="Q369" s="183"/>
      <c r="R369" s="183"/>
      <c r="AI369" s="183"/>
      <c r="BJ369" s="3"/>
    </row>
    <row r="370" spans="1:62">
      <c r="A370" s="188">
        <v>42710</v>
      </c>
      <c r="B370" s="4">
        <v>-8</v>
      </c>
      <c r="C370" s="4">
        <v>-4.0267499999999998</v>
      </c>
      <c r="D370" s="4">
        <v>104.16862500000001</v>
      </c>
      <c r="G370" s="4">
        <v>-8.3125</v>
      </c>
      <c r="I370" s="4">
        <v>-11.006375</v>
      </c>
      <c r="J370" s="4">
        <v>92.133375000000001</v>
      </c>
      <c r="K370" s="4">
        <v>-11.25</v>
      </c>
      <c r="M370" s="4">
        <v>-12.32025</v>
      </c>
      <c r="O370" s="4">
        <v>101.61750000000001</v>
      </c>
      <c r="P370" s="183"/>
      <c r="Q370" s="183"/>
      <c r="R370" s="183"/>
      <c r="BJ370" s="3"/>
    </row>
    <row r="371" spans="1:62">
      <c r="A371" s="188">
        <v>42711</v>
      </c>
      <c r="B371" s="4">
        <v>-8</v>
      </c>
      <c r="C371" s="4">
        <v>-6.3522499999999997</v>
      </c>
      <c r="D371" s="4">
        <v>104.22125</v>
      </c>
      <c r="G371" s="4">
        <v>-10.375</v>
      </c>
      <c r="I371" s="4">
        <v>-13.838374999999999</v>
      </c>
      <c r="J371" s="4">
        <v>89.084000000000003</v>
      </c>
      <c r="K371" s="4">
        <v>-11.166666666699999</v>
      </c>
      <c r="M371" s="4">
        <v>-12.1945</v>
      </c>
      <c r="O371" s="4">
        <v>100.59650000000001</v>
      </c>
      <c r="P371" s="183"/>
      <c r="Q371" s="183"/>
      <c r="R371" s="183"/>
      <c r="BJ371" s="3"/>
    </row>
    <row r="372" spans="1:62">
      <c r="A372" s="188">
        <v>42712</v>
      </c>
      <c r="B372" s="4">
        <v>-8</v>
      </c>
      <c r="C372" s="4">
        <v>-5.5982500000000002</v>
      </c>
      <c r="D372" s="4">
        <v>103.798</v>
      </c>
      <c r="G372" s="4">
        <v>-9.1875</v>
      </c>
      <c r="I372" s="4">
        <v>-11.7615</v>
      </c>
      <c r="J372" s="4">
        <v>86.150874999999999</v>
      </c>
      <c r="K372" s="4">
        <v>-11.166666666699999</v>
      </c>
      <c r="M372" s="4">
        <v>-12.32025</v>
      </c>
      <c r="O372" s="4">
        <v>98.524000000000001</v>
      </c>
      <c r="P372" s="183"/>
      <c r="Q372" s="183"/>
      <c r="R372" s="183"/>
      <c r="BJ372" s="3"/>
    </row>
    <row r="373" spans="1:62">
      <c r="A373" s="188">
        <v>42713</v>
      </c>
      <c r="B373" s="4">
        <v>-8</v>
      </c>
      <c r="C373" s="4">
        <v>-2.8333750000000002</v>
      </c>
      <c r="D373" s="4">
        <v>104.37837500000001</v>
      </c>
      <c r="G373" s="4">
        <v>-2.375</v>
      </c>
      <c r="I373" s="4">
        <v>-3.58725</v>
      </c>
      <c r="J373" s="4">
        <v>99.682000000000002</v>
      </c>
      <c r="K373" s="4">
        <v>-5.6666666666700003</v>
      </c>
      <c r="M373" s="4">
        <v>-6.4119999999999999</v>
      </c>
      <c r="O373" s="4">
        <v>104.13137500000001</v>
      </c>
      <c r="P373" s="183"/>
      <c r="Q373" s="183"/>
      <c r="R373" s="183"/>
      <c r="AJ373" s="183"/>
      <c r="AK373" s="183"/>
      <c r="BJ373" s="3"/>
    </row>
    <row r="374" spans="1:62">
      <c r="A374" s="188">
        <v>42714</v>
      </c>
      <c r="B374" s="4">
        <v>-8</v>
      </c>
      <c r="C374" s="4">
        <v>-0.19537499999999999</v>
      </c>
      <c r="D374" s="4">
        <v>105.373625</v>
      </c>
      <c r="G374" s="4">
        <v>-2.0625</v>
      </c>
      <c r="I374" s="4">
        <v>-3.5241250000000002</v>
      </c>
      <c r="J374" s="4">
        <v>101.25475</v>
      </c>
      <c r="K374" s="4">
        <v>-4.8333333333299997</v>
      </c>
      <c r="M374" s="4">
        <v>-6.2859999999999996</v>
      </c>
      <c r="O374" s="4">
        <v>104.188125</v>
      </c>
      <c r="P374" s="183"/>
      <c r="Q374" s="183"/>
      <c r="R374" s="183"/>
      <c r="AI374" s="183"/>
      <c r="AJ374" s="183"/>
      <c r="AK374" s="183"/>
      <c r="BJ374" s="3"/>
    </row>
    <row r="375" spans="1:62">
      <c r="A375" s="188">
        <v>42715</v>
      </c>
      <c r="B375" s="4">
        <v>-8</v>
      </c>
      <c r="C375" s="4">
        <v>0.55800000000000005</v>
      </c>
      <c r="D375" s="4">
        <v>106.25725</v>
      </c>
      <c r="G375" s="4">
        <v>-1.5</v>
      </c>
      <c r="I375" s="4">
        <v>-2.9587500000000002</v>
      </c>
      <c r="J375" s="4">
        <v>101.24225</v>
      </c>
      <c r="K375" s="4">
        <v>-4.4166666666700003</v>
      </c>
      <c r="M375" s="4">
        <v>-5.7836249999999998</v>
      </c>
      <c r="O375" s="4">
        <v>104.46325</v>
      </c>
      <c r="P375" s="183"/>
      <c r="Q375" s="183"/>
      <c r="R375" s="183"/>
      <c r="AI375" s="183"/>
      <c r="AJ375" s="183"/>
      <c r="AK375" s="183"/>
      <c r="BJ375" s="3"/>
    </row>
    <row r="376" spans="1:62">
      <c r="A376" s="188">
        <v>42716</v>
      </c>
      <c r="B376" s="4">
        <v>-8</v>
      </c>
      <c r="C376" s="4">
        <v>-1.64</v>
      </c>
      <c r="D376" s="4">
        <v>104.059</v>
      </c>
      <c r="G376" s="4">
        <v>-3.375</v>
      </c>
      <c r="I376" s="4">
        <v>-4.2782499999999999</v>
      </c>
      <c r="J376" s="4">
        <v>99.606624999999994</v>
      </c>
      <c r="K376" s="4">
        <v>-4.5</v>
      </c>
      <c r="M376" s="4">
        <v>-6.2861250000000002</v>
      </c>
      <c r="O376" s="4">
        <v>104.35424999999999</v>
      </c>
      <c r="P376" s="183"/>
      <c r="Q376" s="183"/>
      <c r="R376" s="183"/>
      <c r="AI376" s="183"/>
      <c r="AJ376" s="183"/>
      <c r="AK376" s="183"/>
      <c r="BJ376" s="3"/>
    </row>
    <row r="377" spans="1:62">
      <c r="A377" s="188">
        <v>42717</v>
      </c>
      <c r="B377" s="4">
        <v>-8</v>
      </c>
      <c r="C377" s="4">
        <v>-3.4615</v>
      </c>
      <c r="D377" s="4">
        <v>103.586</v>
      </c>
      <c r="G377" s="4">
        <v>-5.3125</v>
      </c>
      <c r="I377" s="4">
        <v>-8.3653750000000002</v>
      </c>
      <c r="J377" s="4">
        <v>94.598749999999995</v>
      </c>
      <c r="K377" s="4">
        <v>-6.3333333333299997</v>
      </c>
      <c r="M377" s="4">
        <v>-8.9254999999999995</v>
      </c>
      <c r="O377" s="4">
        <v>102.67175</v>
      </c>
      <c r="P377" s="183"/>
      <c r="Q377" s="183"/>
      <c r="R377" s="183"/>
      <c r="AI377" s="183"/>
      <c r="AJ377" s="183"/>
      <c r="AK377" s="183"/>
      <c r="BJ377" s="3"/>
    </row>
    <row r="378" spans="1:62">
      <c r="A378" s="188">
        <v>42718</v>
      </c>
      <c r="B378" s="4">
        <v>-8</v>
      </c>
      <c r="C378" s="4">
        <v>-5.8496249999999996</v>
      </c>
      <c r="D378" s="4">
        <v>103.58625000000001</v>
      </c>
      <c r="G378" s="4">
        <v>-6.875</v>
      </c>
      <c r="I378" s="4">
        <v>-10.754375</v>
      </c>
      <c r="J378" s="4">
        <v>87.940124999999995</v>
      </c>
      <c r="K378" s="4">
        <v>-8.3333333333299997</v>
      </c>
      <c r="M378" s="4">
        <v>-9.3651250000000008</v>
      </c>
      <c r="O378" s="4">
        <v>91.348624999999998</v>
      </c>
      <c r="P378" s="183"/>
      <c r="Q378" s="183"/>
      <c r="R378" s="183"/>
      <c r="AI378" s="183"/>
      <c r="AJ378" s="183"/>
      <c r="AK378" s="183"/>
      <c r="BJ378" s="3"/>
    </row>
    <row r="379" spans="1:62">
      <c r="A379" s="188">
        <v>42719</v>
      </c>
      <c r="B379" s="4">
        <v>-8</v>
      </c>
      <c r="C379" s="4">
        <v>-6.1637500000000003</v>
      </c>
      <c r="D379" s="4">
        <v>103.532875</v>
      </c>
      <c r="G379" s="4">
        <v>-7.6875</v>
      </c>
      <c r="I379" s="4">
        <v>-11.1325</v>
      </c>
      <c r="J379" s="4">
        <v>89.8</v>
      </c>
      <c r="K379" s="4">
        <v>-8.5833333333299997</v>
      </c>
      <c r="M379" s="4">
        <v>-10.056875</v>
      </c>
      <c r="O379" s="4">
        <v>95.820875000000001</v>
      </c>
      <c r="P379" s="183"/>
      <c r="Q379" s="183"/>
      <c r="R379" s="183"/>
      <c r="AI379" s="183"/>
      <c r="AJ379" s="183"/>
      <c r="AK379" s="183"/>
      <c r="BJ379" s="3"/>
    </row>
    <row r="380" spans="1:62">
      <c r="A380" s="188">
        <v>42720</v>
      </c>
      <c r="B380" s="4">
        <v>-8</v>
      </c>
      <c r="C380" s="4">
        <v>-8.49</v>
      </c>
      <c r="D380" s="4">
        <v>103.372125</v>
      </c>
      <c r="G380" s="4">
        <v>-11.8125</v>
      </c>
      <c r="I380" s="4">
        <v>-14.404500000000001</v>
      </c>
      <c r="J380" s="4">
        <v>82.212874999999997</v>
      </c>
      <c r="K380" s="4">
        <v>-13.75</v>
      </c>
      <c r="M380" s="4">
        <v>-14.584</v>
      </c>
      <c r="O380" s="4">
        <v>88.372124999999997</v>
      </c>
      <c r="P380" s="183"/>
      <c r="Q380" s="183"/>
      <c r="R380" s="183"/>
      <c r="AI380" s="183"/>
      <c r="AJ380" s="183"/>
      <c r="AK380" s="183"/>
      <c r="BJ380" s="3"/>
    </row>
    <row r="381" spans="1:62">
      <c r="A381" s="188">
        <v>42721</v>
      </c>
      <c r="B381" s="4">
        <v>-8</v>
      </c>
      <c r="C381" s="4">
        <v>-8.4271250000000002</v>
      </c>
      <c r="D381" s="4">
        <v>103.53175</v>
      </c>
      <c r="G381" s="4">
        <v>-10.625</v>
      </c>
      <c r="I381" s="4">
        <v>-12.452999999999999</v>
      </c>
      <c r="J381" s="4">
        <v>92.688124999999999</v>
      </c>
      <c r="K381" s="4">
        <v>-12.75</v>
      </c>
      <c r="M381" s="4">
        <v>-13.2005</v>
      </c>
      <c r="O381" s="4">
        <v>97.253249999999994</v>
      </c>
      <c r="P381" s="183"/>
      <c r="Q381" s="183"/>
      <c r="R381" s="183"/>
      <c r="AI381" s="183"/>
      <c r="BJ381" s="3"/>
    </row>
    <row r="382" spans="1:62">
      <c r="A382" s="188">
        <v>42722</v>
      </c>
      <c r="B382" s="4">
        <v>-8</v>
      </c>
      <c r="C382" s="4">
        <v>-3.7130000000000001</v>
      </c>
      <c r="D382" s="4">
        <v>103.58625000000001</v>
      </c>
      <c r="G382" s="4">
        <v>-4.6875</v>
      </c>
      <c r="I382" s="4">
        <v>-6.289625</v>
      </c>
      <c r="J382" s="4">
        <v>98.630875000000003</v>
      </c>
      <c r="K382" s="4">
        <v>-9</v>
      </c>
      <c r="M382" s="4">
        <v>-7.2913750000000004</v>
      </c>
      <c r="O382" s="4">
        <v>103.85225</v>
      </c>
      <c r="P382" s="183"/>
      <c r="Q382" s="183"/>
      <c r="R382" s="183"/>
      <c r="BJ382" s="3"/>
    </row>
    <row r="383" spans="1:62">
      <c r="A383" s="188">
        <v>42723</v>
      </c>
      <c r="B383" s="4">
        <v>-8</v>
      </c>
      <c r="C383" s="4">
        <v>0.18124999999999999</v>
      </c>
      <c r="D383" s="4">
        <v>105.11199999999999</v>
      </c>
      <c r="G383" s="4">
        <v>-1.3125</v>
      </c>
      <c r="I383" s="4">
        <v>-2.58175</v>
      </c>
      <c r="J383" s="4">
        <v>100.447</v>
      </c>
      <c r="K383" s="4">
        <v>-4.4166666666700003</v>
      </c>
      <c r="M383" s="4">
        <v>-5.0927499999999997</v>
      </c>
      <c r="O383" s="4">
        <v>104.35275</v>
      </c>
      <c r="P383" s="183"/>
      <c r="Q383" s="183"/>
      <c r="R383" s="183"/>
      <c r="BJ383" s="3"/>
    </row>
    <row r="384" spans="1:62">
      <c r="A384" s="188">
        <v>42724</v>
      </c>
      <c r="B384" s="4">
        <v>-8</v>
      </c>
      <c r="C384" s="4">
        <v>0.74624999999999997</v>
      </c>
      <c r="D384" s="4">
        <v>105.947875</v>
      </c>
      <c r="G384" s="4">
        <v>-0.375</v>
      </c>
      <c r="I384" s="4">
        <v>-1.828125</v>
      </c>
      <c r="J384" s="4">
        <v>97.866500000000002</v>
      </c>
      <c r="K384" s="4">
        <v>-3.25</v>
      </c>
      <c r="M384" s="4">
        <v>-4.7160000000000002</v>
      </c>
      <c r="O384" s="4">
        <v>104.95762499999999</v>
      </c>
      <c r="P384" s="183"/>
      <c r="Q384" s="183"/>
      <c r="R384" s="183"/>
      <c r="BJ384" s="3"/>
    </row>
    <row r="385" spans="1:62">
      <c r="A385" s="188">
        <v>42725</v>
      </c>
      <c r="B385" s="4">
        <v>-8</v>
      </c>
      <c r="C385" s="4">
        <v>0.62075000000000002</v>
      </c>
      <c r="D385" s="4">
        <v>105.948125</v>
      </c>
      <c r="G385" s="4">
        <v>-1.4375</v>
      </c>
      <c r="I385" s="4">
        <v>-1.64</v>
      </c>
      <c r="J385" s="4">
        <v>85.042500000000004</v>
      </c>
      <c r="K385" s="4">
        <v>-4</v>
      </c>
      <c r="M385" s="4">
        <v>-5.3438749999999997</v>
      </c>
      <c r="O385" s="4">
        <v>104.072875</v>
      </c>
      <c r="P385" s="183"/>
      <c r="Q385" s="183"/>
      <c r="R385" s="183"/>
      <c r="AJ385" s="183"/>
      <c r="AK385" s="183"/>
      <c r="BJ385" s="3"/>
    </row>
    <row r="386" spans="1:62">
      <c r="A386" s="188">
        <v>42726</v>
      </c>
      <c r="B386" s="4">
        <v>-8</v>
      </c>
      <c r="C386" s="4">
        <v>0.74624999999999997</v>
      </c>
      <c r="D386" s="4">
        <v>105.94799999999999</v>
      </c>
      <c r="G386" s="4">
        <v>-0.8125</v>
      </c>
      <c r="I386" s="4">
        <v>-1.576875</v>
      </c>
      <c r="J386" s="4">
        <v>84.704125000000005</v>
      </c>
      <c r="K386" s="4">
        <v>-4.1666666666700003</v>
      </c>
      <c r="M386" s="4">
        <v>-5.0927499999999997</v>
      </c>
      <c r="O386" s="4">
        <v>101.663625</v>
      </c>
      <c r="P386" s="183"/>
      <c r="Q386" s="183"/>
      <c r="R386" s="183"/>
      <c r="AI386" s="183"/>
      <c r="AJ386" s="183"/>
      <c r="AK386" s="183"/>
      <c r="BJ386" s="3"/>
    </row>
    <row r="387" spans="1:62">
      <c r="A387" s="188">
        <v>42727</v>
      </c>
      <c r="B387" s="4">
        <v>-8</v>
      </c>
      <c r="C387" s="4">
        <v>0.24399999999999999</v>
      </c>
      <c r="D387" s="4">
        <v>105.895625</v>
      </c>
      <c r="G387" s="4">
        <v>-1.8125</v>
      </c>
      <c r="I387" s="4">
        <v>-3.33575</v>
      </c>
      <c r="J387" s="4">
        <v>101.304125</v>
      </c>
      <c r="K387" s="4">
        <v>-4.1666666666700003</v>
      </c>
      <c r="M387" s="4">
        <v>-5.7836249999999998</v>
      </c>
      <c r="O387" s="4">
        <v>104.68412499999999</v>
      </c>
      <c r="P387" s="183"/>
      <c r="Q387" s="183"/>
      <c r="R387" s="183"/>
      <c r="AI387" s="183"/>
      <c r="AJ387" s="183"/>
      <c r="AK387" s="183"/>
      <c r="BJ387" s="3"/>
    </row>
    <row r="388" spans="1:62">
      <c r="A388" s="188">
        <v>42728</v>
      </c>
      <c r="B388" s="4">
        <v>-8</v>
      </c>
      <c r="C388" s="4">
        <v>-1.3260000000000001</v>
      </c>
      <c r="D388" s="4">
        <v>104.166625</v>
      </c>
      <c r="G388" s="4">
        <v>-4.875</v>
      </c>
      <c r="I388" s="4">
        <v>-8.6163749999999997</v>
      </c>
      <c r="J388" s="4">
        <v>95.788124999999994</v>
      </c>
      <c r="K388" s="4">
        <v>-6.5</v>
      </c>
      <c r="M388" s="4">
        <v>-8.8625000000000007</v>
      </c>
      <c r="O388" s="4">
        <v>103.57899999999999</v>
      </c>
      <c r="P388" s="183"/>
      <c r="Q388" s="183"/>
      <c r="R388" s="183"/>
      <c r="AI388" s="183"/>
      <c r="AJ388" s="183"/>
      <c r="AK388" s="183"/>
      <c r="BJ388" s="3"/>
    </row>
    <row r="389" spans="1:62">
      <c r="A389" s="188">
        <v>42729</v>
      </c>
      <c r="B389" s="4">
        <v>-8</v>
      </c>
      <c r="C389" s="4">
        <v>-5.6606249999999996</v>
      </c>
      <c r="D389" s="4">
        <v>103.26649999999999</v>
      </c>
      <c r="G389" s="4">
        <v>-7.8125</v>
      </c>
      <c r="I389" s="4">
        <v>-9.937125</v>
      </c>
      <c r="J389" s="4">
        <v>93.400499999999994</v>
      </c>
      <c r="K389" s="4">
        <v>-8.75</v>
      </c>
      <c r="M389" s="4">
        <v>-10.245374999999999</v>
      </c>
      <c r="O389" s="4">
        <v>102.29125000000001</v>
      </c>
      <c r="P389" s="183"/>
      <c r="Q389" s="183"/>
      <c r="R389" s="183"/>
      <c r="AI389" s="183"/>
      <c r="BJ389" s="3"/>
    </row>
    <row r="390" spans="1:62">
      <c r="A390" s="188">
        <v>42730</v>
      </c>
      <c r="B390" s="4">
        <v>-8</v>
      </c>
      <c r="C390" s="4">
        <v>-2.70825</v>
      </c>
      <c r="D390" s="4">
        <v>103.5825</v>
      </c>
      <c r="G390" s="4">
        <v>-3.5625</v>
      </c>
      <c r="I390" s="4">
        <v>-4.9067499999999997</v>
      </c>
      <c r="J390" s="4">
        <v>98.749499999999998</v>
      </c>
      <c r="K390" s="4">
        <v>-6.8333333333299997</v>
      </c>
      <c r="M390" s="4">
        <v>-7.92</v>
      </c>
      <c r="O390" s="4">
        <v>103.8</v>
      </c>
      <c r="P390" s="183"/>
      <c r="Q390" s="183"/>
      <c r="R390" s="183"/>
      <c r="BJ390" s="3"/>
    </row>
    <row r="391" spans="1:62">
      <c r="A391" s="188">
        <v>42731</v>
      </c>
      <c r="B391" s="4">
        <v>-8</v>
      </c>
      <c r="C391" s="4">
        <v>0.36975000000000002</v>
      </c>
      <c r="D391" s="4">
        <v>105.68875</v>
      </c>
      <c r="G391" s="4">
        <v>-2.125</v>
      </c>
      <c r="I391" s="4">
        <v>-3.6498750000000002</v>
      </c>
      <c r="J391" s="4">
        <v>100.257375</v>
      </c>
      <c r="K391" s="4">
        <v>-4.75</v>
      </c>
      <c r="M391" s="4">
        <v>-6.663125</v>
      </c>
      <c r="O391" s="4">
        <v>104.1885</v>
      </c>
      <c r="P391" s="183"/>
      <c r="Q391" s="183"/>
      <c r="R391" s="183"/>
      <c r="BJ391" s="3"/>
    </row>
    <row r="392" spans="1:62">
      <c r="A392" s="188">
        <v>42732</v>
      </c>
      <c r="B392" s="4">
        <v>-8</v>
      </c>
      <c r="C392" s="4">
        <v>0.55800000000000005</v>
      </c>
      <c r="D392" s="4">
        <v>105.999875</v>
      </c>
      <c r="G392" s="4">
        <v>-2.8125</v>
      </c>
      <c r="I392" s="4">
        <v>-4.2153749999999999</v>
      </c>
      <c r="J392" s="4">
        <v>99.188874999999996</v>
      </c>
      <c r="K392" s="4">
        <v>-5.5</v>
      </c>
      <c r="M392" s="4">
        <v>-7.1656250000000004</v>
      </c>
      <c r="O392" s="4">
        <v>103.96775</v>
      </c>
      <c r="P392" s="183"/>
      <c r="Q392" s="183"/>
      <c r="R392" s="183"/>
      <c r="BJ392" s="3"/>
    </row>
    <row r="393" spans="1:62">
      <c r="A393" s="188">
        <v>42733</v>
      </c>
      <c r="B393" s="4">
        <v>-8</v>
      </c>
      <c r="C393" s="4">
        <v>0.4325</v>
      </c>
      <c r="D393" s="4">
        <v>106.206</v>
      </c>
      <c r="G393" s="4">
        <v>-1.625</v>
      </c>
      <c r="I393" s="4">
        <v>-3.1472500000000001</v>
      </c>
      <c r="J393" s="4">
        <v>100.178</v>
      </c>
      <c r="K393" s="4">
        <v>-4.5833333333299997</v>
      </c>
      <c r="M393" s="4">
        <v>-5.7836249999999998</v>
      </c>
      <c r="O393" s="4">
        <v>104.683875</v>
      </c>
      <c r="P393" s="183"/>
      <c r="Q393" s="183"/>
      <c r="R393" s="183"/>
      <c r="BJ393" s="3"/>
    </row>
    <row r="394" spans="1:62">
      <c r="A394" s="188">
        <v>42734</v>
      </c>
      <c r="B394" s="4">
        <v>-8</v>
      </c>
      <c r="C394" s="4">
        <v>0.24412500000000001</v>
      </c>
      <c r="D394" s="4">
        <v>106.25875000000001</v>
      </c>
      <c r="G394" s="4">
        <v>-3</v>
      </c>
      <c r="I394" s="4">
        <v>-4.8440000000000003</v>
      </c>
      <c r="J394" s="4">
        <v>96.831999999999994</v>
      </c>
      <c r="K394" s="4">
        <v>-4.5</v>
      </c>
      <c r="M394" s="4">
        <v>-7.102875</v>
      </c>
      <c r="O394" s="4">
        <v>104.02225</v>
      </c>
      <c r="P394" s="183"/>
      <c r="Q394" s="183"/>
      <c r="R394" s="183"/>
      <c r="BJ394" s="3"/>
    </row>
    <row r="395" spans="1:62">
      <c r="A395" s="188">
        <v>42735</v>
      </c>
      <c r="B395" s="4">
        <v>-8</v>
      </c>
      <c r="C395" s="4">
        <v>-1.9537500000000001</v>
      </c>
      <c r="D395" s="4">
        <v>103.31874999999999</v>
      </c>
      <c r="G395" s="4">
        <v>-5.1875</v>
      </c>
      <c r="I395" s="4">
        <v>-6.4781250000000004</v>
      </c>
      <c r="J395" s="4">
        <v>99.22175</v>
      </c>
      <c r="K395" s="4">
        <v>-6.5833333333299997</v>
      </c>
      <c r="M395" s="4">
        <v>-9.2393750000000008</v>
      </c>
      <c r="O395" s="4">
        <v>103.24550000000001</v>
      </c>
      <c r="P395" s="183"/>
      <c r="Q395" s="183"/>
      <c r="R395" s="183"/>
      <c r="BJ395" s="3"/>
    </row>
    <row r="396" spans="1:62">
      <c r="A396" s="188">
        <v>42736</v>
      </c>
      <c r="B396" s="4">
        <v>-8</v>
      </c>
      <c r="C396" s="4">
        <v>-3.0216249999999998</v>
      </c>
      <c r="D396" s="4">
        <v>103.31925</v>
      </c>
      <c r="G396" s="4">
        <v>-6.5</v>
      </c>
      <c r="I396" s="4">
        <v>-8.4271250000000002</v>
      </c>
      <c r="J396" s="4">
        <v>91.710125000000005</v>
      </c>
      <c r="K396" s="4">
        <v>-8.1666666666700003</v>
      </c>
      <c r="M396" s="4">
        <v>-11.56575</v>
      </c>
      <c r="O396" s="4">
        <v>102.126</v>
      </c>
      <c r="P396" s="183"/>
      <c r="Q396" s="183"/>
      <c r="R396" s="183"/>
      <c r="BJ396" s="3"/>
    </row>
    <row r="397" spans="1:62">
      <c r="A397" s="188">
        <v>42737</v>
      </c>
      <c r="B397" s="4">
        <v>-8</v>
      </c>
      <c r="C397" s="4">
        <v>-7.421125</v>
      </c>
      <c r="D397" s="4">
        <v>103.79875</v>
      </c>
      <c r="G397" s="4">
        <v>-11.5</v>
      </c>
      <c r="I397" s="4">
        <v>-12.327</v>
      </c>
      <c r="J397" s="4">
        <v>82.212874999999997</v>
      </c>
      <c r="K397" s="4">
        <v>-12.25</v>
      </c>
      <c r="M397" s="4">
        <v>-15.716125</v>
      </c>
      <c r="O397" s="4">
        <v>99.794499999999999</v>
      </c>
      <c r="P397" s="183"/>
      <c r="Q397" s="183"/>
      <c r="R397" s="183"/>
      <c r="AJ397" s="183"/>
      <c r="AK397" s="183"/>
      <c r="BJ397" s="3"/>
    </row>
    <row r="398" spans="1:62">
      <c r="A398" s="188">
        <v>42738</v>
      </c>
      <c r="B398" s="4">
        <v>-8</v>
      </c>
      <c r="C398" s="4">
        <v>-9.0558750000000003</v>
      </c>
      <c r="D398" s="4">
        <v>103.69199999999999</v>
      </c>
      <c r="G398" s="4">
        <v>-13</v>
      </c>
      <c r="I398" s="4">
        <v>-13.019125000000001</v>
      </c>
      <c r="J398" s="4">
        <v>70.141374999999996</v>
      </c>
      <c r="K398" s="4">
        <v>-14.333333333300001</v>
      </c>
      <c r="M398" s="4">
        <v>-16.660125000000001</v>
      </c>
      <c r="O398" s="4">
        <v>95.871375</v>
      </c>
      <c r="P398" s="183"/>
      <c r="Q398" s="183"/>
      <c r="R398" s="183"/>
      <c r="AI398" s="183"/>
      <c r="AJ398" s="183"/>
      <c r="AK398" s="183"/>
      <c r="BJ398" s="3"/>
    </row>
    <row r="399" spans="1:62">
      <c r="A399" s="188">
        <v>42739</v>
      </c>
      <c r="B399" s="4">
        <v>-8</v>
      </c>
      <c r="C399" s="4">
        <v>-8.3013750000000002</v>
      </c>
      <c r="D399" s="4">
        <v>103.639375</v>
      </c>
      <c r="G399" s="4">
        <v>-9</v>
      </c>
      <c r="I399" s="4">
        <v>-9.6226249999999993</v>
      </c>
      <c r="J399" s="4">
        <v>54.008249999999997</v>
      </c>
      <c r="K399" s="4">
        <v>-12.416666666699999</v>
      </c>
      <c r="M399" s="4">
        <v>-11.565875</v>
      </c>
      <c r="O399" s="4">
        <v>82.994375000000005</v>
      </c>
      <c r="P399" s="183"/>
      <c r="Q399" s="183"/>
      <c r="R399" s="183"/>
      <c r="AI399" s="183"/>
      <c r="AJ399" s="183"/>
      <c r="AK399" s="183"/>
      <c r="BJ399" s="3"/>
    </row>
    <row r="400" spans="1:62">
      <c r="A400" s="188">
        <v>42740</v>
      </c>
      <c r="B400" s="4">
        <v>-8</v>
      </c>
      <c r="C400" s="4">
        <v>-8.8043750000000003</v>
      </c>
      <c r="D400" s="4">
        <v>103.26600000000001</v>
      </c>
      <c r="G400" s="4">
        <v>-7.4375</v>
      </c>
      <c r="I400" s="4">
        <v>-8.1133749999999996</v>
      </c>
      <c r="J400" s="4">
        <v>59.064875000000001</v>
      </c>
      <c r="K400" s="4">
        <v>-10.166666666699999</v>
      </c>
      <c r="M400" s="4">
        <v>-9.7424999999999997</v>
      </c>
      <c r="O400" s="4">
        <v>80.665499999999994</v>
      </c>
      <c r="P400" s="183"/>
      <c r="Q400" s="183"/>
      <c r="R400" s="183"/>
      <c r="AI400" s="183"/>
      <c r="AJ400" s="183"/>
      <c r="AK400" s="183"/>
      <c r="BJ400" s="3"/>
    </row>
    <row r="401" spans="1:62">
      <c r="A401" s="188">
        <v>42741</v>
      </c>
      <c r="B401" s="4">
        <v>-8</v>
      </c>
      <c r="C401" s="4">
        <v>-5.2208750000000004</v>
      </c>
      <c r="D401" s="4">
        <v>102.78387499999999</v>
      </c>
      <c r="G401" s="4">
        <v>-6.125</v>
      </c>
      <c r="I401" s="4">
        <v>-5.5983749999999999</v>
      </c>
      <c r="J401" s="4">
        <v>64.58175</v>
      </c>
      <c r="K401" s="4">
        <v>-9.6666666666700003</v>
      </c>
      <c r="M401" s="4">
        <v>-9.9309999999999992</v>
      </c>
      <c r="O401" s="4">
        <v>92.792375000000007</v>
      </c>
      <c r="P401" s="183"/>
      <c r="Q401" s="183"/>
      <c r="R401" s="183"/>
      <c r="AI401" s="183"/>
      <c r="BJ401" s="3"/>
    </row>
    <row r="402" spans="1:62">
      <c r="A402" s="188">
        <v>42742</v>
      </c>
      <c r="B402" s="4">
        <v>-8</v>
      </c>
      <c r="C402" s="4">
        <v>-5.5354999999999999</v>
      </c>
      <c r="D402" s="4">
        <v>102.73</v>
      </c>
      <c r="G402" s="4">
        <v>-4.6875</v>
      </c>
      <c r="I402" s="4">
        <v>-4.53</v>
      </c>
      <c r="J402" s="4">
        <v>59.903374999999997</v>
      </c>
      <c r="K402" s="4">
        <v>-8.1666666666700003</v>
      </c>
      <c r="M402" s="4">
        <v>-7.7312500000000002</v>
      </c>
      <c r="O402" s="4">
        <v>88.835125000000005</v>
      </c>
      <c r="P402" s="183"/>
      <c r="Q402" s="183"/>
      <c r="R402" s="183"/>
      <c r="BJ402" s="3"/>
    </row>
    <row r="403" spans="1:62">
      <c r="A403" s="188">
        <v>42743</v>
      </c>
      <c r="B403" s="4">
        <v>-8</v>
      </c>
      <c r="C403" s="4">
        <v>-0.63512500000000005</v>
      </c>
      <c r="D403" s="4">
        <v>103.46662499999999</v>
      </c>
      <c r="G403" s="4">
        <v>-0.1875</v>
      </c>
      <c r="I403" s="4">
        <v>5.5625000000000001E-2</v>
      </c>
      <c r="J403" s="4">
        <v>92.948499999999996</v>
      </c>
      <c r="K403" s="4">
        <v>-2.0833333333300001</v>
      </c>
      <c r="M403" s="4">
        <v>-2.3927499999999999</v>
      </c>
      <c r="O403" s="4">
        <v>103.67700000000001</v>
      </c>
      <c r="P403" s="183"/>
      <c r="Q403" s="183"/>
      <c r="R403" s="183"/>
      <c r="BJ403" s="3"/>
    </row>
    <row r="404" spans="1:62">
      <c r="A404" s="188">
        <v>42744</v>
      </c>
      <c r="B404" s="4">
        <v>-8</v>
      </c>
      <c r="C404" s="4">
        <v>0.24412500000000001</v>
      </c>
      <c r="D404" s="4">
        <v>105.636625</v>
      </c>
      <c r="G404" s="4">
        <v>-2</v>
      </c>
      <c r="I404" s="4">
        <v>-3.524375</v>
      </c>
      <c r="J404" s="4">
        <v>98.682374999999993</v>
      </c>
      <c r="K404" s="4">
        <v>-4.0833333333299997</v>
      </c>
      <c r="M404" s="4">
        <v>-6.4119999999999999</v>
      </c>
      <c r="O404" s="4">
        <v>104.021625</v>
      </c>
      <c r="P404" s="183"/>
      <c r="Q404" s="183"/>
      <c r="R404" s="183"/>
      <c r="BJ404" s="3"/>
    </row>
    <row r="405" spans="1:62">
      <c r="A405" s="188">
        <v>42745</v>
      </c>
      <c r="B405" s="4">
        <v>-8</v>
      </c>
      <c r="C405" s="4">
        <v>-4.4041249999999996</v>
      </c>
      <c r="D405" s="4">
        <v>99.628500000000003</v>
      </c>
      <c r="G405" s="4">
        <v>-8.5</v>
      </c>
      <c r="I405" s="4">
        <v>-9.8112499999999994</v>
      </c>
      <c r="J405" s="4">
        <v>84.561750000000004</v>
      </c>
      <c r="K405" s="4">
        <v>-8.5</v>
      </c>
      <c r="M405" s="4">
        <v>-11.880375000000001</v>
      </c>
      <c r="O405" s="4">
        <v>99.430499999999995</v>
      </c>
      <c r="P405" s="183"/>
      <c r="Q405" s="183"/>
      <c r="R405" s="183"/>
      <c r="BJ405" s="3"/>
    </row>
    <row r="406" spans="1:62">
      <c r="A406" s="188">
        <v>42746</v>
      </c>
      <c r="B406" s="4">
        <v>-8</v>
      </c>
      <c r="C406" s="4">
        <v>-7.60975</v>
      </c>
      <c r="D406" s="4">
        <v>97.681749999999994</v>
      </c>
      <c r="G406" s="4">
        <v>-10.5625</v>
      </c>
      <c r="I406" s="4">
        <v>-10.756</v>
      </c>
      <c r="J406" s="4">
        <v>63.72025</v>
      </c>
      <c r="K406" s="4">
        <v>-13.333333333300001</v>
      </c>
      <c r="M406" s="4">
        <v>-12.068875</v>
      </c>
      <c r="O406" s="4">
        <v>78.205375000000004</v>
      </c>
      <c r="P406" s="183"/>
      <c r="Q406" s="183"/>
      <c r="R406" s="183"/>
      <c r="BJ406" s="3"/>
    </row>
    <row r="407" spans="1:62">
      <c r="A407" s="188">
        <v>42747</v>
      </c>
      <c r="B407" s="4">
        <v>-8</v>
      </c>
      <c r="C407" s="4">
        <v>-9.2445000000000004</v>
      </c>
      <c r="D407" s="4">
        <v>101.316625</v>
      </c>
      <c r="G407" s="4">
        <v>-8.1875</v>
      </c>
      <c r="I407" s="4">
        <v>-8.6798749999999991</v>
      </c>
      <c r="J407" s="4">
        <v>65.100624999999994</v>
      </c>
      <c r="K407" s="4">
        <v>-10.083333333300001</v>
      </c>
      <c r="M407" s="4">
        <v>-9.3651250000000008</v>
      </c>
      <c r="O407" s="4">
        <v>79.171250000000001</v>
      </c>
      <c r="P407" s="183"/>
      <c r="Q407" s="183"/>
      <c r="R407" s="183"/>
      <c r="BJ407" s="3"/>
    </row>
    <row r="408" spans="1:62">
      <c r="A408" s="188">
        <v>42748</v>
      </c>
      <c r="B408" s="4">
        <v>-8</v>
      </c>
      <c r="C408" s="4">
        <v>-5.975625</v>
      </c>
      <c r="D408" s="4">
        <v>100.8865</v>
      </c>
      <c r="G408" s="4">
        <v>-4.625</v>
      </c>
      <c r="I408" s="4">
        <v>-4.2164999999999999</v>
      </c>
      <c r="J408" s="4">
        <v>52.303750000000001</v>
      </c>
      <c r="K408" s="4">
        <v>-7.75</v>
      </c>
      <c r="M408" s="4">
        <v>-5.7838750000000001</v>
      </c>
      <c r="O408" s="4">
        <v>63.514249999999997</v>
      </c>
      <c r="P408" s="183"/>
      <c r="Q408" s="183"/>
      <c r="R408" s="183"/>
      <c r="BJ408" s="3"/>
    </row>
    <row r="409" spans="1:62">
      <c r="A409" s="188">
        <v>42749</v>
      </c>
      <c r="B409" s="4">
        <v>-8</v>
      </c>
      <c r="C409" s="4">
        <v>-4.5294999999999996</v>
      </c>
      <c r="D409" s="4">
        <v>101.15837500000001</v>
      </c>
      <c r="G409" s="4">
        <v>-0.5625</v>
      </c>
      <c r="I409" s="4">
        <v>0.49287500000000001</v>
      </c>
      <c r="J409" s="4">
        <v>40.788874999999997</v>
      </c>
      <c r="K409" s="4">
        <v>-4</v>
      </c>
      <c r="M409" s="4">
        <v>-1.8903749999999999</v>
      </c>
      <c r="O409" s="4">
        <v>53.097749999999998</v>
      </c>
      <c r="P409" s="183"/>
      <c r="Q409" s="183"/>
      <c r="R409" s="183"/>
      <c r="AJ409" s="183"/>
      <c r="AK409" s="183"/>
      <c r="BJ409" s="3"/>
    </row>
    <row r="410" spans="1:62">
      <c r="A410" s="188">
        <v>42750</v>
      </c>
      <c r="B410" s="4">
        <v>-8</v>
      </c>
      <c r="C410" s="4">
        <v>-1.577</v>
      </c>
      <c r="D410" s="4">
        <v>101.2705</v>
      </c>
      <c r="G410" s="4">
        <v>0.1875</v>
      </c>
      <c r="I410" s="4">
        <v>-7.3749999999999996E-3</v>
      </c>
      <c r="J410" s="4">
        <v>66.237750000000005</v>
      </c>
      <c r="K410" s="4">
        <v>-2.8333333333300001</v>
      </c>
      <c r="M410" s="4">
        <v>-1.1371249999999999</v>
      </c>
      <c r="O410" s="4">
        <v>74.028750000000002</v>
      </c>
      <c r="P410" s="183"/>
      <c r="Q410" s="183"/>
      <c r="R410" s="183"/>
      <c r="AI410" s="183"/>
      <c r="AJ410" s="183"/>
      <c r="AK410" s="183"/>
      <c r="BJ410" s="3"/>
    </row>
    <row r="411" spans="1:62">
      <c r="A411" s="188">
        <v>42751</v>
      </c>
      <c r="C411" s="4">
        <v>0.62050000000000005</v>
      </c>
      <c r="D411" s="4">
        <v>102.504375</v>
      </c>
      <c r="G411" s="4">
        <v>3.4375</v>
      </c>
      <c r="I411" s="4">
        <v>3.1311249999999999</v>
      </c>
      <c r="J411" s="4">
        <v>74.668999999999997</v>
      </c>
      <c r="K411" s="4">
        <v>-0.33333333333300003</v>
      </c>
      <c r="M411" s="4">
        <v>-0.19575000000000001</v>
      </c>
      <c r="O411" s="4">
        <v>87.020875000000004</v>
      </c>
      <c r="Q411" s="183"/>
      <c r="R411" s="183"/>
      <c r="S411" s="183"/>
      <c r="AJ411" s="183"/>
      <c r="AK411" s="183"/>
      <c r="AL411" s="183"/>
    </row>
    <row r="412" spans="1:62">
      <c r="A412" s="188">
        <v>42752</v>
      </c>
      <c r="C412" s="4">
        <v>2.31575</v>
      </c>
      <c r="D412" s="4">
        <v>105.219875</v>
      </c>
      <c r="G412" s="4">
        <v>3.4375</v>
      </c>
      <c r="I412" s="4">
        <v>2.252875</v>
      </c>
      <c r="J412" s="4">
        <v>101.97525</v>
      </c>
      <c r="K412" s="4">
        <v>0.75</v>
      </c>
      <c r="M412" s="4">
        <v>-7.4999999999999997E-3</v>
      </c>
      <c r="O412" s="4">
        <v>105.55825</v>
      </c>
      <c r="Q412" s="183"/>
      <c r="R412" s="183"/>
      <c r="S412" s="183"/>
      <c r="AJ412" s="183"/>
      <c r="AK412" s="183"/>
      <c r="AL412" s="183"/>
    </row>
    <row r="413" spans="1:62">
      <c r="A413" s="188">
        <v>42753</v>
      </c>
      <c r="C413" s="4">
        <v>2.62975</v>
      </c>
      <c r="D413" s="4">
        <v>105.6365</v>
      </c>
      <c r="G413" s="4">
        <v>2.5625</v>
      </c>
      <c r="I413" s="4">
        <v>1.31125</v>
      </c>
      <c r="J413" s="4">
        <v>105.45637499999999</v>
      </c>
      <c r="K413" s="4">
        <v>0.166666666667</v>
      </c>
      <c r="M413" s="4">
        <v>-0.69774999999999998</v>
      </c>
      <c r="O413" s="4">
        <v>106.59037499999999</v>
      </c>
      <c r="Q413" s="183"/>
      <c r="R413" s="183"/>
      <c r="S413" s="183"/>
      <c r="AJ413" s="183"/>
      <c r="AK413" s="183"/>
      <c r="AL413" s="183"/>
    </row>
    <row r="414" spans="1:62">
      <c r="A414" s="188">
        <v>42754</v>
      </c>
      <c r="C414" s="4">
        <v>2.0019999999999998</v>
      </c>
      <c r="D414" s="4">
        <v>106.20699999999999</v>
      </c>
      <c r="G414" s="4">
        <v>0.5</v>
      </c>
      <c r="I414" s="4">
        <v>-0.63512500000000005</v>
      </c>
      <c r="J414" s="4">
        <v>106.233875</v>
      </c>
      <c r="K414" s="4">
        <v>-2.1666666666699999</v>
      </c>
      <c r="M414" s="4">
        <v>-3.2090000000000001</v>
      </c>
      <c r="O414" s="4">
        <v>105.614875</v>
      </c>
      <c r="Q414" s="183"/>
      <c r="R414" s="183"/>
      <c r="S414" s="183"/>
      <c r="AJ414" s="183"/>
      <c r="AK414" s="183"/>
      <c r="AL414" s="183"/>
    </row>
    <row r="415" spans="1:62">
      <c r="A415" s="188">
        <v>42755</v>
      </c>
      <c r="C415" s="4">
        <v>1.5623750000000001</v>
      </c>
      <c r="D415" s="4">
        <v>106.102875</v>
      </c>
      <c r="G415" s="4">
        <v>-0.125</v>
      </c>
      <c r="I415" s="4">
        <v>-2.3307500000000001</v>
      </c>
      <c r="J415" s="4">
        <v>104.44025000000001</v>
      </c>
      <c r="K415" s="4">
        <v>-2.8333333333300001</v>
      </c>
      <c r="M415" s="4">
        <v>-4.2137500000000001</v>
      </c>
      <c r="O415" s="4">
        <v>105.17749999999999</v>
      </c>
      <c r="Q415" s="183"/>
      <c r="R415" s="183"/>
      <c r="S415" s="183"/>
      <c r="AJ415" s="183"/>
      <c r="AK415" s="183"/>
      <c r="AL415" s="183"/>
    </row>
    <row r="416" spans="1:62">
      <c r="A416" s="188">
        <v>42756</v>
      </c>
      <c r="C416" s="4">
        <v>1.687875</v>
      </c>
      <c r="D416" s="4">
        <v>106.20650000000001</v>
      </c>
      <c r="G416" s="4">
        <v>0.125</v>
      </c>
      <c r="I416" s="4">
        <v>-1.0117499999999999</v>
      </c>
      <c r="J416" s="4">
        <v>99.260874999999999</v>
      </c>
      <c r="K416" s="4">
        <v>-2.4166666666699999</v>
      </c>
      <c r="M416" s="4">
        <v>-3.5858750000000001</v>
      </c>
      <c r="O416" s="4">
        <v>105.34</v>
      </c>
      <c r="Q416" s="183"/>
      <c r="R416" s="183"/>
      <c r="S416" s="183"/>
      <c r="AJ416" s="183"/>
      <c r="AK416" s="183"/>
      <c r="AL416" s="183"/>
    </row>
    <row r="417" spans="1:38">
      <c r="A417" s="188">
        <v>42757</v>
      </c>
      <c r="C417" s="4">
        <v>1.1228750000000001</v>
      </c>
      <c r="D417" s="4">
        <v>106.36150000000001</v>
      </c>
      <c r="G417" s="4">
        <v>-0.4375</v>
      </c>
      <c r="I417" s="4">
        <v>-2.0794999999999999</v>
      </c>
      <c r="J417" s="4">
        <v>97.479875000000007</v>
      </c>
      <c r="K417" s="4">
        <v>-3.3333333333300001</v>
      </c>
      <c r="M417" s="4">
        <v>-4.5274999999999999</v>
      </c>
      <c r="O417" s="4">
        <v>104.518</v>
      </c>
      <c r="Q417" s="183"/>
      <c r="R417" s="183"/>
      <c r="S417" s="183"/>
      <c r="AJ417" s="183"/>
    </row>
    <row r="418" spans="1:38">
      <c r="A418" s="188">
        <v>42758</v>
      </c>
      <c r="C418" s="4">
        <v>-0.19550000000000001</v>
      </c>
      <c r="D418" s="4">
        <v>106.8245</v>
      </c>
      <c r="G418" s="4">
        <v>-2.3125</v>
      </c>
      <c r="I418" s="4">
        <v>-5.9761249999999997</v>
      </c>
      <c r="J418" s="4">
        <v>93.789375000000007</v>
      </c>
      <c r="K418" s="4">
        <v>-3.6666666666699999</v>
      </c>
      <c r="M418" s="4">
        <v>-5.2184999999999997</v>
      </c>
      <c r="O418" s="4">
        <v>101.83437499999999</v>
      </c>
      <c r="Q418" s="183"/>
      <c r="R418" s="183"/>
      <c r="S418" s="183"/>
    </row>
    <row r="419" spans="1:38">
      <c r="A419" s="188">
        <v>42759</v>
      </c>
      <c r="C419" s="4">
        <v>-0.38387500000000002</v>
      </c>
      <c r="D419" s="4">
        <v>103.613625</v>
      </c>
      <c r="G419" s="4">
        <v>-2.125</v>
      </c>
      <c r="I419" s="4">
        <v>-4.7813749999999997</v>
      </c>
      <c r="J419" s="4">
        <v>99.134375000000006</v>
      </c>
      <c r="K419" s="4">
        <v>-4.75</v>
      </c>
      <c r="M419" s="4">
        <v>-5.5955000000000004</v>
      </c>
      <c r="O419" s="4">
        <v>103.68837499999999</v>
      </c>
      <c r="Q419" s="183"/>
      <c r="R419" s="183"/>
      <c r="S419" s="183"/>
    </row>
    <row r="420" spans="1:38">
      <c r="A420" s="188">
        <v>42760</v>
      </c>
      <c r="C420" s="4">
        <v>0.43212499999999998</v>
      </c>
      <c r="D420" s="4">
        <v>100.60850000000001</v>
      </c>
      <c r="G420" s="4">
        <v>-2.0625</v>
      </c>
      <c r="I420" s="4">
        <v>-3.5871249999999999</v>
      </c>
      <c r="J420" s="4">
        <v>96.107624999999999</v>
      </c>
      <c r="K420" s="4">
        <v>-5.0833333333299997</v>
      </c>
      <c r="M420" s="4">
        <v>-6.3491249999999999</v>
      </c>
      <c r="O420" s="4">
        <v>104.132375</v>
      </c>
      <c r="Q420" s="183"/>
      <c r="R420" s="183"/>
      <c r="S420" s="183"/>
    </row>
    <row r="421" spans="1:38">
      <c r="A421" s="188">
        <v>42761</v>
      </c>
      <c r="C421" s="4">
        <v>0.74624999999999997</v>
      </c>
      <c r="D421" s="4">
        <v>101.048</v>
      </c>
      <c r="G421" s="4">
        <v>-1.4375</v>
      </c>
      <c r="I421" s="4">
        <v>-1.9541249999999999</v>
      </c>
      <c r="J421" s="4">
        <v>94.513874999999999</v>
      </c>
      <c r="K421" s="4">
        <v>-3.25</v>
      </c>
      <c r="M421" s="4">
        <v>-5.0927499999999997</v>
      </c>
      <c r="O421" s="4">
        <v>103.37975</v>
      </c>
      <c r="Q421" s="183"/>
      <c r="R421" s="183"/>
      <c r="S421" s="183"/>
      <c r="AK421" s="183"/>
      <c r="AL421" s="183"/>
    </row>
    <row r="422" spans="1:38">
      <c r="A422" s="188">
        <v>42762</v>
      </c>
      <c r="C422" s="4">
        <v>0.49487500000000001</v>
      </c>
      <c r="D422" s="4">
        <v>100.06287500000001</v>
      </c>
      <c r="G422" s="4">
        <v>-0.5625</v>
      </c>
      <c r="I422" s="4">
        <v>-0.88712500000000005</v>
      </c>
      <c r="J422" s="4">
        <v>81.475624999999994</v>
      </c>
      <c r="K422" s="4">
        <v>-2.3333333333300001</v>
      </c>
      <c r="M422" s="4">
        <v>-3.9623750000000002</v>
      </c>
      <c r="O422" s="4">
        <v>98.353125000000006</v>
      </c>
      <c r="Q422" s="183"/>
      <c r="R422" s="183"/>
      <c r="S422" s="183"/>
      <c r="AJ422" s="183"/>
      <c r="AK422" s="183"/>
      <c r="AL422" s="183"/>
    </row>
    <row r="423" spans="1:38">
      <c r="A423" s="188">
        <v>42763</v>
      </c>
      <c r="C423" s="4">
        <v>0.87175000000000002</v>
      </c>
      <c r="D423" s="4">
        <v>99.785499999999999</v>
      </c>
      <c r="G423" s="4">
        <v>3.6875</v>
      </c>
      <c r="I423" s="4">
        <v>4.3861249999999998</v>
      </c>
      <c r="J423" s="4">
        <v>37.097749999999998</v>
      </c>
      <c r="K423" s="4">
        <v>1.5833333333299999</v>
      </c>
      <c r="M423" s="4">
        <v>-0.88612500000000005</v>
      </c>
      <c r="O423" s="4">
        <v>66.901624999999996</v>
      </c>
      <c r="Q423" s="183"/>
      <c r="R423" s="183"/>
      <c r="S423" s="183"/>
      <c r="AJ423" s="183"/>
      <c r="AK423" s="183"/>
      <c r="AL423" s="183"/>
    </row>
    <row r="424" spans="1:38">
      <c r="A424" s="188">
        <v>42764</v>
      </c>
      <c r="C424" s="4">
        <v>1.3109999999999999</v>
      </c>
      <c r="D424" s="4">
        <v>101.56100000000001</v>
      </c>
      <c r="G424" s="4">
        <v>3.4375</v>
      </c>
      <c r="I424" s="4">
        <v>2.2518750000000001</v>
      </c>
      <c r="J424" s="4">
        <v>69.810874999999996</v>
      </c>
      <c r="K424" s="4">
        <v>0.166666666667</v>
      </c>
      <c r="M424" s="4">
        <v>-1.2001250000000001</v>
      </c>
      <c r="O424" s="4">
        <v>82.714749999999995</v>
      </c>
      <c r="Q424" s="183"/>
      <c r="R424" s="183"/>
      <c r="S424" s="183"/>
      <c r="AJ424" s="183"/>
      <c r="AK424" s="183"/>
      <c r="AL424" s="183"/>
    </row>
    <row r="425" spans="1:38">
      <c r="A425" s="188">
        <v>42765</v>
      </c>
      <c r="C425" s="4">
        <v>0.93462500000000004</v>
      </c>
      <c r="D425" s="4">
        <v>105.27200000000001</v>
      </c>
      <c r="G425" s="4">
        <v>-1</v>
      </c>
      <c r="I425" s="4">
        <v>-3.399</v>
      </c>
      <c r="J425" s="4">
        <v>95.655249999999995</v>
      </c>
      <c r="K425" s="4">
        <v>-4.3333333333299997</v>
      </c>
      <c r="M425" s="4">
        <v>-5.9721250000000001</v>
      </c>
      <c r="O425" s="4">
        <v>102.078125</v>
      </c>
      <c r="Q425" s="183"/>
      <c r="R425" s="183"/>
      <c r="S425" s="183"/>
      <c r="AJ425" s="183"/>
      <c r="AK425" s="183"/>
      <c r="AL425" s="183"/>
    </row>
    <row r="426" spans="1:38">
      <c r="A426" s="188">
        <v>42766</v>
      </c>
      <c r="C426" s="4">
        <v>-1.891</v>
      </c>
      <c r="D426" s="4">
        <v>96.011125000000007</v>
      </c>
      <c r="G426" s="4">
        <v>-5.625</v>
      </c>
      <c r="I426" s="4">
        <v>-7.8616250000000001</v>
      </c>
      <c r="J426" s="4">
        <v>69.194749999999999</v>
      </c>
      <c r="K426" s="4">
        <v>-9.4166666666700003</v>
      </c>
      <c r="M426" s="4">
        <v>-10.999874999999999</v>
      </c>
      <c r="O426" s="4">
        <v>76.847750000000005</v>
      </c>
      <c r="Q426" s="183"/>
      <c r="R426" s="183"/>
      <c r="S426" s="183"/>
      <c r="AJ426" s="183"/>
      <c r="AK426" s="183"/>
      <c r="AL426" s="183"/>
    </row>
    <row r="427" spans="1:38">
      <c r="A427" s="188">
        <v>42767</v>
      </c>
      <c r="C427" s="4">
        <v>-2.2683749999999998</v>
      </c>
      <c r="D427" s="4">
        <v>72.153750000000002</v>
      </c>
      <c r="G427" s="4">
        <v>-6.125</v>
      </c>
      <c r="I427" s="4">
        <v>-8.1131250000000001</v>
      </c>
      <c r="J427" s="4">
        <v>54.034624999999998</v>
      </c>
      <c r="K427" s="4">
        <v>-9.3333333333299997</v>
      </c>
      <c r="M427" s="4">
        <v>-11.44</v>
      </c>
      <c r="O427" s="4">
        <v>62.170250000000003</v>
      </c>
      <c r="Q427" s="183"/>
      <c r="R427" s="183"/>
      <c r="S427" s="183"/>
      <c r="AJ427" s="183"/>
      <c r="AK427" s="183"/>
      <c r="AL427" s="183"/>
    </row>
    <row r="428" spans="1:38">
      <c r="A428" s="188">
        <v>42768</v>
      </c>
      <c r="C428" s="4">
        <v>-2.9588749999999999</v>
      </c>
      <c r="D428" s="4">
        <v>80.430000000000007</v>
      </c>
      <c r="G428" s="4">
        <v>-3.6875</v>
      </c>
      <c r="I428" s="4">
        <v>-5.5363749999999996</v>
      </c>
      <c r="J428" s="4">
        <v>40.476125000000003</v>
      </c>
      <c r="K428" s="4">
        <v>-3.6666666666699999</v>
      </c>
      <c r="M428" s="4">
        <v>-7.2918750000000001</v>
      </c>
      <c r="O428" s="4">
        <v>40.675624999999997</v>
      </c>
      <c r="Q428" s="183"/>
      <c r="R428" s="183"/>
      <c r="S428" s="183"/>
      <c r="AJ428" s="183"/>
      <c r="AK428" s="183"/>
      <c r="AL428" s="183"/>
    </row>
    <row r="429" spans="1:38">
      <c r="A429" s="188">
        <v>42769</v>
      </c>
      <c r="C429" s="4">
        <v>-1.2001250000000001</v>
      </c>
      <c r="D429" s="4">
        <v>99.185749999999999</v>
      </c>
      <c r="G429" s="4">
        <v>0</v>
      </c>
      <c r="I429" s="4">
        <v>-0.69787500000000002</v>
      </c>
      <c r="J429" s="4">
        <v>92.480125000000001</v>
      </c>
      <c r="K429" s="4">
        <v>-2.1666666666699999</v>
      </c>
      <c r="M429" s="4">
        <v>-3.334625</v>
      </c>
      <c r="O429" s="4">
        <v>98.312250000000006</v>
      </c>
      <c r="Q429" s="183"/>
      <c r="R429" s="183"/>
      <c r="S429" s="183"/>
      <c r="AJ429" s="183"/>
    </row>
    <row r="430" spans="1:38">
      <c r="A430" s="188">
        <v>42770</v>
      </c>
      <c r="C430" s="4">
        <v>-1.0118750000000001</v>
      </c>
      <c r="D430" s="4">
        <v>103.318375</v>
      </c>
      <c r="G430" s="4">
        <v>0.375</v>
      </c>
      <c r="I430" s="4">
        <v>-0.760625</v>
      </c>
      <c r="J430" s="4">
        <v>101.52875</v>
      </c>
      <c r="K430" s="4">
        <v>-2.4166666666699999</v>
      </c>
      <c r="M430" s="4">
        <v>-3.5856249999999998</v>
      </c>
      <c r="O430" s="4">
        <v>104.848</v>
      </c>
      <c r="Q430" s="183"/>
      <c r="R430" s="183"/>
      <c r="S430" s="183"/>
    </row>
    <row r="431" spans="1:38">
      <c r="A431" s="188">
        <v>42771</v>
      </c>
      <c r="C431" s="4">
        <v>-1.70275</v>
      </c>
      <c r="D431" s="4">
        <v>103.425</v>
      </c>
      <c r="G431" s="4">
        <v>-3.125</v>
      </c>
      <c r="I431" s="4">
        <v>-4.9696249999999997</v>
      </c>
      <c r="J431" s="4">
        <v>99.838999999999999</v>
      </c>
      <c r="K431" s="4">
        <v>-6.5833333333299997</v>
      </c>
      <c r="M431" s="4">
        <v>-7.6683750000000002</v>
      </c>
      <c r="O431" s="4">
        <v>103.46599999999999</v>
      </c>
      <c r="Q431" s="183"/>
      <c r="R431" s="183"/>
      <c r="S431" s="183"/>
    </row>
    <row r="432" spans="1:38">
      <c r="A432" s="188">
        <v>42772</v>
      </c>
      <c r="C432" s="4">
        <v>-4.7181249999999997</v>
      </c>
      <c r="D432" s="4">
        <v>102.892</v>
      </c>
      <c r="G432" s="4">
        <v>-5.375</v>
      </c>
      <c r="I432" s="4">
        <v>-6.2893749999999997</v>
      </c>
      <c r="J432" s="4">
        <v>99.380499999999998</v>
      </c>
      <c r="K432" s="4">
        <v>-7.6666666666700003</v>
      </c>
      <c r="M432" s="4">
        <v>-8.8623750000000001</v>
      </c>
      <c r="O432" s="4">
        <v>102.967</v>
      </c>
      <c r="Q432" s="183"/>
      <c r="R432" s="183"/>
      <c r="S432" s="183"/>
    </row>
    <row r="433" spans="1:38">
      <c r="A433" s="188">
        <v>42773</v>
      </c>
      <c r="C433" s="4">
        <v>-4.3410000000000002</v>
      </c>
      <c r="D433" s="4">
        <v>103.212625</v>
      </c>
      <c r="G433" s="4">
        <v>-4.875</v>
      </c>
      <c r="I433" s="4">
        <v>-6.1639999999999997</v>
      </c>
      <c r="J433" s="4">
        <v>90.076750000000004</v>
      </c>
      <c r="K433" s="4">
        <v>-6.0833333333299997</v>
      </c>
      <c r="M433" s="4">
        <v>-8.422625</v>
      </c>
      <c r="O433" s="4">
        <v>102.4055</v>
      </c>
      <c r="Q433" s="183"/>
      <c r="R433" s="183"/>
      <c r="S433" s="183"/>
    </row>
    <row r="434" spans="1:38">
      <c r="A434" s="188">
        <v>42774</v>
      </c>
      <c r="C434" s="4">
        <v>-2.8963749999999999</v>
      </c>
      <c r="D434" s="4">
        <v>103.15875</v>
      </c>
      <c r="G434" s="4">
        <v>-2.25</v>
      </c>
      <c r="I434" s="4">
        <v>-2.6452499999999999</v>
      </c>
      <c r="J434" s="4">
        <v>97.817875000000001</v>
      </c>
      <c r="K434" s="4">
        <v>-4.0833333333299997</v>
      </c>
      <c r="M434" s="4">
        <v>-5.2190000000000003</v>
      </c>
      <c r="O434" s="4">
        <v>104.18174999999999</v>
      </c>
      <c r="Q434" s="183"/>
      <c r="R434" s="183"/>
      <c r="S434" s="183"/>
    </row>
    <row r="435" spans="1:38">
      <c r="A435" s="188">
        <v>42775</v>
      </c>
      <c r="C435" s="4">
        <v>0.9345</v>
      </c>
      <c r="D435" s="4">
        <v>105.010625</v>
      </c>
      <c r="G435" s="4">
        <v>2.8125</v>
      </c>
      <c r="I435" s="4">
        <v>2.5666250000000002</v>
      </c>
      <c r="J435" s="4">
        <v>102.05775</v>
      </c>
      <c r="K435" s="4">
        <v>1.0833333333299999</v>
      </c>
      <c r="M435" s="4">
        <v>0.18062500000000001</v>
      </c>
      <c r="O435" s="4">
        <v>106.699</v>
      </c>
      <c r="Q435" s="183"/>
      <c r="R435" s="183"/>
      <c r="S435" s="183"/>
    </row>
    <row r="436" spans="1:38">
      <c r="A436" s="188">
        <v>42776</v>
      </c>
      <c r="C436" s="4">
        <v>1.1228750000000001</v>
      </c>
      <c r="D436" s="4">
        <v>105.428625</v>
      </c>
      <c r="G436" s="4">
        <v>-0.5625</v>
      </c>
      <c r="I436" s="4">
        <v>-2.01675</v>
      </c>
      <c r="J436" s="4">
        <v>99.445875000000001</v>
      </c>
      <c r="K436" s="4">
        <v>-3.9166666666699999</v>
      </c>
      <c r="M436" s="4">
        <v>-5.218375</v>
      </c>
      <c r="O436" s="4">
        <v>105.23162499999999</v>
      </c>
      <c r="Q436" s="183"/>
      <c r="R436" s="183"/>
      <c r="S436" s="183"/>
    </row>
    <row r="437" spans="1:38">
      <c r="A437" s="188">
        <v>42777</v>
      </c>
      <c r="C437" s="4">
        <v>0.80900000000000005</v>
      </c>
      <c r="D437" s="4">
        <v>105.844375</v>
      </c>
      <c r="G437" s="4">
        <v>-1.4375</v>
      </c>
      <c r="I437" s="4">
        <v>-2.6451250000000002</v>
      </c>
      <c r="J437" s="4">
        <v>96.803624999999997</v>
      </c>
      <c r="K437" s="4">
        <v>-4.5</v>
      </c>
      <c r="M437" s="4">
        <v>-6.4118750000000002</v>
      </c>
      <c r="O437" s="4">
        <v>104.29900000000001</v>
      </c>
      <c r="Q437" s="183"/>
      <c r="R437" s="183"/>
      <c r="S437" s="183"/>
      <c r="AK437" s="183"/>
      <c r="AL437" s="183"/>
    </row>
    <row r="438" spans="1:38">
      <c r="A438" s="188">
        <v>42778</v>
      </c>
      <c r="C438" s="4">
        <v>0.74624999999999997</v>
      </c>
      <c r="D438" s="4">
        <v>106.051125</v>
      </c>
      <c r="G438" s="4">
        <v>-1.125</v>
      </c>
      <c r="I438" s="4">
        <v>-0.32174999999999998</v>
      </c>
      <c r="J438" s="4">
        <v>64.863249999999994</v>
      </c>
      <c r="K438" s="4">
        <v>-2.0833333333300001</v>
      </c>
      <c r="M438" s="4">
        <v>-3.6487500000000002</v>
      </c>
      <c r="O438" s="4">
        <v>87.215874999999997</v>
      </c>
      <c r="Q438" s="183"/>
      <c r="AJ438" s="183"/>
      <c r="AK438" s="183"/>
      <c r="AL438" s="183"/>
    </row>
    <row r="439" spans="1:38">
      <c r="A439" s="188">
        <v>42779</v>
      </c>
      <c r="C439" s="4">
        <v>1.8134999999999999</v>
      </c>
      <c r="D439" s="4">
        <v>104.94750000000001</v>
      </c>
      <c r="G439" s="4">
        <v>4.125</v>
      </c>
      <c r="I439" s="4">
        <v>4.8864999999999998</v>
      </c>
      <c r="J439" s="4">
        <v>54.403750000000002</v>
      </c>
      <c r="K439" s="4">
        <v>5.3333333333299997</v>
      </c>
      <c r="M439" s="4">
        <v>5.1358750000000004</v>
      </c>
      <c r="O439" s="4">
        <v>47.575249999999997</v>
      </c>
      <c r="R439" s="183"/>
      <c r="S439" s="183"/>
      <c r="AJ439" s="183"/>
      <c r="AK439" s="183"/>
      <c r="AL439" s="183"/>
    </row>
    <row r="440" spans="1:38">
      <c r="A440" s="188">
        <v>42780</v>
      </c>
      <c r="C440" s="4">
        <v>3.0686249999999999</v>
      </c>
      <c r="D440" s="4">
        <v>97.944500000000005</v>
      </c>
      <c r="G440" s="4">
        <v>8.25</v>
      </c>
      <c r="I440" s="4">
        <v>7.9602500000000003</v>
      </c>
      <c r="J440" s="4">
        <v>42.213500000000003</v>
      </c>
      <c r="K440" s="4">
        <v>5.9166666666700003</v>
      </c>
      <c r="M440" s="4">
        <v>4.7596249999999998</v>
      </c>
      <c r="O440" s="4">
        <v>43.968125000000001</v>
      </c>
      <c r="Q440" s="183"/>
      <c r="R440" s="183"/>
      <c r="S440" s="183"/>
      <c r="AJ440" s="183"/>
      <c r="AK440" s="183"/>
      <c r="AL440" s="183"/>
    </row>
    <row r="441" spans="1:38">
      <c r="A441" s="188">
        <v>42781</v>
      </c>
      <c r="C441" s="4">
        <v>3.5082499999999999</v>
      </c>
      <c r="D441" s="4">
        <v>105.114875</v>
      </c>
      <c r="G441" s="4">
        <v>6.0625</v>
      </c>
      <c r="I441" s="4">
        <v>5.0761250000000002</v>
      </c>
      <c r="J441" s="4">
        <v>101.888125</v>
      </c>
      <c r="K441" s="4">
        <v>3.8333333333300001</v>
      </c>
      <c r="M441" s="4">
        <v>2.8156249999999998</v>
      </c>
      <c r="O441" s="4">
        <v>106.157875</v>
      </c>
      <c r="Q441" s="183"/>
      <c r="R441" s="183"/>
      <c r="S441" s="183"/>
      <c r="AJ441" s="183"/>
    </row>
    <row r="442" spans="1:38">
      <c r="A442" s="188">
        <v>42782</v>
      </c>
      <c r="C442" s="4">
        <v>3.069</v>
      </c>
      <c r="D442" s="4">
        <v>105.68837499999999</v>
      </c>
      <c r="G442" s="4">
        <v>2.6875</v>
      </c>
      <c r="I442" s="4">
        <v>1.4997499999999999</v>
      </c>
      <c r="J442" s="4">
        <v>103.188125</v>
      </c>
      <c r="K442" s="4">
        <v>0.25</v>
      </c>
      <c r="M442" s="4">
        <v>-0.94899999999999995</v>
      </c>
      <c r="O442" s="4">
        <v>106.807</v>
      </c>
      <c r="Q442" s="183"/>
      <c r="R442" s="183"/>
      <c r="S442" s="183"/>
    </row>
    <row r="443" spans="1:38">
      <c r="A443" s="188">
        <v>42783</v>
      </c>
      <c r="C443" s="4">
        <v>2.0646249999999999</v>
      </c>
      <c r="D443" s="4">
        <v>105.999</v>
      </c>
      <c r="G443" s="4">
        <v>0.6875</v>
      </c>
      <c r="I443" s="4">
        <v>-0.76137500000000002</v>
      </c>
      <c r="J443" s="4">
        <v>96.950374999999994</v>
      </c>
      <c r="K443" s="4">
        <v>-0.66666666666700003</v>
      </c>
      <c r="M443" s="4">
        <v>-3.1462500000000002</v>
      </c>
      <c r="O443" s="4">
        <v>105.995875</v>
      </c>
      <c r="Q443" s="183"/>
      <c r="R443" s="183"/>
      <c r="S443" s="183"/>
    </row>
    <row r="444" spans="1:38">
      <c r="A444" s="188">
        <v>42784</v>
      </c>
      <c r="C444" s="4">
        <v>1.876125</v>
      </c>
      <c r="D444" s="4">
        <v>106.25875000000001</v>
      </c>
      <c r="G444" s="4">
        <v>0.625</v>
      </c>
      <c r="I444" s="4">
        <v>-0.32124999999999998</v>
      </c>
      <c r="J444" s="4">
        <v>96.027749999999997</v>
      </c>
      <c r="K444" s="4">
        <v>-1.9166666666700001</v>
      </c>
      <c r="M444" s="4">
        <v>-3.3972500000000001</v>
      </c>
      <c r="O444" s="4">
        <v>106.05</v>
      </c>
      <c r="Q444" s="183"/>
      <c r="R444" s="183"/>
      <c r="S444" s="183"/>
    </row>
    <row r="445" spans="1:38">
      <c r="A445" s="188">
        <v>42785</v>
      </c>
      <c r="C445" s="4">
        <v>1.876125</v>
      </c>
      <c r="D445" s="4">
        <v>106.15475000000001</v>
      </c>
      <c r="G445" s="4">
        <v>0.125</v>
      </c>
      <c r="I445" s="4">
        <v>-1.2001250000000001</v>
      </c>
      <c r="J445" s="4">
        <v>99.189374999999998</v>
      </c>
      <c r="K445" s="4">
        <v>-3.1666666666699999</v>
      </c>
      <c r="M445" s="4">
        <v>-4.3392499999999998</v>
      </c>
      <c r="O445" s="4">
        <v>105.66849999999999</v>
      </c>
      <c r="Q445" s="183"/>
      <c r="R445" s="183"/>
      <c r="S445" s="183"/>
    </row>
    <row r="446" spans="1:38">
      <c r="A446" s="188">
        <v>42786</v>
      </c>
      <c r="C446" s="4">
        <v>2.0644999999999998</v>
      </c>
      <c r="D446" s="4">
        <v>106.464625</v>
      </c>
      <c r="G446" s="4">
        <v>0.1875</v>
      </c>
      <c r="I446" s="4">
        <v>-0.50949999999999995</v>
      </c>
      <c r="J446" s="4">
        <v>96.866500000000002</v>
      </c>
      <c r="K446" s="4">
        <v>-2.25</v>
      </c>
      <c r="M446" s="4">
        <v>-3.836875</v>
      </c>
      <c r="O446" s="4">
        <v>105.77825</v>
      </c>
      <c r="Q446" s="183"/>
      <c r="R446" s="183"/>
      <c r="S446" s="183"/>
    </row>
    <row r="447" spans="1:38">
      <c r="A447" s="188">
        <v>42787</v>
      </c>
      <c r="C447" s="4">
        <v>1.2484999999999999</v>
      </c>
      <c r="D447" s="4">
        <v>106.51575</v>
      </c>
      <c r="G447" s="4">
        <v>-0.6875</v>
      </c>
      <c r="I447" s="4">
        <v>-2.6451250000000002</v>
      </c>
      <c r="J447" s="4">
        <v>95.458749999999995</v>
      </c>
      <c r="K447" s="4">
        <v>-2.6666666666699999</v>
      </c>
      <c r="M447" s="4">
        <v>-4.8417500000000002</v>
      </c>
      <c r="O447" s="4">
        <v>105.44987500000001</v>
      </c>
      <c r="Q447" s="183"/>
      <c r="R447" s="183"/>
      <c r="S447" s="183"/>
    </row>
    <row r="448" spans="1:38">
      <c r="A448" s="188">
        <v>42788</v>
      </c>
      <c r="C448" s="4">
        <v>-6.9875000000000007E-2</v>
      </c>
      <c r="D448" s="4">
        <v>106.20162500000001</v>
      </c>
      <c r="G448" s="4">
        <v>-3.1875</v>
      </c>
      <c r="I448" s="4">
        <v>-4.5934999999999997</v>
      </c>
      <c r="J448" s="4">
        <v>91.591374999999999</v>
      </c>
      <c r="K448" s="4">
        <v>-6</v>
      </c>
      <c r="M448" s="4">
        <v>-7.5428750000000004</v>
      </c>
      <c r="O448" s="4">
        <v>104.242125</v>
      </c>
      <c r="Q448" s="183"/>
      <c r="R448" s="183"/>
      <c r="S448" s="183"/>
    </row>
    <row r="449" spans="1:19">
      <c r="A449" s="188">
        <v>42789</v>
      </c>
      <c r="C449" s="4">
        <v>-0.44674999999999998</v>
      </c>
      <c r="D449" s="4">
        <v>96.279124999999993</v>
      </c>
      <c r="G449" s="4">
        <v>-4</v>
      </c>
      <c r="I449" s="4">
        <v>-5.9768749999999997</v>
      </c>
      <c r="J449" s="4">
        <v>91.106624999999994</v>
      </c>
      <c r="K449" s="4">
        <v>-6.5</v>
      </c>
      <c r="M449" s="4">
        <v>-8.108625</v>
      </c>
      <c r="O449" s="4">
        <v>104.132875</v>
      </c>
      <c r="Q449" s="183"/>
    </row>
    <row r="450" spans="1:19">
      <c r="A450" s="188">
        <v>42790</v>
      </c>
      <c r="C450" s="4">
        <v>-0.13275000000000001</v>
      </c>
      <c r="D450" s="4">
        <v>88.277249999999995</v>
      </c>
      <c r="G450" s="4">
        <v>-4.1875</v>
      </c>
      <c r="I450" s="4">
        <v>-5.9768749999999997</v>
      </c>
      <c r="J450" s="4">
        <v>87.425124999999994</v>
      </c>
      <c r="K450" s="4">
        <v>-6.4166666666700003</v>
      </c>
      <c r="M450" s="4">
        <v>-8.5483750000000001</v>
      </c>
      <c r="O450" s="4">
        <v>104.1875</v>
      </c>
      <c r="R450" s="183"/>
      <c r="S450" s="183"/>
    </row>
    <row r="451" spans="1:19">
      <c r="A451" s="188">
        <v>42791</v>
      </c>
      <c r="C451" s="4">
        <v>-0.82362500000000005</v>
      </c>
      <c r="D451" s="4">
        <v>92.523250000000004</v>
      </c>
      <c r="G451" s="4">
        <v>-4.25</v>
      </c>
      <c r="I451" s="4">
        <v>-6.4786250000000001</v>
      </c>
      <c r="J451" s="4">
        <v>92.741375000000005</v>
      </c>
      <c r="K451" s="4">
        <v>-7.5833333333299997</v>
      </c>
      <c r="M451" s="4">
        <v>-8.4852500000000006</v>
      </c>
      <c r="O451" s="4">
        <v>104.297875</v>
      </c>
      <c r="Q451" s="183"/>
    </row>
    <row r="452" spans="1:19">
      <c r="A452" s="188">
        <v>42792</v>
      </c>
      <c r="C452" s="4">
        <v>-0.13287499999999999</v>
      </c>
      <c r="D452" s="4">
        <v>103.89375</v>
      </c>
      <c r="G452" s="4">
        <v>-3.25</v>
      </c>
      <c r="I452" s="4">
        <v>-4.5927499999999997</v>
      </c>
      <c r="J452" s="4">
        <v>89.005624999999995</v>
      </c>
      <c r="K452" s="4">
        <v>-5.75</v>
      </c>
      <c r="M452" s="4">
        <v>-8.4223750000000006</v>
      </c>
      <c r="O452" s="4">
        <v>103.9115</v>
      </c>
    </row>
    <row r="453" spans="1:19">
      <c r="A453" s="188">
        <v>42793</v>
      </c>
      <c r="C453" s="4">
        <v>-2.2052499999999999</v>
      </c>
      <c r="D453" s="4">
        <v>101.129875</v>
      </c>
      <c r="G453" s="4">
        <v>-5.25</v>
      </c>
      <c r="I453" s="4">
        <v>-7.4841249999999997</v>
      </c>
      <c r="J453" s="4">
        <v>96.436499999999995</v>
      </c>
      <c r="K453" s="4">
        <v>-8.75</v>
      </c>
      <c r="M453" s="4">
        <v>-9.6167499999999997</v>
      </c>
      <c r="O453" s="4">
        <v>102.285375</v>
      </c>
    </row>
    <row r="454" spans="1:19">
      <c r="A454" s="188">
        <v>42794</v>
      </c>
      <c r="C454" s="4">
        <v>-1.514375</v>
      </c>
      <c r="D454" s="4">
        <v>102.135625</v>
      </c>
      <c r="G454" s="4">
        <v>-4.6875</v>
      </c>
      <c r="I454" s="4">
        <v>-6.4157500000000001</v>
      </c>
      <c r="J454" s="4">
        <v>95.279499999999999</v>
      </c>
      <c r="K454" s="4">
        <v>-8.1666666666700003</v>
      </c>
      <c r="M454" s="4">
        <v>-9.3026250000000008</v>
      </c>
      <c r="O454" s="4">
        <v>101.986625</v>
      </c>
    </row>
    <row r="455" spans="1:19">
      <c r="A455" s="188">
        <v>42795</v>
      </c>
      <c r="C455" s="4">
        <v>0.4325</v>
      </c>
      <c r="D455" s="4">
        <v>105.738</v>
      </c>
      <c r="G455" s="4">
        <v>-1.125</v>
      </c>
      <c r="I455" s="4">
        <v>-1.7653749999999999</v>
      </c>
      <c r="J455" s="4">
        <v>97.868624999999994</v>
      </c>
      <c r="K455" s="4">
        <v>-3.5833333333300001</v>
      </c>
      <c r="M455" s="4">
        <v>-5.0927499999999997</v>
      </c>
      <c r="O455" s="4">
        <v>105.12375</v>
      </c>
      <c r="R455" s="183"/>
      <c r="S455" s="183"/>
    </row>
    <row r="456" spans="1:19">
      <c r="A456" s="188">
        <v>42796</v>
      </c>
      <c r="C456" s="4">
        <v>0.99724999999999997</v>
      </c>
      <c r="D456" s="4">
        <v>106.1035</v>
      </c>
      <c r="G456" s="4">
        <v>-0.125</v>
      </c>
      <c r="I456" s="4">
        <v>-1.576875</v>
      </c>
      <c r="J456" s="4">
        <v>100.67400000000001</v>
      </c>
      <c r="K456" s="4">
        <v>-3.1666666666699999</v>
      </c>
      <c r="M456" s="4">
        <v>-4.4647500000000004</v>
      </c>
      <c r="O456" s="4">
        <v>105.28687499999999</v>
      </c>
      <c r="Q456" s="183"/>
      <c r="R456" s="183"/>
      <c r="S456" s="183"/>
    </row>
    <row r="457" spans="1:19">
      <c r="A457" s="188">
        <v>42797</v>
      </c>
      <c r="C457" s="4">
        <v>1.1856249999999999</v>
      </c>
      <c r="D457" s="4">
        <v>106.41312499999999</v>
      </c>
      <c r="G457" s="4">
        <v>0.125</v>
      </c>
      <c r="I457" s="4">
        <v>-1.0118750000000001</v>
      </c>
      <c r="J457" s="4">
        <v>101.37050000000001</v>
      </c>
      <c r="K457" s="4">
        <v>-2.5833333333300001</v>
      </c>
      <c r="M457" s="4">
        <v>-3.7741250000000002</v>
      </c>
      <c r="O457" s="4">
        <v>105.776375</v>
      </c>
      <c r="Q457" s="183"/>
      <c r="R457" s="183"/>
      <c r="S457" s="183"/>
    </row>
    <row r="458" spans="1:19">
      <c r="A458" s="188">
        <v>42798</v>
      </c>
      <c r="C458" s="4">
        <v>-0.63487499999999997</v>
      </c>
      <c r="D458" s="4">
        <v>105.1605</v>
      </c>
      <c r="G458" s="4">
        <v>-3.3125</v>
      </c>
      <c r="I458" s="4">
        <v>-5.7241249999999999</v>
      </c>
      <c r="J458" s="4">
        <v>93.979249999999993</v>
      </c>
      <c r="K458" s="4">
        <v>-6.9166666666700003</v>
      </c>
      <c r="M458" s="4">
        <v>-8.1709999999999994</v>
      </c>
      <c r="O458" s="4">
        <v>102.73112500000001</v>
      </c>
      <c r="Q458" s="183"/>
      <c r="R458" s="183"/>
      <c r="S458" s="183"/>
    </row>
    <row r="459" spans="1:19">
      <c r="A459" s="188">
        <v>42799</v>
      </c>
      <c r="C459" s="4">
        <v>-0.19550000000000001</v>
      </c>
      <c r="D459" s="4">
        <v>105.57962499999999</v>
      </c>
      <c r="G459" s="4">
        <v>-3.6875</v>
      </c>
      <c r="I459" s="4">
        <v>-5.0322500000000003</v>
      </c>
      <c r="J459" s="4">
        <v>97.299125000000004</v>
      </c>
      <c r="K459" s="4">
        <v>-6.6666666666700003</v>
      </c>
      <c r="M459" s="4">
        <v>-8.1708750000000006</v>
      </c>
      <c r="O459" s="4">
        <v>102.784375</v>
      </c>
      <c r="Q459" s="183"/>
    </row>
    <row r="460" spans="1:19">
      <c r="A460" s="188">
        <v>42800</v>
      </c>
      <c r="C460" s="4">
        <v>-0.82362500000000005</v>
      </c>
      <c r="D460" s="4">
        <v>104.69437499999999</v>
      </c>
      <c r="G460" s="4">
        <v>-4.1875</v>
      </c>
      <c r="I460" s="4">
        <v>-5.5982500000000002</v>
      </c>
      <c r="J460" s="4">
        <v>94.507750000000001</v>
      </c>
      <c r="K460" s="4">
        <v>-7.3333333333299997</v>
      </c>
      <c r="M460" s="4">
        <v>-8.9883749999999996</v>
      </c>
      <c r="O460" s="4">
        <v>101.31075</v>
      </c>
    </row>
    <row r="461" spans="1:19">
      <c r="A461" s="188">
        <v>42801</v>
      </c>
      <c r="C461" s="4">
        <v>-0.69787500000000002</v>
      </c>
      <c r="D461" s="4">
        <v>105.05425</v>
      </c>
      <c r="G461" s="4">
        <v>-3.25</v>
      </c>
      <c r="I461" s="4">
        <v>-4.8438749999999997</v>
      </c>
      <c r="J461" s="4">
        <v>99.032124999999994</v>
      </c>
      <c r="K461" s="4">
        <v>-6.6666666666700003</v>
      </c>
      <c r="M461" s="4">
        <v>-7.8570000000000002</v>
      </c>
      <c r="O461" s="4">
        <v>103.798625</v>
      </c>
    </row>
    <row r="462" spans="1:19">
      <c r="A462" s="188">
        <v>42802</v>
      </c>
      <c r="C462" s="4">
        <v>-6.9875000000000007E-2</v>
      </c>
      <c r="D462" s="4">
        <v>105.9975</v>
      </c>
      <c r="G462" s="4">
        <v>-3.375</v>
      </c>
      <c r="I462" s="4">
        <v>-4.5298749999999997</v>
      </c>
      <c r="J462" s="4">
        <v>95.866375000000005</v>
      </c>
      <c r="K462" s="4">
        <v>-6.8333333333299997</v>
      </c>
      <c r="M462" s="4">
        <v>-7.8568749999999996</v>
      </c>
      <c r="O462" s="4">
        <v>104.18787500000001</v>
      </c>
    </row>
    <row r="463" spans="1:19">
      <c r="A463" s="188">
        <v>42803</v>
      </c>
      <c r="C463" s="4">
        <v>0.30675000000000002</v>
      </c>
      <c r="D463" s="4">
        <v>106.257375</v>
      </c>
      <c r="G463" s="4">
        <v>-0.6875</v>
      </c>
      <c r="I463" s="4">
        <v>-0.949125</v>
      </c>
      <c r="J463" s="4">
        <v>99.996375</v>
      </c>
      <c r="K463" s="4">
        <v>-2.75</v>
      </c>
      <c r="M463" s="4">
        <v>-3.5859999999999999</v>
      </c>
      <c r="O463" s="4">
        <v>105.77625</v>
      </c>
    </row>
    <row r="464" spans="1:19">
      <c r="A464" s="188">
        <v>42804</v>
      </c>
      <c r="C464" s="4">
        <v>1.6251249999999999</v>
      </c>
      <c r="D464" s="4">
        <v>106.41325000000001</v>
      </c>
      <c r="G464" s="4">
        <v>1.5625</v>
      </c>
      <c r="I464" s="4">
        <v>0.9345</v>
      </c>
      <c r="J464" s="4">
        <v>101.69374999999999</v>
      </c>
      <c r="K464" s="4">
        <v>-0.33333333333300003</v>
      </c>
      <c r="M464" s="4">
        <v>-1.4510000000000001</v>
      </c>
      <c r="O464" s="4">
        <v>106.86150000000001</v>
      </c>
    </row>
    <row r="465" spans="1:38">
      <c r="A465" s="188">
        <v>42805</v>
      </c>
      <c r="C465" s="4">
        <v>2.0018750000000001</v>
      </c>
      <c r="D465" s="4">
        <v>106.361875</v>
      </c>
      <c r="G465" s="4">
        <v>1.5</v>
      </c>
      <c r="I465" s="4">
        <v>0.99712500000000004</v>
      </c>
      <c r="J465" s="4">
        <v>94.875500000000002</v>
      </c>
      <c r="K465" s="4">
        <v>-1.0833333333299999</v>
      </c>
      <c r="M465" s="4">
        <v>-2.0157500000000002</v>
      </c>
      <c r="O465" s="4">
        <v>106.209625</v>
      </c>
      <c r="AK465" s="183"/>
      <c r="AL465" s="183"/>
    </row>
    <row r="466" spans="1:38">
      <c r="A466" s="188">
        <v>42806</v>
      </c>
      <c r="C466" s="4">
        <v>2.3515714285699998</v>
      </c>
      <c r="D466" s="4">
        <v>106.47185714299999</v>
      </c>
      <c r="G466" s="4">
        <v>2</v>
      </c>
      <c r="I466" s="4">
        <v>1.1319999999999999</v>
      </c>
      <c r="J466" s="4">
        <v>102.122</v>
      </c>
      <c r="K466" s="4">
        <v>-0.4</v>
      </c>
      <c r="M466" s="4">
        <v>-1.46</v>
      </c>
      <c r="O466" s="4">
        <v>105.67671428600001</v>
      </c>
      <c r="AJ466" s="183"/>
      <c r="AK466" s="183"/>
      <c r="AL466" s="183"/>
    </row>
    <row r="467" spans="1:38">
      <c r="A467" s="188">
        <v>42807</v>
      </c>
      <c r="C467" s="4">
        <v>2.8807499999999999</v>
      </c>
      <c r="D467" s="4">
        <v>106.516375</v>
      </c>
      <c r="G467" s="4">
        <v>2.9375</v>
      </c>
      <c r="I467" s="4">
        <v>1.5625</v>
      </c>
      <c r="J467" s="4">
        <v>102.85237499999999</v>
      </c>
      <c r="K467" s="4">
        <v>-0.166666666667</v>
      </c>
      <c r="M467" s="4">
        <v>-0.50949999999999995</v>
      </c>
      <c r="O467" s="4">
        <v>106.860625</v>
      </c>
      <c r="AJ467" s="183"/>
      <c r="AK467" s="183"/>
      <c r="AL467" s="183"/>
    </row>
    <row r="468" spans="1:38">
      <c r="A468" s="188">
        <v>42808</v>
      </c>
      <c r="C468" s="4">
        <v>3.4455</v>
      </c>
      <c r="D468" s="4">
        <v>106.3105</v>
      </c>
      <c r="G468" s="4">
        <v>4.75</v>
      </c>
      <c r="I468" s="4">
        <v>3.9470000000000001</v>
      </c>
      <c r="J468" s="4">
        <v>102.62712500000001</v>
      </c>
      <c r="K468" s="4">
        <v>2.4166666666699999</v>
      </c>
      <c r="M468" s="4">
        <v>1.373</v>
      </c>
      <c r="O468" s="4">
        <v>107.45274999999999</v>
      </c>
      <c r="AJ468" s="183"/>
      <c r="AK468" s="183"/>
      <c r="AL468" s="183"/>
    </row>
    <row r="469" spans="1:38">
      <c r="A469" s="188">
        <v>42809</v>
      </c>
      <c r="C469" s="4">
        <v>3.1317499999999998</v>
      </c>
      <c r="D469" s="4">
        <v>106.51524999999999</v>
      </c>
      <c r="G469" s="4">
        <v>2.375</v>
      </c>
      <c r="I469" s="4">
        <v>1.75075</v>
      </c>
      <c r="J469" s="4">
        <v>103.65062500000001</v>
      </c>
      <c r="K469" s="4">
        <v>0.75</v>
      </c>
      <c r="M469" s="4">
        <v>-0.32124999999999998</v>
      </c>
      <c r="O469" s="4">
        <v>107.77375000000001</v>
      </c>
      <c r="AJ469" s="183"/>
      <c r="AK469" s="183"/>
      <c r="AL469" s="183"/>
    </row>
    <row r="470" spans="1:38">
      <c r="A470" s="188">
        <v>42810</v>
      </c>
      <c r="C470" s="4">
        <v>2.252875</v>
      </c>
      <c r="D470" s="4">
        <v>106.670875</v>
      </c>
      <c r="G470" s="4">
        <v>-0.25</v>
      </c>
      <c r="I470" s="4">
        <v>-2.0794999999999999</v>
      </c>
      <c r="J470" s="4">
        <v>100.363</v>
      </c>
      <c r="K470" s="4">
        <v>-3.8333333333300001</v>
      </c>
      <c r="M470" s="4">
        <v>-5.218375</v>
      </c>
      <c r="O470" s="4">
        <v>106.0485</v>
      </c>
      <c r="AJ470" s="183"/>
      <c r="AK470" s="183"/>
      <c r="AL470" s="183"/>
    </row>
    <row r="471" spans="1:38">
      <c r="A471" s="188">
        <v>42811</v>
      </c>
      <c r="C471" s="4">
        <v>1.75075</v>
      </c>
      <c r="D471" s="4">
        <v>107.07962499999999</v>
      </c>
      <c r="G471" s="4">
        <v>-0.5625</v>
      </c>
      <c r="I471" s="4">
        <v>-0.76100000000000001</v>
      </c>
      <c r="J471" s="4">
        <v>84.737125000000006</v>
      </c>
      <c r="K471" s="4">
        <v>-3.5833333333300001</v>
      </c>
      <c r="M471" s="4">
        <v>-4.5904999999999996</v>
      </c>
      <c r="O471" s="4">
        <v>100.8695</v>
      </c>
      <c r="AJ471" s="183"/>
      <c r="AK471" s="183"/>
      <c r="AL471" s="183"/>
    </row>
    <row r="472" spans="1:38">
      <c r="A472" s="188">
        <v>42812</v>
      </c>
      <c r="C472" s="4">
        <v>2.5038749999999999</v>
      </c>
      <c r="D472" s="4">
        <v>106.77249999999999</v>
      </c>
      <c r="G472" s="4">
        <v>1.375</v>
      </c>
      <c r="I472" s="4">
        <v>0.18074999999999999</v>
      </c>
      <c r="J472" s="4">
        <v>101.995</v>
      </c>
      <c r="K472" s="4">
        <v>-1.3333333333299999</v>
      </c>
      <c r="M472" s="4">
        <v>-2.7076250000000002</v>
      </c>
      <c r="O472" s="4">
        <v>106.42475</v>
      </c>
      <c r="AJ472" s="183"/>
      <c r="AK472" s="183"/>
      <c r="AL472" s="183"/>
    </row>
    <row r="473" spans="1:38">
      <c r="A473" s="188">
        <v>42813</v>
      </c>
      <c r="C473" s="4">
        <v>0.68374999999999997</v>
      </c>
      <c r="D473" s="4">
        <v>107.07962499999999</v>
      </c>
      <c r="G473" s="4">
        <v>-1.75</v>
      </c>
      <c r="I473" s="4">
        <v>-2.8976250000000001</v>
      </c>
      <c r="J473" s="4">
        <v>90.055625000000006</v>
      </c>
      <c r="K473" s="4">
        <v>-3.9166666666699999</v>
      </c>
      <c r="M473" s="4">
        <v>-7.1658749999999998</v>
      </c>
      <c r="O473" s="4">
        <v>104.232</v>
      </c>
      <c r="AJ473" s="183"/>
    </row>
    <row r="474" spans="1:38">
      <c r="A474" s="188">
        <v>42814</v>
      </c>
      <c r="C474" s="4">
        <v>1.248375</v>
      </c>
      <c r="D474" s="4">
        <v>106.5145</v>
      </c>
      <c r="G474" s="4">
        <v>-0.625</v>
      </c>
      <c r="I474" s="4">
        <v>-1.57925</v>
      </c>
      <c r="J474" s="4">
        <v>76.144750000000002</v>
      </c>
      <c r="K474" s="4">
        <v>-1.6666666666700001</v>
      </c>
      <c r="M474" s="4">
        <v>-1.8907499999999999</v>
      </c>
      <c r="O474" s="4">
        <v>56.874875000000003</v>
      </c>
    </row>
    <row r="475" spans="1:38">
      <c r="A475" s="188">
        <v>42815</v>
      </c>
      <c r="C475" s="4">
        <v>4.1353749999999998</v>
      </c>
      <c r="D475" s="4">
        <v>105.16625000000001</v>
      </c>
      <c r="G475" s="4">
        <v>3.375</v>
      </c>
      <c r="I475" s="4">
        <v>2.5041250000000002</v>
      </c>
      <c r="J475" s="4">
        <v>101.16974999999999</v>
      </c>
      <c r="K475" s="4">
        <v>1.0833333333299999</v>
      </c>
      <c r="M475" s="4">
        <v>-7.0250000000000007E-2</v>
      </c>
      <c r="O475" s="4">
        <v>106.529375</v>
      </c>
    </row>
    <row r="476" spans="1:38">
      <c r="A476" s="188">
        <v>42816</v>
      </c>
      <c r="C476" s="4">
        <v>4.0098750000000001</v>
      </c>
      <c r="D476" s="4">
        <v>105.11512500000001</v>
      </c>
      <c r="G476" s="4">
        <v>1.875</v>
      </c>
      <c r="I476" s="4">
        <v>1.123</v>
      </c>
      <c r="J476" s="4">
        <v>101.32375</v>
      </c>
      <c r="K476" s="4">
        <v>-0.33333333333300003</v>
      </c>
      <c r="M476" s="4">
        <v>-1.764875</v>
      </c>
      <c r="O476" s="4">
        <v>107.18362500000001</v>
      </c>
    </row>
    <row r="477" spans="1:38">
      <c r="A477" s="188">
        <v>42817</v>
      </c>
      <c r="C477" s="4">
        <v>3.256875</v>
      </c>
      <c r="D477" s="4">
        <v>104.63487499999999</v>
      </c>
      <c r="G477" s="4">
        <v>0.625</v>
      </c>
      <c r="I477" s="4">
        <v>-0.44674999999999998</v>
      </c>
      <c r="J477" s="4">
        <v>97.079750000000004</v>
      </c>
      <c r="K477" s="4">
        <v>-2.4166666666699999</v>
      </c>
      <c r="M477" s="4">
        <v>-4.0880000000000001</v>
      </c>
      <c r="O477" s="4">
        <v>105.995875</v>
      </c>
      <c r="AK477" s="183"/>
      <c r="AL477" s="183"/>
    </row>
    <row r="478" spans="1:38">
      <c r="A478" s="188">
        <v>42818</v>
      </c>
      <c r="C478" s="4">
        <v>3.570875</v>
      </c>
      <c r="D478" s="4">
        <v>103.636</v>
      </c>
      <c r="G478" s="4">
        <v>0.8125</v>
      </c>
      <c r="I478" s="4">
        <v>0.18112500000000001</v>
      </c>
      <c r="J478" s="4">
        <v>101.512</v>
      </c>
      <c r="K478" s="4">
        <v>-1.4166666666700001</v>
      </c>
      <c r="M478" s="4">
        <v>-2.5183749999999998</v>
      </c>
      <c r="O478" s="4">
        <v>106.4285</v>
      </c>
      <c r="AJ478" s="183"/>
      <c r="AK478" s="183"/>
      <c r="AL478" s="183"/>
    </row>
    <row r="479" spans="1:38">
      <c r="A479" s="188">
        <v>42819</v>
      </c>
      <c r="C479" s="4">
        <v>2.378625</v>
      </c>
      <c r="D479" s="4">
        <v>104.695375</v>
      </c>
      <c r="G479" s="4">
        <v>0.1875</v>
      </c>
      <c r="I479" s="4">
        <v>-0.50962499999999999</v>
      </c>
      <c r="J479" s="4">
        <v>97.27525</v>
      </c>
      <c r="K479" s="4">
        <v>-2.5</v>
      </c>
      <c r="M479" s="4">
        <v>-3.8370000000000002</v>
      </c>
      <c r="O479" s="4">
        <v>105.995875</v>
      </c>
      <c r="AJ479" s="183"/>
      <c r="AK479" s="183"/>
      <c r="AL479" s="183"/>
    </row>
    <row r="480" spans="1:38">
      <c r="A480" s="188">
        <v>42820</v>
      </c>
      <c r="C480" s="4">
        <v>2.7546249999999999</v>
      </c>
      <c r="D480" s="4">
        <v>104.85275</v>
      </c>
      <c r="G480" s="4">
        <v>0.25</v>
      </c>
      <c r="I480" s="4">
        <v>-0.44687500000000002</v>
      </c>
      <c r="J480" s="4">
        <v>97.345124999999996</v>
      </c>
      <c r="K480" s="4">
        <v>-2.4166666666699999</v>
      </c>
      <c r="M480" s="4">
        <v>-3.58575</v>
      </c>
      <c r="O480" s="4">
        <v>106.10424999999999</v>
      </c>
      <c r="AJ480" s="183"/>
      <c r="AK480" s="183"/>
      <c r="AL480" s="183"/>
    </row>
    <row r="481" spans="1:38">
      <c r="A481" s="188">
        <v>42821</v>
      </c>
      <c r="C481" s="4">
        <v>3.821625</v>
      </c>
      <c r="D481" s="4">
        <v>104.745625</v>
      </c>
      <c r="G481" s="4">
        <v>1.1875</v>
      </c>
      <c r="I481" s="4">
        <v>0.36962499999999998</v>
      </c>
      <c r="J481" s="4">
        <v>99.596374999999995</v>
      </c>
      <c r="K481" s="4">
        <v>-1.3333333333299999</v>
      </c>
      <c r="M481" s="4">
        <v>-2.4553750000000001</v>
      </c>
      <c r="O481" s="4">
        <v>106.4295</v>
      </c>
      <c r="AJ481" s="183"/>
      <c r="AK481" s="183"/>
      <c r="AL481" s="183"/>
    </row>
    <row r="482" spans="1:38">
      <c r="A482" s="188">
        <v>42822</v>
      </c>
      <c r="C482" s="4">
        <v>3.5082499999999999</v>
      </c>
      <c r="D482" s="4">
        <v>105.21912500000001</v>
      </c>
      <c r="G482" s="4">
        <v>0.9375</v>
      </c>
      <c r="I482" s="4">
        <v>-0.13275000000000001</v>
      </c>
      <c r="J482" s="4">
        <v>101.751375</v>
      </c>
      <c r="K482" s="4">
        <v>-1.6666666666700001</v>
      </c>
      <c r="M482" s="4">
        <v>-2.8322500000000002</v>
      </c>
      <c r="O482" s="4">
        <v>106.211375</v>
      </c>
      <c r="AJ482" s="183"/>
      <c r="AK482" s="183"/>
      <c r="AL482" s="183"/>
    </row>
    <row r="483" spans="1:38">
      <c r="A483" s="188">
        <v>42823</v>
      </c>
      <c r="C483" s="4">
        <v>4.1353749999999998</v>
      </c>
      <c r="D483" s="4">
        <v>105.00987499999999</v>
      </c>
      <c r="G483" s="4">
        <v>1.875</v>
      </c>
      <c r="I483" s="4">
        <v>0.80912499999999998</v>
      </c>
      <c r="J483" s="4">
        <v>102.9735</v>
      </c>
      <c r="K483" s="4">
        <v>-0.75</v>
      </c>
      <c r="M483" s="4">
        <v>-1.3885000000000001</v>
      </c>
      <c r="O483" s="4">
        <v>107.18325</v>
      </c>
      <c r="AJ483" s="183"/>
      <c r="AK483" s="183"/>
      <c r="AL483" s="183"/>
    </row>
    <row r="484" spans="1:38">
      <c r="A484" s="188">
        <v>42824</v>
      </c>
      <c r="C484" s="4">
        <v>2.880125</v>
      </c>
      <c r="D484" s="4">
        <v>105.79174999999999</v>
      </c>
      <c r="G484" s="4">
        <v>1</v>
      </c>
      <c r="I484" s="4">
        <v>0.871</v>
      </c>
      <c r="J484" s="4">
        <v>97.166749999999993</v>
      </c>
      <c r="K484" s="4">
        <v>0</v>
      </c>
      <c r="M484" s="4">
        <v>-2.2673749999999999</v>
      </c>
      <c r="O484" s="4">
        <v>105.601</v>
      </c>
      <c r="AJ484" s="183"/>
      <c r="AK484" s="183"/>
      <c r="AL484" s="183"/>
    </row>
    <row r="485" spans="1:38">
      <c r="A485" s="188">
        <v>42825</v>
      </c>
      <c r="C485" s="4">
        <v>4.1343750000000004</v>
      </c>
      <c r="D485" s="4">
        <v>101.129</v>
      </c>
      <c r="G485" s="4">
        <v>1.75</v>
      </c>
      <c r="I485" s="4">
        <v>1.3106249999999999</v>
      </c>
      <c r="J485" s="4">
        <v>91.904375000000002</v>
      </c>
      <c r="K485" s="4">
        <v>0.41666666666699997</v>
      </c>
      <c r="M485" s="4">
        <v>-1.6396250000000001</v>
      </c>
      <c r="O485" s="4">
        <v>102.64725</v>
      </c>
      <c r="AJ485" s="183"/>
    </row>
    <row r="486" spans="1:38">
      <c r="A486" s="188">
        <v>42826</v>
      </c>
      <c r="C486" s="4">
        <v>5.0761250000000002</v>
      </c>
      <c r="D486" s="4">
        <v>100.66187499999999</v>
      </c>
      <c r="G486" s="4">
        <v>2.625</v>
      </c>
      <c r="I486" s="4">
        <v>1.87625</v>
      </c>
      <c r="J486" s="4">
        <v>96.492999999999995</v>
      </c>
      <c r="K486" s="4">
        <v>-8.3333333333299994E-2</v>
      </c>
      <c r="M486" s="4">
        <v>-0.88624999999999998</v>
      </c>
      <c r="O486" s="4">
        <v>104.888875</v>
      </c>
    </row>
    <row r="487" spans="1:38">
      <c r="A487" s="188">
        <v>42827</v>
      </c>
      <c r="C487" s="4">
        <v>3.069</v>
      </c>
      <c r="D487" s="4">
        <v>101.53525</v>
      </c>
      <c r="G487" s="4">
        <v>0.125</v>
      </c>
      <c r="I487" s="4">
        <v>-0.94925000000000004</v>
      </c>
      <c r="J487" s="4">
        <v>93.302374999999998</v>
      </c>
      <c r="K487" s="4">
        <v>-2.4166666666699999</v>
      </c>
      <c r="M487" s="4">
        <v>-4.7788750000000002</v>
      </c>
      <c r="O487" s="4">
        <v>104.06037499999999</v>
      </c>
    </row>
    <row r="488" spans="1:38">
      <c r="A488" s="188">
        <v>42828</v>
      </c>
      <c r="C488" s="4">
        <v>2.5659999999999998</v>
      </c>
      <c r="D488" s="4">
        <v>93.781750000000002</v>
      </c>
      <c r="G488" s="4">
        <v>-0.25</v>
      </c>
      <c r="I488" s="4">
        <v>-1.4530000000000001</v>
      </c>
      <c r="J488" s="4">
        <v>82.742999999999995</v>
      </c>
      <c r="K488" s="4">
        <v>-2.0833333333300001</v>
      </c>
      <c r="M488" s="4">
        <v>-4.2766250000000001</v>
      </c>
      <c r="O488" s="4">
        <v>100.24</v>
      </c>
    </row>
    <row r="489" spans="1:38">
      <c r="A489" s="188">
        <v>42829</v>
      </c>
      <c r="C489" s="4">
        <v>4.1972500000000004</v>
      </c>
      <c r="D489" s="4">
        <v>92.47</v>
      </c>
      <c r="G489" s="4">
        <v>3.625</v>
      </c>
      <c r="I489" s="4">
        <v>2.7545000000000002</v>
      </c>
      <c r="J489" s="4">
        <v>62.028750000000002</v>
      </c>
      <c r="K489" s="4">
        <v>0</v>
      </c>
      <c r="M489" s="4">
        <v>-3.2090000000000001</v>
      </c>
      <c r="O489" s="4">
        <v>99.648124999999993</v>
      </c>
    </row>
    <row r="490" spans="1:38">
      <c r="A490" s="188">
        <v>42830</v>
      </c>
      <c r="C490" s="4">
        <v>5.5780000000000003</v>
      </c>
      <c r="D490" s="4">
        <v>99.499499999999998</v>
      </c>
      <c r="G490" s="4">
        <v>2.875</v>
      </c>
      <c r="I490" s="4">
        <v>1.06</v>
      </c>
      <c r="J490" s="4">
        <v>103.313875</v>
      </c>
      <c r="K490" s="4">
        <v>-0.25</v>
      </c>
      <c r="M490" s="4">
        <v>-1.0742499999999999</v>
      </c>
      <c r="O490" s="4">
        <v>106.3135</v>
      </c>
    </row>
    <row r="491" spans="1:38">
      <c r="A491" s="188">
        <v>42831</v>
      </c>
      <c r="C491" s="4">
        <v>5.452375</v>
      </c>
      <c r="D491" s="4">
        <v>100.3925</v>
      </c>
      <c r="G491" s="4">
        <v>2.5625</v>
      </c>
      <c r="I491" s="4">
        <v>1.3111250000000001</v>
      </c>
      <c r="J491" s="4">
        <v>101.94012499999999</v>
      </c>
      <c r="K491" s="4">
        <v>0</v>
      </c>
      <c r="M491" s="4">
        <v>-0.88600000000000001</v>
      </c>
      <c r="O491" s="4">
        <v>105.76425</v>
      </c>
    </row>
    <row r="492" spans="1:38">
      <c r="A492" s="188">
        <v>42832</v>
      </c>
      <c r="C492" s="4">
        <v>5.3271249999999997</v>
      </c>
      <c r="D492" s="4">
        <v>99.886750000000006</v>
      </c>
      <c r="G492" s="4">
        <v>2.3125</v>
      </c>
      <c r="I492" s="4">
        <v>1.6251249999999999</v>
      </c>
      <c r="J492" s="4">
        <v>99.412999999999997</v>
      </c>
      <c r="K492" s="4">
        <v>0.166666666667</v>
      </c>
      <c r="M492" s="4">
        <v>-0.82337499999999997</v>
      </c>
      <c r="O492" s="4">
        <v>106.09037499999999</v>
      </c>
    </row>
    <row r="493" spans="1:38">
      <c r="A493" s="188">
        <v>42833</v>
      </c>
      <c r="C493" s="4">
        <v>3.7589999999999999</v>
      </c>
      <c r="D493" s="4">
        <v>102.892375</v>
      </c>
      <c r="G493" s="4">
        <v>0.625</v>
      </c>
      <c r="I493" s="4">
        <v>-0.76049999999999995</v>
      </c>
      <c r="J493" s="4">
        <v>99.314875000000001</v>
      </c>
      <c r="K493" s="4">
        <v>-2.75</v>
      </c>
      <c r="M493" s="4">
        <v>-3.9623750000000002</v>
      </c>
      <c r="O493" s="4">
        <v>106.320375</v>
      </c>
      <c r="AK493" s="183"/>
      <c r="AL493" s="183"/>
    </row>
    <row r="494" spans="1:38">
      <c r="A494" s="188">
        <v>42834</v>
      </c>
      <c r="C494" s="4">
        <v>3.194</v>
      </c>
      <c r="D494" s="4">
        <v>101.6835</v>
      </c>
      <c r="G494" s="4">
        <v>0.125</v>
      </c>
      <c r="I494" s="4">
        <v>-0.57262500000000005</v>
      </c>
      <c r="J494" s="4">
        <v>92.411000000000001</v>
      </c>
      <c r="K494" s="4">
        <v>-3.25</v>
      </c>
      <c r="M494" s="4">
        <v>-4.4649999999999999</v>
      </c>
      <c r="O494" s="4">
        <v>103.95037499999999</v>
      </c>
      <c r="AJ494" s="183"/>
      <c r="AK494" s="183"/>
      <c r="AL494" s="183"/>
    </row>
    <row r="495" spans="1:38">
      <c r="A495" s="188">
        <v>42835</v>
      </c>
      <c r="C495" s="4">
        <v>3.8217500000000002</v>
      </c>
      <c r="D495" s="4">
        <v>97.015625</v>
      </c>
      <c r="G495" s="4">
        <v>0.625</v>
      </c>
      <c r="I495" s="4">
        <v>-0.82325000000000004</v>
      </c>
      <c r="J495" s="4">
        <v>95.738</v>
      </c>
      <c r="K495" s="4">
        <v>-2.8333333333300001</v>
      </c>
      <c r="M495" s="4">
        <v>-4.2763749999999998</v>
      </c>
      <c r="O495" s="4">
        <v>105.500625</v>
      </c>
      <c r="AJ495" s="183"/>
      <c r="AK495" s="183"/>
      <c r="AL495" s="183"/>
    </row>
    <row r="496" spans="1:38">
      <c r="A496" s="188">
        <v>42836</v>
      </c>
      <c r="C496" s="4">
        <v>4.26</v>
      </c>
      <c r="D496" s="4">
        <v>90.713499999999996</v>
      </c>
      <c r="G496" s="4">
        <v>0.6875</v>
      </c>
      <c r="I496" s="4">
        <v>1.3728750000000001</v>
      </c>
      <c r="J496" s="4">
        <v>80.589875000000006</v>
      </c>
      <c r="K496" s="4">
        <v>-2.5</v>
      </c>
      <c r="M496" s="4">
        <v>-4.0880000000000001</v>
      </c>
      <c r="O496" s="4">
        <v>104.104125</v>
      </c>
      <c r="AJ496" s="183"/>
      <c r="AK496" s="183"/>
      <c r="AL496" s="183"/>
    </row>
    <row r="497" spans="1:38">
      <c r="A497" s="188">
        <v>42837</v>
      </c>
      <c r="C497" s="4">
        <v>5.7032499999999997</v>
      </c>
      <c r="D497" s="4">
        <v>98.165374999999997</v>
      </c>
      <c r="G497" s="4">
        <v>3.3125</v>
      </c>
      <c r="I497" s="4">
        <v>1.876125</v>
      </c>
      <c r="J497" s="4">
        <v>94.133250000000004</v>
      </c>
      <c r="K497" s="4">
        <v>-0.33333333333300003</v>
      </c>
      <c r="M497" s="4">
        <v>-1.3254999999999999</v>
      </c>
      <c r="O497" s="4">
        <v>106.84575</v>
      </c>
      <c r="AJ497" s="183"/>
    </row>
    <row r="498" spans="1:38">
      <c r="A498" s="188">
        <v>42838</v>
      </c>
      <c r="C498" s="4">
        <v>4.9506249999999996</v>
      </c>
      <c r="D498" s="4">
        <v>102.408125</v>
      </c>
      <c r="G498" s="4">
        <v>2.125</v>
      </c>
      <c r="I498" s="4">
        <v>0.43225000000000002</v>
      </c>
      <c r="J498" s="4">
        <v>100.85250000000001</v>
      </c>
      <c r="K498" s="4">
        <v>-0.83333333333299997</v>
      </c>
      <c r="M498" s="4">
        <v>-2.5182500000000001</v>
      </c>
      <c r="O498" s="4">
        <v>107.1835</v>
      </c>
    </row>
    <row r="499" spans="1:38">
      <c r="A499" s="188">
        <v>42839</v>
      </c>
      <c r="C499" s="4">
        <v>3.8843749999999999</v>
      </c>
      <c r="D499" s="4">
        <v>101.236</v>
      </c>
      <c r="G499" s="4">
        <v>0.75</v>
      </c>
      <c r="I499" s="4">
        <v>-0.32137500000000002</v>
      </c>
      <c r="J499" s="4">
        <v>97.802000000000007</v>
      </c>
      <c r="K499" s="4">
        <v>-2.5833333333300001</v>
      </c>
      <c r="M499" s="4">
        <v>-3.9623750000000002</v>
      </c>
      <c r="O499" s="4">
        <v>106.536625</v>
      </c>
    </row>
    <row r="500" spans="1:38">
      <c r="A500" s="188">
        <v>42840</v>
      </c>
      <c r="C500" s="4">
        <v>3.0058750000000001</v>
      </c>
      <c r="D500" s="4">
        <v>102.404875</v>
      </c>
      <c r="G500" s="4">
        <v>0.875</v>
      </c>
      <c r="I500" s="4">
        <v>1.1211249999999999</v>
      </c>
      <c r="J500" s="4">
        <v>92.106250000000003</v>
      </c>
      <c r="K500" s="4">
        <v>-2.0833333333300001</v>
      </c>
      <c r="M500" s="4">
        <v>-3.522875</v>
      </c>
      <c r="O500" s="4">
        <v>106.59050000000001</v>
      </c>
    </row>
    <row r="501" spans="1:38">
      <c r="A501" s="188">
        <v>42841</v>
      </c>
      <c r="C501" s="4">
        <v>5.2002499999999996</v>
      </c>
      <c r="D501" s="4">
        <v>93.109250000000003</v>
      </c>
      <c r="G501" s="4">
        <v>3.5625</v>
      </c>
      <c r="I501" s="4">
        <v>1.6225000000000001</v>
      </c>
      <c r="J501" s="4">
        <v>74.811750000000004</v>
      </c>
      <c r="K501" s="4">
        <v>-1.25</v>
      </c>
      <c r="M501" s="4">
        <v>-2.8322500000000002</v>
      </c>
      <c r="O501" s="4">
        <v>106.64449999999999</v>
      </c>
      <c r="AK501" s="183"/>
      <c r="AL501" s="183"/>
    </row>
    <row r="502" spans="1:38">
      <c r="A502" s="188">
        <v>42842</v>
      </c>
      <c r="C502" s="4">
        <v>6.8948749999999999</v>
      </c>
      <c r="D502" s="4">
        <v>95.632125000000002</v>
      </c>
      <c r="G502" s="4">
        <v>3.8125</v>
      </c>
      <c r="I502" s="4">
        <v>2.1902499999999998</v>
      </c>
      <c r="J502" s="4">
        <v>96.721000000000004</v>
      </c>
      <c r="K502" s="4">
        <v>0.66666666666700003</v>
      </c>
      <c r="M502" s="4">
        <v>-0.50949999999999995</v>
      </c>
      <c r="O502" s="4">
        <v>107.987375</v>
      </c>
      <c r="AJ502" s="183"/>
      <c r="AK502" s="183"/>
      <c r="AL502" s="183"/>
    </row>
    <row r="503" spans="1:38">
      <c r="A503" s="188">
        <v>42843</v>
      </c>
      <c r="C503" s="4">
        <v>6.1423750000000004</v>
      </c>
      <c r="D503" s="4">
        <v>97.605374999999995</v>
      </c>
      <c r="G503" s="4">
        <v>2.9375</v>
      </c>
      <c r="I503" s="4">
        <v>1.43675</v>
      </c>
      <c r="J503" s="4">
        <v>102.55125</v>
      </c>
      <c r="K503" s="4">
        <v>0.91666666666700003</v>
      </c>
      <c r="M503" s="4">
        <v>-0.94874999999999998</v>
      </c>
      <c r="O503" s="4">
        <v>107.93375</v>
      </c>
      <c r="AJ503" s="183"/>
      <c r="AK503" s="183"/>
      <c r="AL503" s="183"/>
    </row>
    <row r="504" spans="1:38">
      <c r="A504" s="188">
        <v>42844</v>
      </c>
      <c r="C504" s="4">
        <v>5.5778749999999997</v>
      </c>
      <c r="D504" s="4">
        <v>99.116</v>
      </c>
      <c r="G504" s="4">
        <v>2.625</v>
      </c>
      <c r="I504" s="4">
        <v>2.3156249999999998</v>
      </c>
      <c r="J504" s="4">
        <v>92.504999999999995</v>
      </c>
      <c r="K504" s="4">
        <v>0</v>
      </c>
      <c r="M504" s="4">
        <v>-1.4508749999999999</v>
      </c>
      <c r="O504" s="4">
        <v>107.667125</v>
      </c>
      <c r="R504" s="183"/>
      <c r="S504" s="183"/>
      <c r="AJ504" s="183"/>
      <c r="AK504" s="183"/>
      <c r="AL504" s="183"/>
    </row>
    <row r="505" spans="1:38">
      <c r="A505" s="188">
        <v>42845</v>
      </c>
      <c r="C505" s="4">
        <v>5.8916250000000003</v>
      </c>
      <c r="D505" s="4">
        <v>100.38925</v>
      </c>
      <c r="G505" s="4">
        <v>2.5</v>
      </c>
      <c r="I505" s="4">
        <v>2.1268750000000001</v>
      </c>
      <c r="J505" s="4">
        <v>97.438374999999994</v>
      </c>
      <c r="K505" s="4">
        <v>0</v>
      </c>
      <c r="M505" s="4">
        <v>-1.38825</v>
      </c>
      <c r="O505" s="4">
        <v>107.613375</v>
      </c>
      <c r="Q505" s="183"/>
      <c r="R505" s="183"/>
      <c r="S505" s="183"/>
      <c r="AJ505" s="183"/>
    </row>
    <row r="506" spans="1:38">
      <c r="A506" s="188">
        <v>42846</v>
      </c>
      <c r="C506" s="4">
        <v>6.8942500000000004</v>
      </c>
      <c r="D506" s="4">
        <v>93.856875000000002</v>
      </c>
      <c r="G506" s="4">
        <v>4.75</v>
      </c>
      <c r="I506" s="4">
        <v>4.0707500000000003</v>
      </c>
      <c r="J506" s="4">
        <v>80.540625000000006</v>
      </c>
      <c r="K506" s="4">
        <v>0.75</v>
      </c>
      <c r="M506" s="4">
        <v>-0.69787500000000002</v>
      </c>
      <c r="O506" s="4">
        <v>107.82662500000001</v>
      </c>
      <c r="Q506" s="183"/>
      <c r="R506" s="183"/>
      <c r="S506" s="183"/>
    </row>
    <row r="507" spans="1:38">
      <c r="A507" s="188">
        <v>42847</v>
      </c>
      <c r="C507" s="4">
        <v>7.1455000000000002</v>
      </c>
      <c r="D507" s="4">
        <v>94.637749999999997</v>
      </c>
      <c r="G507" s="4">
        <v>5.8125</v>
      </c>
      <c r="I507" s="4">
        <v>4.3855000000000004</v>
      </c>
      <c r="J507" s="4">
        <v>76.172875000000005</v>
      </c>
      <c r="K507" s="4">
        <v>0.91666666666700003</v>
      </c>
      <c r="M507" s="4">
        <v>-0.25850000000000001</v>
      </c>
      <c r="O507" s="4">
        <v>106.90625</v>
      </c>
      <c r="Q507" s="183"/>
      <c r="R507" s="183"/>
      <c r="S507" s="183"/>
    </row>
    <row r="508" spans="1:38">
      <c r="A508" s="188">
        <v>42848</v>
      </c>
      <c r="C508" s="4">
        <v>7.0203749999999996</v>
      </c>
      <c r="D508" s="4">
        <v>94.198875000000001</v>
      </c>
      <c r="G508" s="4">
        <v>2.9375</v>
      </c>
      <c r="I508" s="4">
        <v>1.81325</v>
      </c>
      <c r="J508" s="4">
        <v>99.470875000000007</v>
      </c>
      <c r="K508" s="4">
        <v>0.58333333333299997</v>
      </c>
      <c r="M508" s="4">
        <v>-1.3879999999999999</v>
      </c>
      <c r="O508" s="4">
        <v>107.987875</v>
      </c>
      <c r="Q508" s="183"/>
      <c r="R508" s="183"/>
      <c r="S508" s="183"/>
    </row>
    <row r="509" spans="1:38">
      <c r="A509" s="188">
        <v>42849</v>
      </c>
      <c r="C509" s="4">
        <v>7.2706249999999999</v>
      </c>
      <c r="D509" s="4">
        <v>88.711250000000007</v>
      </c>
      <c r="G509" s="4">
        <v>3</v>
      </c>
      <c r="I509" s="4">
        <v>3.3181250000000002</v>
      </c>
      <c r="J509" s="4">
        <v>87.907124999999994</v>
      </c>
      <c r="K509" s="4">
        <v>0.166666666667</v>
      </c>
      <c r="M509" s="4">
        <v>-1.5767500000000001</v>
      </c>
      <c r="O509" s="4">
        <v>107.71912500000001</v>
      </c>
      <c r="Q509" s="183"/>
      <c r="R509" s="183"/>
      <c r="S509" s="183"/>
    </row>
    <row r="510" spans="1:38">
      <c r="A510" s="188">
        <v>42850</v>
      </c>
      <c r="C510" s="4">
        <v>8.1489999999999991</v>
      </c>
      <c r="D510" s="4">
        <v>86.959625000000003</v>
      </c>
      <c r="G510" s="4">
        <v>4.125</v>
      </c>
      <c r="I510" s="4">
        <v>2.9427500000000002</v>
      </c>
      <c r="J510" s="4">
        <v>92.217500000000001</v>
      </c>
      <c r="K510" s="4">
        <v>0.83333333333299997</v>
      </c>
      <c r="M510" s="4">
        <v>-1.0115000000000001</v>
      </c>
      <c r="O510" s="4">
        <v>108.25375</v>
      </c>
      <c r="Q510" s="183"/>
      <c r="R510" s="183"/>
      <c r="S510" s="183"/>
    </row>
    <row r="511" spans="1:38">
      <c r="A511" s="188">
        <v>42851</v>
      </c>
      <c r="C511" s="4">
        <v>5.89175</v>
      </c>
      <c r="D511" s="4">
        <v>100.277625</v>
      </c>
      <c r="G511" s="4">
        <v>2.4375</v>
      </c>
      <c r="I511" s="4">
        <v>2.0013749999999999</v>
      </c>
      <c r="J511" s="4">
        <v>96.311499999999995</v>
      </c>
      <c r="K511" s="4">
        <v>0.166666666667</v>
      </c>
      <c r="M511" s="4">
        <v>-1.8901250000000001</v>
      </c>
      <c r="O511" s="4">
        <v>107.772875</v>
      </c>
      <c r="Q511" s="183"/>
      <c r="R511" s="183"/>
      <c r="S511" s="183"/>
    </row>
    <row r="512" spans="1:38">
      <c r="A512" s="188">
        <v>42852</v>
      </c>
      <c r="C512" s="4">
        <v>3.6960000000000002</v>
      </c>
      <c r="D512" s="4">
        <v>100.326875</v>
      </c>
      <c r="G512" s="4">
        <v>1.0625</v>
      </c>
      <c r="I512" s="4">
        <v>1.1223749999999999</v>
      </c>
      <c r="J512" s="4">
        <v>94.467624999999998</v>
      </c>
      <c r="K512" s="4">
        <v>-1.1666666666700001</v>
      </c>
      <c r="M512" s="4">
        <v>-3.0833750000000002</v>
      </c>
      <c r="O512" s="4">
        <v>107.13062499999999</v>
      </c>
      <c r="Q512" s="183"/>
      <c r="R512" s="183"/>
      <c r="S512" s="183"/>
    </row>
    <row r="513" spans="1:38">
      <c r="A513" s="188">
        <v>42853</v>
      </c>
      <c r="C513" s="4">
        <v>5.8911249999999997</v>
      </c>
      <c r="D513" s="4">
        <v>92.249624999999995</v>
      </c>
      <c r="G513" s="4">
        <v>2.125</v>
      </c>
      <c r="I513" s="4">
        <v>1.62425</v>
      </c>
      <c r="J513" s="4">
        <v>95.837374999999994</v>
      </c>
      <c r="K513" s="4">
        <v>-0.41666666666699997</v>
      </c>
      <c r="M513" s="4">
        <v>-2.2044999999999999</v>
      </c>
      <c r="O513" s="4">
        <v>107.50512500000001</v>
      </c>
      <c r="Q513" s="183"/>
      <c r="R513" s="183"/>
      <c r="S513" s="183"/>
      <c r="AK513" s="183"/>
      <c r="AL513" s="183"/>
    </row>
    <row r="514" spans="1:38">
      <c r="A514" s="188">
        <v>42854</v>
      </c>
      <c r="C514" s="4">
        <v>4.8877499999999996</v>
      </c>
      <c r="D514" s="4">
        <v>97.153874999999999</v>
      </c>
      <c r="G514" s="4">
        <v>1.8</v>
      </c>
      <c r="I514" s="4">
        <v>0.80874999999999997</v>
      </c>
      <c r="J514" s="4">
        <v>95.416375000000002</v>
      </c>
      <c r="K514" s="4">
        <v>-0.5</v>
      </c>
      <c r="M514" s="4">
        <v>-2.33</v>
      </c>
      <c r="O514" s="4">
        <v>107.55987500000001</v>
      </c>
      <c r="Q514" s="183"/>
      <c r="R514" s="183"/>
      <c r="S514" s="183"/>
      <c r="AJ514" s="183"/>
      <c r="AK514" s="183"/>
      <c r="AL514" s="183"/>
    </row>
    <row r="515" spans="1:38">
      <c r="A515" s="188">
        <v>42855</v>
      </c>
      <c r="C515" s="4">
        <v>5.766</v>
      </c>
      <c r="D515" s="4">
        <v>97.274249999999995</v>
      </c>
      <c r="I515" s="4">
        <v>1.8131250000000001</v>
      </c>
      <c r="J515" s="4">
        <v>95.994249999999994</v>
      </c>
      <c r="K515" s="4">
        <v>8.3333333333299994E-2</v>
      </c>
      <c r="M515" s="4">
        <v>-2.3926249999999998</v>
      </c>
      <c r="O515" s="4">
        <v>107.558375</v>
      </c>
      <c r="Q515" s="183"/>
      <c r="R515" s="183"/>
      <c r="S515" s="183"/>
      <c r="AJ515" s="183"/>
      <c r="AK515" s="183"/>
      <c r="AL515" s="183"/>
    </row>
    <row r="516" spans="1:38">
      <c r="A516" s="188">
        <v>42856</v>
      </c>
      <c r="C516" s="4">
        <v>5.5778749999999997</v>
      </c>
      <c r="D516" s="4">
        <v>96.772874999999999</v>
      </c>
      <c r="I516" s="4">
        <v>1.499125</v>
      </c>
      <c r="J516" s="4">
        <v>96.143375000000006</v>
      </c>
      <c r="K516" s="4">
        <v>-0.25</v>
      </c>
      <c r="M516" s="4">
        <v>-2.20425</v>
      </c>
      <c r="O516" s="4">
        <v>107.451875</v>
      </c>
      <c r="Q516" s="183"/>
      <c r="AJ516" s="183"/>
      <c r="AK516" s="183"/>
      <c r="AL516" s="183"/>
    </row>
    <row r="517" spans="1:38">
      <c r="A517" s="188">
        <v>42857</v>
      </c>
      <c r="C517" s="4">
        <v>7.897125</v>
      </c>
      <c r="D517" s="4">
        <v>88.321375000000003</v>
      </c>
      <c r="I517" s="4">
        <v>4.0709999999999997</v>
      </c>
      <c r="J517" s="4">
        <v>86.267624999999995</v>
      </c>
      <c r="K517" s="4">
        <v>0.5</v>
      </c>
      <c r="M517" s="4">
        <v>-1.0118750000000001</v>
      </c>
      <c r="O517" s="4">
        <v>107.932625</v>
      </c>
      <c r="R517" s="183"/>
      <c r="S517" s="183"/>
      <c r="AJ517" s="183"/>
    </row>
    <row r="518" spans="1:38">
      <c r="A518" s="188">
        <v>42858</v>
      </c>
      <c r="C518" s="4">
        <v>9.8413749999999993</v>
      </c>
      <c r="D518" s="4">
        <v>98.445875000000001</v>
      </c>
      <c r="I518" s="4">
        <v>7.0830000000000002</v>
      </c>
      <c r="J518" s="4">
        <v>98.796374999999998</v>
      </c>
      <c r="K518" s="4">
        <v>4.8333333333299997</v>
      </c>
      <c r="M518" s="4">
        <v>4.8223750000000001</v>
      </c>
      <c r="O518" s="4">
        <v>107.611625</v>
      </c>
      <c r="Q518" s="183"/>
      <c r="R518" s="183"/>
      <c r="S518" s="183"/>
    </row>
    <row r="519" spans="1:38">
      <c r="A519" s="188">
        <v>42859</v>
      </c>
      <c r="C519" s="4">
        <v>13.223625</v>
      </c>
      <c r="D519" s="4">
        <v>90.566249999999997</v>
      </c>
      <c r="I519" s="4">
        <v>10.843624999999999</v>
      </c>
      <c r="J519" s="4">
        <v>75.216750000000005</v>
      </c>
      <c r="K519" s="4">
        <v>10.916666666699999</v>
      </c>
      <c r="M519" s="4">
        <v>10.714</v>
      </c>
      <c r="O519" s="4">
        <v>82.642499999999998</v>
      </c>
      <c r="Q519" s="183"/>
      <c r="R519" s="183"/>
      <c r="S519" s="183"/>
    </row>
    <row r="520" spans="1:38">
      <c r="A520" s="188">
        <v>42860</v>
      </c>
      <c r="C520" s="4">
        <v>9.9664999999999999</v>
      </c>
      <c r="D520" s="4">
        <v>98.838624999999993</v>
      </c>
      <c r="I520" s="4">
        <v>4.8877499999999996</v>
      </c>
      <c r="J520" s="4">
        <v>101.396125</v>
      </c>
      <c r="K520" s="4">
        <v>3.9166666666699999</v>
      </c>
      <c r="M520" s="4">
        <v>3.316875</v>
      </c>
      <c r="O520" s="4">
        <v>105.51975</v>
      </c>
      <c r="Q520" s="183"/>
      <c r="R520" s="183"/>
      <c r="S520" s="183"/>
    </row>
    <row r="521" spans="1:38">
      <c r="A521" s="188">
        <v>42861</v>
      </c>
      <c r="C521" s="4">
        <v>5.5151250000000003</v>
      </c>
      <c r="D521" s="4">
        <v>95.012375000000006</v>
      </c>
      <c r="I521" s="4">
        <v>0.99675000000000002</v>
      </c>
      <c r="J521" s="4">
        <v>95.282749999999993</v>
      </c>
      <c r="K521" s="4">
        <v>-1</v>
      </c>
      <c r="M521" s="4">
        <v>-2.70675</v>
      </c>
      <c r="O521" s="4">
        <v>107.02187499999999</v>
      </c>
      <c r="Q521" s="183"/>
      <c r="R521" s="183"/>
      <c r="S521" s="183"/>
    </row>
    <row r="522" spans="1:38">
      <c r="A522" s="188">
        <v>42862</v>
      </c>
      <c r="C522" s="4">
        <v>6.8311250000000001</v>
      </c>
      <c r="D522" s="4">
        <v>79.151624999999996</v>
      </c>
      <c r="I522" s="4">
        <v>2.6274999999999999</v>
      </c>
      <c r="J522" s="4">
        <v>82.997375000000005</v>
      </c>
      <c r="K522" s="4">
        <v>0.41666666666699997</v>
      </c>
      <c r="M522" s="4">
        <v>-1.63975</v>
      </c>
      <c r="O522" s="4">
        <v>105.881625</v>
      </c>
      <c r="Q522" s="183"/>
    </row>
    <row r="523" spans="1:38">
      <c r="A523" s="188">
        <v>42863</v>
      </c>
      <c r="C523" s="4">
        <v>7.772125</v>
      </c>
      <c r="D523" s="4">
        <v>83.964250000000007</v>
      </c>
      <c r="I523" s="4">
        <v>3.381875</v>
      </c>
      <c r="J523" s="4">
        <v>83.502250000000004</v>
      </c>
      <c r="K523" s="4">
        <v>2.4166666666699999</v>
      </c>
      <c r="M523" s="4">
        <v>5.5125E-2</v>
      </c>
      <c r="O523" s="4">
        <v>97.457374999999999</v>
      </c>
      <c r="R523" s="183"/>
      <c r="S523" s="183"/>
    </row>
    <row r="524" spans="1:38">
      <c r="A524" s="188">
        <v>42864</v>
      </c>
      <c r="C524" s="4">
        <v>9.9027499999999993</v>
      </c>
      <c r="D524" s="4">
        <v>82.703000000000003</v>
      </c>
      <c r="I524" s="4">
        <v>6.2030000000000003</v>
      </c>
      <c r="J524" s="4">
        <v>79.884124999999997</v>
      </c>
      <c r="K524" s="4">
        <v>5</v>
      </c>
      <c r="M524" s="4">
        <v>3.8816250000000001</v>
      </c>
      <c r="O524" s="4">
        <v>92.537000000000006</v>
      </c>
      <c r="Q524" s="183"/>
      <c r="R524" s="183"/>
      <c r="S524" s="183"/>
    </row>
    <row r="525" spans="1:38">
      <c r="A525" s="188">
        <v>42865</v>
      </c>
      <c r="C525" s="4">
        <v>12.159125</v>
      </c>
      <c r="D525" s="4">
        <v>81.361000000000004</v>
      </c>
      <c r="I525" s="4">
        <v>7.7097499999999997</v>
      </c>
      <c r="J525" s="4">
        <v>79.603499999999997</v>
      </c>
      <c r="K525" s="4">
        <v>7</v>
      </c>
      <c r="M525" s="4">
        <v>5.4493749999999999</v>
      </c>
      <c r="O525" s="4">
        <v>91.8</v>
      </c>
      <c r="Q525" s="183"/>
      <c r="R525" s="183"/>
      <c r="S525" s="183"/>
    </row>
    <row r="526" spans="1:38">
      <c r="A526" s="188">
        <v>42866</v>
      </c>
      <c r="C526" s="4">
        <v>9.5278749999999999</v>
      </c>
      <c r="D526" s="4">
        <v>94.396124999999998</v>
      </c>
      <c r="I526" s="4">
        <v>4.4483750000000004</v>
      </c>
      <c r="J526" s="4">
        <v>98.575374999999994</v>
      </c>
      <c r="K526" s="4">
        <v>3.6666666666699999</v>
      </c>
      <c r="M526" s="4">
        <v>2.4390000000000001</v>
      </c>
      <c r="O526" s="4">
        <v>106.13225</v>
      </c>
      <c r="Q526" s="183"/>
      <c r="R526" s="183"/>
      <c r="S526" s="183"/>
    </row>
    <row r="527" spans="1:38">
      <c r="A527" s="188">
        <v>42867</v>
      </c>
      <c r="C527" s="4">
        <v>5.3897500000000003</v>
      </c>
      <c r="D527" s="4">
        <v>96.909125000000003</v>
      </c>
      <c r="I527" s="4">
        <v>0.80900000000000005</v>
      </c>
      <c r="J527" s="4">
        <v>96.88</v>
      </c>
      <c r="K527" s="4">
        <v>-1</v>
      </c>
      <c r="M527" s="4">
        <v>-2.4553750000000001</v>
      </c>
      <c r="O527" s="4">
        <v>107.129375</v>
      </c>
      <c r="Q527" s="183"/>
      <c r="R527" s="183"/>
      <c r="S527" s="183"/>
    </row>
    <row r="528" spans="1:38">
      <c r="A528" s="188">
        <v>42868</v>
      </c>
      <c r="C528" s="4">
        <v>4.8878750000000002</v>
      </c>
      <c r="D528" s="4">
        <v>95.283749999999998</v>
      </c>
      <c r="I528" s="4">
        <v>1.6243749999999999</v>
      </c>
      <c r="J528" s="4">
        <v>93.552999999999997</v>
      </c>
      <c r="K528" s="4">
        <v>-0.33333333333300003</v>
      </c>
      <c r="M528" s="4">
        <v>-1.8905000000000001</v>
      </c>
      <c r="O528" s="4">
        <v>107.075875</v>
      </c>
      <c r="Q528" s="183"/>
      <c r="R528" s="183"/>
      <c r="S528" s="183"/>
    </row>
    <row r="529" spans="1:19">
      <c r="A529" s="188">
        <v>42869</v>
      </c>
      <c r="C529" s="4">
        <v>5.9539999999999997</v>
      </c>
      <c r="D529" s="4">
        <v>92.390375000000006</v>
      </c>
      <c r="I529" s="4">
        <v>2.816875</v>
      </c>
      <c r="J529" s="4">
        <v>90.321124999999995</v>
      </c>
      <c r="K529" s="4">
        <v>0.66666666666700003</v>
      </c>
      <c r="M529" s="4">
        <v>-1.3885000000000001</v>
      </c>
      <c r="O529" s="4">
        <v>106.09675</v>
      </c>
      <c r="Q529" s="183"/>
      <c r="R529" s="183"/>
      <c r="S529" s="183"/>
    </row>
    <row r="530" spans="1:19">
      <c r="A530" s="188">
        <v>42870</v>
      </c>
      <c r="C530" s="4">
        <v>5.7662500000000003</v>
      </c>
      <c r="D530" s="4">
        <v>97.828000000000003</v>
      </c>
      <c r="I530" s="4">
        <v>0.80900000000000005</v>
      </c>
      <c r="J530" s="4">
        <v>102.04225</v>
      </c>
      <c r="K530" s="4">
        <v>-0.66666666666700003</v>
      </c>
      <c r="M530" s="4">
        <v>-1.827375</v>
      </c>
      <c r="O530" s="4">
        <v>106.857625</v>
      </c>
      <c r="Q530" s="183"/>
      <c r="R530" s="183"/>
      <c r="S530" s="183"/>
    </row>
    <row r="531" spans="1:19">
      <c r="A531" s="188">
        <v>42871</v>
      </c>
      <c r="C531" s="4">
        <v>4.4488750000000001</v>
      </c>
      <c r="D531" s="4">
        <v>100.72475</v>
      </c>
      <c r="I531" s="4">
        <v>0.62050000000000005</v>
      </c>
      <c r="J531" s="4">
        <v>99.044375000000002</v>
      </c>
      <c r="K531" s="4">
        <v>-1.1666666666700001</v>
      </c>
      <c r="M531" s="4">
        <v>-2.016</v>
      </c>
      <c r="O531" s="4">
        <v>104.68487500000001</v>
      </c>
      <c r="Q531" s="183"/>
      <c r="R531" s="183"/>
      <c r="S531" s="183"/>
    </row>
    <row r="532" spans="1:19">
      <c r="A532" s="188">
        <v>42872</v>
      </c>
      <c r="C532" s="4">
        <v>7.4586249999999996</v>
      </c>
      <c r="D532" s="4">
        <v>93.754999999999995</v>
      </c>
      <c r="I532" s="4">
        <v>2.6291250000000002</v>
      </c>
      <c r="J532" s="4">
        <v>100.287375</v>
      </c>
      <c r="K532" s="4">
        <v>1.5833333333299999</v>
      </c>
      <c r="M532" s="4">
        <v>0.74550000000000005</v>
      </c>
      <c r="O532" s="4">
        <v>105.186375</v>
      </c>
      <c r="Q532" s="183"/>
      <c r="R532" s="183"/>
      <c r="S532" s="183"/>
    </row>
    <row r="533" spans="1:19">
      <c r="A533" s="188">
        <v>42873</v>
      </c>
      <c r="C533" s="4">
        <v>10.780625000000001</v>
      </c>
      <c r="D533" s="4">
        <v>81.469499999999996</v>
      </c>
      <c r="I533" s="4">
        <v>5.4512499999999999</v>
      </c>
      <c r="J533" s="4">
        <v>89.868499999999997</v>
      </c>
      <c r="K533" s="4">
        <v>3.4166666666699999</v>
      </c>
      <c r="M533" s="4">
        <v>2.062875</v>
      </c>
      <c r="O533" s="4">
        <v>104.398</v>
      </c>
      <c r="Q533" s="183"/>
      <c r="R533" s="183"/>
      <c r="S533" s="183"/>
    </row>
    <row r="534" spans="1:19">
      <c r="A534" s="188">
        <v>42874</v>
      </c>
      <c r="C534" s="4">
        <v>10.843500000000001</v>
      </c>
      <c r="D534" s="4">
        <v>86.951374999999999</v>
      </c>
      <c r="I534" s="4">
        <v>5.765625</v>
      </c>
      <c r="J534" s="4">
        <v>86.793374999999997</v>
      </c>
      <c r="K534" s="4">
        <v>6</v>
      </c>
      <c r="M534" s="4">
        <v>4.3834999999999997</v>
      </c>
      <c r="O534" s="4">
        <v>97.061374999999998</v>
      </c>
      <c r="Q534" s="183"/>
      <c r="R534" s="183"/>
      <c r="S534" s="183"/>
    </row>
    <row r="535" spans="1:19">
      <c r="A535" s="188">
        <v>42875</v>
      </c>
      <c r="C535" s="4">
        <v>13.72425</v>
      </c>
      <c r="D535" s="4">
        <v>76.791250000000005</v>
      </c>
      <c r="I535" s="4">
        <v>7.1447500000000002</v>
      </c>
      <c r="J535" s="4">
        <v>86.231750000000005</v>
      </c>
      <c r="K535" s="4">
        <v>8.1666666666700003</v>
      </c>
      <c r="M535" s="4">
        <v>6.8911249999999997</v>
      </c>
      <c r="O535" s="4">
        <v>88.386750000000006</v>
      </c>
      <c r="Q535" s="183"/>
      <c r="R535" s="183"/>
      <c r="S535" s="183"/>
    </row>
    <row r="536" spans="1:19">
      <c r="A536" s="188">
        <v>42876</v>
      </c>
      <c r="C536" s="4">
        <v>15.28875</v>
      </c>
      <c r="D536" s="4">
        <v>70.968000000000004</v>
      </c>
      <c r="I536" s="4">
        <v>8.5863750000000003</v>
      </c>
      <c r="J536" s="4">
        <v>73.810625000000002</v>
      </c>
      <c r="K536" s="4">
        <v>13.333333333300001</v>
      </c>
      <c r="M536" s="4">
        <v>11.5905</v>
      </c>
      <c r="O536" s="4">
        <v>58.792250000000003</v>
      </c>
      <c r="Q536" s="183"/>
      <c r="R536" s="183"/>
      <c r="S536" s="183"/>
    </row>
    <row r="537" spans="1:19">
      <c r="A537" s="188">
        <v>42877</v>
      </c>
      <c r="C537" s="4">
        <v>16.790749999999999</v>
      </c>
      <c r="D537" s="4">
        <v>63.916375000000002</v>
      </c>
      <c r="I537" s="4">
        <v>9.7774999999999999</v>
      </c>
      <c r="J537" s="4">
        <v>66.867625000000004</v>
      </c>
      <c r="K537" s="4">
        <v>14.833333333300001</v>
      </c>
      <c r="M537" s="4">
        <v>13.782500000000001</v>
      </c>
      <c r="O537" s="4">
        <v>48.856875000000002</v>
      </c>
      <c r="Q537" s="183"/>
      <c r="R537" s="183"/>
      <c r="S537" s="183"/>
    </row>
    <row r="538" spans="1:19">
      <c r="A538" s="188">
        <v>42878</v>
      </c>
      <c r="C538" s="4">
        <v>16.103249999999999</v>
      </c>
      <c r="D538" s="4">
        <v>60.267000000000003</v>
      </c>
      <c r="I538" s="4">
        <v>11.28125</v>
      </c>
      <c r="J538" s="4">
        <v>63.500999999999998</v>
      </c>
      <c r="K538" s="4">
        <v>11.75</v>
      </c>
      <c r="M538" s="4">
        <v>10.462624999999999</v>
      </c>
      <c r="O538" s="4">
        <v>62.420749999999998</v>
      </c>
      <c r="Q538" s="183"/>
      <c r="R538" s="183"/>
      <c r="S538" s="183"/>
    </row>
    <row r="539" spans="1:19">
      <c r="A539" s="188">
        <v>42879</v>
      </c>
      <c r="C539" s="4">
        <v>8.1488750000000003</v>
      </c>
      <c r="D539" s="4">
        <v>84.887874999999994</v>
      </c>
      <c r="I539" s="4">
        <v>2.5665</v>
      </c>
      <c r="J539" s="4">
        <v>92.331125</v>
      </c>
      <c r="K539" s="4">
        <v>0.75</v>
      </c>
      <c r="M539" s="4">
        <v>-0.94899999999999995</v>
      </c>
      <c r="O539" s="4">
        <v>101.93125000000001</v>
      </c>
      <c r="Q539" s="183"/>
      <c r="R539" s="183"/>
      <c r="S539" s="183"/>
    </row>
    <row r="540" spans="1:19">
      <c r="A540" s="188">
        <v>42880</v>
      </c>
      <c r="C540" s="4">
        <v>11.092375000000001</v>
      </c>
      <c r="D540" s="4">
        <v>79.972875000000002</v>
      </c>
      <c r="I540" s="4">
        <v>5.9522500000000003</v>
      </c>
      <c r="J540" s="4">
        <v>83.784750000000003</v>
      </c>
      <c r="K540" s="4">
        <v>6.5</v>
      </c>
      <c r="M540" s="4">
        <v>6.0131249999999996</v>
      </c>
      <c r="O540" s="4">
        <v>84.470875000000007</v>
      </c>
      <c r="Q540" s="183"/>
      <c r="R540" s="183"/>
      <c r="S540" s="183"/>
    </row>
    <row r="541" spans="1:19">
      <c r="A541" s="188">
        <v>42881</v>
      </c>
      <c r="C541" s="4">
        <v>14.912750000000001</v>
      </c>
      <c r="D541" s="4">
        <v>68.719750000000005</v>
      </c>
      <c r="I541" s="4">
        <v>7.7717499999999999</v>
      </c>
      <c r="J541" s="4">
        <v>76.647374999999997</v>
      </c>
      <c r="K541" s="4">
        <v>11.083333333300001</v>
      </c>
      <c r="M541" s="4">
        <v>10.0245</v>
      </c>
      <c r="O541" s="4">
        <v>64.883750000000006</v>
      </c>
      <c r="Q541" s="183"/>
      <c r="R541" s="183"/>
      <c r="S541" s="183"/>
    </row>
    <row r="542" spans="1:19">
      <c r="A542" s="188">
        <v>42882</v>
      </c>
      <c r="C542" s="4">
        <v>16.790375000000001</v>
      </c>
      <c r="D542" s="4">
        <v>59.354999999999997</v>
      </c>
      <c r="I542" s="4">
        <v>9.4637499999999992</v>
      </c>
      <c r="J542" s="4">
        <v>67.389624999999995</v>
      </c>
      <c r="K542" s="4">
        <v>13.333333333300001</v>
      </c>
      <c r="M542" s="4">
        <v>12.655374999999999</v>
      </c>
      <c r="O542" s="4">
        <v>51.529874999999997</v>
      </c>
      <c r="Q542" s="183"/>
      <c r="R542" s="183"/>
      <c r="S542" s="183"/>
    </row>
    <row r="543" spans="1:19">
      <c r="A543" s="188">
        <v>42883</v>
      </c>
      <c r="C543" s="4">
        <v>18.668125</v>
      </c>
      <c r="D543" s="4">
        <v>60.722375</v>
      </c>
      <c r="I543" s="4">
        <v>10.780250000000001</v>
      </c>
      <c r="J543" s="4">
        <v>68.413250000000005</v>
      </c>
      <c r="K543" s="4">
        <v>15.833333333300001</v>
      </c>
      <c r="M543" s="4">
        <v>14.346500000000001</v>
      </c>
      <c r="O543" s="4">
        <v>56.033625000000001</v>
      </c>
      <c r="Q543" s="183"/>
      <c r="R543" s="183"/>
      <c r="S543" s="183"/>
    </row>
    <row r="544" spans="1:19">
      <c r="A544" s="188">
        <v>42884</v>
      </c>
      <c r="C544" s="4">
        <v>18.668125</v>
      </c>
      <c r="D544" s="4">
        <v>58.510249999999999</v>
      </c>
      <c r="I544" s="4">
        <v>10.342000000000001</v>
      </c>
      <c r="J544" s="4">
        <v>61.360500000000002</v>
      </c>
      <c r="K544" s="4">
        <v>16.916666666699999</v>
      </c>
      <c r="M544" s="4">
        <v>15.347625000000001</v>
      </c>
      <c r="O544" s="4">
        <v>39.3035</v>
      </c>
      <c r="Q544" s="183"/>
      <c r="R544" s="183"/>
      <c r="S544" s="183"/>
    </row>
    <row r="545" spans="1:19">
      <c r="A545" s="188">
        <v>42885</v>
      </c>
      <c r="C545" s="4">
        <v>12.598375000000001</v>
      </c>
      <c r="D545" s="4">
        <v>84.872375000000005</v>
      </c>
      <c r="I545" s="4">
        <v>9.4652499999999993</v>
      </c>
      <c r="J545" s="4">
        <v>76.401250000000005</v>
      </c>
      <c r="K545" s="4">
        <v>13</v>
      </c>
      <c r="M545" s="4">
        <v>12.153499999999999</v>
      </c>
      <c r="O545" s="4">
        <v>68.858374999999995</v>
      </c>
      <c r="Q545" s="183"/>
      <c r="R545" s="183"/>
      <c r="S545" s="183"/>
    </row>
    <row r="546" spans="1:19">
      <c r="A546" s="188">
        <v>42886</v>
      </c>
      <c r="C546" s="4">
        <v>11.78375</v>
      </c>
      <c r="D546" s="4">
        <v>90.748374999999996</v>
      </c>
      <c r="I546" s="4">
        <v>6.7690000000000001</v>
      </c>
      <c r="J546" s="4">
        <v>96.791499999999999</v>
      </c>
      <c r="K546" s="4">
        <v>6.5833333333299997</v>
      </c>
      <c r="M546" s="4">
        <v>5.7003750000000002</v>
      </c>
      <c r="O546" s="4">
        <v>103.708625</v>
      </c>
      <c r="Q546" s="183"/>
      <c r="R546" s="183"/>
      <c r="S546" s="183"/>
    </row>
    <row r="547" spans="1:19">
      <c r="A547" s="188">
        <v>42887</v>
      </c>
      <c r="C547" s="4">
        <v>11.909375000000001</v>
      </c>
      <c r="D547" s="4">
        <v>90.23075</v>
      </c>
      <c r="I547" s="4">
        <v>6.6444999999999999</v>
      </c>
      <c r="J547" s="4">
        <v>102.567875</v>
      </c>
      <c r="K547" s="4">
        <v>5.9166666666700003</v>
      </c>
      <c r="M547" s="4">
        <v>4.7598750000000001</v>
      </c>
      <c r="O547" s="4">
        <v>107.13</v>
      </c>
      <c r="Q547" s="183"/>
      <c r="R547" s="183"/>
      <c r="S547" s="183"/>
    </row>
    <row r="548" spans="1:19">
      <c r="A548" s="188">
        <v>42888</v>
      </c>
      <c r="C548" s="4">
        <v>11.094875</v>
      </c>
      <c r="D548" s="4">
        <v>92.832125000000005</v>
      </c>
      <c r="I548" s="4">
        <v>5.8285</v>
      </c>
      <c r="J548" s="4">
        <v>96.617750000000001</v>
      </c>
      <c r="K548" s="4">
        <v>5.0833333333299997</v>
      </c>
      <c r="M548" s="4">
        <v>3.5057499999999999</v>
      </c>
      <c r="O548" s="4">
        <v>106.886875</v>
      </c>
      <c r="Q548" s="183"/>
      <c r="R548" s="183"/>
      <c r="S548" s="183"/>
    </row>
    <row r="549" spans="1:19">
      <c r="A549" s="188">
        <v>42889</v>
      </c>
      <c r="C549" s="4">
        <v>10.718624999999999</v>
      </c>
      <c r="D549" s="4">
        <v>90.127250000000004</v>
      </c>
      <c r="I549" s="4">
        <v>7.2711249999999996</v>
      </c>
      <c r="J549" s="4">
        <v>88.585125000000005</v>
      </c>
      <c r="K549" s="4">
        <v>6.4166666666700003</v>
      </c>
      <c r="M549" s="4">
        <v>5.1987500000000004</v>
      </c>
      <c r="O549" s="4">
        <v>98.118750000000006</v>
      </c>
      <c r="Q549" s="183"/>
      <c r="R549" s="183"/>
      <c r="S549" s="183"/>
    </row>
    <row r="550" spans="1:19">
      <c r="A550" s="188">
        <v>42890</v>
      </c>
      <c r="C550" s="4">
        <v>11.407875000000001</v>
      </c>
      <c r="D550" s="4">
        <v>79.319874999999996</v>
      </c>
      <c r="I550" s="4">
        <v>5.389875</v>
      </c>
      <c r="J550" s="4">
        <v>90.940250000000006</v>
      </c>
      <c r="K550" s="4">
        <v>3.4166666666699999</v>
      </c>
      <c r="M550" s="4">
        <v>2.251125</v>
      </c>
      <c r="O550" s="4">
        <v>104.382625</v>
      </c>
      <c r="Q550" s="183"/>
      <c r="R550" s="183"/>
      <c r="S550" s="183"/>
    </row>
    <row r="551" spans="1:19">
      <c r="A551" s="188">
        <v>42891</v>
      </c>
      <c r="C551" s="4">
        <v>12.345000000000001</v>
      </c>
      <c r="D551" s="4">
        <v>70.494375000000005</v>
      </c>
      <c r="I551" s="4">
        <v>6.3908750000000003</v>
      </c>
      <c r="J551" s="4">
        <v>75.573750000000004</v>
      </c>
      <c r="K551" s="4">
        <v>7.25</v>
      </c>
      <c r="M551" s="4">
        <v>5.8873749999999996</v>
      </c>
      <c r="O551" s="4">
        <v>75.504249999999999</v>
      </c>
      <c r="Q551" s="183"/>
      <c r="R551" s="183"/>
      <c r="S551" s="183"/>
    </row>
    <row r="552" spans="1:19">
      <c r="A552" s="188">
        <v>42892</v>
      </c>
      <c r="C552" s="4">
        <v>16.978750000000002</v>
      </c>
      <c r="D552" s="4">
        <v>61.073875000000001</v>
      </c>
      <c r="I552" s="4">
        <v>9.9031249999999993</v>
      </c>
      <c r="J552" s="4">
        <v>63.152625</v>
      </c>
      <c r="K552" s="4">
        <v>13.833333333300001</v>
      </c>
      <c r="M552" s="4">
        <v>12.154375</v>
      </c>
      <c r="O552" s="4">
        <v>47.021374999999999</v>
      </c>
      <c r="Q552" s="183"/>
      <c r="R552" s="183"/>
      <c r="S552" s="183"/>
    </row>
    <row r="553" spans="1:19">
      <c r="A553" s="188">
        <v>42893</v>
      </c>
      <c r="C553" s="4">
        <v>18.731750000000002</v>
      </c>
      <c r="D553" s="4">
        <v>60.673250000000003</v>
      </c>
      <c r="I553" s="4">
        <v>10.968375</v>
      </c>
      <c r="J553" s="4">
        <v>64.562375000000003</v>
      </c>
      <c r="K553" s="4">
        <v>16.083333333300001</v>
      </c>
      <c r="M553" s="4">
        <v>14.721625</v>
      </c>
      <c r="O553" s="4">
        <v>50.501125000000002</v>
      </c>
      <c r="Q553" s="183"/>
      <c r="R553" s="183"/>
      <c r="S553" s="183"/>
    </row>
    <row r="554" spans="1:19">
      <c r="A554" s="188">
        <v>42894</v>
      </c>
      <c r="C554" s="4">
        <v>12.222375</v>
      </c>
      <c r="D554" s="4">
        <v>89.440124999999995</v>
      </c>
      <c r="I554" s="4">
        <v>6.5186250000000001</v>
      </c>
      <c r="J554" s="4">
        <v>98.421374999999998</v>
      </c>
      <c r="K554" s="4">
        <v>7</v>
      </c>
      <c r="M554" s="4">
        <v>5.6998749999999996</v>
      </c>
      <c r="O554" s="4">
        <v>101.404375</v>
      </c>
      <c r="Q554" s="183"/>
      <c r="R554" s="183"/>
      <c r="S554" s="183"/>
    </row>
    <row r="555" spans="1:19">
      <c r="A555" s="188">
        <v>42895</v>
      </c>
      <c r="C555" s="4">
        <v>8.9011250000000004</v>
      </c>
      <c r="D555" s="4">
        <v>89.864374999999995</v>
      </c>
      <c r="I555" s="4">
        <v>4.5111249999999998</v>
      </c>
      <c r="J555" s="4">
        <v>92.246875000000003</v>
      </c>
      <c r="K555" s="4">
        <v>2.5</v>
      </c>
      <c r="M555" s="4">
        <v>0.43175000000000002</v>
      </c>
      <c r="O555" s="4">
        <v>107.880875</v>
      </c>
      <c r="Q555" s="183"/>
      <c r="R555" s="183"/>
      <c r="S555" s="183"/>
    </row>
    <row r="556" spans="1:19">
      <c r="A556" s="188">
        <v>42896</v>
      </c>
      <c r="C556" s="4">
        <v>8.9640000000000004</v>
      </c>
      <c r="D556" s="4">
        <v>93.638874999999999</v>
      </c>
      <c r="I556" s="4">
        <v>3.7586249999999999</v>
      </c>
      <c r="J556" s="4">
        <v>99.182374999999993</v>
      </c>
      <c r="K556" s="4">
        <v>2.5833333333300001</v>
      </c>
      <c r="M556" s="4">
        <v>0.99650000000000005</v>
      </c>
      <c r="O556" s="4">
        <v>108.14749999999999</v>
      </c>
      <c r="Q556" s="183"/>
      <c r="R556" s="183"/>
      <c r="S556" s="183"/>
    </row>
    <row r="557" spans="1:19">
      <c r="A557" s="188">
        <v>42897</v>
      </c>
      <c r="C557" s="4">
        <v>11.595874999999999</v>
      </c>
      <c r="D557" s="4">
        <v>85.567999999999998</v>
      </c>
      <c r="I557" s="4">
        <v>4.4488750000000001</v>
      </c>
      <c r="J557" s="4">
        <v>94.434875000000005</v>
      </c>
      <c r="K557" s="4">
        <v>5.3333333333299997</v>
      </c>
      <c r="M557" s="4">
        <v>3.5682499999999999</v>
      </c>
      <c r="O557" s="4">
        <v>106.495125</v>
      </c>
      <c r="Q557" s="183"/>
      <c r="R557" s="183"/>
      <c r="S557" s="183"/>
    </row>
    <row r="558" spans="1:19">
      <c r="A558" s="188">
        <v>42898</v>
      </c>
      <c r="C558" s="4">
        <v>11.407999999999999</v>
      </c>
      <c r="D558" s="4">
        <v>88.694749999999999</v>
      </c>
      <c r="I558" s="4">
        <v>4.5117500000000001</v>
      </c>
      <c r="J558" s="4">
        <v>101.098125</v>
      </c>
      <c r="K558" s="4">
        <v>5.6666666666700003</v>
      </c>
      <c r="M558" s="4">
        <v>4.2581249999999997</v>
      </c>
      <c r="O558" s="4">
        <v>105.05725</v>
      </c>
      <c r="Q558" s="183"/>
      <c r="R558" s="183"/>
      <c r="S558" s="183"/>
    </row>
    <row r="559" spans="1:19">
      <c r="A559" s="188">
        <v>42899</v>
      </c>
      <c r="C559" s="4">
        <v>10.02975</v>
      </c>
      <c r="D559" s="4">
        <v>88.424625000000006</v>
      </c>
      <c r="I559" s="4">
        <v>3.69625</v>
      </c>
      <c r="J559" s="4">
        <v>102.99724999999999</v>
      </c>
      <c r="K559" s="4">
        <v>2.4166666666699999</v>
      </c>
      <c r="M559" s="4">
        <v>1.1220000000000001</v>
      </c>
      <c r="O559" s="4">
        <v>108.36024999999999</v>
      </c>
      <c r="Q559" s="183"/>
      <c r="R559" s="183"/>
      <c r="S559" s="183"/>
    </row>
    <row r="560" spans="1:19">
      <c r="A560" s="188">
        <v>42900</v>
      </c>
      <c r="C560" s="4">
        <v>9.4024999999999999</v>
      </c>
      <c r="D560" s="4">
        <v>89.360874999999993</v>
      </c>
      <c r="I560" s="4">
        <v>3.6960000000000002</v>
      </c>
      <c r="J560" s="4">
        <v>98.119375000000005</v>
      </c>
      <c r="K560" s="4">
        <v>1.75</v>
      </c>
      <c r="M560" s="4">
        <v>0.68274999999999997</v>
      </c>
      <c r="O560" s="4">
        <v>108.4635</v>
      </c>
      <c r="Q560" s="183"/>
      <c r="R560" s="183"/>
      <c r="S560" s="183"/>
    </row>
    <row r="561" spans="1:38">
      <c r="A561" s="188">
        <v>42901</v>
      </c>
      <c r="C561" s="4">
        <v>10.15475</v>
      </c>
      <c r="D561" s="4">
        <v>91.503375000000005</v>
      </c>
      <c r="I561" s="4">
        <v>5.7032499999999997</v>
      </c>
      <c r="J561" s="4">
        <v>98.356999999999999</v>
      </c>
      <c r="K561" s="4">
        <v>4.0833333333299997</v>
      </c>
      <c r="M561" s="4">
        <v>2.9412500000000001</v>
      </c>
      <c r="O561" s="4">
        <v>107.34225000000001</v>
      </c>
      <c r="Q561" s="183"/>
      <c r="R561" s="183"/>
      <c r="S561" s="183"/>
    </row>
    <row r="562" spans="1:38">
      <c r="A562" s="188">
        <v>42902</v>
      </c>
      <c r="C562" s="4">
        <v>10.468249999999999</v>
      </c>
      <c r="D562" s="4">
        <v>93.316625000000002</v>
      </c>
      <c r="I562" s="4">
        <v>5.8916250000000003</v>
      </c>
      <c r="J562" s="4">
        <v>101.731875</v>
      </c>
      <c r="K562" s="4">
        <v>4.9166666666700003</v>
      </c>
      <c r="M562" s="4">
        <v>3.8192499999999998</v>
      </c>
      <c r="O562" s="4">
        <v>108.094375</v>
      </c>
      <c r="Q562" s="183"/>
      <c r="R562" s="183"/>
      <c r="S562" s="183"/>
    </row>
    <row r="563" spans="1:38">
      <c r="A563" s="188">
        <v>42903</v>
      </c>
      <c r="C563" s="4">
        <v>10.217000000000001</v>
      </c>
      <c r="D563" s="4">
        <v>87.659625000000005</v>
      </c>
      <c r="I563" s="4">
        <v>6.07925</v>
      </c>
      <c r="J563" s="4">
        <v>89.697999999999993</v>
      </c>
      <c r="K563" s="4">
        <v>4.3333333333299997</v>
      </c>
      <c r="M563" s="4">
        <v>2.6276250000000001</v>
      </c>
      <c r="O563" s="4">
        <v>105.79774999999999</v>
      </c>
      <c r="Q563" s="183"/>
      <c r="R563" s="183"/>
      <c r="S563" s="183"/>
    </row>
    <row r="564" spans="1:38">
      <c r="A564" s="188">
        <v>42904</v>
      </c>
      <c r="C564" s="4">
        <v>10.593624999999999</v>
      </c>
      <c r="D564" s="4">
        <v>91.318875000000006</v>
      </c>
      <c r="I564" s="4">
        <v>5.578125</v>
      </c>
      <c r="J564" s="4">
        <v>103.257875</v>
      </c>
      <c r="K564" s="4">
        <v>5.75</v>
      </c>
      <c r="M564" s="4">
        <v>4.6970000000000001</v>
      </c>
      <c r="O564" s="4">
        <v>108.14700000000001</v>
      </c>
      <c r="Q564" s="183"/>
      <c r="R564" s="183"/>
      <c r="S564" s="183"/>
    </row>
    <row r="565" spans="1:38">
      <c r="A565" s="188">
        <v>42905</v>
      </c>
      <c r="C565" s="4">
        <v>13.600125</v>
      </c>
      <c r="D565" s="4">
        <v>88.918625000000006</v>
      </c>
      <c r="I565" s="4">
        <v>8.3991249999999997</v>
      </c>
      <c r="J565" s="4">
        <v>90.475499999999997</v>
      </c>
      <c r="K565" s="4">
        <v>12</v>
      </c>
      <c r="M565" s="4">
        <v>10.901875</v>
      </c>
      <c r="O565" s="4">
        <v>90.162125000000003</v>
      </c>
      <c r="Q565" s="183"/>
      <c r="R565" s="183"/>
      <c r="S565" s="183"/>
      <c r="AK565" s="183"/>
      <c r="AL565" s="183"/>
    </row>
    <row r="566" spans="1:38">
      <c r="A566" s="188">
        <v>42906</v>
      </c>
      <c r="C566" s="4">
        <v>13.538125000000001</v>
      </c>
      <c r="D566" s="4">
        <v>89.992999999999995</v>
      </c>
      <c r="I566" s="4">
        <v>7.5218749999999996</v>
      </c>
      <c r="J566" s="4">
        <v>98.77</v>
      </c>
      <c r="K566" s="4">
        <v>9</v>
      </c>
      <c r="M566" s="4">
        <v>8.3332499999999996</v>
      </c>
      <c r="O566" s="4">
        <v>99.196124999999995</v>
      </c>
      <c r="Q566" s="183"/>
      <c r="R566" s="183"/>
      <c r="S566" s="183"/>
      <c r="AJ566" s="183"/>
      <c r="AK566" s="183"/>
      <c r="AL566" s="183"/>
    </row>
    <row r="567" spans="1:38">
      <c r="A567" s="188">
        <v>42907</v>
      </c>
      <c r="C567" s="4">
        <v>12.535500000000001</v>
      </c>
      <c r="D567" s="4">
        <v>78.539249999999996</v>
      </c>
      <c r="I567" s="4">
        <v>5.5153749999999997</v>
      </c>
      <c r="J567" s="4">
        <v>95.081125</v>
      </c>
      <c r="K567" s="4">
        <v>5.4166666666700003</v>
      </c>
      <c r="M567" s="4">
        <v>4.44625</v>
      </c>
      <c r="O567" s="4">
        <v>97.603875000000002</v>
      </c>
      <c r="Q567" s="183"/>
      <c r="R567" s="183"/>
      <c r="S567" s="183"/>
      <c r="AJ567" s="183"/>
      <c r="AK567" s="183"/>
      <c r="AL567" s="183"/>
    </row>
    <row r="568" spans="1:38">
      <c r="A568" s="188">
        <v>42908</v>
      </c>
      <c r="C568" s="4">
        <v>13.159750000000001</v>
      </c>
      <c r="D568" s="4">
        <v>73.224500000000006</v>
      </c>
      <c r="I568" s="4">
        <v>7.1435000000000004</v>
      </c>
      <c r="J568" s="4">
        <v>79.365375</v>
      </c>
      <c r="K568" s="4">
        <v>9.1666666666700003</v>
      </c>
      <c r="M568" s="4">
        <v>6.9533750000000003</v>
      </c>
      <c r="O568" s="4">
        <v>78.260499999999993</v>
      </c>
      <c r="Q568" s="183"/>
      <c r="R568" s="183"/>
      <c r="S568" s="183"/>
      <c r="AJ568" s="183"/>
      <c r="AK568" s="183"/>
      <c r="AL568" s="183"/>
    </row>
    <row r="569" spans="1:38">
      <c r="A569" s="188">
        <v>42909</v>
      </c>
      <c r="C569" s="4">
        <v>16.29025</v>
      </c>
      <c r="D569" s="4">
        <v>68.34</v>
      </c>
      <c r="I569" s="4">
        <v>9.6516249999999992</v>
      </c>
      <c r="J569" s="4">
        <v>71.485500000000002</v>
      </c>
      <c r="K569" s="4">
        <v>14.083333333300001</v>
      </c>
      <c r="M569" s="4">
        <v>11.903625</v>
      </c>
      <c r="O569" s="4">
        <v>59.644500000000001</v>
      </c>
      <c r="Q569" s="183"/>
      <c r="R569" s="183"/>
      <c r="S569" s="183"/>
      <c r="AJ569" s="183"/>
    </row>
    <row r="570" spans="1:38">
      <c r="A570" s="188">
        <v>42910</v>
      </c>
      <c r="C570" s="4">
        <v>19.668624999999999</v>
      </c>
      <c r="D570" s="4">
        <v>59.420749999999998</v>
      </c>
      <c r="I570" s="4">
        <v>11.469125</v>
      </c>
      <c r="J570" s="4">
        <v>61.840375000000002</v>
      </c>
      <c r="K570" s="4">
        <v>19.75</v>
      </c>
      <c r="M570" s="4">
        <v>16.536750000000001</v>
      </c>
      <c r="O570" s="4">
        <v>40.404249999999998</v>
      </c>
      <c r="Q570" s="183"/>
      <c r="R570" s="183"/>
      <c r="S570" s="183"/>
    </row>
    <row r="571" spans="1:38">
      <c r="A571" s="188">
        <v>42911</v>
      </c>
      <c r="C571" s="4">
        <v>22.170999999999999</v>
      </c>
      <c r="D571" s="4">
        <v>54.012500000000003</v>
      </c>
      <c r="I571" s="4">
        <v>13.975</v>
      </c>
      <c r="J571" s="4">
        <v>55.532499999999999</v>
      </c>
      <c r="K571" s="4">
        <v>21.666666666699999</v>
      </c>
      <c r="M571" s="4">
        <v>19.602875000000001</v>
      </c>
      <c r="O571" s="4">
        <v>35.360999999999997</v>
      </c>
      <c r="Q571" s="183"/>
      <c r="R571" s="183"/>
      <c r="S571" s="183"/>
    </row>
    <row r="572" spans="1:38">
      <c r="A572" s="188">
        <v>42912</v>
      </c>
      <c r="C572" s="4">
        <v>20.172374999999999</v>
      </c>
      <c r="D572" s="4">
        <v>53.907375000000002</v>
      </c>
      <c r="I572" s="4">
        <v>13.788</v>
      </c>
      <c r="J572" s="4">
        <v>60.225499999999997</v>
      </c>
      <c r="K572" s="4">
        <v>15.083333333300001</v>
      </c>
      <c r="M572" s="4">
        <v>14.408875</v>
      </c>
      <c r="O572" s="4">
        <v>52.355249999999998</v>
      </c>
      <c r="Q572" s="183"/>
      <c r="R572" s="183"/>
      <c r="S572" s="183"/>
    </row>
    <row r="573" spans="1:38">
      <c r="A573" s="188">
        <v>42913</v>
      </c>
      <c r="C573" s="4">
        <v>15.1655</v>
      </c>
      <c r="D573" s="4">
        <v>70.005499999999998</v>
      </c>
      <c r="I573" s="4">
        <v>8.2106250000000003</v>
      </c>
      <c r="J573" s="4">
        <v>81.8065</v>
      </c>
      <c r="K573" s="4">
        <v>9.9166666666700003</v>
      </c>
      <c r="M573" s="4">
        <v>8.8341250000000002</v>
      </c>
      <c r="O573" s="4">
        <v>81.297875000000005</v>
      </c>
      <c r="Q573" s="183"/>
      <c r="R573" s="183"/>
      <c r="S573" s="183"/>
    </row>
    <row r="574" spans="1:38">
      <c r="A574" s="188">
        <v>42914</v>
      </c>
      <c r="C574" s="4">
        <v>14.977625</v>
      </c>
      <c r="D574" s="4">
        <v>73.126999999999995</v>
      </c>
      <c r="I574" s="4">
        <v>7.7720000000000002</v>
      </c>
      <c r="J574" s="4">
        <v>87.64725</v>
      </c>
      <c r="K574" s="4">
        <v>9.25</v>
      </c>
      <c r="M574" s="4">
        <v>8.1448750000000008</v>
      </c>
      <c r="O574" s="4">
        <v>89.496750000000006</v>
      </c>
      <c r="Q574" s="183"/>
      <c r="R574" s="183"/>
      <c r="S574" s="183"/>
    </row>
    <row r="575" spans="1:38">
      <c r="A575" s="188">
        <v>42915</v>
      </c>
      <c r="C575" s="4">
        <v>16.47925</v>
      </c>
      <c r="D575" s="4">
        <v>77.184250000000006</v>
      </c>
      <c r="I575" s="4">
        <v>9.4636250000000004</v>
      </c>
      <c r="J575" s="4">
        <v>84.001125000000002</v>
      </c>
      <c r="K575" s="4">
        <v>13.333333333300001</v>
      </c>
      <c r="M575" s="4">
        <v>11.965999999999999</v>
      </c>
      <c r="O575" s="4">
        <v>77.552875</v>
      </c>
      <c r="Q575" s="183"/>
      <c r="R575" s="183"/>
      <c r="S575" s="183"/>
    </row>
    <row r="576" spans="1:38">
      <c r="A576" s="188">
        <v>42916</v>
      </c>
      <c r="C576" s="4">
        <v>19.045000000000002</v>
      </c>
      <c r="D576" s="4">
        <v>71.307874999999996</v>
      </c>
      <c r="I576" s="4">
        <v>11.907</v>
      </c>
      <c r="J576" s="4">
        <v>74.685249999999996</v>
      </c>
      <c r="K576" s="4">
        <v>16.833333333300001</v>
      </c>
      <c r="M576" s="4">
        <v>14.9095</v>
      </c>
      <c r="O576" s="4">
        <v>61.426499999999997</v>
      </c>
      <c r="Q576" s="183"/>
      <c r="R576" s="183"/>
      <c r="S576" s="183"/>
    </row>
    <row r="577" spans="1:38">
      <c r="A577" s="188">
        <v>42917</v>
      </c>
      <c r="C577" s="4">
        <v>17.732125</v>
      </c>
      <c r="D577" s="4">
        <v>70.679625000000001</v>
      </c>
      <c r="I577" s="4">
        <v>11.156499999999999</v>
      </c>
      <c r="J577" s="4">
        <v>77.745750000000001</v>
      </c>
      <c r="K577" s="4">
        <v>13</v>
      </c>
      <c r="M577" s="4">
        <v>12.09225</v>
      </c>
      <c r="O577" s="4">
        <v>76.682124999999999</v>
      </c>
      <c r="Q577" s="183"/>
      <c r="R577" s="183"/>
      <c r="S577" s="183"/>
      <c r="AK577" s="183"/>
      <c r="AL577" s="183"/>
    </row>
    <row r="578" spans="1:38">
      <c r="A578" s="188">
        <v>42918</v>
      </c>
      <c r="C578" s="4">
        <v>17.356000000000002</v>
      </c>
      <c r="D578" s="4">
        <v>72.189499999999995</v>
      </c>
      <c r="I578" s="4">
        <v>10.591875</v>
      </c>
      <c r="J578" s="4">
        <v>83.159000000000006</v>
      </c>
      <c r="K578" s="4">
        <v>12.333333333300001</v>
      </c>
      <c r="M578" s="4">
        <v>11.4655</v>
      </c>
      <c r="O578" s="4">
        <v>84.448374999999999</v>
      </c>
      <c r="Q578" s="183"/>
      <c r="R578" s="183"/>
      <c r="S578" s="183"/>
      <c r="AJ578" s="183"/>
      <c r="AK578" s="183"/>
      <c r="AL578" s="183"/>
    </row>
    <row r="579" spans="1:38">
      <c r="A579" s="188">
        <v>42919</v>
      </c>
      <c r="C579" s="4">
        <v>15.66675</v>
      </c>
      <c r="D579" s="4">
        <v>75.705124999999995</v>
      </c>
      <c r="I579" s="4">
        <v>9.5901250000000005</v>
      </c>
      <c r="J579" s="4">
        <v>84.426124999999999</v>
      </c>
      <c r="K579" s="4">
        <v>9.4166666666700003</v>
      </c>
      <c r="M579" s="4">
        <v>7.8941249999999998</v>
      </c>
      <c r="O579" s="4">
        <v>96.248249999999999</v>
      </c>
      <c r="Q579" s="183"/>
      <c r="R579" s="183"/>
      <c r="S579" s="183"/>
      <c r="AJ579" s="183"/>
      <c r="AK579" s="183"/>
      <c r="AL579" s="183"/>
    </row>
    <row r="580" spans="1:38">
      <c r="A580" s="188">
        <v>42920</v>
      </c>
      <c r="C580" s="4">
        <v>15.72775</v>
      </c>
      <c r="D580" s="4">
        <v>73.493750000000006</v>
      </c>
      <c r="I580" s="4">
        <v>9.9017499999999998</v>
      </c>
      <c r="J580" s="4">
        <v>76.932374999999993</v>
      </c>
      <c r="K580" s="4">
        <v>12.25</v>
      </c>
      <c r="M580" s="4">
        <v>11.402625</v>
      </c>
      <c r="O580" s="4">
        <v>67.418499999999995</v>
      </c>
      <c r="Q580" s="183"/>
      <c r="R580" s="183"/>
      <c r="S580" s="183"/>
      <c r="AJ580" s="183"/>
      <c r="AK580" s="183"/>
      <c r="AL580" s="183"/>
    </row>
    <row r="581" spans="1:38">
      <c r="A581" s="188">
        <v>42921</v>
      </c>
      <c r="C581" s="4">
        <v>18.731375</v>
      </c>
      <c r="D581" s="4">
        <v>63.794750000000001</v>
      </c>
      <c r="I581" s="4">
        <v>12.282</v>
      </c>
      <c r="J581" s="4">
        <v>61.343375000000002</v>
      </c>
      <c r="K581" s="4">
        <v>16.75</v>
      </c>
      <c r="M581" s="4">
        <v>15.723375000000001</v>
      </c>
      <c r="O581" s="4">
        <v>35.628124999999997</v>
      </c>
      <c r="Q581" s="183"/>
      <c r="R581" s="183"/>
      <c r="S581" s="183"/>
      <c r="AJ581" s="183"/>
    </row>
    <row r="582" spans="1:38">
      <c r="A582" s="188">
        <v>42922</v>
      </c>
      <c r="C582" s="4">
        <v>20.108499999999999</v>
      </c>
      <c r="D582" s="4">
        <v>60.696249999999999</v>
      </c>
      <c r="I582" s="4">
        <v>14.225875</v>
      </c>
      <c r="J582" s="4">
        <v>56.080125000000002</v>
      </c>
      <c r="K582" s="4">
        <v>18.333333333300001</v>
      </c>
      <c r="M582" s="4">
        <v>17.288125000000001</v>
      </c>
      <c r="O582" s="4">
        <v>42.392499999999998</v>
      </c>
      <c r="Q582" s="183"/>
      <c r="R582" s="183"/>
      <c r="S582" s="183"/>
    </row>
    <row r="583" spans="1:38">
      <c r="A583" s="188">
        <v>42923</v>
      </c>
      <c r="C583" s="4">
        <v>17.982749999999999</v>
      </c>
      <c r="D583" s="4">
        <v>69.626625000000004</v>
      </c>
      <c r="I583" s="4">
        <v>13.78725</v>
      </c>
      <c r="J583" s="4">
        <v>66.465999999999994</v>
      </c>
      <c r="K583" s="4">
        <v>15.833333333300001</v>
      </c>
      <c r="M583" s="4">
        <v>15.410500000000001</v>
      </c>
      <c r="O583" s="4">
        <v>56.415374999999997</v>
      </c>
      <c r="Q583" s="183"/>
      <c r="R583" s="183"/>
      <c r="S583" s="183"/>
    </row>
    <row r="584" spans="1:38">
      <c r="A584" s="188">
        <v>42924</v>
      </c>
      <c r="C584" s="4">
        <v>17.543375000000001</v>
      </c>
      <c r="D584" s="4">
        <v>74.229875000000007</v>
      </c>
      <c r="I584" s="4">
        <v>11.594625000000001</v>
      </c>
      <c r="J584" s="4">
        <v>79.293999999999997</v>
      </c>
      <c r="K584" s="4">
        <v>14.75</v>
      </c>
      <c r="M584" s="4">
        <v>14.095499999999999</v>
      </c>
      <c r="O584" s="4">
        <v>59.587125</v>
      </c>
      <c r="Q584" s="183"/>
      <c r="R584" s="183"/>
      <c r="S584" s="183"/>
    </row>
    <row r="585" spans="1:38">
      <c r="A585" s="188">
        <v>42925</v>
      </c>
      <c r="C585" s="4">
        <v>17.732375000000001</v>
      </c>
      <c r="D585" s="4">
        <v>73.819000000000003</v>
      </c>
      <c r="I585" s="4">
        <v>10.906000000000001</v>
      </c>
      <c r="J585" s="4">
        <v>86.072249999999997</v>
      </c>
      <c r="K585" s="4">
        <v>11.583333333300001</v>
      </c>
      <c r="M585" s="4">
        <v>10.27575</v>
      </c>
      <c r="O585" s="4">
        <v>94.385750000000002</v>
      </c>
      <c r="Q585" s="183"/>
      <c r="R585" s="183"/>
      <c r="S585" s="183"/>
      <c r="AK585" s="183"/>
      <c r="AL585" s="183"/>
    </row>
    <row r="586" spans="1:38">
      <c r="A586" s="188">
        <v>42926</v>
      </c>
      <c r="C586" s="4">
        <v>16.418125</v>
      </c>
      <c r="D586" s="4">
        <v>71.846999999999994</v>
      </c>
      <c r="I586" s="4">
        <v>9.7152499999999993</v>
      </c>
      <c r="J586" s="4">
        <v>87.309875000000005</v>
      </c>
      <c r="K586" s="4">
        <v>9.8333333333299997</v>
      </c>
      <c r="M586" s="4">
        <v>8.7089999999999996</v>
      </c>
      <c r="O586" s="4">
        <v>95.333500000000001</v>
      </c>
      <c r="Q586" s="183"/>
      <c r="R586" s="183"/>
      <c r="S586" s="183"/>
      <c r="AJ586" s="183"/>
      <c r="AK586" s="183"/>
      <c r="AL586" s="183"/>
    </row>
    <row r="587" spans="1:38">
      <c r="A587" s="188">
        <v>42927</v>
      </c>
      <c r="C587" s="4">
        <v>14.976875</v>
      </c>
      <c r="D587" s="4">
        <v>71.197125</v>
      </c>
      <c r="I587" s="4">
        <v>9.2128750000000004</v>
      </c>
      <c r="J587" s="4">
        <v>82.549625000000006</v>
      </c>
      <c r="K587" s="4">
        <v>9.25</v>
      </c>
      <c r="M587" s="4">
        <v>8.5833750000000002</v>
      </c>
      <c r="O587" s="4">
        <v>87.20675</v>
      </c>
      <c r="Q587" s="183"/>
      <c r="R587" s="183"/>
      <c r="S587" s="183"/>
      <c r="AJ587" s="183"/>
      <c r="AK587" s="183"/>
      <c r="AL587" s="183"/>
    </row>
    <row r="588" spans="1:38">
      <c r="A588" s="188">
        <v>42928</v>
      </c>
      <c r="C588" s="4">
        <v>16.480125000000001</v>
      </c>
      <c r="D588" s="4">
        <v>76.241124999999997</v>
      </c>
      <c r="I588" s="4">
        <v>11.532</v>
      </c>
      <c r="J588" s="4">
        <v>83.493875000000003</v>
      </c>
      <c r="K588" s="4">
        <v>11.166666666699999</v>
      </c>
      <c r="M588" s="4">
        <v>9.3981250000000003</v>
      </c>
      <c r="O588" s="4">
        <v>93.411375000000007</v>
      </c>
      <c r="Q588" s="183"/>
      <c r="R588" s="183"/>
      <c r="S588" s="183"/>
      <c r="AJ588" s="183"/>
      <c r="AK588" s="183"/>
      <c r="AL588" s="183"/>
    </row>
    <row r="589" spans="1:38">
      <c r="A589" s="188">
        <v>42929</v>
      </c>
      <c r="C589" s="4">
        <v>15.604625</v>
      </c>
      <c r="D589" s="4">
        <v>79.311499999999995</v>
      </c>
      <c r="I589" s="4">
        <v>10.342750000000001</v>
      </c>
      <c r="J589" s="4">
        <v>88.630499999999998</v>
      </c>
      <c r="K589" s="4">
        <v>9.5</v>
      </c>
      <c r="M589" s="4">
        <v>8.0823750000000008</v>
      </c>
      <c r="O589" s="4">
        <v>98.090500000000006</v>
      </c>
      <c r="Q589" s="183"/>
      <c r="R589" s="183"/>
      <c r="S589" s="183"/>
      <c r="AJ589" s="183"/>
      <c r="AK589" s="183"/>
      <c r="AL589" s="183"/>
    </row>
    <row r="590" spans="1:38">
      <c r="A590" s="188">
        <v>42930</v>
      </c>
      <c r="C590" s="4">
        <v>16.666875000000001</v>
      </c>
      <c r="D590" s="4">
        <v>75.926500000000004</v>
      </c>
      <c r="I590" s="4">
        <v>11.84375</v>
      </c>
      <c r="J590" s="4">
        <v>71.162625000000006</v>
      </c>
      <c r="K590" s="4">
        <v>12.75</v>
      </c>
      <c r="M590" s="4">
        <v>11.402625</v>
      </c>
      <c r="O590" s="4">
        <v>69.320625000000007</v>
      </c>
      <c r="Q590" s="183"/>
      <c r="R590" s="183"/>
      <c r="S590" s="183"/>
      <c r="AJ590" s="183"/>
      <c r="AK590" s="183"/>
      <c r="AL590" s="183"/>
    </row>
    <row r="591" spans="1:38">
      <c r="A591" s="188">
        <v>42931</v>
      </c>
      <c r="C591" s="4">
        <v>16.480250000000002</v>
      </c>
      <c r="D591" s="4">
        <v>69.492999999999995</v>
      </c>
      <c r="I591" s="4">
        <v>13.475125</v>
      </c>
      <c r="J591" s="4">
        <v>65.628</v>
      </c>
      <c r="K591" s="4">
        <v>11.166666666699999</v>
      </c>
      <c r="M591" s="4">
        <v>9.6489999999999991</v>
      </c>
      <c r="O591" s="4">
        <v>78.110500000000002</v>
      </c>
      <c r="Q591" s="183"/>
      <c r="R591" s="183"/>
      <c r="S591" s="183"/>
      <c r="AJ591" s="183"/>
      <c r="AK591" s="183"/>
      <c r="AL591" s="183"/>
    </row>
    <row r="592" spans="1:38">
      <c r="A592" s="188">
        <v>42932</v>
      </c>
      <c r="C592" s="4">
        <v>14.790625</v>
      </c>
      <c r="D592" s="4">
        <v>65.141750000000002</v>
      </c>
      <c r="I592" s="4">
        <v>7.3962500000000002</v>
      </c>
      <c r="J592" s="4">
        <v>89.070999999999998</v>
      </c>
      <c r="K592" s="4">
        <v>5.3333333333299997</v>
      </c>
      <c r="M592" s="4">
        <v>3.7565</v>
      </c>
      <c r="O592" s="4">
        <v>104.54725000000001</v>
      </c>
      <c r="Q592" s="183"/>
      <c r="R592" s="183"/>
      <c r="S592" s="183"/>
      <c r="AJ592" s="183"/>
      <c r="AK592" s="183"/>
      <c r="AL592" s="183"/>
    </row>
    <row r="593" spans="1:38">
      <c r="A593" s="188">
        <v>42933</v>
      </c>
      <c r="C593" s="4">
        <v>15.1015</v>
      </c>
      <c r="D593" s="4">
        <v>70.631625</v>
      </c>
      <c r="I593" s="4">
        <v>9.7761250000000004</v>
      </c>
      <c r="J593" s="4">
        <v>76.487499999999997</v>
      </c>
      <c r="K593" s="4">
        <v>10.416666666699999</v>
      </c>
      <c r="M593" s="4">
        <v>8.7077500000000008</v>
      </c>
      <c r="O593" s="4">
        <v>79.938500000000005</v>
      </c>
      <c r="Q593" s="183"/>
      <c r="R593" s="183"/>
      <c r="S593" s="183"/>
      <c r="AJ593" s="183"/>
      <c r="AK593" s="183"/>
      <c r="AL593" s="183"/>
    </row>
    <row r="594" spans="1:38">
      <c r="A594" s="188">
        <v>42934</v>
      </c>
      <c r="C594" s="4">
        <v>17.41825</v>
      </c>
      <c r="D594" s="4">
        <v>67.989625000000004</v>
      </c>
      <c r="I594" s="4">
        <v>12.90875</v>
      </c>
      <c r="J594" s="4">
        <v>69.5715</v>
      </c>
      <c r="K594" s="4">
        <v>14.166666666699999</v>
      </c>
      <c r="M594" s="4">
        <v>13.031375000000001</v>
      </c>
      <c r="O594" s="4">
        <v>64.513125000000002</v>
      </c>
      <c r="Q594" s="183"/>
      <c r="R594" s="183"/>
      <c r="S594" s="183"/>
      <c r="AJ594" s="183"/>
      <c r="AK594" s="183"/>
      <c r="AL594" s="183"/>
    </row>
    <row r="595" spans="1:38">
      <c r="A595" s="188">
        <v>42935</v>
      </c>
      <c r="C595" s="4">
        <v>16.917874999999999</v>
      </c>
      <c r="D595" s="4">
        <v>63.436750000000004</v>
      </c>
      <c r="I595" s="4">
        <v>12.47175</v>
      </c>
      <c r="J595" s="4">
        <v>69.950125</v>
      </c>
      <c r="K595" s="4">
        <v>12.5</v>
      </c>
      <c r="M595" s="4">
        <v>11.465624999999999</v>
      </c>
      <c r="O595" s="4">
        <v>74.374250000000004</v>
      </c>
      <c r="Q595" s="183"/>
      <c r="R595" s="183"/>
      <c r="S595" s="183"/>
      <c r="AJ595" s="183"/>
      <c r="AK595" s="183"/>
      <c r="AL595" s="183"/>
    </row>
    <row r="596" spans="1:38">
      <c r="A596" s="188">
        <v>42936</v>
      </c>
      <c r="C596" s="4">
        <v>13.663625</v>
      </c>
      <c r="D596" s="4">
        <v>84.567875000000001</v>
      </c>
      <c r="I596" s="4">
        <v>8.9012499999999992</v>
      </c>
      <c r="J596" s="4">
        <v>93.470749999999995</v>
      </c>
      <c r="K596" s="4">
        <v>7.6666666666700003</v>
      </c>
      <c r="M596" s="4">
        <v>6.4526250000000003</v>
      </c>
      <c r="O596" s="4">
        <v>102.695875</v>
      </c>
      <c r="Q596" s="183"/>
      <c r="R596" s="183"/>
      <c r="S596" s="183"/>
      <c r="AJ596" s="183"/>
      <c r="AK596" s="183"/>
      <c r="AL596" s="183"/>
    </row>
    <row r="597" spans="1:38">
      <c r="A597" s="188">
        <v>42937</v>
      </c>
      <c r="C597" s="4">
        <v>14.1015</v>
      </c>
      <c r="D597" s="4">
        <v>85.423625000000001</v>
      </c>
      <c r="I597" s="4">
        <v>9.7776250000000005</v>
      </c>
      <c r="J597" s="4">
        <v>87.507999999999996</v>
      </c>
      <c r="K597" s="4">
        <v>8.6666666666700003</v>
      </c>
      <c r="M597" s="4">
        <v>6.8914999999999997</v>
      </c>
      <c r="O597" s="4">
        <v>99.6965</v>
      </c>
      <c r="Q597" s="183"/>
      <c r="R597" s="183"/>
      <c r="S597" s="183"/>
      <c r="AJ597" s="183"/>
      <c r="AK597" s="183"/>
      <c r="AL597" s="183"/>
    </row>
    <row r="598" spans="1:38">
      <c r="A598" s="188">
        <v>42938</v>
      </c>
      <c r="C598" s="4">
        <v>15.917375</v>
      </c>
      <c r="D598" s="4">
        <v>88.052374999999998</v>
      </c>
      <c r="I598" s="4">
        <v>12.285125000000001</v>
      </c>
      <c r="J598" s="4">
        <v>86.275000000000006</v>
      </c>
      <c r="K598" s="4">
        <v>10.583333333300001</v>
      </c>
      <c r="M598" s="4">
        <v>9.5236249999999991</v>
      </c>
      <c r="O598" s="4">
        <v>99.733000000000004</v>
      </c>
      <c r="Q598" s="183"/>
      <c r="R598" s="183"/>
      <c r="S598" s="183"/>
      <c r="AJ598" s="183"/>
      <c r="AK598" s="183"/>
      <c r="AL598" s="183"/>
    </row>
    <row r="599" spans="1:38">
      <c r="A599" s="188">
        <v>42939</v>
      </c>
      <c r="C599" s="4">
        <v>17.482500000000002</v>
      </c>
      <c r="D599" s="4">
        <v>82.253500000000003</v>
      </c>
      <c r="I599" s="4">
        <v>11.846125000000001</v>
      </c>
      <c r="J599" s="4">
        <v>92.312749999999994</v>
      </c>
      <c r="K599" s="4">
        <v>12.5</v>
      </c>
      <c r="M599" s="4">
        <v>10.964874999999999</v>
      </c>
      <c r="O599" s="4">
        <v>101.51925</v>
      </c>
      <c r="Q599" s="183"/>
      <c r="R599" s="183"/>
      <c r="S599" s="183"/>
      <c r="AJ599" s="183"/>
      <c r="AK599" s="183"/>
      <c r="AL599" s="183"/>
    </row>
    <row r="600" spans="1:38">
      <c r="A600" s="188">
        <v>42940</v>
      </c>
      <c r="C600" s="4">
        <v>17.230499999999999</v>
      </c>
      <c r="D600" s="4">
        <v>76.188249999999996</v>
      </c>
      <c r="I600" s="4">
        <v>12.532875000000001</v>
      </c>
      <c r="J600" s="4">
        <v>76.962999999999994</v>
      </c>
      <c r="K600" s="4">
        <v>13.333333333300001</v>
      </c>
      <c r="M600" s="4">
        <v>12.279375</v>
      </c>
      <c r="O600" s="4">
        <v>75.360500000000002</v>
      </c>
      <c r="Q600" s="183"/>
      <c r="R600" s="183"/>
      <c r="S600" s="183"/>
      <c r="AJ600" s="183"/>
      <c r="AK600" s="183"/>
      <c r="AL600" s="183"/>
    </row>
    <row r="601" spans="1:38">
      <c r="A601" s="188">
        <v>42941</v>
      </c>
      <c r="C601" s="4">
        <v>19.232624999999999</v>
      </c>
      <c r="D601" s="4">
        <v>71.447374999999994</v>
      </c>
      <c r="I601" s="4">
        <v>13.911</v>
      </c>
      <c r="J601" s="4">
        <v>73.96875</v>
      </c>
      <c r="K601" s="4">
        <v>16.833333333300001</v>
      </c>
      <c r="M601" s="4">
        <v>15.034875</v>
      </c>
      <c r="O601" s="4">
        <v>66.784125000000003</v>
      </c>
      <c r="Q601" s="183"/>
      <c r="R601" s="183"/>
      <c r="S601" s="183"/>
      <c r="AJ601" s="183"/>
      <c r="AK601" s="183"/>
      <c r="AL601" s="183"/>
    </row>
    <row r="602" spans="1:38">
      <c r="A602" s="188">
        <v>42942</v>
      </c>
      <c r="C602" s="4">
        <v>19.295874999999999</v>
      </c>
      <c r="D602" s="4">
        <v>69.811999999999998</v>
      </c>
      <c r="I602" s="4">
        <v>14.225125</v>
      </c>
      <c r="J602" s="4">
        <v>74.868375</v>
      </c>
      <c r="K602" s="4">
        <v>16.416666666699999</v>
      </c>
      <c r="M602" s="4">
        <v>14.784750000000001</v>
      </c>
      <c r="O602" s="4">
        <v>73.219624999999994</v>
      </c>
      <c r="Q602" s="183"/>
      <c r="R602" s="183"/>
      <c r="S602" s="183"/>
      <c r="AJ602" s="183"/>
      <c r="AK602" s="183"/>
      <c r="AL602" s="183"/>
    </row>
    <row r="603" spans="1:38">
      <c r="A603" s="188">
        <v>42943</v>
      </c>
      <c r="C603" s="4">
        <v>17.356999999999999</v>
      </c>
      <c r="D603" s="4">
        <v>75.764499999999998</v>
      </c>
      <c r="I603" s="4">
        <v>13.036250000000001</v>
      </c>
      <c r="J603" s="4">
        <v>81.635374999999996</v>
      </c>
      <c r="K603" s="4">
        <v>12.833333333300001</v>
      </c>
      <c r="M603" s="4">
        <v>11.403124999999999</v>
      </c>
      <c r="O603" s="4">
        <v>86.966624999999993</v>
      </c>
      <c r="Q603" s="183"/>
      <c r="R603" s="183"/>
      <c r="S603" s="183"/>
      <c r="AJ603" s="183"/>
      <c r="AK603" s="183"/>
      <c r="AL603" s="183"/>
    </row>
    <row r="604" spans="1:38">
      <c r="A604" s="188">
        <v>42944</v>
      </c>
      <c r="C604" s="4">
        <v>16.980250000000002</v>
      </c>
      <c r="D604" s="4">
        <v>75.911249999999995</v>
      </c>
      <c r="I604" s="4">
        <v>12.220874999999999</v>
      </c>
      <c r="J604" s="4">
        <v>85.239874999999998</v>
      </c>
      <c r="K604" s="4">
        <v>12.916666666699999</v>
      </c>
      <c r="M604" s="4">
        <v>11.9665</v>
      </c>
      <c r="O604" s="4">
        <v>79.297375000000002</v>
      </c>
      <c r="Q604" s="183"/>
      <c r="R604" s="183"/>
      <c r="S604" s="183"/>
      <c r="AJ604" s="183"/>
      <c r="AK604" s="183"/>
      <c r="AL604" s="183"/>
    </row>
    <row r="605" spans="1:38">
      <c r="A605" s="188">
        <v>42945</v>
      </c>
      <c r="C605" s="4">
        <v>17.981375</v>
      </c>
      <c r="D605" s="4">
        <v>69.219374999999999</v>
      </c>
      <c r="I605" s="4">
        <v>13.097125</v>
      </c>
      <c r="J605" s="4">
        <v>79.646000000000001</v>
      </c>
      <c r="K605" s="4">
        <v>13.833333333300001</v>
      </c>
      <c r="M605" s="4">
        <v>13.031124999999999</v>
      </c>
      <c r="O605" s="4">
        <v>76.345624999999998</v>
      </c>
      <c r="Q605" s="183"/>
      <c r="R605" s="183"/>
      <c r="S605" s="183"/>
      <c r="AJ605" s="183"/>
      <c r="AK605" s="183"/>
      <c r="AL605" s="183"/>
    </row>
    <row r="606" spans="1:38">
      <c r="A606" s="188">
        <v>42946</v>
      </c>
      <c r="C606" s="4">
        <v>18.482500000000002</v>
      </c>
      <c r="D606" s="4">
        <v>65.939499999999995</v>
      </c>
      <c r="I606" s="4">
        <v>13.662375000000001</v>
      </c>
      <c r="J606" s="4">
        <v>73.580624999999998</v>
      </c>
      <c r="K606" s="4">
        <v>13.416666666699999</v>
      </c>
      <c r="M606" s="4">
        <v>11.65325</v>
      </c>
      <c r="O606" s="4">
        <v>81.096000000000004</v>
      </c>
      <c r="Q606" s="183"/>
      <c r="R606" s="183"/>
      <c r="S606" s="183"/>
      <c r="AJ606" s="183"/>
      <c r="AK606" s="183"/>
      <c r="AL606" s="183"/>
    </row>
    <row r="607" spans="1:38">
      <c r="A607" s="188">
        <v>42947</v>
      </c>
      <c r="C607" s="4">
        <v>18.856999999999999</v>
      </c>
      <c r="D607" s="4">
        <v>68.070250000000001</v>
      </c>
      <c r="I607" s="4">
        <v>14.161</v>
      </c>
      <c r="J607" s="4">
        <v>74.633624999999995</v>
      </c>
      <c r="K607" s="4">
        <v>16.083333333300001</v>
      </c>
      <c r="M607" s="4">
        <v>14.658625000000001</v>
      </c>
      <c r="O607" s="4">
        <v>60.705874999999999</v>
      </c>
      <c r="Q607" s="183"/>
      <c r="R607" s="183"/>
      <c r="S607" s="183"/>
      <c r="AJ607" s="183"/>
      <c r="AK607" s="183"/>
      <c r="AL607" s="183"/>
    </row>
    <row r="608" spans="1:38">
      <c r="A608" s="188">
        <v>42948</v>
      </c>
      <c r="C608" s="4">
        <v>20.421624999999999</v>
      </c>
      <c r="D608" s="4">
        <v>67.354124999999996</v>
      </c>
      <c r="I608" s="4">
        <v>16.852875000000001</v>
      </c>
      <c r="J608" s="4">
        <v>63.032249999999998</v>
      </c>
      <c r="K608" s="4">
        <v>20.583333333300001</v>
      </c>
      <c r="M608" s="4">
        <v>18.16375</v>
      </c>
      <c r="O608" s="4">
        <v>49.134374999999999</v>
      </c>
      <c r="Q608" s="183"/>
      <c r="R608" s="183"/>
      <c r="S608" s="183"/>
      <c r="AJ608" s="183"/>
      <c r="AK608" s="183"/>
      <c r="AL608" s="183"/>
    </row>
    <row r="609" spans="1:38">
      <c r="A609" s="188">
        <v>42949</v>
      </c>
      <c r="C609" s="4">
        <v>22.234375</v>
      </c>
      <c r="D609" s="4">
        <v>56.892499999999998</v>
      </c>
      <c r="I609" s="4">
        <v>17.854749999999999</v>
      </c>
      <c r="J609" s="4">
        <v>54.032499999999999</v>
      </c>
      <c r="K609" s="4">
        <v>22.416666666699999</v>
      </c>
      <c r="M609" s="4">
        <v>19.66525</v>
      </c>
      <c r="O609" s="4">
        <v>37.786375</v>
      </c>
      <c r="Q609" s="183"/>
      <c r="R609" s="183"/>
      <c r="S609" s="183"/>
      <c r="AJ609" s="183"/>
      <c r="AK609" s="183"/>
      <c r="AL609" s="183"/>
    </row>
    <row r="610" spans="1:38">
      <c r="A610" s="188">
        <v>42950</v>
      </c>
      <c r="C610" s="4">
        <v>22.985125</v>
      </c>
      <c r="D610" s="4">
        <v>52.320625</v>
      </c>
      <c r="I610" s="4">
        <v>19.169125000000001</v>
      </c>
      <c r="J610" s="4">
        <v>49.215249999999997</v>
      </c>
      <c r="K610" s="4">
        <v>24.25</v>
      </c>
      <c r="M610" s="4">
        <v>21.542000000000002</v>
      </c>
      <c r="O610" s="4">
        <v>32.779375000000002</v>
      </c>
      <c r="Q610" s="183"/>
      <c r="R610" s="183"/>
      <c r="S610" s="183"/>
      <c r="AJ610" s="183"/>
      <c r="AK610" s="183"/>
      <c r="AL610" s="183"/>
    </row>
    <row r="611" spans="1:38">
      <c r="A611" s="188">
        <v>42951</v>
      </c>
      <c r="C611" s="4">
        <v>19.484625000000001</v>
      </c>
      <c r="D611" s="4">
        <v>64.131874999999994</v>
      </c>
      <c r="I611" s="4">
        <v>15.478249999999999</v>
      </c>
      <c r="J611" s="4">
        <v>60.694125</v>
      </c>
      <c r="K611" s="4">
        <v>20.5</v>
      </c>
      <c r="M611" s="4">
        <v>18.664750000000002</v>
      </c>
      <c r="O611" s="4">
        <v>36.785625000000003</v>
      </c>
      <c r="Q611" s="183"/>
      <c r="R611" s="183"/>
      <c r="S611" s="183"/>
      <c r="AJ611" s="183"/>
      <c r="AK611" s="183"/>
      <c r="AL611" s="183"/>
    </row>
    <row r="612" spans="1:38">
      <c r="A612" s="188">
        <v>42952</v>
      </c>
      <c r="C612" s="4">
        <v>19.108374999999999</v>
      </c>
      <c r="D612" s="4">
        <v>69.204374999999999</v>
      </c>
      <c r="I612" s="4">
        <v>16.166</v>
      </c>
      <c r="J612" s="4">
        <v>64.333749999999995</v>
      </c>
      <c r="K612" s="4">
        <v>20.416666666699999</v>
      </c>
      <c r="M612" s="4">
        <v>18.664625000000001</v>
      </c>
      <c r="O612" s="4">
        <v>44.439749999999997</v>
      </c>
      <c r="Q612" s="183"/>
      <c r="R612" s="183"/>
      <c r="S612" s="183"/>
      <c r="AJ612" s="183"/>
      <c r="AK612" s="183"/>
      <c r="AL612" s="183"/>
    </row>
    <row r="613" spans="1:38">
      <c r="A613" s="188">
        <v>42953</v>
      </c>
      <c r="C613" s="4">
        <v>19.420625000000001</v>
      </c>
      <c r="D613" s="4">
        <v>70.415000000000006</v>
      </c>
      <c r="I613" s="4">
        <v>16.228249999999999</v>
      </c>
      <c r="J613" s="4">
        <v>61.987250000000003</v>
      </c>
      <c r="K613" s="4">
        <v>21</v>
      </c>
      <c r="M613" s="4">
        <v>18.727125000000001</v>
      </c>
      <c r="O613" s="4">
        <v>44.68</v>
      </c>
      <c r="Q613" s="183"/>
      <c r="R613" s="183"/>
      <c r="S613" s="183"/>
      <c r="AJ613" s="183"/>
      <c r="AK613" s="183"/>
      <c r="AL613" s="183"/>
    </row>
    <row r="614" spans="1:38">
      <c r="A614" s="188">
        <v>42954</v>
      </c>
      <c r="C614" s="4">
        <v>20.859375</v>
      </c>
      <c r="D614" s="4">
        <v>60.715125</v>
      </c>
      <c r="I614" s="4">
        <v>16.916125000000001</v>
      </c>
      <c r="J614" s="4">
        <v>56.265999999999998</v>
      </c>
      <c r="K614" s="4">
        <v>20.583333333300001</v>
      </c>
      <c r="M614" s="4">
        <v>18.727</v>
      </c>
      <c r="O614" s="4">
        <v>41.918999999999997</v>
      </c>
      <c r="Q614" s="183"/>
      <c r="R614" s="183"/>
      <c r="S614" s="183"/>
      <c r="AJ614" s="183"/>
      <c r="AK614" s="183"/>
      <c r="AL614" s="183"/>
    </row>
    <row r="615" spans="1:38">
      <c r="A615" s="188">
        <v>42955</v>
      </c>
      <c r="C615" s="4">
        <v>20.984375</v>
      </c>
      <c r="D615" s="4">
        <v>64.719250000000002</v>
      </c>
      <c r="I615" s="4">
        <v>17.854749999999999</v>
      </c>
      <c r="J615" s="4">
        <v>62.315750000000001</v>
      </c>
      <c r="K615" s="4">
        <v>22</v>
      </c>
      <c r="M615" s="4">
        <v>20.228375</v>
      </c>
      <c r="O615" s="4">
        <v>44.317</v>
      </c>
      <c r="Q615" s="183"/>
      <c r="R615" s="183"/>
      <c r="S615" s="183"/>
      <c r="AJ615" s="183"/>
      <c r="AK615" s="183"/>
      <c r="AL615" s="183"/>
    </row>
    <row r="616" spans="1:38">
      <c r="A616" s="188">
        <v>42956</v>
      </c>
      <c r="C616" s="4">
        <v>22.047499999999999</v>
      </c>
      <c r="D616" s="4">
        <v>64.265874999999994</v>
      </c>
      <c r="I616" s="4">
        <v>18.668875</v>
      </c>
      <c r="J616" s="4">
        <v>60.547874999999998</v>
      </c>
      <c r="K616" s="4">
        <v>23.416666666699999</v>
      </c>
      <c r="M616" s="4">
        <v>21.66675</v>
      </c>
      <c r="O616" s="4">
        <v>40.258125</v>
      </c>
      <c r="Q616" s="183"/>
      <c r="R616" s="183"/>
      <c r="S616" s="183"/>
      <c r="AJ616" s="183"/>
      <c r="AK616" s="183"/>
      <c r="AL616" s="183"/>
    </row>
    <row r="617" spans="1:38">
      <c r="A617" s="188">
        <v>42957</v>
      </c>
      <c r="C617" s="4">
        <v>22.797625</v>
      </c>
      <c r="D617" s="4">
        <v>58.957625</v>
      </c>
      <c r="I617" s="4">
        <v>18.856874999999999</v>
      </c>
      <c r="J617" s="4">
        <v>57.184125000000002</v>
      </c>
      <c r="K617" s="4">
        <v>21.916666666699999</v>
      </c>
      <c r="M617" s="4">
        <v>20.728750000000002</v>
      </c>
      <c r="O617" s="4">
        <v>40.706375000000001</v>
      </c>
      <c r="Q617" s="183"/>
      <c r="R617" s="183"/>
      <c r="S617" s="183"/>
      <c r="AJ617" s="183"/>
    </row>
    <row r="618" spans="1:38">
      <c r="A618" s="188">
        <v>42958</v>
      </c>
      <c r="C618" s="4">
        <v>22.423124999999999</v>
      </c>
      <c r="D618" s="4">
        <v>58.7575</v>
      </c>
      <c r="I618" s="4">
        <v>19.107125</v>
      </c>
      <c r="J618" s="4">
        <v>59.769624999999998</v>
      </c>
      <c r="K618" s="4">
        <v>22.083333333300001</v>
      </c>
      <c r="M618" s="4">
        <v>20.6035</v>
      </c>
      <c r="O618" s="4">
        <v>43.168750000000003</v>
      </c>
      <c r="Q618" s="183"/>
      <c r="R618" s="183"/>
      <c r="S618" s="183"/>
    </row>
    <row r="619" spans="1:38">
      <c r="A619" s="188">
        <v>42959</v>
      </c>
      <c r="C619" s="4">
        <v>18.984124999999999</v>
      </c>
      <c r="D619" s="4">
        <v>71.117999999999995</v>
      </c>
      <c r="I619" s="4">
        <v>14.790875</v>
      </c>
      <c r="J619" s="4">
        <v>78.202375000000004</v>
      </c>
      <c r="K619" s="4">
        <v>14.666666666699999</v>
      </c>
      <c r="M619" s="4">
        <v>13.469749999999999</v>
      </c>
      <c r="O619" s="4">
        <v>73.230125000000001</v>
      </c>
      <c r="Q619" s="183"/>
      <c r="R619" s="183"/>
      <c r="S619" s="183"/>
    </row>
    <row r="620" spans="1:38">
      <c r="A620" s="188">
        <v>42960</v>
      </c>
      <c r="C620" s="4">
        <v>15.6045</v>
      </c>
      <c r="D620" s="4">
        <v>81.308250000000001</v>
      </c>
      <c r="I620" s="4">
        <v>9.4028749999999999</v>
      </c>
      <c r="J620" s="4">
        <v>98.946875000000006</v>
      </c>
      <c r="K620" s="4">
        <v>8.25</v>
      </c>
      <c r="M620" s="4">
        <v>6.7035</v>
      </c>
      <c r="O620" s="4">
        <v>105.554875</v>
      </c>
      <c r="Q620" s="183"/>
      <c r="R620" s="183"/>
      <c r="S620" s="183"/>
    </row>
    <row r="621" spans="1:38">
      <c r="A621" s="188">
        <v>42961</v>
      </c>
      <c r="C621" s="4">
        <v>14.602</v>
      </c>
      <c r="D621" s="4">
        <v>74.78425</v>
      </c>
      <c r="I621" s="4">
        <v>9.3396249999999998</v>
      </c>
      <c r="J621" s="4">
        <v>86.986500000000007</v>
      </c>
      <c r="K621" s="4">
        <v>7.5833333333299997</v>
      </c>
      <c r="M621" s="4">
        <v>5.8256249999999996</v>
      </c>
      <c r="O621" s="4">
        <v>105.319875</v>
      </c>
      <c r="Q621" s="183"/>
      <c r="R621" s="183"/>
      <c r="S621" s="183"/>
    </row>
    <row r="622" spans="1:38">
      <c r="A622" s="188">
        <v>42962</v>
      </c>
      <c r="C622" s="4">
        <v>15.164624999999999</v>
      </c>
      <c r="D622" s="4">
        <v>71.418374999999997</v>
      </c>
      <c r="I622" s="4">
        <v>10.278499999999999</v>
      </c>
      <c r="J622" s="4">
        <v>83.52825</v>
      </c>
      <c r="K622" s="4">
        <v>12.25</v>
      </c>
      <c r="M622" s="4">
        <v>9.3978750000000009</v>
      </c>
      <c r="O622" s="4">
        <v>85.911124999999998</v>
      </c>
      <c r="Q622" s="183"/>
      <c r="R622" s="183"/>
      <c r="S622" s="183"/>
    </row>
    <row r="623" spans="1:38">
      <c r="A623" s="188">
        <v>42963</v>
      </c>
      <c r="C623" s="4">
        <v>16.104375000000001</v>
      </c>
      <c r="D623" s="4">
        <v>69.996250000000003</v>
      </c>
      <c r="I623" s="4">
        <v>11.532500000000001</v>
      </c>
      <c r="J623" s="4">
        <v>82.198875000000001</v>
      </c>
      <c r="K623" s="4">
        <v>13</v>
      </c>
      <c r="M623" s="4">
        <v>9.7117500000000003</v>
      </c>
      <c r="O623" s="4">
        <v>85.732124999999996</v>
      </c>
      <c r="Q623" s="183"/>
      <c r="R623" s="183"/>
      <c r="S623" s="183"/>
    </row>
    <row r="624" spans="1:38">
      <c r="A624" s="188">
        <v>42964</v>
      </c>
      <c r="C624" s="4">
        <v>17.544374999999999</v>
      </c>
      <c r="D624" s="4">
        <v>73.187749999999994</v>
      </c>
      <c r="I624" s="4">
        <v>12.91075</v>
      </c>
      <c r="J624" s="4">
        <v>85.374250000000004</v>
      </c>
      <c r="K624" s="4">
        <v>13.333333333300001</v>
      </c>
      <c r="M624" s="4">
        <v>10.588125</v>
      </c>
      <c r="O624" s="4">
        <v>93.977000000000004</v>
      </c>
      <c r="Q624" s="183"/>
      <c r="R624" s="183"/>
      <c r="S624" s="183"/>
    </row>
    <row r="625" spans="1:19">
      <c r="A625" s="188">
        <v>42965</v>
      </c>
      <c r="C625" s="4">
        <v>15.792249999999999</v>
      </c>
      <c r="D625" s="4">
        <v>79.744874999999993</v>
      </c>
      <c r="I625" s="4">
        <v>11.470750000000001</v>
      </c>
      <c r="J625" s="4">
        <v>94.227874999999997</v>
      </c>
      <c r="K625" s="4">
        <v>10</v>
      </c>
      <c r="M625" s="4">
        <v>8.1452500000000008</v>
      </c>
      <c r="O625" s="4">
        <v>104.903125</v>
      </c>
      <c r="Q625" s="183"/>
      <c r="R625" s="183"/>
      <c r="S625" s="183"/>
    </row>
    <row r="626" spans="1:19">
      <c r="A626" s="188">
        <v>42966</v>
      </c>
      <c r="C626" s="4">
        <v>16.355499999999999</v>
      </c>
      <c r="D626" s="4">
        <v>74.3</v>
      </c>
      <c r="I626" s="4">
        <v>11.094875</v>
      </c>
      <c r="J626" s="4">
        <v>88.903125000000003</v>
      </c>
      <c r="K626" s="4">
        <v>9.0833333333299997</v>
      </c>
      <c r="M626" s="4">
        <v>7.7690000000000001</v>
      </c>
      <c r="O626" s="4">
        <v>100.534125</v>
      </c>
      <c r="Q626" s="183"/>
      <c r="R626" s="183"/>
      <c r="S626" s="183"/>
    </row>
    <row r="627" spans="1:19">
      <c r="A627" s="188">
        <v>42967</v>
      </c>
      <c r="C627" s="4">
        <v>16.16675</v>
      </c>
      <c r="D627" s="4">
        <v>69.433875</v>
      </c>
      <c r="I627" s="4">
        <v>11.343999999999999</v>
      </c>
      <c r="J627" s="4">
        <v>83.146000000000001</v>
      </c>
      <c r="K627" s="4">
        <v>11.666666666699999</v>
      </c>
      <c r="M627" s="4">
        <v>9.7738750000000003</v>
      </c>
      <c r="O627" s="4">
        <v>85.500624999999999</v>
      </c>
      <c r="Q627" s="183"/>
      <c r="R627" s="183"/>
      <c r="S627" s="183"/>
    </row>
    <row r="628" spans="1:19">
      <c r="A628" s="188">
        <v>42968</v>
      </c>
      <c r="C628" s="4">
        <v>17.856249999999999</v>
      </c>
      <c r="D628" s="4">
        <v>68.272374999999997</v>
      </c>
      <c r="I628" s="4">
        <v>14.28725</v>
      </c>
      <c r="J628" s="4">
        <v>74.97175</v>
      </c>
      <c r="K628" s="4">
        <v>16.416666666699999</v>
      </c>
      <c r="M628" s="4">
        <v>14.345499999999999</v>
      </c>
      <c r="O628" s="4">
        <v>61.068375000000003</v>
      </c>
      <c r="Q628" s="183"/>
      <c r="R628" s="183"/>
      <c r="S628" s="183"/>
    </row>
    <row r="629" spans="1:19">
      <c r="A629" s="188">
        <v>42969</v>
      </c>
      <c r="C629" s="4">
        <v>20.483750000000001</v>
      </c>
      <c r="D629" s="4">
        <v>61.883000000000003</v>
      </c>
      <c r="I629" s="4">
        <v>17.480499999999999</v>
      </c>
      <c r="J629" s="4">
        <v>61.748750000000001</v>
      </c>
      <c r="K629" s="4">
        <v>20.083333333300001</v>
      </c>
      <c r="M629" s="4">
        <v>17.038</v>
      </c>
      <c r="O629" s="4">
        <v>56.918624999999999</v>
      </c>
      <c r="Q629" s="183"/>
      <c r="R629" s="183"/>
      <c r="S629" s="183"/>
    </row>
    <row r="630" spans="1:19">
      <c r="A630" s="188">
        <v>42970</v>
      </c>
      <c r="C630" s="4">
        <v>18.420750000000002</v>
      </c>
      <c r="D630" s="4">
        <v>72.526750000000007</v>
      </c>
      <c r="I630" s="4">
        <v>15.416</v>
      </c>
      <c r="J630" s="4">
        <v>77.713250000000002</v>
      </c>
      <c r="K630" s="4">
        <v>15.5</v>
      </c>
      <c r="M630" s="4">
        <v>12.342750000000001</v>
      </c>
      <c r="O630" s="4">
        <v>88.100125000000006</v>
      </c>
      <c r="Q630" s="183"/>
      <c r="R630" s="183"/>
      <c r="S630" s="183"/>
    </row>
    <row r="631" spans="1:19">
      <c r="A631" s="188">
        <v>42971</v>
      </c>
      <c r="C631" s="4">
        <v>15.228624999999999</v>
      </c>
      <c r="D631" s="4">
        <v>73.263750000000002</v>
      </c>
      <c r="I631" s="4">
        <v>9.2772500000000004</v>
      </c>
      <c r="J631" s="4">
        <v>88.965500000000006</v>
      </c>
      <c r="K631" s="4">
        <v>7.25</v>
      </c>
      <c r="M631" s="4">
        <v>6.2018750000000002</v>
      </c>
      <c r="O631" s="4">
        <v>100.93112499999999</v>
      </c>
      <c r="Q631" s="183"/>
      <c r="R631" s="183"/>
      <c r="S631" s="183"/>
    </row>
    <row r="632" spans="1:19">
      <c r="A632" s="188">
        <v>42972</v>
      </c>
      <c r="C632" s="4">
        <v>14.28825</v>
      </c>
      <c r="D632" s="4">
        <v>67.837500000000006</v>
      </c>
      <c r="I632" s="4">
        <v>9.6516249999999992</v>
      </c>
      <c r="J632" s="4">
        <v>80.927000000000007</v>
      </c>
      <c r="K632" s="4">
        <v>10</v>
      </c>
      <c r="M632" s="4">
        <v>7.8308749999999998</v>
      </c>
      <c r="O632" s="4">
        <v>84.328749999999999</v>
      </c>
      <c r="Q632" s="183"/>
      <c r="R632" s="183"/>
      <c r="S632" s="183"/>
    </row>
    <row r="633" spans="1:19">
      <c r="A633" s="188">
        <v>42973</v>
      </c>
      <c r="C633" s="4">
        <v>17.041625</v>
      </c>
      <c r="D633" s="4">
        <v>63.940249999999999</v>
      </c>
      <c r="I633" s="4">
        <v>13.660375</v>
      </c>
      <c r="J633" s="4">
        <v>72.781999999999996</v>
      </c>
      <c r="K633" s="4">
        <v>16.333333333300001</v>
      </c>
      <c r="M633" s="4">
        <v>13.719250000000001</v>
      </c>
      <c r="O633" s="4">
        <v>64.843874999999997</v>
      </c>
      <c r="Q633" s="183"/>
      <c r="R633" s="183"/>
      <c r="S633" s="183"/>
    </row>
    <row r="634" spans="1:19">
      <c r="A634" s="188">
        <v>42974</v>
      </c>
      <c r="C634" s="4">
        <v>20.045000000000002</v>
      </c>
      <c r="D634" s="4">
        <v>60.230874999999997</v>
      </c>
      <c r="I634" s="4">
        <v>17.792124999999999</v>
      </c>
      <c r="J634" s="4">
        <v>62.307749999999999</v>
      </c>
      <c r="K634" s="4">
        <v>22.25</v>
      </c>
      <c r="M634" s="4">
        <v>18.789375</v>
      </c>
      <c r="O634" s="4">
        <v>48.572625000000002</v>
      </c>
      <c r="Q634" s="183"/>
      <c r="R634" s="183"/>
      <c r="S634" s="183"/>
    </row>
    <row r="635" spans="1:19">
      <c r="A635" s="188">
        <v>42975</v>
      </c>
      <c r="C635" s="4">
        <v>21.484249999999999</v>
      </c>
      <c r="D635" s="4">
        <v>58.622750000000003</v>
      </c>
      <c r="I635" s="4">
        <v>19.607250000000001</v>
      </c>
      <c r="J635" s="4">
        <v>52.681750000000001</v>
      </c>
      <c r="K635" s="4">
        <v>22.75</v>
      </c>
      <c r="M635" s="4">
        <v>19.853249999999999</v>
      </c>
      <c r="O635" s="4">
        <v>40.623375000000003</v>
      </c>
      <c r="Q635" s="183"/>
      <c r="R635" s="183"/>
      <c r="S635" s="183"/>
    </row>
    <row r="636" spans="1:19">
      <c r="A636" s="188">
        <v>42976</v>
      </c>
      <c r="C636" s="4">
        <v>21.921875</v>
      </c>
      <c r="D636" s="4">
        <v>49.396000000000001</v>
      </c>
      <c r="I636" s="4">
        <v>20.922000000000001</v>
      </c>
      <c r="J636" s="4">
        <v>36.812249999999999</v>
      </c>
      <c r="K636" s="4">
        <v>22.25</v>
      </c>
      <c r="M636" s="4">
        <v>19.853249999999999</v>
      </c>
      <c r="O636" s="4">
        <v>32.481499999999997</v>
      </c>
      <c r="Q636" s="183"/>
      <c r="R636" s="183"/>
      <c r="S636" s="183"/>
    </row>
    <row r="637" spans="1:19">
      <c r="A637" s="188">
        <v>42977</v>
      </c>
      <c r="C637" s="4">
        <v>17.606999999999999</v>
      </c>
      <c r="D637" s="4">
        <v>72.376125000000002</v>
      </c>
      <c r="I637" s="4">
        <v>16.606249999999999</v>
      </c>
      <c r="J637" s="4">
        <v>61.973624999999998</v>
      </c>
      <c r="K637" s="4">
        <v>15.166666666699999</v>
      </c>
      <c r="M637" s="4">
        <v>13.532500000000001</v>
      </c>
      <c r="O637" s="4">
        <v>71.166375000000002</v>
      </c>
      <c r="Q637" s="183"/>
      <c r="R637" s="183"/>
      <c r="S637" s="183"/>
    </row>
    <row r="638" spans="1:19">
      <c r="A638" s="188">
        <v>42978</v>
      </c>
      <c r="C638" s="4">
        <v>18.233000000000001</v>
      </c>
      <c r="D638" s="4">
        <v>75.722999999999999</v>
      </c>
      <c r="I638" s="4">
        <v>13.788125000000001</v>
      </c>
      <c r="J638" s="4">
        <v>85.082750000000004</v>
      </c>
      <c r="K638" s="4">
        <v>12</v>
      </c>
      <c r="M638" s="4">
        <v>10.588749999999999</v>
      </c>
      <c r="O638" s="4">
        <v>95.885125000000002</v>
      </c>
      <c r="Q638" s="183"/>
      <c r="R638" s="183"/>
      <c r="S638" s="183"/>
    </row>
    <row r="639" spans="1:19">
      <c r="A639" s="188">
        <v>42979</v>
      </c>
      <c r="C639" s="4">
        <v>18.231625000000001</v>
      </c>
      <c r="D639" s="4">
        <v>67.450125</v>
      </c>
      <c r="I639" s="4">
        <v>15.54025</v>
      </c>
      <c r="J639" s="4">
        <v>70.102000000000004</v>
      </c>
      <c r="K639" s="4">
        <v>17</v>
      </c>
      <c r="M639" s="4">
        <v>14.470874999999999</v>
      </c>
      <c r="O639" s="4">
        <v>61.026499999999999</v>
      </c>
      <c r="Q639" s="183"/>
      <c r="R639" s="183"/>
      <c r="S639" s="183"/>
    </row>
    <row r="640" spans="1:19">
      <c r="A640" s="188">
        <v>42980</v>
      </c>
      <c r="C640" s="4">
        <v>21.234124999999999</v>
      </c>
      <c r="D640" s="4">
        <v>62.244374999999998</v>
      </c>
      <c r="I640" s="4">
        <v>17.730374999999999</v>
      </c>
      <c r="J640" s="4">
        <v>70.248249999999999</v>
      </c>
      <c r="K640" s="4">
        <v>20.583333333300001</v>
      </c>
      <c r="M640" s="4">
        <v>17.788374999999998</v>
      </c>
      <c r="O640" s="4">
        <v>66.096999999999994</v>
      </c>
      <c r="Q640" s="183"/>
      <c r="R640" s="183"/>
      <c r="S640" s="183"/>
    </row>
    <row r="641" spans="1:19">
      <c r="A641" s="188">
        <v>42981</v>
      </c>
      <c r="C641" s="4">
        <v>22.359625000000001</v>
      </c>
      <c r="D641" s="4">
        <v>53.449750000000002</v>
      </c>
      <c r="I641" s="4">
        <v>18.042999999999999</v>
      </c>
      <c r="J641" s="4">
        <v>58.052624999999999</v>
      </c>
      <c r="K641" s="4">
        <v>21.833333333300001</v>
      </c>
      <c r="M641" s="4">
        <v>19.289750000000002</v>
      </c>
      <c r="O641" s="4">
        <v>38.994999999999997</v>
      </c>
      <c r="Q641" s="183"/>
      <c r="R641" s="183"/>
      <c r="S641" s="183"/>
    </row>
    <row r="642" spans="1:19">
      <c r="A642" s="188">
        <v>42982</v>
      </c>
      <c r="C642" s="4">
        <v>21.609000000000002</v>
      </c>
      <c r="D642" s="4">
        <v>50.424750000000003</v>
      </c>
      <c r="I642" s="4">
        <v>19.481000000000002</v>
      </c>
      <c r="J642" s="4">
        <v>45.543624999999999</v>
      </c>
      <c r="K642" s="4">
        <v>24.916666666699999</v>
      </c>
      <c r="M642" s="4">
        <v>21.47925</v>
      </c>
      <c r="O642" s="4">
        <v>24.439125000000001</v>
      </c>
      <c r="Q642" s="183"/>
      <c r="R642" s="183"/>
      <c r="S642" s="183"/>
    </row>
    <row r="643" spans="1:19">
      <c r="A643" s="188">
        <v>42983</v>
      </c>
      <c r="C643" s="4">
        <v>21.861499999999999</v>
      </c>
      <c r="D643" s="4">
        <v>52.787624999999998</v>
      </c>
      <c r="I643" s="4">
        <v>20.172125000000001</v>
      </c>
      <c r="J643" s="4">
        <v>46.712874999999997</v>
      </c>
      <c r="M643" s="4">
        <v>22.229875</v>
      </c>
      <c r="O643" s="4">
        <v>28.885874999999999</v>
      </c>
      <c r="Q643" s="183"/>
      <c r="R643" s="183"/>
      <c r="S643" s="183"/>
    </row>
    <row r="644" spans="1:19">
      <c r="A644" s="188">
        <v>42984</v>
      </c>
      <c r="C644" s="4">
        <v>20.985624999999999</v>
      </c>
      <c r="D644" s="4">
        <v>59.433500000000002</v>
      </c>
      <c r="I644" s="4">
        <v>20.297000000000001</v>
      </c>
      <c r="J644" s="4">
        <v>51.372</v>
      </c>
      <c r="M644" s="4">
        <v>21.41675</v>
      </c>
      <c r="O644" s="4">
        <v>37.362375</v>
      </c>
      <c r="Q644" s="183"/>
      <c r="R644" s="183"/>
      <c r="S644" s="183"/>
    </row>
    <row r="645" spans="1:19">
      <c r="A645" s="188">
        <v>42985</v>
      </c>
      <c r="C645" s="4">
        <v>19.046624999999999</v>
      </c>
      <c r="D645" s="4">
        <v>74.313999999999993</v>
      </c>
      <c r="I645" s="4">
        <v>16.66825</v>
      </c>
      <c r="J645" s="4">
        <v>73.301874999999995</v>
      </c>
      <c r="M645" s="4">
        <v>16.975124999999998</v>
      </c>
      <c r="O645" s="4">
        <v>59.966250000000002</v>
      </c>
      <c r="Q645" s="183"/>
      <c r="R645" s="183"/>
      <c r="S645" s="183"/>
    </row>
    <row r="646" spans="1:19">
      <c r="A646" s="188">
        <v>42986</v>
      </c>
      <c r="C646" s="4">
        <v>16.856625000000001</v>
      </c>
      <c r="D646" s="4">
        <v>89.030249999999995</v>
      </c>
      <c r="I646" s="4">
        <v>13.538375</v>
      </c>
      <c r="J646" s="4">
        <v>98.500874999999994</v>
      </c>
      <c r="M646" s="4">
        <v>11.27825</v>
      </c>
      <c r="O646" s="4">
        <v>101.47437499999999</v>
      </c>
      <c r="Q646" s="183"/>
      <c r="R646" s="183"/>
      <c r="S646" s="183"/>
    </row>
    <row r="647" spans="1:19">
      <c r="A647" s="188">
        <v>42987</v>
      </c>
      <c r="C647" s="4">
        <v>13.537875</v>
      </c>
      <c r="D647" s="4">
        <v>92.444625000000002</v>
      </c>
      <c r="I647" s="4">
        <v>9.0892499999999998</v>
      </c>
      <c r="J647" s="4">
        <v>100.94012499999999</v>
      </c>
      <c r="M647" s="4">
        <v>6.3271249999999997</v>
      </c>
      <c r="O647" s="4">
        <v>106.156375</v>
      </c>
      <c r="Q647" s="183"/>
      <c r="R647" s="183"/>
      <c r="S647" s="183"/>
    </row>
    <row r="648" spans="1:19">
      <c r="A648" s="188">
        <v>42988</v>
      </c>
      <c r="C648" s="4">
        <v>12.284875</v>
      </c>
      <c r="D648" s="4">
        <v>92.138999999999996</v>
      </c>
      <c r="I648" s="4">
        <v>9.7157499999999999</v>
      </c>
      <c r="J648" s="4">
        <v>86.166749999999993</v>
      </c>
      <c r="M648" s="4">
        <v>5.9509999999999996</v>
      </c>
      <c r="O648" s="4">
        <v>102.0925</v>
      </c>
      <c r="Q648" s="183"/>
      <c r="R648" s="183"/>
      <c r="S648" s="183"/>
    </row>
    <row r="649" spans="1:19">
      <c r="A649" s="188">
        <v>42989</v>
      </c>
      <c r="C649" s="4">
        <v>14.601000000000001</v>
      </c>
      <c r="D649" s="4">
        <v>79.618624999999994</v>
      </c>
      <c r="I649" s="4">
        <v>14.349500000000001</v>
      </c>
      <c r="J649" s="4">
        <v>63.228749999999998</v>
      </c>
      <c r="M649" s="4">
        <v>12.968249999999999</v>
      </c>
      <c r="O649" s="4">
        <v>59.293500000000002</v>
      </c>
      <c r="Q649" s="183"/>
      <c r="R649" s="183"/>
      <c r="S649" s="183"/>
    </row>
    <row r="650" spans="1:19">
      <c r="A650" s="188">
        <v>42990</v>
      </c>
      <c r="C650" s="4">
        <v>15.165875</v>
      </c>
      <c r="D650" s="4">
        <v>81.537999999999997</v>
      </c>
      <c r="I650" s="4">
        <v>13.224500000000001</v>
      </c>
      <c r="J650" s="4">
        <v>70.822625000000002</v>
      </c>
      <c r="M650" s="4">
        <v>10.964874999999999</v>
      </c>
      <c r="O650" s="4">
        <v>75.582624999999993</v>
      </c>
      <c r="Q650" s="183"/>
      <c r="R650" s="183"/>
      <c r="S650" s="183"/>
    </row>
    <row r="651" spans="1:19">
      <c r="A651" s="188">
        <v>42991</v>
      </c>
      <c r="C651" s="4">
        <v>13.537625</v>
      </c>
      <c r="D651" s="4">
        <v>79.072500000000005</v>
      </c>
      <c r="I651" s="4">
        <v>9.2769999999999992</v>
      </c>
      <c r="J651" s="4">
        <v>80.836375000000004</v>
      </c>
      <c r="M651" s="4">
        <v>6.8287500000000003</v>
      </c>
      <c r="O651" s="4">
        <v>84.947749999999999</v>
      </c>
      <c r="Q651" s="183"/>
      <c r="R651" s="183"/>
      <c r="S651" s="183"/>
    </row>
    <row r="652" spans="1:19">
      <c r="A652" s="188">
        <v>42992</v>
      </c>
      <c r="C652" s="4">
        <v>12.91</v>
      </c>
      <c r="D652" s="4">
        <v>62.672750000000001</v>
      </c>
      <c r="I652" s="4">
        <v>10.46725</v>
      </c>
      <c r="J652" s="4">
        <v>49.238250000000001</v>
      </c>
      <c r="M652" s="4">
        <v>7.2673750000000004</v>
      </c>
      <c r="O652" s="4">
        <v>54.423999999999999</v>
      </c>
      <c r="Q652" s="183"/>
      <c r="R652" s="183"/>
      <c r="S652" s="183"/>
    </row>
    <row r="653" spans="1:19">
      <c r="A653" s="188">
        <v>42993</v>
      </c>
      <c r="C653" s="4">
        <v>13.22275</v>
      </c>
      <c r="D653" s="4">
        <v>56.471249999999998</v>
      </c>
      <c r="I653" s="4">
        <v>9.6516249999999992</v>
      </c>
      <c r="J653" s="4">
        <v>56.234250000000003</v>
      </c>
      <c r="M653" s="4">
        <v>8.7087500000000002</v>
      </c>
      <c r="O653" s="4">
        <v>47.644374999999997</v>
      </c>
      <c r="Q653" s="183"/>
      <c r="R653" s="183"/>
      <c r="S653" s="183"/>
    </row>
    <row r="654" spans="1:19">
      <c r="A654" s="188">
        <v>42994</v>
      </c>
      <c r="C654" s="4">
        <v>13.411125</v>
      </c>
      <c r="D654" s="4">
        <v>61.392499999999998</v>
      </c>
      <c r="I654" s="4">
        <v>10.467375000000001</v>
      </c>
      <c r="J654" s="4">
        <v>60.652500000000003</v>
      </c>
      <c r="M654" s="4">
        <v>8.0196249999999996</v>
      </c>
      <c r="O654" s="4">
        <v>61.761749999999999</v>
      </c>
      <c r="Q654" s="183"/>
      <c r="R654" s="183"/>
      <c r="S654" s="183"/>
    </row>
    <row r="655" spans="1:19">
      <c r="A655" s="188">
        <v>42995</v>
      </c>
      <c r="C655" s="4">
        <v>11.282249999999999</v>
      </c>
      <c r="D655" s="4">
        <v>73.445125000000004</v>
      </c>
      <c r="I655" s="4">
        <v>8.1487499999999997</v>
      </c>
      <c r="J655" s="4">
        <v>72.71575</v>
      </c>
      <c r="M655" s="4">
        <v>5.1986249999999998</v>
      </c>
      <c r="O655" s="4">
        <v>77.915999999999997</v>
      </c>
      <c r="Q655" s="183"/>
      <c r="R655" s="183"/>
      <c r="S655" s="183"/>
    </row>
    <row r="656" spans="1:19">
      <c r="A656" s="188">
        <v>42996</v>
      </c>
      <c r="C656" s="4">
        <v>7.6475</v>
      </c>
      <c r="D656" s="4">
        <v>93.342500000000001</v>
      </c>
      <c r="I656" s="4">
        <v>2.5670000000000002</v>
      </c>
      <c r="J656" s="4">
        <v>103.14624999999999</v>
      </c>
      <c r="M656" s="4">
        <v>-0.25850000000000001</v>
      </c>
      <c r="O656" s="4">
        <v>105.65</v>
      </c>
      <c r="Q656" s="183"/>
      <c r="R656" s="183"/>
      <c r="S656" s="183"/>
    </row>
    <row r="657" spans="1:38">
      <c r="A657" s="188">
        <v>42997</v>
      </c>
      <c r="C657" s="4">
        <v>7.8356250000000003</v>
      </c>
      <c r="D657" s="4">
        <v>94.279499999999999</v>
      </c>
      <c r="I657" s="4">
        <v>2.629375</v>
      </c>
      <c r="J657" s="4">
        <v>102.31874999999999</v>
      </c>
      <c r="M657" s="4">
        <v>-0.13300000000000001</v>
      </c>
      <c r="O657" s="4">
        <v>106.96925</v>
      </c>
      <c r="Q657" s="183"/>
      <c r="R657" s="183"/>
      <c r="S657" s="183"/>
      <c r="AK657" s="183"/>
      <c r="AL657" s="183"/>
    </row>
    <row r="658" spans="1:38">
      <c r="A658" s="188">
        <v>42998</v>
      </c>
      <c r="C658" s="4">
        <v>8.0233749999999997</v>
      </c>
      <c r="D658" s="4">
        <v>90.944249999999997</v>
      </c>
      <c r="I658" s="4">
        <v>3.1311249999999999</v>
      </c>
      <c r="J658" s="4">
        <v>102.07187500000001</v>
      </c>
      <c r="M658" s="4">
        <v>0.11799999999999999</v>
      </c>
      <c r="O658" s="4">
        <v>107.02249999999999</v>
      </c>
      <c r="Q658" s="183"/>
      <c r="R658" s="183"/>
      <c r="S658" s="183"/>
      <c r="AJ658" s="183"/>
      <c r="AK658" s="183"/>
      <c r="AL658" s="183"/>
    </row>
    <row r="659" spans="1:38">
      <c r="A659" s="188">
        <v>42999</v>
      </c>
      <c r="C659" s="4">
        <v>8.4623749999999998</v>
      </c>
      <c r="D659" s="4">
        <v>92.119375000000005</v>
      </c>
      <c r="I659" s="4">
        <v>4.6993749999999999</v>
      </c>
      <c r="J659" s="4">
        <v>92.789749999999998</v>
      </c>
      <c r="M659" s="4">
        <v>0.74550000000000005</v>
      </c>
      <c r="O659" s="4">
        <v>103.81075</v>
      </c>
      <c r="Q659" s="183"/>
      <c r="R659" s="183"/>
      <c r="S659" s="183"/>
      <c r="AJ659" s="183"/>
      <c r="AK659" s="183"/>
      <c r="AL659" s="183"/>
    </row>
    <row r="660" spans="1:38">
      <c r="A660" s="188">
        <v>43000</v>
      </c>
      <c r="C660" s="4">
        <v>11.031750000000001</v>
      </c>
      <c r="D660" s="4">
        <v>79.619624999999999</v>
      </c>
      <c r="I660" s="4">
        <v>7.96</v>
      </c>
      <c r="J660" s="4">
        <v>78.157624999999996</v>
      </c>
      <c r="M660" s="4">
        <v>3.4427500000000002</v>
      </c>
      <c r="O660" s="4">
        <v>90.923374999999993</v>
      </c>
      <c r="Q660" s="183"/>
      <c r="R660" s="183"/>
      <c r="S660" s="183"/>
      <c r="AJ660" s="183"/>
      <c r="AK660" s="183"/>
      <c r="AL660" s="183"/>
    </row>
    <row r="661" spans="1:38">
      <c r="A661" s="188">
        <v>43001</v>
      </c>
      <c r="C661" s="4">
        <v>12.284625</v>
      </c>
      <c r="D661" s="4">
        <v>76.499624999999995</v>
      </c>
      <c r="I661" s="4">
        <v>7.71</v>
      </c>
      <c r="J661" s="4">
        <v>83.15025</v>
      </c>
      <c r="M661" s="4">
        <v>4.6970000000000001</v>
      </c>
      <c r="O661" s="4">
        <v>90.353750000000005</v>
      </c>
      <c r="Q661" s="183"/>
      <c r="R661" s="183"/>
      <c r="S661" s="183"/>
      <c r="AJ661" s="183"/>
    </row>
    <row r="662" spans="1:38">
      <c r="A662" s="188">
        <v>43002</v>
      </c>
      <c r="C662" s="4">
        <v>11.846</v>
      </c>
      <c r="D662" s="4">
        <v>83.091624999999993</v>
      </c>
      <c r="I662" s="4">
        <v>7.7718749999999996</v>
      </c>
      <c r="J662" s="4">
        <v>91.213250000000002</v>
      </c>
      <c r="M662" s="4">
        <v>6.5778749999999997</v>
      </c>
      <c r="O662" s="4">
        <v>91.281374999999997</v>
      </c>
      <c r="Q662" s="183"/>
      <c r="R662" s="183"/>
      <c r="S662" s="183"/>
    </row>
    <row r="663" spans="1:38">
      <c r="A663" s="188">
        <v>43003</v>
      </c>
      <c r="C663" s="4">
        <v>12.097375</v>
      </c>
      <c r="D663" s="4">
        <v>90.660499999999999</v>
      </c>
      <c r="I663" s="4">
        <v>8.9015000000000004</v>
      </c>
      <c r="J663" s="4">
        <v>97.679374999999993</v>
      </c>
      <c r="M663" s="4">
        <v>5.8884999999999996</v>
      </c>
      <c r="O663" s="4">
        <v>105.559625</v>
      </c>
      <c r="Q663" s="183"/>
      <c r="R663" s="183"/>
      <c r="S663" s="183"/>
    </row>
    <row r="664" spans="1:38">
      <c r="A664" s="188">
        <v>43004</v>
      </c>
      <c r="C664" s="4">
        <v>12.598000000000001</v>
      </c>
      <c r="D664" s="4">
        <v>87.695625000000007</v>
      </c>
      <c r="I664" s="4">
        <v>9.4638749999999998</v>
      </c>
      <c r="J664" s="4">
        <v>90.3005</v>
      </c>
      <c r="M664" s="4">
        <v>8.3326250000000002</v>
      </c>
      <c r="O664" s="4">
        <v>96.644499999999994</v>
      </c>
      <c r="Q664" s="183"/>
      <c r="R664" s="183"/>
      <c r="S664" s="183"/>
    </row>
    <row r="665" spans="1:38">
      <c r="A665" s="188">
        <v>43005</v>
      </c>
      <c r="C665" s="4">
        <v>14.288375</v>
      </c>
      <c r="D665" s="4">
        <v>81.185625000000002</v>
      </c>
      <c r="I665" s="4">
        <v>12.90925</v>
      </c>
      <c r="J665" s="4">
        <v>74.338750000000005</v>
      </c>
      <c r="M665" s="4">
        <v>12.7562</v>
      </c>
      <c r="O665" s="4">
        <v>63.147399999999998</v>
      </c>
      <c r="Q665" s="183"/>
      <c r="R665" s="183"/>
      <c r="S665" s="183"/>
      <c r="AK665" s="183"/>
      <c r="AL665" s="183"/>
    </row>
    <row r="666" spans="1:38">
      <c r="A666" s="188">
        <v>43006</v>
      </c>
      <c r="C666" s="4">
        <v>15.605</v>
      </c>
      <c r="D666" s="4">
        <v>76.03</v>
      </c>
      <c r="G666" s="4">
        <v>17</v>
      </c>
      <c r="I666" s="4">
        <v>10.968999999999999</v>
      </c>
      <c r="J666" s="4">
        <v>76.946250000000006</v>
      </c>
      <c r="M666" s="4">
        <v>13.908250000000001</v>
      </c>
      <c r="O666" s="4">
        <v>54.563124999999999</v>
      </c>
      <c r="Q666" s="183"/>
      <c r="R666" s="183"/>
      <c r="S666" s="183"/>
      <c r="AJ666" s="183"/>
      <c r="AK666" s="183"/>
      <c r="AL666" s="183"/>
    </row>
    <row r="667" spans="1:38">
      <c r="A667" s="188">
        <v>43007</v>
      </c>
      <c r="C667" s="4">
        <v>12.661</v>
      </c>
      <c r="D667" s="4">
        <v>87.437749999999994</v>
      </c>
      <c r="E667" s="4">
        <v>12</v>
      </c>
      <c r="G667" s="4">
        <v>12.083333333300001</v>
      </c>
      <c r="I667" s="4">
        <v>9.6530000000000005</v>
      </c>
      <c r="J667" s="4">
        <v>88.901499999999999</v>
      </c>
      <c r="M667" s="4">
        <v>7.8937499999999998</v>
      </c>
      <c r="O667" s="4">
        <v>90.385249999999999</v>
      </c>
      <c r="Q667" s="183"/>
      <c r="R667" s="183"/>
      <c r="S667" s="183"/>
      <c r="AJ667" s="183"/>
      <c r="AK667" s="183"/>
      <c r="AL667" s="183"/>
    </row>
    <row r="668" spans="1:38">
      <c r="A668" s="188">
        <v>43008</v>
      </c>
      <c r="C668" s="4">
        <v>8.4625000000000004</v>
      </c>
      <c r="D668" s="4">
        <v>93.223749999999995</v>
      </c>
      <c r="E668" s="4">
        <v>7.75</v>
      </c>
      <c r="G668" s="4">
        <v>4.8333333333299997</v>
      </c>
      <c r="I668" s="4">
        <v>3.4453749999999999</v>
      </c>
      <c r="J668" s="4">
        <v>103.194125</v>
      </c>
      <c r="M668" s="4">
        <v>0.871</v>
      </c>
      <c r="O668" s="4">
        <v>106.7525</v>
      </c>
      <c r="Q668" s="183"/>
      <c r="R668" s="183"/>
      <c r="S668" s="183"/>
      <c r="AJ668" s="183"/>
      <c r="AK668" s="183"/>
      <c r="AL668" s="183"/>
    </row>
    <row r="669" spans="1:38">
      <c r="A669" s="188">
        <v>43009</v>
      </c>
      <c r="C669" s="4">
        <v>7.5220000000000002</v>
      </c>
      <c r="D669" s="4">
        <v>94.508750000000006</v>
      </c>
      <c r="E669" s="4">
        <v>6.5</v>
      </c>
      <c r="G669" s="4">
        <v>4.0833333333299997</v>
      </c>
      <c r="I669" s="4">
        <v>2.8177500000000002</v>
      </c>
      <c r="J669" s="4">
        <v>103.6485</v>
      </c>
      <c r="M669" s="4">
        <v>0.24349999999999999</v>
      </c>
      <c r="O669" s="4">
        <v>107.129875</v>
      </c>
      <c r="Q669" s="183"/>
      <c r="R669" s="183"/>
      <c r="S669" s="183"/>
      <c r="AJ669" s="183"/>
    </row>
    <row r="670" spans="1:38">
      <c r="A670" s="188">
        <v>43010</v>
      </c>
      <c r="C670" s="4">
        <v>7.5845000000000002</v>
      </c>
      <c r="D670" s="4">
        <v>91.911500000000004</v>
      </c>
      <c r="E670" s="4">
        <v>6.0833333333299997</v>
      </c>
      <c r="G670" s="4">
        <v>4.9166666666700003</v>
      </c>
      <c r="I670" s="4">
        <v>4.1351250000000004</v>
      </c>
      <c r="J670" s="4">
        <v>83.396124999999998</v>
      </c>
      <c r="M670" s="4">
        <v>1.184625</v>
      </c>
      <c r="O670" s="4">
        <v>89.131249999999994</v>
      </c>
      <c r="Q670" s="183"/>
      <c r="R670" s="183"/>
      <c r="S670" s="183"/>
    </row>
    <row r="671" spans="1:38">
      <c r="A671" s="188">
        <v>43011</v>
      </c>
      <c r="C671" s="4">
        <v>7.3331249999999999</v>
      </c>
      <c r="D671" s="4">
        <v>86.347250000000003</v>
      </c>
      <c r="E671" s="4">
        <v>6.0833333333299997</v>
      </c>
      <c r="G671" s="4">
        <v>7.0833333333299997</v>
      </c>
      <c r="I671" s="4">
        <v>5.4511250000000002</v>
      </c>
      <c r="J671" s="4">
        <v>76.021874999999994</v>
      </c>
      <c r="M671" s="4">
        <v>5.8252499999999996</v>
      </c>
      <c r="O671" s="4">
        <v>65.788124999999994</v>
      </c>
      <c r="Q671" s="183"/>
      <c r="R671" s="183"/>
      <c r="S671" s="183"/>
    </row>
    <row r="672" spans="1:38">
      <c r="A672" s="188">
        <v>43012</v>
      </c>
      <c r="C672" s="4">
        <v>7.7718749999999996</v>
      </c>
      <c r="D672" s="4">
        <v>84.833624999999998</v>
      </c>
      <c r="E672" s="4">
        <v>6.9166666666700003</v>
      </c>
      <c r="G672" s="4">
        <v>8.9166666666700003</v>
      </c>
      <c r="I672" s="4">
        <v>6.015625</v>
      </c>
      <c r="J672" s="4">
        <v>73.461124999999996</v>
      </c>
      <c r="M672" s="4">
        <v>8.2703749999999996</v>
      </c>
      <c r="O672" s="4">
        <v>47.406500000000001</v>
      </c>
      <c r="Q672" s="183"/>
      <c r="R672" s="183"/>
      <c r="S672" s="183"/>
    </row>
    <row r="673" spans="1:38">
      <c r="A673" s="188">
        <v>43013</v>
      </c>
      <c r="C673" s="4">
        <v>8.3986249999999991</v>
      </c>
      <c r="D673" s="4">
        <v>82.971500000000006</v>
      </c>
      <c r="E673" s="4">
        <v>7.5833333333299997</v>
      </c>
      <c r="G673" s="4">
        <v>9.6666666666700003</v>
      </c>
      <c r="I673" s="4">
        <v>7.7083750000000002</v>
      </c>
      <c r="J673" s="4">
        <v>69.954125000000005</v>
      </c>
      <c r="M673" s="4">
        <v>9.3983749999999997</v>
      </c>
      <c r="O673" s="4">
        <v>45.403374999999997</v>
      </c>
      <c r="Q673" s="183"/>
      <c r="R673" s="183"/>
      <c r="S673" s="183"/>
    </row>
    <row r="674" spans="1:38">
      <c r="A674" s="188">
        <v>43014</v>
      </c>
      <c r="C674" s="4">
        <v>7.5848750000000003</v>
      </c>
      <c r="D674" s="4">
        <v>91.126499999999993</v>
      </c>
      <c r="E674" s="4">
        <v>6.1666666666700003</v>
      </c>
      <c r="G674" s="4">
        <v>7.25</v>
      </c>
      <c r="I674" s="4">
        <v>6.0797499999999998</v>
      </c>
      <c r="J674" s="4">
        <v>81.726249999999993</v>
      </c>
      <c r="M674" s="4">
        <v>3.25475</v>
      </c>
      <c r="O674" s="4">
        <v>88.281000000000006</v>
      </c>
      <c r="Q674" s="183"/>
      <c r="R674" s="183"/>
      <c r="S674" s="183"/>
    </row>
    <row r="675" spans="1:38">
      <c r="A675" s="188">
        <v>43015</v>
      </c>
      <c r="C675" s="4">
        <v>7.2714999999999996</v>
      </c>
      <c r="D675" s="4">
        <v>95.612250000000003</v>
      </c>
      <c r="E675" s="4">
        <v>6.3333333333299997</v>
      </c>
      <c r="G675" s="4">
        <v>3.3333333333300001</v>
      </c>
      <c r="I675" s="4">
        <v>1.8134999999999999</v>
      </c>
      <c r="J675" s="4">
        <v>102.90625</v>
      </c>
      <c r="M675" s="4">
        <v>-0.82325000000000004</v>
      </c>
      <c r="O675" s="4">
        <v>104.73275</v>
      </c>
      <c r="Q675" s="183"/>
      <c r="R675" s="183"/>
      <c r="S675" s="183"/>
    </row>
    <row r="676" spans="1:38">
      <c r="A676" s="188">
        <v>43016</v>
      </c>
      <c r="C676" s="4">
        <v>6.5188750000000004</v>
      </c>
      <c r="D676" s="4">
        <v>95.708875000000006</v>
      </c>
      <c r="E676" s="4">
        <v>5.3333333333299997</v>
      </c>
      <c r="G676" s="4">
        <v>3.1666666666699999</v>
      </c>
      <c r="I676" s="4">
        <v>2.4405000000000001</v>
      </c>
      <c r="J676" s="4">
        <v>99.607124999999996</v>
      </c>
      <c r="M676" s="4">
        <v>0.18074999999999999</v>
      </c>
      <c r="O676" s="4">
        <v>101.25225</v>
      </c>
      <c r="Q676" s="183"/>
      <c r="R676" s="183"/>
      <c r="S676" s="183"/>
    </row>
    <row r="677" spans="1:38">
      <c r="A677" s="188">
        <v>43017</v>
      </c>
      <c r="C677" s="4">
        <v>6.5183749999999998</v>
      </c>
      <c r="D677" s="4">
        <v>93.376125000000002</v>
      </c>
      <c r="E677" s="4">
        <v>5.5</v>
      </c>
      <c r="G677" s="4">
        <v>4.75</v>
      </c>
      <c r="I677" s="4">
        <v>4.2596249999999998</v>
      </c>
      <c r="J677" s="4">
        <v>84.937875000000005</v>
      </c>
      <c r="M677" s="4">
        <v>2</v>
      </c>
      <c r="O677" s="4">
        <v>87.604749999999996</v>
      </c>
      <c r="Q677" s="183"/>
      <c r="R677" s="183"/>
      <c r="S677" s="183"/>
      <c r="AK677" s="183"/>
      <c r="AL677" s="183"/>
    </row>
    <row r="678" spans="1:38">
      <c r="A678" s="188">
        <v>43018</v>
      </c>
      <c r="C678" s="4">
        <v>5.3897500000000003</v>
      </c>
      <c r="D678" s="4">
        <v>96.699624999999997</v>
      </c>
      <c r="E678" s="4">
        <v>4.4166666666700003</v>
      </c>
      <c r="G678" s="4">
        <v>4.4166666666700003</v>
      </c>
      <c r="I678" s="4">
        <v>4.2597500000000004</v>
      </c>
      <c r="J678" s="4">
        <v>80.375249999999994</v>
      </c>
      <c r="M678" s="4">
        <v>1.1212500000000001</v>
      </c>
      <c r="O678" s="4">
        <v>88.150499999999994</v>
      </c>
      <c r="Q678" s="183"/>
      <c r="R678" s="183"/>
      <c r="S678" s="183"/>
      <c r="AJ678" s="183"/>
      <c r="AK678" s="183"/>
      <c r="AL678" s="183"/>
    </row>
    <row r="679" spans="1:38">
      <c r="A679" s="188">
        <v>43019</v>
      </c>
      <c r="C679" s="4">
        <v>3.9470000000000001</v>
      </c>
      <c r="D679" s="4">
        <v>95.758375000000001</v>
      </c>
      <c r="E679" s="4">
        <v>2.5833333333300001</v>
      </c>
      <c r="G679" s="4">
        <v>0.25</v>
      </c>
      <c r="I679" s="4">
        <v>-0.25837500000000002</v>
      </c>
      <c r="J679" s="4">
        <v>100.242125</v>
      </c>
      <c r="M679" s="4">
        <v>-3.6484999999999999</v>
      </c>
      <c r="O679" s="4">
        <v>104.739625</v>
      </c>
      <c r="Q679" s="183"/>
      <c r="R679" s="183"/>
      <c r="S679" s="183"/>
      <c r="AJ679" s="183"/>
      <c r="AK679" s="183"/>
      <c r="AL679" s="183"/>
    </row>
    <row r="680" spans="1:38">
      <c r="A680" s="188">
        <v>43020</v>
      </c>
      <c r="C680" s="4">
        <v>4.2608750000000004</v>
      </c>
      <c r="D680" s="4">
        <v>96.467375000000004</v>
      </c>
      <c r="E680" s="4">
        <v>3.1666666666699999</v>
      </c>
      <c r="G680" s="4">
        <v>0.66666666666700003</v>
      </c>
      <c r="I680" s="4">
        <v>-0.25837500000000002</v>
      </c>
      <c r="J680" s="4">
        <v>101.502</v>
      </c>
      <c r="M680" s="4">
        <v>-3.4601250000000001</v>
      </c>
      <c r="O680" s="4">
        <v>104.904</v>
      </c>
      <c r="Q680" s="183"/>
      <c r="R680" s="183"/>
      <c r="S680" s="183"/>
      <c r="AJ680" s="183"/>
      <c r="AK680" s="183"/>
      <c r="AL680" s="183"/>
    </row>
    <row r="681" spans="1:38">
      <c r="A681" s="188">
        <v>43021</v>
      </c>
      <c r="C681" s="4">
        <v>3.194</v>
      </c>
      <c r="D681" s="4">
        <v>96.810500000000005</v>
      </c>
      <c r="E681" s="4">
        <v>2.75</v>
      </c>
      <c r="G681" s="4">
        <v>0.41666666666699997</v>
      </c>
      <c r="I681" s="4">
        <v>-0.88612500000000005</v>
      </c>
      <c r="J681" s="4">
        <v>102.093875</v>
      </c>
      <c r="M681" s="4">
        <v>-3.2717499999999999</v>
      </c>
      <c r="O681" s="4">
        <v>105.01349999999999</v>
      </c>
      <c r="Q681" s="183"/>
      <c r="R681" s="183"/>
      <c r="S681" s="183"/>
      <c r="AJ681" s="183"/>
      <c r="AK681" s="183"/>
      <c r="AL681" s="183"/>
    </row>
    <row r="682" spans="1:38">
      <c r="A682" s="188">
        <v>43022</v>
      </c>
      <c r="C682" s="4">
        <v>3.9467500000000002</v>
      </c>
      <c r="D682" s="4">
        <v>96.867000000000004</v>
      </c>
      <c r="E682" s="4">
        <v>2.9166666666699999</v>
      </c>
      <c r="G682" s="4">
        <v>0.58333333333299997</v>
      </c>
      <c r="I682" s="4">
        <v>-0.57262500000000005</v>
      </c>
      <c r="J682" s="4">
        <v>100.455375</v>
      </c>
      <c r="M682" s="4">
        <v>-2.9580000000000002</v>
      </c>
      <c r="O682" s="4">
        <v>105.3385</v>
      </c>
      <c r="Q682" s="183"/>
      <c r="R682" s="183"/>
      <c r="S682" s="183"/>
      <c r="AJ682" s="183"/>
      <c r="AK682" s="183"/>
      <c r="AL682" s="183"/>
    </row>
    <row r="683" spans="1:38">
      <c r="A683" s="188">
        <v>43023</v>
      </c>
      <c r="C683" s="4">
        <v>6.8946249999999996</v>
      </c>
      <c r="D683" s="4">
        <v>94.97175</v>
      </c>
      <c r="E683" s="4">
        <v>6.3333333333299997</v>
      </c>
      <c r="G683" s="4">
        <v>5.9166666666700003</v>
      </c>
      <c r="I683" s="4">
        <v>5.5774999999999997</v>
      </c>
      <c r="J683" s="4">
        <v>96.440749999999994</v>
      </c>
      <c r="M683" s="4">
        <v>3.8820000000000001</v>
      </c>
      <c r="O683" s="4">
        <v>101.267875</v>
      </c>
      <c r="Q683" s="183"/>
      <c r="R683" s="183"/>
      <c r="S683" s="183"/>
      <c r="AJ683" s="183"/>
      <c r="AK683" s="183"/>
      <c r="AL683" s="183"/>
    </row>
    <row r="684" spans="1:38">
      <c r="A684" s="188">
        <v>43024</v>
      </c>
      <c r="C684" s="4">
        <v>7.89825</v>
      </c>
      <c r="D684" s="4">
        <v>95.150499999999994</v>
      </c>
      <c r="E684" s="4">
        <v>7.75</v>
      </c>
      <c r="G684" s="4">
        <v>7.3333333333299997</v>
      </c>
      <c r="I684" s="4">
        <v>6.0798750000000004</v>
      </c>
      <c r="J684" s="4">
        <v>92.203500000000005</v>
      </c>
      <c r="M684" s="4">
        <v>2.7530000000000001</v>
      </c>
      <c r="O684" s="4">
        <v>102.159375</v>
      </c>
      <c r="Q684" s="183"/>
      <c r="R684" s="183"/>
      <c r="S684" s="183"/>
      <c r="AJ684" s="183"/>
      <c r="AK684" s="183"/>
      <c r="AL684" s="183"/>
    </row>
    <row r="685" spans="1:38">
      <c r="A685" s="188">
        <v>43025</v>
      </c>
      <c r="C685" s="4">
        <v>8.2743749999999991</v>
      </c>
      <c r="D685" s="4">
        <v>97.154750000000007</v>
      </c>
      <c r="E685" s="4">
        <v>7.9166666666700003</v>
      </c>
      <c r="G685" s="4">
        <v>5.1666666666700003</v>
      </c>
      <c r="I685" s="4">
        <v>4.1349999999999998</v>
      </c>
      <c r="J685" s="4">
        <v>98.960374999999999</v>
      </c>
      <c r="M685" s="4">
        <v>1.121375</v>
      </c>
      <c r="O685" s="4">
        <v>106.59</v>
      </c>
      <c r="Q685" s="183"/>
      <c r="R685" s="183"/>
      <c r="S685" s="183"/>
      <c r="AJ685" s="183"/>
    </row>
    <row r="686" spans="1:38">
      <c r="A686" s="188">
        <v>43026</v>
      </c>
      <c r="C686" s="4">
        <v>6.1422499999999998</v>
      </c>
      <c r="D686" s="4">
        <v>96.811125000000004</v>
      </c>
      <c r="E686" s="4">
        <v>5.6666666666700003</v>
      </c>
      <c r="G686" s="4">
        <v>3.9166666666699999</v>
      </c>
      <c r="I686" s="4">
        <v>2.87975</v>
      </c>
      <c r="J686" s="4">
        <v>96.772999999999996</v>
      </c>
      <c r="M686" s="4">
        <v>5.4375E-2</v>
      </c>
      <c r="O686" s="4">
        <v>105.270875</v>
      </c>
      <c r="Q686" s="183"/>
      <c r="R686" s="183"/>
      <c r="S686" s="183"/>
    </row>
    <row r="687" spans="1:38">
      <c r="A687" s="188">
        <v>43027</v>
      </c>
      <c r="C687" s="4">
        <v>7.7101249999999997</v>
      </c>
      <c r="D687" s="4">
        <v>97.833250000000007</v>
      </c>
      <c r="E687" s="4">
        <v>6.8333333333299997</v>
      </c>
      <c r="G687" s="4">
        <v>4.3333333333299997</v>
      </c>
      <c r="I687" s="4">
        <v>2.8803749999999999</v>
      </c>
      <c r="J687" s="4">
        <v>104.50425</v>
      </c>
      <c r="M687" s="4">
        <v>0.55725000000000002</v>
      </c>
      <c r="O687" s="4">
        <v>107.39875000000001</v>
      </c>
      <c r="Q687" s="183"/>
      <c r="R687" s="183"/>
      <c r="S687" s="183"/>
    </row>
    <row r="688" spans="1:38">
      <c r="A688" s="188">
        <v>43028</v>
      </c>
      <c r="C688" s="4">
        <v>5.7033750000000003</v>
      </c>
      <c r="D688" s="4">
        <v>99.066625000000002</v>
      </c>
      <c r="E688" s="4">
        <v>4.5</v>
      </c>
      <c r="G688" s="4">
        <v>1.4166666666700001</v>
      </c>
      <c r="I688" s="4">
        <v>0.307</v>
      </c>
      <c r="J688" s="4">
        <v>105.678375</v>
      </c>
      <c r="M688" s="4">
        <v>-2.1415000000000002</v>
      </c>
      <c r="O688" s="4">
        <v>106.806625</v>
      </c>
      <c r="Q688" s="183"/>
      <c r="R688" s="183"/>
      <c r="S688" s="183"/>
    </row>
    <row r="689" spans="1:38">
      <c r="A689" s="188">
        <v>43029</v>
      </c>
      <c r="C689" s="4">
        <v>4.7</v>
      </c>
      <c r="D689" s="4">
        <v>98.899124999999998</v>
      </c>
      <c r="E689" s="4">
        <v>3.9166666666699999</v>
      </c>
      <c r="G689" s="4">
        <v>1.5833333333299999</v>
      </c>
      <c r="I689" s="4">
        <v>0.11849999999999999</v>
      </c>
      <c r="J689" s="4">
        <v>105.512</v>
      </c>
      <c r="M689" s="4">
        <v>-2.078875</v>
      </c>
      <c r="O689" s="4">
        <v>106.752375</v>
      </c>
      <c r="Q689" s="183"/>
      <c r="R689" s="183"/>
      <c r="S689" s="183"/>
      <c r="AK689" s="183"/>
      <c r="AL689" s="183"/>
    </row>
    <row r="690" spans="1:38">
      <c r="A690" s="188">
        <v>43030</v>
      </c>
      <c r="C690" s="4">
        <v>7.3967499999999999</v>
      </c>
      <c r="D690" s="4">
        <v>98.34</v>
      </c>
      <c r="E690" s="4">
        <v>6.6666666666700003</v>
      </c>
      <c r="G690" s="4">
        <v>4</v>
      </c>
      <c r="I690" s="4">
        <v>2.5038749999999999</v>
      </c>
      <c r="J690" s="4">
        <v>99.787625000000006</v>
      </c>
      <c r="M690" s="4">
        <v>5.525E-2</v>
      </c>
      <c r="O690" s="4">
        <v>104.76112500000001</v>
      </c>
      <c r="Q690" s="183"/>
      <c r="R690" s="183"/>
      <c r="S690" s="183"/>
      <c r="AJ690" s="183"/>
      <c r="AK690" s="183"/>
      <c r="AL690" s="183"/>
    </row>
    <row r="691" spans="1:38">
      <c r="A691" s="188">
        <v>43031</v>
      </c>
      <c r="C691" s="4">
        <v>6.9573749999999999</v>
      </c>
      <c r="D691" s="4">
        <v>97.816374999999994</v>
      </c>
      <c r="E691" s="4">
        <v>5.6666666666700003</v>
      </c>
      <c r="G691" s="4">
        <v>3.8333333333300001</v>
      </c>
      <c r="I691" s="4">
        <v>3.4446249999999998</v>
      </c>
      <c r="J691" s="4">
        <v>94.768625</v>
      </c>
      <c r="M691" s="4">
        <v>0.80812499999999998</v>
      </c>
      <c r="O691" s="4">
        <v>100.36450000000001</v>
      </c>
      <c r="Q691" s="183"/>
      <c r="R691" s="183"/>
      <c r="S691" s="183"/>
      <c r="AJ691" s="183"/>
      <c r="AK691" s="183"/>
      <c r="AL691" s="183"/>
    </row>
    <row r="692" spans="1:38">
      <c r="A692" s="188">
        <v>43032</v>
      </c>
      <c r="C692" s="4">
        <v>7.2709999999999999</v>
      </c>
      <c r="D692" s="4">
        <v>94.912999999999997</v>
      </c>
      <c r="E692" s="4">
        <v>6.75</v>
      </c>
      <c r="G692" s="4">
        <v>8.75</v>
      </c>
      <c r="I692" s="4">
        <v>7.2701250000000002</v>
      </c>
      <c r="J692" s="4">
        <v>80.549750000000003</v>
      </c>
      <c r="M692" s="4">
        <v>8.2703749999999996</v>
      </c>
      <c r="O692" s="4">
        <v>72.700500000000005</v>
      </c>
      <c r="Q692" s="183"/>
      <c r="R692" s="183"/>
      <c r="S692" s="183"/>
      <c r="AJ692" s="183"/>
      <c r="AK692" s="183"/>
      <c r="AL692" s="183"/>
    </row>
    <row r="693" spans="1:38">
      <c r="A693" s="188">
        <v>43033</v>
      </c>
      <c r="C693" s="4">
        <v>7.6475</v>
      </c>
      <c r="D693" s="4">
        <v>95.666875000000005</v>
      </c>
      <c r="E693" s="4">
        <v>6.9166666666700003</v>
      </c>
      <c r="G693" s="4">
        <v>8.25</v>
      </c>
      <c r="I693" s="4">
        <v>6.4558749999999998</v>
      </c>
      <c r="J693" s="4">
        <v>91.234999999999999</v>
      </c>
      <c r="M693" s="4">
        <v>5.7001249999999999</v>
      </c>
      <c r="O693" s="4">
        <v>92.138125000000002</v>
      </c>
      <c r="Q693" s="183"/>
      <c r="R693" s="183"/>
      <c r="S693" s="183"/>
      <c r="AJ693" s="183"/>
      <c r="AK693" s="183"/>
      <c r="AL693" s="183"/>
    </row>
    <row r="694" spans="1:38">
      <c r="A694" s="188">
        <v>43034</v>
      </c>
      <c r="C694" s="4">
        <v>7.0830000000000002</v>
      </c>
      <c r="D694" s="4">
        <v>96.750249999999994</v>
      </c>
      <c r="E694" s="4">
        <v>6.3333333333299997</v>
      </c>
      <c r="G694" s="4">
        <v>5.75</v>
      </c>
      <c r="I694" s="4">
        <v>3.883375</v>
      </c>
      <c r="J694" s="4">
        <v>92.227249999999998</v>
      </c>
      <c r="M694" s="4">
        <v>5.7625000000000002</v>
      </c>
      <c r="O694" s="4">
        <v>70.708875000000006</v>
      </c>
      <c r="Q694" s="183"/>
      <c r="R694" s="183"/>
      <c r="S694" s="183"/>
      <c r="AJ694" s="183"/>
      <c r="AK694" s="183"/>
      <c r="AL694" s="183"/>
    </row>
    <row r="695" spans="1:38">
      <c r="A695" s="188">
        <v>43035</v>
      </c>
      <c r="C695" s="4">
        <v>8.0232500000000009</v>
      </c>
      <c r="D695" s="4">
        <v>94.140625</v>
      </c>
      <c r="E695" s="4">
        <v>8.3333333333299997</v>
      </c>
      <c r="G695" s="4">
        <v>14.833333333300001</v>
      </c>
      <c r="I695" s="4">
        <v>9.4636250000000004</v>
      </c>
      <c r="J695" s="4">
        <v>66.672499999999999</v>
      </c>
      <c r="M695" s="4">
        <v>14.221125000000001</v>
      </c>
      <c r="O695" s="4">
        <v>36.794125000000001</v>
      </c>
      <c r="Q695" s="183"/>
      <c r="R695" s="183"/>
      <c r="S695" s="183"/>
      <c r="AJ695" s="183"/>
      <c r="AK695" s="183"/>
      <c r="AL695" s="183"/>
    </row>
    <row r="696" spans="1:38">
      <c r="A696" s="188">
        <v>43036</v>
      </c>
      <c r="C696" s="4">
        <v>9.0892499999999998</v>
      </c>
      <c r="D696" s="4">
        <v>91.978125000000006</v>
      </c>
      <c r="E696" s="4">
        <v>9.8333333333299997</v>
      </c>
      <c r="G696" s="4">
        <v>14.416666666699999</v>
      </c>
      <c r="I696" s="4">
        <v>10.592499999999999</v>
      </c>
      <c r="J696" s="4">
        <v>67.208624999999998</v>
      </c>
      <c r="M696" s="4">
        <v>13.72025</v>
      </c>
      <c r="O696" s="4">
        <v>46.505375000000001</v>
      </c>
      <c r="Q696" s="183"/>
      <c r="R696" s="183"/>
      <c r="S696" s="183"/>
      <c r="AJ696" s="183"/>
      <c r="AK696" s="183"/>
      <c r="AL696" s="183"/>
    </row>
    <row r="697" spans="1:38">
      <c r="A697" s="188">
        <v>43037</v>
      </c>
      <c r="C697" s="4">
        <v>9.0890000000000004</v>
      </c>
      <c r="D697" s="4">
        <v>84.646500000000003</v>
      </c>
      <c r="E697" s="4">
        <v>9.25</v>
      </c>
      <c r="G697" s="4">
        <v>10.166666666699999</v>
      </c>
      <c r="I697" s="4">
        <v>8.1485000000000003</v>
      </c>
      <c r="J697" s="4">
        <v>61.306249999999999</v>
      </c>
      <c r="M697" s="4">
        <v>6.8283750000000003</v>
      </c>
      <c r="O697" s="4">
        <v>56.381374999999998</v>
      </c>
      <c r="Q697" s="183"/>
      <c r="R697" s="183"/>
      <c r="S697" s="183"/>
      <c r="AJ697" s="183"/>
      <c r="AK697" s="183"/>
      <c r="AL697" s="183"/>
    </row>
    <row r="698" spans="1:38">
      <c r="A698" s="188">
        <v>43038</v>
      </c>
      <c r="C698" s="4">
        <v>5.3896249999999997</v>
      </c>
      <c r="D698" s="4">
        <v>89.563625000000002</v>
      </c>
      <c r="E698" s="4">
        <v>6.75</v>
      </c>
      <c r="G698" s="4">
        <v>6.1666666666700003</v>
      </c>
      <c r="I698" s="4">
        <v>4.3221249999999998</v>
      </c>
      <c r="J698" s="4">
        <v>57.398000000000003</v>
      </c>
      <c r="M698" s="4">
        <v>4.5086250000000003</v>
      </c>
      <c r="O698" s="4">
        <v>36.967374999999997</v>
      </c>
      <c r="Q698" s="183"/>
      <c r="R698" s="183"/>
      <c r="S698" s="183"/>
      <c r="AJ698" s="183"/>
      <c r="AK698" s="183"/>
      <c r="AL698" s="183"/>
    </row>
    <row r="699" spans="1:38">
      <c r="A699" s="188">
        <v>43039</v>
      </c>
      <c r="C699" s="4">
        <v>4.8248749999999996</v>
      </c>
      <c r="D699" s="4">
        <v>92.852999999999994</v>
      </c>
      <c r="E699" s="4">
        <v>4.1666666666700003</v>
      </c>
      <c r="G699" s="4">
        <v>6.6666666666700003</v>
      </c>
      <c r="I699" s="4">
        <v>5.452375</v>
      </c>
      <c r="J699" s="4">
        <v>57.297249999999998</v>
      </c>
      <c r="M699" s="4">
        <v>5.3867500000000001</v>
      </c>
      <c r="O699" s="4">
        <v>51.373375000000003</v>
      </c>
      <c r="Q699" s="183"/>
      <c r="R699" s="183"/>
      <c r="S699" s="183"/>
      <c r="AJ699" s="183"/>
      <c r="AK699" s="183"/>
      <c r="AL699" s="183"/>
    </row>
    <row r="700" spans="1:38">
      <c r="A700" s="188">
        <v>43040</v>
      </c>
      <c r="C700" s="4">
        <v>6.08</v>
      </c>
      <c r="D700" s="4">
        <v>94.906750000000002</v>
      </c>
      <c r="E700" s="4">
        <v>5.9166666666700003</v>
      </c>
      <c r="G700" s="4">
        <v>3.5</v>
      </c>
      <c r="I700" s="4">
        <v>1.625</v>
      </c>
      <c r="J700" s="4">
        <v>94.640749999999997</v>
      </c>
      <c r="M700" s="4">
        <v>-0.94874999999999998</v>
      </c>
      <c r="O700" s="4">
        <v>97.663499999999999</v>
      </c>
      <c r="Q700" s="183"/>
      <c r="R700" s="183"/>
      <c r="S700" s="183"/>
      <c r="AJ700" s="183"/>
      <c r="AK700" s="183"/>
      <c r="AL700" s="183"/>
    </row>
    <row r="701" spans="1:38">
      <c r="A701" s="188">
        <v>43041</v>
      </c>
      <c r="C701" s="4">
        <v>3.5702500000000001</v>
      </c>
      <c r="D701" s="4">
        <v>94.678624999999997</v>
      </c>
      <c r="E701" s="4">
        <v>2.9166666666699999</v>
      </c>
      <c r="G701" s="4">
        <v>0.166666666667</v>
      </c>
      <c r="I701" s="4">
        <v>-0.76075000000000004</v>
      </c>
      <c r="J701" s="4">
        <v>103.88312500000001</v>
      </c>
      <c r="M701" s="4">
        <v>-3.522875</v>
      </c>
      <c r="O701" s="4">
        <v>105.286125</v>
      </c>
      <c r="Q701" s="183"/>
      <c r="R701" s="183"/>
      <c r="S701" s="183"/>
      <c r="AJ701" s="183"/>
      <c r="AK701" s="183"/>
      <c r="AL701" s="183"/>
    </row>
    <row r="702" spans="1:38">
      <c r="A702" s="188">
        <v>43042</v>
      </c>
      <c r="C702" s="4">
        <v>-0.949125</v>
      </c>
      <c r="D702" s="4">
        <v>99.339250000000007</v>
      </c>
      <c r="E702" s="4">
        <v>-1.75</v>
      </c>
      <c r="G702" s="4">
        <v>-3.5833333333300001</v>
      </c>
      <c r="I702" s="4">
        <v>-5.1580000000000004</v>
      </c>
      <c r="J702" s="4">
        <v>101.97975</v>
      </c>
      <c r="M702" s="4">
        <v>-6.7258750000000003</v>
      </c>
      <c r="O702" s="4">
        <v>103.9115</v>
      </c>
      <c r="Q702" s="183"/>
      <c r="R702" s="183"/>
      <c r="S702" s="183"/>
      <c r="AJ702" s="183"/>
      <c r="AK702" s="183"/>
      <c r="AL702" s="183"/>
    </row>
    <row r="703" spans="1:38">
      <c r="A703" s="188">
        <v>43043</v>
      </c>
      <c r="C703" s="4">
        <v>-1.577</v>
      </c>
      <c r="D703" s="4">
        <v>100.66775</v>
      </c>
      <c r="E703" s="4">
        <v>-1.75</v>
      </c>
      <c r="G703" s="4">
        <v>-3.75</v>
      </c>
      <c r="I703" s="4">
        <v>-4.9065000000000003</v>
      </c>
      <c r="J703" s="4">
        <v>102.09675</v>
      </c>
      <c r="M703" s="4">
        <v>-7.9196249999999999</v>
      </c>
      <c r="O703" s="4">
        <v>103.413</v>
      </c>
      <c r="Q703" s="183"/>
      <c r="R703" s="183"/>
      <c r="S703" s="183"/>
      <c r="AJ703" s="183"/>
      <c r="AK703" s="183"/>
      <c r="AL703" s="183"/>
    </row>
    <row r="704" spans="1:38">
      <c r="A704" s="188">
        <v>43044</v>
      </c>
      <c r="C704" s="4">
        <v>-1.00477777778</v>
      </c>
      <c r="D704" s="4">
        <v>99.9585555556</v>
      </c>
      <c r="E704" s="4">
        <v>-2</v>
      </c>
      <c r="G704" s="4">
        <v>-4.4285714285699997</v>
      </c>
      <c r="I704" s="4">
        <v>-6.0869999999999997</v>
      </c>
      <c r="J704" s="4">
        <v>99.212666666700002</v>
      </c>
      <c r="M704" s="4">
        <v>-8.9811111111099997</v>
      </c>
      <c r="O704" s="4">
        <v>103.109333333</v>
      </c>
      <c r="Q704" s="183"/>
      <c r="R704" s="183"/>
      <c r="S704" s="183"/>
      <c r="AJ704" s="183"/>
      <c r="AK704" s="183"/>
      <c r="AL704" s="183"/>
    </row>
    <row r="705" spans="1:36">
      <c r="A705" s="188">
        <v>43045</v>
      </c>
      <c r="C705" s="4">
        <v>-1.3885000000000001</v>
      </c>
      <c r="D705" s="4">
        <v>100.226625</v>
      </c>
      <c r="E705" s="4">
        <v>-2.1666666666699999</v>
      </c>
      <c r="G705" s="4">
        <v>-4.5</v>
      </c>
      <c r="I705" s="4">
        <v>-5.4102499999999996</v>
      </c>
      <c r="J705" s="4">
        <v>95.184250000000006</v>
      </c>
      <c r="M705" s="4">
        <v>-7.8567499999999999</v>
      </c>
      <c r="O705" s="4">
        <v>103.35775</v>
      </c>
      <c r="Q705" s="183"/>
      <c r="R705" s="183"/>
      <c r="S705" s="183"/>
      <c r="AJ705" s="183"/>
    </row>
    <row r="706" spans="1:36">
      <c r="A706" s="188">
        <v>43046</v>
      </c>
      <c r="C706" s="4">
        <v>-0.38400000000000001</v>
      </c>
      <c r="D706" s="4">
        <v>98.998374999999996</v>
      </c>
      <c r="E706" s="4">
        <v>-1</v>
      </c>
      <c r="G706" s="4">
        <v>-2.3333333333300001</v>
      </c>
      <c r="I706" s="4">
        <v>-2.8966249999999998</v>
      </c>
      <c r="J706" s="4">
        <v>87.035624999999996</v>
      </c>
      <c r="M706" s="4">
        <v>-4.5912499999999996</v>
      </c>
      <c r="O706" s="4">
        <v>85.368750000000006</v>
      </c>
      <c r="Q706" s="183"/>
      <c r="R706" s="183"/>
      <c r="S706" s="183"/>
    </row>
    <row r="707" spans="1:36">
      <c r="A707" s="188">
        <v>43047</v>
      </c>
      <c r="C707" s="4">
        <v>2.4412500000000001</v>
      </c>
      <c r="D707" s="4">
        <v>96.523375000000001</v>
      </c>
      <c r="E707" s="4">
        <v>2.1666666666699999</v>
      </c>
      <c r="G707" s="4">
        <v>2.3333333333300001</v>
      </c>
      <c r="I707" s="4">
        <v>2.1273749999999998</v>
      </c>
      <c r="J707" s="4">
        <v>89.464749999999995</v>
      </c>
      <c r="M707" s="4">
        <v>0.18074999999999999</v>
      </c>
      <c r="O707" s="4">
        <v>85.700874999999996</v>
      </c>
      <c r="Q707" s="183"/>
      <c r="R707" s="183"/>
      <c r="S707" s="183"/>
    </row>
    <row r="708" spans="1:36">
      <c r="A708" s="188">
        <v>43048</v>
      </c>
      <c r="C708" s="4">
        <v>3.32</v>
      </c>
      <c r="D708" s="4">
        <v>95.956999999999994</v>
      </c>
      <c r="E708" s="4">
        <v>2.75</v>
      </c>
      <c r="G708" s="4">
        <v>1.6666666666700001</v>
      </c>
      <c r="I708" s="4">
        <v>0.87175000000000002</v>
      </c>
      <c r="J708" s="4">
        <v>100.29975</v>
      </c>
      <c r="M708" s="4">
        <v>-1.38825</v>
      </c>
      <c r="O708" s="4">
        <v>103.350375</v>
      </c>
      <c r="Q708" s="183"/>
      <c r="R708" s="183"/>
      <c r="S708" s="183"/>
    </row>
    <row r="709" spans="1:36">
      <c r="A709" s="188">
        <v>43049</v>
      </c>
      <c r="C709" s="4">
        <v>2.755125</v>
      </c>
      <c r="D709" s="4">
        <v>96.009874999999994</v>
      </c>
      <c r="E709" s="4">
        <v>1.6666666666700001</v>
      </c>
      <c r="G709" s="4">
        <v>1.0833333333299999</v>
      </c>
      <c r="I709" s="4">
        <v>0.6835</v>
      </c>
      <c r="J709" s="4">
        <v>100.95699999999999</v>
      </c>
      <c r="M709" s="4">
        <v>-1.451125</v>
      </c>
      <c r="O709" s="4">
        <v>105.44987500000001</v>
      </c>
      <c r="Q709" s="183"/>
      <c r="R709" s="183"/>
      <c r="S709" s="183"/>
    </row>
    <row r="710" spans="1:36">
      <c r="A710" s="188">
        <v>43050</v>
      </c>
      <c r="C710" s="4">
        <v>3.4446249999999998</v>
      </c>
      <c r="D710" s="4">
        <v>94.156000000000006</v>
      </c>
      <c r="E710" s="4">
        <v>3</v>
      </c>
      <c r="G710" s="4">
        <v>2</v>
      </c>
      <c r="I710" s="4">
        <v>1.1228750000000001</v>
      </c>
      <c r="J710" s="4">
        <v>99.91825</v>
      </c>
      <c r="M710" s="4">
        <v>-1.8903749999999999</v>
      </c>
      <c r="O710" s="4">
        <v>105.886</v>
      </c>
      <c r="Q710" s="183"/>
      <c r="R710" s="183"/>
      <c r="S710" s="183"/>
    </row>
    <row r="711" spans="1:36">
      <c r="A711" s="188">
        <v>43051</v>
      </c>
      <c r="C711" s="4">
        <v>5.2642499999999997</v>
      </c>
      <c r="D711" s="4">
        <v>94.337999999999994</v>
      </c>
      <c r="E711" s="4">
        <v>4</v>
      </c>
      <c r="G711" s="4">
        <v>1.5</v>
      </c>
      <c r="I711" s="4">
        <v>0.99737500000000001</v>
      </c>
      <c r="J711" s="4">
        <v>105.34425</v>
      </c>
      <c r="M711" s="4">
        <v>-0.88600000000000001</v>
      </c>
      <c r="O711" s="4">
        <v>106.42975</v>
      </c>
      <c r="Q711" s="183"/>
      <c r="R711" s="183"/>
      <c r="S711" s="183"/>
    </row>
    <row r="712" spans="1:36">
      <c r="A712" s="188">
        <v>43052</v>
      </c>
      <c r="C712" s="4">
        <v>4.1980000000000004</v>
      </c>
      <c r="D712" s="4">
        <v>96.068749999999994</v>
      </c>
      <c r="E712" s="4">
        <v>2.9166666666699999</v>
      </c>
      <c r="G712" s="4">
        <v>0.75</v>
      </c>
      <c r="I712" s="4">
        <v>-0.19550000000000001</v>
      </c>
      <c r="J712" s="4">
        <v>104.667625</v>
      </c>
      <c r="M712" s="4">
        <v>-2.7693750000000001</v>
      </c>
      <c r="O712" s="4">
        <v>106.26675</v>
      </c>
      <c r="Q712" s="183"/>
      <c r="R712" s="183"/>
      <c r="S712" s="183"/>
    </row>
    <row r="713" spans="1:36">
      <c r="A713" s="188">
        <v>43053</v>
      </c>
      <c r="C713" s="4">
        <v>2.8807499999999999</v>
      </c>
      <c r="D713" s="4">
        <v>97.721999999999994</v>
      </c>
      <c r="E713" s="4">
        <v>1.5833333333299999</v>
      </c>
      <c r="G713" s="4">
        <v>0</v>
      </c>
      <c r="I713" s="4">
        <v>-0.63524999999999998</v>
      </c>
      <c r="J713" s="4">
        <v>105.23275</v>
      </c>
      <c r="M713" s="4">
        <v>-3.1459999999999999</v>
      </c>
      <c r="O713" s="4">
        <v>105.77849999999999</v>
      </c>
      <c r="Q713" s="183"/>
      <c r="R713" s="183"/>
      <c r="S713" s="183"/>
    </row>
    <row r="714" spans="1:36">
      <c r="A714" s="188">
        <v>43054</v>
      </c>
      <c r="C714" s="4">
        <v>3.1945000000000001</v>
      </c>
      <c r="D714" s="4">
        <v>97.945875000000001</v>
      </c>
      <c r="E714" s="4">
        <v>1.8333333333299999</v>
      </c>
      <c r="G714" s="4">
        <v>-8.3333333333299994E-2</v>
      </c>
      <c r="I714" s="4">
        <v>-0.88612500000000005</v>
      </c>
      <c r="J714" s="4">
        <v>104.3865</v>
      </c>
      <c r="M714" s="4">
        <v>-3.3973749999999998</v>
      </c>
      <c r="O714" s="4">
        <v>106.103375</v>
      </c>
      <c r="Q714" s="183"/>
      <c r="R714" s="183"/>
      <c r="S714" s="183"/>
    </row>
    <row r="715" spans="1:36">
      <c r="A715" s="188">
        <v>43055</v>
      </c>
      <c r="C715" s="4">
        <v>2.8178749999999999</v>
      </c>
      <c r="D715" s="4">
        <v>97.833624999999998</v>
      </c>
      <c r="E715" s="4">
        <v>1.5</v>
      </c>
      <c r="G715" s="4">
        <v>-0.58333333333299997</v>
      </c>
      <c r="I715" s="4">
        <v>-1.7026250000000001</v>
      </c>
      <c r="J715" s="4">
        <v>104.495</v>
      </c>
      <c r="M715" s="4">
        <v>-4.4020000000000001</v>
      </c>
      <c r="O715" s="4">
        <v>105.3415</v>
      </c>
      <c r="Q715" s="183"/>
      <c r="R715" s="183"/>
      <c r="S715" s="183"/>
    </row>
    <row r="716" spans="1:36">
      <c r="A716" s="188">
        <v>43056</v>
      </c>
      <c r="C716" s="4">
        <v>1.687875</v>
      </c>
      <c r="D716" s="4">
        <v>97.323625000000007</v>
      </c>
      <c r="E716" s="4">
        <v>0.75</v>
      </c>
      <c r="G716" s="4">
        <v>-1.0833333333299999</v>
      </c>
      <c r="I716" s="4">
        <v>-2.3932500000000001</v>
      </c>
      <c r="J716" s="4">
        <v>103.63975000000001</v>
      </c>
      <c r="M716" s="4">
        <v>-5.2811250000000003</v>
      </c>
      <c r="O716" s="4">
        <v>105.232125</v>
      </c>
      <c r="Q716" s="183"/>
      <c r="R716" s="183"/>
      <c r="S716" s="183"/>
    </row>
    <row r="717" spans="1:36">
      <c r="A717" s="188">
        <v>43057</v>
      </c>
      <c r="C717" s="4">
        <v>3.0061249999999999</v>
      </c>
      <c r="D717" s="4">
        <v>95.932374999999993</v>
      </c>
      <c r="E717" s="4">
        <v>1.6666666666700001</v>
      </c>
      <c r="G717" s="4">
        <v>0</v>
      </c>
      <c r="I717" s="4">
        <v>-0.949125</v>
      </c>
      <c r="J717" s="4">
        <v>104.950875</v>
      </c>
      <c r="M717" s="4">
        <v>-3.5227499999999998</v>
      </c>
      <c r="O717" s="4">
        <v>105.72387500000001</v>
      </c>
      <c r="Q717" s="183"/>
      <c r="R717" s="183"/>
      <c r="S717" s="183"/>
    </row>
    <row r="718" spans="1:36">
      <c r="A718" s="188">
        <v>43058</v>
      </c>
      <c r="C718" s="4">
        <v>2.8806250000000002</v>
      </c>
      <c r="D718" s="4">
        <v>94.449875000000006</v>
      </c>
      <c r="E718" s="4">
        <v>2.1666666666699999</v>
      </c>
      <c r="G718" s="4">
        <v>-8.3333333333299994E-2</v>
      </c>
      <c r="I718" s="4">
        <v>-1.3885000000000001</v>
      </c>
      <c r="J718" s="4">
        <v>105.342625</v>
      </c>
      <c r="M718" s="4">
        <v>-3.9623750000000002</v>
      </c>
      <c r="O718" s="4">
        <v>105.55875</v>
      </c>
      <c r="Q718" s="183"/>
      <c r="R718" s="183"/>
      <c r="S718" s="183"/>
    </row>
    <row r="719" spans="1:36">
      <c r="A719" s="188">
        <v>43059</v>
      </c>
      <c r="C719" s="4">
        <v>3.4453749999999999</v>
      </c>
      <c r="D719" s="4">
        <v>97.155249999999995</v>
      </c>
      <c r="E719" s="4">
        <v>2.5</v>
      </c>
      <c r="G719" s="4">
        <v>0.33333333333300003</v>
      </c>
      <c r="I719" s="4">
        <v>-0.19537499999999999</v>
      </c>
      <c r="J719" s="4">
        <v>105.618375</v>
      </c>
      <c r="M719" s="4">
        <v>-2.0161250000000002</v>
      </c>
      <c r="O719" s="4">
        <v>106.482375</v>
      </c>
      <c r="Q719" s="183"/>
      <c r="R719" s="183"/>
      <c r="S719" s="183"/>
    </row>
    <row r="720" spans="1:36">
      <c r="A720" s="188">
        <v>43060</v>
      </c>
      <c r="C720" s="4">
        <v>4.8248749999999996</v>
      </c>
      <c r="D720" s="4">
        <v>96.575874999999996</v>
      </c>
      <c r="E720" s="4">
        <v>4.8333333333299997</v>
      </c>
      <c r="G720" s="4">
        <v>4</v>
      </c>
      <c r="I720" s="4">
        <v>3.5067499999999998</v>
      </c>
      <c r="J720" s="4">
        <v>99.686125000000004</v>
      </c>
      <c r="M720" s="4">
        <v>1.1830000000000001</v>
      </c>
      <c r="O720" s="4">
        <v>106.372125</v>
      </c>
      <c r="Q720" s="183"/>
      <c r="R720" s="183"/>
      <c r="S720" s="183"/>
    </row>
    <row r="721" spans="1:38">
      <c r="A721" s="188">
        <v>43061</v>
      </c>
      <c r="C721" s="4">
        <v>9.4027499999999993</v>
      </c>
      <c r="D721" s="4">
        <v>95.308875</v>
      </c>
      <c r="E721" s="4">
        <v>9.0833333333299997</v>
      </c>
      <c r="G721" s="4">
        <v>8.8333333333299997</v>
      </c>
      <c r="I721" s="4">
        <v>7.8354999999999997</v>
      </c>
      <c r="J721" s="4">
        <v>105.289125</v>
      </c>
      <c r="M721" s="4">
        <v>6.39</v>
      </c>
      <c r="O721" s="4">
        <v>106.374375</v>
      </c>
      <c r="Q721" s="183"/>
      <c r="R721" s="183"/>
      <c r="S721" s="183"/>
      <c r="AK721" s="183"/>
      <c r="AL721" s="183"/>
    </row>
    <row r="722" spans="1:38">
      <c r="A722" s="188">
        <v>43062</v>
      </c>
      <c r="C722" s="4">
        <v>6.8947500000000002</v>
      </c>
      <c r="D722" s="4">
        <v>97.152124999999998</v>
      </c>
      <c r="E722" s="4">
        <v>6</v>
      </c>
      <c r="G722" s="4">
        <v>2.8333333333300001</v>
      </c>
      <c r="I722" s="4">
        <v>1.8759999999999999</v>
      </c>
      <c r="J722" s="4">
        <v>106.84112500000001</v>
      </c>
      <c r="M722" s="4">
        <v>-0.25887500000000002</v>
      </c>
      <c r="O722" s="4">
        <v>107.452</v>
      </c>
      <c r="Q722" s="183"/>
      <c r="AJ722" s="183"/>
      <c r="AK722" s="183"/>
      <c r="AL722" s="183"/>
    </row>
    <row r="723" spans="1:38">
      <c r="A723" s="188">
        <v>43063</v>
      </c>
      <c r="C723" s="4">
        <v>4.8251249999999999</v>
      </c>
      <c r="D723" s="4">
        <v>97.494749999999996</v>
      </c>
      <c r="E723" s="4">
        <v>3.8333333333300001</v>
      </c>
      <c r="G723" s="4">
        <v>0.66666666666700003</v>
      </c>
      <c r="I723" s="4">
        <v>-0.19550000000000001</v>
      </c>
      <c r="J723" s="4">
        <v>105.9555</v>
      </c>
      <c r="M723" s="4">
        <v>-2.6440000000000001</v>
      </c>
      <c r="O723" s="4">
        <v>107.39749999999999</v>
      </c>
      <c r="AJ723" s="183"/>
      <c r="AK723" s="183"/>
      <c r="AL723" s="183"/>
    </row>
    <row r="724" spans="1:38">
      <c r="A724" s="188">
        <v>43064</v>
      </c>
      <c r="C724" s="4">
        <v>5.389875</v>
      </c>
      <c r="D724" s="4">
        <v>96.638499999999993</v>
      </c>
      <c r="E724" s="4">
        <v>4.4166666666700003</v>
      </c>
      <c r="G724" s="4">
        <v>2.3333333333300001</v>
      </c>
      <c r="I724" s="4">
        <v>0.93462500000000004</v>
      </c>
      <c r="J724" s="4">
        <v>104.03475</v>
      </c>
      <c r="M724" s="4">
        <v>-1.451125</v>
      </c>
      <c r="O724" s="4">
        <v>106.913375</v>
      </c>
      <c r="R724" s="183"/>
      <c r="S724" s="183"/>
      <c r="AJ724" s="183"/>
      <c r="AK724" s="183"/>
      <c r="AL724" s="183"/>
    </row>
    <row r="725" spans="1:38">
      <c r="A725" s="188">
        <v>43065</v>
      </c>
      <c r="C725" s="4">
        <v>5.7030000000000003</v>
      </c>
      <c r="D725" s="4">
        <v>94.277249999999995</v>
      </c>
      <c r="E725" s="4">
        <v>5.25</v>
      </c>
      <c r="G725" s="4">
        <v>3.25</v>
      </c>
      <c r="I725" s="4">
        <v>2.0634999999999999</v>
      </c>
      <c r="J725" s="4">
        <v>105.510125</v>
      </c>
      <c r="M725" s="4">
        <v>-0.57362500000000005</v>
      </c>
      <c r="O725" s="4">
        <v>106.913375</v>
      </c>
      <c r="Q725" s="183"/>
      <c r="R725" s="183"/>
      <c r="S725" s="183"/>
      <c r="AJ725" s="183"/>
    </row>
    <row r="726" spans="1:38">
      <c r="A726" s="188">
        <v>43066</v>
      </c>
      <c r="C726" s="4">
        <v>2.6924999999999999</v>
      </c>
      <c r="D726" s="4">
        <v>95.322999999999993</v>
      </c>
      <c r="E726" s="4">
        <v>1.5</v>
      </c>
      <c r="G726" s="4">
        <v>-0.83333333333299997</v>
      </c>
      <c r="I726" s="4">
        <v>-1.953875</v>
      </c>
      <c r="J726" s="4">
        <v>103.32425000000001</v>
      </c>
      <c r="M726" s="4">
        <v>-5.1553750000000003</v>
      </c>
      <c r="O726" s="4">
        <v>105.77775</v>
      </c>
      <c r="Q726" s="183"/>
      <c r="R726" s="183"/>
      <c r="S726" s="183"/>
    </row>
    <row r="727" spans="1:38">
      <c r="A727" s="188">
        <v>43067</v>
      </c>
      <c r="C727" s="4">
        <v>2.69225</v>
      </c>
      <c r="D727" s="4">
        <v>95.206500000000005</v>
      </c>
      <c r="E727" s="4">
        <v>1.4166666666700001</v>
      </c>
      <c r="G727" s="4">
        <v>-0.33333333333300003</v>
      </c>
      <c r="I727" s="4">
        <v>-1.7024999999999999</v>
      </c>
      <c r="J727" s="4">
        <v>105.008375</v>
      </c>
      <c r="M727" s="4">
        <v>-4.0880000000000001</v>
      </c>
      <c r="O727" s="4">
        <v>106.42874999999999</v>
      </c>
      <c r="Q727" s="183"/>
      <c r="R727" s="183"/>
      <c r="S727" s="183"/>
    </row>
    <row r="728" spans="1:38">
      <c r="A728" s="188">
        <v>43068</v>
      </c>
      <c r="C728" s="4">
        <v>2.7552500000000002</v>
      </c>
      <c r="D728" s="4">
        <v>96.071749999999994</v>
      </c>
      <c r="E728" s="4">
        <v>1.5</v>
      </c>
      <c r="G728" s="4">
        <v>-0.25</v>
      </c>
      <c r="I728" s="4">
        <v>-1.388625</v>
      </c>
      <c r="J728" s="4">
        <v>104.774</v>
      </c>
      <c r="M728" s="4">
        <v>-4.0878750000000004</v>
      </c>
      <c r="O728" s="4">
        <v>106.266625</v>
      </c>
      <c r="Q728" s="183"/>
      <c r="R728" s="183"/>
      <c r="S728" s="183"/>
    </row>
    <row r="729" spans="1:38">
      <c r="A729" s="188">
        <v>43069</v>
      </c>
      <c r="C729" s="4">
        <v>3.3827500000000001</v>
      </c>
      <c r="D729" s="4">
        <v>96.071250000000006</v>
      </c>
      <c r="E729" s="4">
        <v>2.5</v>
      </c>
      <c r="G729" s="4">
        <v>8.3333333333299994E-2</v>
      </c>
      <c r="I729" s="4">
        <v>-0.88624999999999998</v>
      </c>
      <c r="J729" s="4">
        <v>104.99962499999999</v>
      </c>
      <c r="M729" s="4">
        <v>-3.5227499999999998</v>
      </c>
      <c r="O729" s="4">
        <v>106.37275</v>
      </c>
      <c r="Q729" s="183"/>
      <c r="R729" s="183"/>
      <c r="S729" s="183"/>
    </row>
    <row r="730" spans="1:38">
      <c r="A730" s="188">
        <v>43070</v>
      </c>
      <c r="C730" s="4">
        <v>2.3158750000000001</v>
      </c>
      <c r="D730" s="4">
        <v>97.152749999999997</v>
      </c>
      <c r="E730" s="4">
        <v>1.3333333333299999</v>
      </c>
      <c r="G730" s="4">
        <v>-0.5</v>
      </c>
      <c r="I730" s="4">
        <v>-1.828125</v>
      </c>
      <c r="J730" s="4">
        <v>105.39749999999999</v>
      </c>
      <c r="M730" s="4">
        <v>-4.4018750000000004</v>
      </c>
      <c r="O730" s="4">
        <v>106.04962500000001</v>
      </c>
      <c r="Q730" s="183"/>
      <c r="R730" s="183"/>
      <c r="S730" s="183"/>
    </row>
    <row r="731" spans="1:38">
      <c r="A731" s="188">
        <v>43071</v>
      </c>
      <c r="C731" s="4">
        <v>1.43675</v>
      </c>
      <c r="D731" s="4">
        <v>97.665125000000003</v>
      </c>
      <c r="E731" s="4">
        <v>0.58333333333299997</v>
      </c>
      <c r="G731" s="4">
        <v>-0.91666666666700003</v>
      </c>
      <c r="I731" s="4">
        <v>-1.9537500000000001</v>
      </c>
      <c r="J731" s="4">
        <v>105.276875</v>
      </c>
      <c r="M731" s="4">
        <v>-4.5902500000000002</v>
      </c>
      <c r="O731" s="4">
        <v>105.9415</v>
      </c>
      <c r="Q731" s="183"/>
      <c r="R731" s="183"/>
      <c r="S731" s="183"/>
    </row>
    <row r="732" spans="1:38">
      <c r="A732" s="188">
        <v>43072</v>
      </c>
      <c r="C732" s="4">
        <v>0.99724999999999997</v>
      </c>
      <c r="D732" s="4">
        <v>98.058374999999998</v>
      </c>
      <c r="E732" s="4">
        <v>0.58333333333299997</v>
      </c>
      <c r="G732" s="4">
        <v>-1.75</v>
      </c>
      <c r="I732" s="4">
        <v>-3.0219999999999998</v>
      </c>
      <c r="J732" s="4">
        <v>102.999375</v>
      </c>
      <c r="M732" s="4">
        <v>-5.9722499999999998</v>
      </c>
      <c r="O732" s="4">
        <v>105.55925000000001</v>
      </c>
      <c r="Q732" s="183"/>
      <c r="R732" s="183"/>
      <c r="S732" s="183"/>
    </row>
    <row r="733" spans="1:38">
      <c r="A733" s="188">
        <v>43073</v>
      </c>
      <c r="C733" s="4">
        <v>0.36962499999999998</v>
      </c>
      <c r="D733" s="4">
        <v>98.283874999999995</v>
      </c>
      <c r="E733" s="4">
        <v>-8.3333333333299994E-2</v>
      </c>
      <c r="G733" s="4">
        <v>-3.0833333333300001</v>
      </c>
      <c r="I733" s="4">
        <v>-5.4096250000000001</v>
      </c>
      <c r="J733" s="4">
        <v>102.66137500000001</v>
      </c>
      <c r="M733" s="4">
        <v>-6.7261249999999997</v>
      </c>
      <c r="O733" s="4">
        <v>105.34162499999999</v>
      </c>
      <c r="Q733" s="183"/>
      <c r="R733" s="183"/>
      <c r="S733" s="183"/>
    </row>
    <row r="734" spans="1:38">
      <c r="A734" s="188">
        <v>43074</v>
      </c>
      <c r="C734" s="4">
        <v>-7.1250000000000003E-3</v>
      </c>
      <c r="D734" s="4">
        <v>94.079499999999996</v>
      </c>
      <c r="E734" s="4">
        <v>-0.5</v>
      </c>
      <c r="G734" s="4">
        <v>-0.83333333333299997</v>
      </c>
      <c r="I734" s="4">
        <v>-1.893</v>
      </c>
      <c r="J734" s="4">
        <v>99.109250000000003</v>
      </c>
      <c r="M734" s="4">
        <v>-1.4510000000000001</v>
      </c>
      <c r="O734" s="4">
        <v>107.34475</v>
      </c>
      <c r="Q734" s="183"/>
      <c r="R734" s="183"/>
      <c r="S734" s="183"/>
    </row>
    <row r="735" spans="1:38">
      <c r="A735" s="188">
        <v>43075</v>
      </c>
      <c r="C735" s="4">
        <v>1.3111250000000001</v>
      </c>
      <c r="D735" s="4">
        <v>92.162750000000003</v>
      </c>
      <c r="E735" s="4">
        <v>0.58333333333299997</v>
      </c>
      <c r="G735" s="4">
        <v>3.75</v>
      </c>
      <c r="I735" s="4">
        <v>0.24324999999999999</v>
      </c>
      <c r="J735" s="4">
        <v>94.657624999999996</v>
      </c>
      <c r="M735" s="4">
        <v>0.87075000000000002</v>
      </c>
      <c r="O735" s="4">
        <v>89.991</v>
      </c>
      <c r="Q735" s="183"/>
      <c r="R735" s="183"/>
      <c r="S735" s="183"/>
    </row>
    <row r="736" spans="1:38">
      <c r="A736" s="188">
        <v>43076</v>
      </c>
      <c r="C736" s="4">
        <v>1.4995000000000001</v>
      </c>
      <c r="D736" s="4">
        <v>95.460125000000005</v>
      </c>
      <c r="E736" s="4">
        <v>0.25</v>
      </c>
      <c r="G736" s="4">
        <v>7.6666666666700003</v>
      </c>
      <c r="I736" s="4">
        <v>4.3226250000000004</v>
      </c>
      <c r="J736" s="4">
        <v>68.471125000000001</v>
      </c>
      <c r="M736" s="4">
        <v>8.3955000000000002</v>
      </c>
      <c r="O736" s="4">
        <v>28.84225</v>
      </c>
      <c r="Q736" s="183"/>
      <c r="R736" s="183"/>
      <c r="S736" s="183"/>
    </row>
    <row r="737" spans="1:19">
      <c r="A737" s="188">
        <v>43077</v>
      </c>
      <c r="C737" s="4">
        <v>1.2484999999999999</v>
      </c>
      <c r="D737" s="4">
        <v>96.780625000000001</v>
      </c>
      <c r="E737" s="4">
        <v>0.166666666667</v>
      </c>
      <c r="G737" s="4">
        <v>7.5833333333299997</v>
      </c>
      <c r="I737" s="4">
        <v>5.7032499999999997</v>
      </c>
      <c r="J737" s="4">
        <v>41.414499999999997</v>
      </c>
      <c r="M737" s="4">
        <v>7.8944999999999999</v>
      </c>
      <c r="O737" s="4">
        <v>16.876374999999999</v>
      </c>
      <c r="Q737" s="183"/>
      <c r="R737" s="183"/>
      <c r="S737" s="183"/>
    </row>
    <row r="738" spans="1:19">
      <c r="A738" s="188">
        <v>43078</v>
      </c>
      <c r="C738" s="4">
        <v>1.2484999999999999</v>
      </c>
      <c r="D738" s="4">
        <v>96.038875000000004</v>
      </c>
      <c r="E738" s="4">
        <v>0.83333333333299997</v>
      </c>
      <c r="G738" s="4">
        <v>9.6666666666700003</v>
      </c>
      <c r="I738" s="4">
        <v>8.4625000000000004</v>
      </c>
      <c r="J738" s="4">
        <v>30.484625000000001</v>
      </c>
      <c r="M738" s="4">
        <v>7.7065000000000001</v>
      </c>
      <c r="O738" s="4">
        <v>21.694500000000001</v>
      </c>
      <c r="Q738" s="183"/>
      <c r="R738" s="183"/>
      <c r="S738" s="183"/>
    </row>
    <row r="739" spans="1:19">
      <c r="A739" s="188">
        <v>43079</v>
      </c>
      <c r="C739" s="4">
        <v>2.0648749999999998</v>
      </c>
      <c r="D739" s="4">
        <v>98.100499999999997</v>
      </c>
      <c r="E739" s="4">
        <v>1.9166666666700001</v>
      </c>
      <c r="G739" s="4">
        <v>9.5833333333299997</v>
      </c>
      <c r="I739" s="4">
        <v>5.1388749999999996</v>
      </c>
      <c r="J739" s="4">
        <v>52.155625000000001</v>
      </c>
      <c r="M739" s="4">
        <v>9.4608749999999997</v>
      </c>
      <c r="O739" s="4">
        <v>16.598500000000001</v>
      </c>
      <c r="Q739" s="183"/>
      <c r="R739" s="183"/>
      <c r="S739" s="183"/>
    </row>
    <row r="740" spans="1:19">
      <c r="A740" s="188">
        <v>43080</v>
      </c>
      <c r="C740" s="4">
        <v>1.123</v>
      </c>
      <c r="D740" s="4">
        <v>97.660499999999999</v>
      </c>
      <c r="E740" s="4">
        <v>1</v>
      </c>
      <c r="G740" s="4">
        <v>9</v>
      </c>
      <c r="I740" s="4">
        <v>6.9576250000000002</v>
      </c>
      <c r="J740" s="4">
        <v>38.714624999999998</v>
      </c>
      <c r="M740" s="4">
        <v>9.8362499999999997</v>
      </c>
      <c r="O740" s="4">
        <v>16.388874999999999</v>
      </c>
      <c r="Q740" s="183"/>
      <c r="R740" s="183"/>
      <c r="S740" s="183"/>
    </row>
    <row r="741" spans="1:19">
      <c r="A741" s="188">
        <v>43081</v>
      </c>
      <c r="C741" s="4">
        <v>2.0647500000000001</v>
      </c>
      <c r="D741" s="4">
        <v>98.324375000000003</v>
      </c>
      <c r="E741" s="4">
        <v>1.4166666666700001</v>
      </c>
      <c r="G741" s="4">
        <v>4.5</v>
      </c>
      <c r="I741" s="4">
        <v>2.88</v>
      </c>
      <c r="J741" s="4">
        <v>69.717749999999995</v>
      </c>
      <c r="M741" s="4">
        <v>2.1258750000000002</v>
      </c>
      <c r="O741" s="4">
        <v>65.298500000000004</v>
      </c>
      <c r="Q741" s="183"/>
      <c r="R741" s="183"/>
      <c r="S741" s="183"/>
    </row>
    <row r="742" spans="1:19">
      <c r="A742" s="188">
        <v>43082</v>
      </c>
      <c r="C742" s="4">
        <v>2.0019999999999998</v>
      </c>
      <c r="D742" s="4">
        <v>97.410624999999996</v>
      </c>
      <c r="E742" s="4">
        <v>2.1666666666699999</v>
      </c>
      <c r="G742" s="4">
        <v>4.3333333333299997</v>
      </c>
      <c r="I742" s="4">
        <v>1.8754999999999999</v>
      </c>
      <c r="J742" s="4">
        <v>78.207750000000004</v>
      </c>
      <c r="M742" s="4">
        <v>2.3763749999999999</v>
      </c>
      <c r="O742" s="4">
        <v>67.647125000000003</v>
      </c>
      <c r="Q742" s="183"/>
      <c r="R742" s="183"/>
      <c r="S742" s="183"/>
    </row>
    <row r="743" spans="1:19">
      <c r="A743" s="188">
        <v>43083</v>
      </c>
      <c r="C743" s="4">
        <v>1.7506250000000001</v>
      </c>
      <c r="D743" s="4">
        <v>97.589375000000004</v>
      </c>
      <c r="E743" s="4">
        <v>1.4166666666700001</v>
      </c>
      <c r="G743" s="4">
        <v>5.1666666666700003</v>
      </c>
      <c r="I743" s="4">
        <v>3.4445000000000001</v>
      </c>
      <c r="J743" s="4">
        <v>67.647374999999997</v>
      </c>
      <c r="M743" s="4">
        <v>5.7629999999999999</v>
      </c>
      <c r="N743" s="183"/>
      <c r="O743" s="4">
        <v>45.430250000000001</v>
      </c>
      <c r="Q743" s="183"/>
      <c r="R743" s="183"/>
      <c r="S743" s="183"/>
    </row>
    <row r="744" spans="1:19">
      <c r="A744" s="188">
        <v>43084</v>
      </c>
      <c r="C744" s="4">
        <v>2.566875</v>
      </c>
      <c r="D744" s="4">
        <v>93.798500000000004</v>
      </c>
      <c r="E744" s="4">
        <v>1.4166666666700001</v>
      </c>
      <c r="G744" s="4">
        <v>0.41666666666699997</v>
      </c>
      <c r="I744" s="4">
        <v>-0.25837500000000002</v>
      </c>
      <c r="J744" s="4">
        <v>97.135249999999999</v>
      </c>
      <c r="L744" s="183"/>
      <c r="M744" s="4">
        <v>-3.02075</v>
      </c>
      <c r="O744" s="4">
        <v>100.35787500000001</v>
      </c>
      <c r="Q744" s="183"/>
      <c r="R744" s="183"/>
      <c r="S744" s="183"/>
    </row>
    <row r="745" spans="1:19">
      <c r="A745" s="188">
        <v>43085</v>
      </c>
      <c r="C745" s="4">
        <v>1.6879999999999999</v>
      </c>
      <c r="D745" s="4">
        <v>96.013750000000002</v>
      </c>
      <c r="E745" s="4">
        <v>0.83333333333299997</v>
      </c>
      <c r="G745" s="4">
        <v>-1.0833333333299999</v>
      </c>
      <c r="I745" s="4">
        <v>-2.3933749999999998</v>
      </c>
      <c r="J745" s="4">
        <v>102.56075</v>
      </c>
      <c r="M745" s="4">
        <v>-5.3440000000000003</v>
      </c>
      <c r="O745" s="4">
        <v>104.24375000000001</v>
      </c>
      <c r="Q745" s="183"/>
      <c r="R745" s="183"/>
      <c r="S745" s="183"/>
    </row>
    <row r="746" spans="1:19">
      <c r="A746" s="188">
        <v>43086</v>
      </c>
      <c r="C746" s="4">
        <v>2.5041250000000002</v>
      </c>
      <c r="D746" s="4">
        <v>95.724249999999998</v>
      </c>
      <c r="E746" s="4">
        <v>1.4166666666700001</v>
      </c>
      <c r="G746" s="4">
        <v>0</v>
      </c>
      <c r="I746" s="4">
        <v>-0.94887500000000002</v>
      </c>
      <c r="J746" s="4">
        <v>104.27849999999999</v>
      </c>
      <c r="M746" s="4">
        <v>-3.0834999999999999</v>
      </c>
      <c r="O746" s="4">
        <v>105.504875</v>
      </c>
      <c r="Q746" s="183"/>
      <c r="R746" s="183"/>
      <c r="S746" s="183"/>
    </row>
    <row r="747" spans="1:19">
      <c r="A747" s="188">
        <v>43087</v>
      </c>
      <c r="C747" s="4">
        <v>2.5666250000000002</v>
      </c>
      <c r="D747" s="4">
        <v>96.585499999999996</v>
      </c>
      <c r="E747" s="4">
        <v>1.25</v>
      </c>
      <c r="G747" s="4">
        <v>-0.25</v>
      </c>
      <c r="I747" s="4">
        <v>-1.388625</v>
      </c>
      <c r="J747" s="4">
        <v>103.45975</v>
      </c>
      <c r="M747" s="4">
        <v>-3.7741250000000002</v>
      </c>
      <c r="O747" s="4">
        <v>105.77525</v>
      </c>
      <c r="Q747" s="183"/>
      <c r="R747" s="183"/>
      <c r="S747" s="183"/>
    </row>
    <row r="748" spans="1:19">
      <c r="A748" s="188">
        <v>43088</v>
      </c>
      <c r="C748" s="4">
        <v>0.99737500000000001</v>
      </c>
      <c r="D748" s="4">
        <v>98.395124999999993</v>
      </c>
      <c r="E748" s="4">
        <v>0.5</v>
      </c>
      <c r="G748" s="4">
        <v>-1.0833333333299999</v>
      </c>
      <c r="I748" s="4">
        <v>-2.2681249999999999</v>
      </c>
      <c r="J748" s="4">
        <v>104.953</v>
      </c>
      <c r="M748" s="4">
        <v>-4.5906250000000002</v>
      </c>
      <c r="O748" s="4">
        <v>105.28637500000001</v>
      </c>
      <c r="Q748" s="183"/>
      <c r="R748" s="183"/>
      <c r="S748" s="183"/>
    </row>
    <row r="749" spans="1:19">
      <c r="A749" s="188">
        <v>43089</v>
      </c>
      <c r="C749" s="4">
        <v>-1.576875</v>
      </c>
      <c r="D749" s="4">
        <v>95.579125000000005</v>
      </c>
      <c r="E749" s="4">
        <v>-2.25</v>
      </c>
      <c r="G749" s="4">
        <v>-5.5833333333299997</v>
      </c>
      <c r="I749" s="4">
        <v>-7.673</v>
      </c>
      <c r="J749" s="4">
        <v>93.858500000000006</v>
      </c>
      <c r="M749" s="4">
        <v>-9.3652499999999996</v>
      </c>
      <c r="O749" s="4">
        <v>103.46875</v>
      </c>
      <c r="Q749" s="183"/>
      <c r="R749" s="183"/>
      <c r="S749" s="183"/>
    </row>
    <row r="750" spans="1:19">
      <c r="A750" s="188">
        <v>43090</v>
      </c>
      <c r="C750" s="4">
        <v>-1.5142500000000001</v>
      </c>
      <c r="D750" s="4">
        <v>95.637500000000003</v>
      </c>
      <c r="E750" s="4">
        <v>-2.0833333333300001</v>
      </c>
      <c r="G750" s="4">
        <v>-4.5</v>
      </c>
      <c r="I750" s="4">
        <v>-6.4152500000000003</v>
      </c>
      <c r="J750" s="4">
        <v>95.411874999999995</v>
      </c>
      <c r="M750" s="4">
        <v>-7.6686249999999996</v>
      </c>
      <c r="O750" s="4">
        <v>101.55012499999999</v>
      </c>
      <c r="Q750" s="183"/>
      <c r="R750" s="183"/>
      <c r="S750" s="183"/>
    </row>
    <row r="751" spans="1:19">
      <c r="A751" s="188">
        <v>43091</v>
      </c>
      <c r="C751" s="4">
        <v>-1.8285</v>
      </c>
      <c r="D751" s="4">
        <v>97.29025</v>
      </c>
      <c r="E751" s="4">
        <v>-2.75</v>
      </c>
      <c r="G751" s="4">
        <v>-5.6666666666700003</v>
      </c>
      <c r="I751" s="4">
        <v>-8.2390000000000008</v>
      </c>
      <c r="J751" s="4">
        <v>100.581125</v>
      </c>
      <c r="M751" s="4">
        <v>-10.182874999999999</v>
      </c>
      <c r="O751" s="4">
        <v>102.444625</v>
      </c>
      <c r="Q751" s="183"/>
      <c r="R751" s="183"/>
      <c r="S751" s="183"/>
    </row>
    <row r="752" spans="1:19">
      <c r="A752" s="188">
        <v>43092</v>
      </c>
      <c r="C752" s="4">
        <v>-5.2207499999999998</v>
      </c>
      <c r="D752" s="4">
        <v>104.2145</v>
      </c>
      <c r="E752" s="4">
        <v>-6.25</v>
      </c>
      <c r="G752" s="4">
        <v>-9.5</v>
      </c>
      <c r="I752" s="4">
        <v>-12.95675</v>
      </c>
      <c r="J752" s="4">
        <v>86.081125</v>
      </c>
      <c r="M752" s="4">
        <v>-10.183125</v>
      </c>
      <c r="O752" s="4">
        <v>62.264875000000004</v>
      </c>
      <c r="Q752" s="183"/>
      <c r="R752" s="183"/>
      <c r="S752" s="183"/>
    </row>
    <row r="753" spans="1:38">
      <c r="A753" s="188">
        <v>43093</v>
      </c>
      <c r="C753" s="4">
        <v>-3.1473749999999998</v>
      </c>
      <c r="D753" s="4">
        <v>102.149625</v>
      </c>
      <c r="E753" s="4">
        <v>-4.1666666666700003</v>
      </c>
      <c r="G753" s="4">
        <v>-5.1666666666700003</v>
      </c>
      <c r="I753" s="4">
        <v>-7.0442499999999999</v>
      </c>
      <c r="J753" s="4">
        <v>86.921125000000004</v>
      </c>
      <c r="M753" s="4">
        <v>-4.8418749999999999</v>
      </c>
      <c r="O753" s="4">
        <v>48.264125</v>
      </c>
      <c r="Q753" s="183"/>
      <c r="R753" s="183"/>
      <c r="S753" s="183"/>
      <c r="AK753" s="183"/>
      <c r="AL753" s="183"/>
    </row>
    <row r="754" spans="1:38">
      <c r="A754" s="188">
        <v>43094</v>
      </c>
      <c r="C754" s="4">
        <v>-2.4561250000000001</v>
      </c>
      <c r="D754" s="4">
        <v>101.742375</v>
      </c>
      <c r="E754" s="4">
        <v>-2.3333333333300001</v>
      </c>
      <c r="G754" s="4">
        <v>-4.25</v>
      </c>
      <c r="I754" s="4">
        <v>-5.0949999999999998</v>
      </c>
      <c r="J754" s="4">
        <v>101.80737499999999</v>
      </c>
      <c r="M754" s="4">
        <v>-7.4169999999999998</v>
      </c>
      <c r="N754" s="183"/>
      <c r="O754" s="4">
        <v>103.41137500000001</v>
      </c>
      <c r="Q754" s="183"/>
      <c r="R754" s="183"/>
      <c r="S754" s="183"/>
      <c r="AJ754" s="183"/>
      <c r="AK754" s="183"/>
      <c r="AL754" s="183"/>
    </row>
    <row r="755" spans="1:38">
      <c r="A755" s="188">
        <v>43095</v>
      </c>
      <c r="C755" s="4">
        <v>-1.388625</v>
      </c>
      <c r="D755" s="4">
        <v>99.002624999999995</v>
      </c>
      <c r="E755" s="4">
        <v>-2.0833333333300001</v>
      </c>
      <c r="G755" s="4">
        <v>-4.4166666666700003</v>
      </c>
      <c r="I755" s="4">
        <v>-5.3464999999999998</v>
      </c>
      <c r="J755" s="4">
        <v>99.714250000000007</v>
      </c>
      <c r="L755" s="183"/>
      <c r="M755" s="4">
        <v>-8.7363750000000007</v>
      </c>
      <c r="O755" s="4">
        <v>102.91125</v>
      </c>
      <c r="Q755" s="183"/>
      <c r="R755" s="183"/>
      <c r="S755" s="183"/>
      <c r="AJ755" s="183"/>
      <c r="AK755" s="183"/>
      <c r="AL755" s="183"/>
    </row>
    <row r="756" spans="1:38">
      <c r="A756" s="188">
        <v>43096</v>
      </c>
      <c r="C756" s="4">
        <v>-0.57212499999999999</v>
      </c>
      <c r="D756" s="4">
        <v>96.212000000000003</v>
      </c>
      <c r="E756" s="4">
        <v>-1.5</v>
      </c>
      <c r="G756" s="4">
        <v>-3.75</v>
      </c>
      <c r="I756" s="4">
        <v>-4.3410000000000002</v>
      </c>
      <c r="J756" s="4">
        <v>101.372625</v>
      </c>
      <c r="M756" s="4">
        <v>-6.726</v>
      </c>
      <c r="O756" s="4">
        <v>103.911</v>
      </c>
      <c r="Q756" s="183"/>
      <c r="R756" s="183"/>
      <c r="S756" s="183"/>
      <c r="AJ756" s="183"/>
      <c r="AK756" s="183"/>
      <c r="AL756" s="183"/>
    </row>
    <row r="757" spans="1:38">
      <c r="A757" s="188">
        <v>43097</v>
      </c>
      <c r="C757" s="4">
        <v>0.55800000000000005</v>
      </c>
      <c r="D757" s="4">
        <v>94.625749999999996</v>
      </c>
      <c r="E757" s="4">
        <v>0.33333333333300003</v>
      </c>
      <c r="G757" s="4">
        <v>-0.41666666666699997</v>
      </c>
      <c r="I757" s="4">
        <v>-1.137375</v>
      </c>
      <c r="J757" s="4">
        <v>104.44750000000001</v>
      </c>
      <c r="M757" s="4">
        <v>-2.9577499999999999</v>
      </c>
      <c r="O757" s="4">
        <v>105.61212500000001</v>
      </c>
      <c r="Q757" s="183"/>
      <c r="R757" s="183"/>
      <c r="S757" s="183"/>
      <c r="AJ757" s="183"/>
    </row>
    <row r="758" spans="1:38">
      <c r="A758" s="188">
        <v>43098</v>
      </c>
      <c r="C758" s="4">
        <v>1.3111250000000001</v>
      </c>
      <c r="D758" s="4">
        <v>97.154875000000004</v>
      </c>
      <c r="E758" s="4">
        <v>1</v>
      </c>
      <c r="G758" s="4">
        <v>0.58333333333299997</v>
      </c>
      <c r="I758" s="4">
        <v>0.18137500000000001</v>
      </c>
      <c r="J758" s="4">
        <v>105.846125</v>
      </c>
      <c r="M758" s="4">
        <v>-1.8276250000000001</v>
      </c>
      <c r="O758" s="4">
        <v>106.53749999999999</v>
      </c>
      <c r="Q758" s="183"/>
      <c r="R758" s="183"/>
      <c r="S758" s="183"/>
    </row>
    <row r="759" spans="1:38">
      <c r="A759" s="188">
        <v>43099</v>
      </c>
      <c r="C759" s="4">
        <v>0.80900000000000005</v>
      </c>
      <c r="D759" s="4">
        <v>98.563999999999993</v>
      </c>
      <c r="E759" s="4">
        <v>0.5</v>
      </c>
      <c r="G759" s="4">
        <v>-1.5833333333299999</v>
      </c>
      <c r="I759" s="4">
        <v>-2.8333750000000002</v>
      </c>
      <c r="J759" s="4">
        <v>103.017875</v>
      </c>
      <c r="M759" s="4">
        <v>-5.4068750000000003</v>
      </c>
      <c r="O759" s="4">
        <v>105.068375</v>
      </c>
      <c r="Q759" s="183"/>
      <c r="R759" s="183"/>
      <c r="S759" s="183"/>
    </row>
    <row r="760" spans="1:38">
      <c r="A760" s="188">
        <v>43100</v>
      </c>
      <c r="C760" s="4">
        <v>-0.88624999999999998</v>
      </c>
      <c r="D760" s="4">
        <v>95.252125000000007</v>
      </c>
      <c r="E760" s="4">
        <v>-1.9166666666700001</v>
      </c>
      <c r="G760" s="4">
        <v>-3.5</v>
      </c>
      <c r="I760" s="4">
        <v>-5.5984999999999996</v>
      </c>
      <c r="J760" s="4">
        <v>93.436875000000001</v>
      </c>
      <c r="M760" s="4">
        <v>-4.9673749999999997</v>
      </c>
      <c r="O760" s="4">
        <v>85.957250000000002</v>
      </c>
      <c r="Q760" s="183"/>
      <c r="R760" s="183"/>
      <c r="S760" s="183"/>
    </row>
    <row r="761" spans="1:38">
      <c r="A761" s="188">
        <v>43101</v>
      </c>
      <c r="C761" s="4">
        <v>-0.44650000000000001</v>
      </c>
      <c r="D761" s="4">
        <v>96.960750000000004</v>
      </c>
      <c r="E761" s="4">
        <v>-2.0833333333300001</v>
      </c>
      <c r="G761" s="4">
        <v>-1.3333333333299999</v>
      </c>
      <c r="I761" s="4">
        <v>-2.5823749999999999</v>
      </c>
      <c r="J761" s="4">
        <v>81.124375000000001</v>
      </c>
      <c r="M761" s="4">
        <v>0.80787500000000001</v>
      </c>
      <c r="O761" s="4">
        <v>58.0075</v>
      </c>
      <c r="Q761" s="183"/>
      <c r="R761" s="183"/>
      <c r="S761" s="183"/>
      <c r="AK761" s="183"/>
      <c r="AL761" s="183"/>
    </row>
    <row r="762" spans="1:38">
      <c r="A762" s="188">
        <v>43102</v>
      </c>
      <c r="C762" s="4">
        <v>1.123</v>
      </c>
      <c r="D762" s="4">
        <v>93.509249999999994</v>
      </c>
      <c r="E762" s="4">
        <v>8.3333333333299994E-2</v>
      </c>
      <c r="G762" s="4">
        <v>3.8333333333300001</v>
      </c>
      <c r="I762" s="4">
        <v>4.1348750000000001</v>
      </c>
      <c r="J762" s="4">
        <v>79.582374999999999</v>
      </c>
      <c r="M762" s="4">
        <v>5.7003750000000002</v>
      </c>
      <c r="O762" s="4">
        <v>61.978625000000001</v>
      </c>
      <c r="Q762" s="183"/>
      <c r="R762" s="183"/>
      <c r="S762" s="183"/>
      <c r="AJ762" s="183"/>
      <c r="AK762" s="183"/>
      <c r="AL762" s="183"/>
    </row>
    <row r="763" spans="1:38">
      <c r="A763" s="188">
        <v>43103</v>
      </c>
      <c r="C763" s="4">
        <v>1.4993749999999999</v>
      </c>
      <c r="D763" s="4">
        <v>92.663250000000005</v>
      </c>
      <c r="E763" s="4">
        <v>0.66666666666700003</v>
      </c>
      <c r="G763" s="4">
        <v>6.25</v>
      </c>
      <c r="I763" s="4">
        <v>2.6917499999999999</v>
      </c>
      <c r="J763" s="4">
        <v>77.757999999999996</v>
      </c>
      <c r="M763" s="4">
        <v>5.3869999999999996</v>
      </c>
      <c r="O763" s="4">
        <v>61.843499999999999</v>
      </c>
      <c r="Q763" s="183"/>
      <c r="R763" s="183"/>
      <c r="S763" s="183"/>
      <c r="AJ763" s="183"/>
      <c r="AK763" s="183"/>
      <c r="AL763" s="183"/>
    </row>
    <row r="764" spans="1:38">
      <c r="A764" s="188">
        <v>43104</v>
      </c>
      <c r="C764" s="4">
        <v>2.252875</v>
      </c>
      <c r="D764" s="4">
        <v>90.594750000000005</v>
      </c>
      <c r="E764" s="4">
        <v>2.0833333333300001</v>
      </c>
      <c r="G764" s="4">
        <v>6.25</v>
      </c>
      <c r="I764" s="4">
        <v>5.0761250000000002</v>
      </c>
      <c r="J764" s="4">
        <v>80.614125000000001</v>
      </c>
      <c r="M764" s="4">
        <v>4.132625</v>
      </c>
      <c r="O764" s="4">
        <v>79.6875</v>
      </c>
      <c r="Q764" s="183"/>
      <c r="R764" s="183"/>
      <c r="S764" s="183"/>
      <c r="AJ764" s="183"/>
      <c r="AK764" s="183"/>
      <c r="AL764" s="183"/>
    </row>
    <row r="765" spans="1:38">
      <c r="A765" s="188">
        <v>43105</v>
      </c>
      <c r="C765" s="4">
        <v>3.6963750000000002</v>
      </c>
      <c r="D765" s="4">
        <v>92.143500000000003</v>
      </c>
      <c r="E765" s="4">
        <v>4.25</v>
      </c>
      <c r="G765" s="4">
        <v>4.3333333333299997</v>
      </c>
      <c r="I765" s="4">
        <v>3.5705</v>
      </c>
      <c r="J765" s="4">
        <v>104.61562499999999</v>
      </c>
      <c r="M765" s="4">
        <v>1.56125</v>
      </c>
      <c r="O765" s="4">
        <v>106.806625</v>
      </c>
      <c r="Q765" s="183"/>
      <c r="R765" s="183"/>
      <c r="S765" s="183"/>
      <c r="AJ765" s="183"/>
      <c r="AK765" s="183"/>
      <c r="AL765" s="183"/>
    </row>
    <row r="766" spans="1:38">
      <c r="A766" s="188">
        <v>43106</v>
      </c>
      <c r="C766" s="4">
        <v>2.8180000000000001</v>
      </c>
      <c r="D766" s="4">
        <v>96.128375000000005</v>
      </c>
      <c r="E766" s="4">
        <v>2.0833333333300001</v>
      </c>
      <c r="G766" s="4">
        <v>0.58333333333299997</v>
      </c>
      <c r="I766" s="4">
        <v>-0.38387500000000002</v>
      </c>
      <c r="J766" s="4">
        <v>105.226625</v>
      </c>
      <c r="M766" s="4">
        <v>-3.0208750000000002</v>
      </c>
      <c r="O766" s="4">
        <v>106.158125</v>
      </c>
      <c r="Q766" s="183"/>
      <c r="R766" s="183"/>
      <c r="S766" s="183"/>
      <c r="AJ766" s="183"/>
      <c r="AK766" s="183"/>
      <c r="AL766" s="183"/>
    </row>
    <row r="767" spans="1:38">
      <c r="A767" s="188">
        <v>43107</v>
      </c>
      <c r="C767" s="4">
        <v>2.0646249999999999</v>
      </c>
      <c r="D767" s="4">
        <v>97.774749999999997</v>
      </c>
      <c r="E767" s="4">
        <v>1.8333333333299999</v>
      </c>
      <c r="G767" s="4">
        <v>0.166666666667</v>
      </c>
      <c r="I767" s="4">
        <v>-1.0745</v>
      </c>
      <c r="J767" s="4">
        <v>104.783625</v>
      </c>
      <c r="M767" s="4">
        <v>-3.58575</v>
      </c>
      <c r="O767" s="4">
        <v>105.669</v>
      </c>
      <c r="Q767" s="183"/>
      <c r="R767" s="183"/>
      <c r="S767" s="183"/>
      <c r="AJ767" s="183"/>
      <c r="AK767" s="183"/>
      <c r="AL767" s="183"/>
    </row>
    <row r="768" spans="1:38">
      <c r="A768" s="188">
        <v>43108</v>
      </c>
      <c r="C768" s="4">
        <v>2.9433750000000001</v>
      </c>
      <c r="D768" s="4">
        <v>97.495249999999999</v>
      </c>
      <c r="E768" s="4">
        <v>2.6666666666699999</v>
      </c>
      <c r="G768" s="4">
        <v>1.6666666666700001</v>
      </c>
      <c r="I768" s="4">
        <v>0.62075000000000002</v>
      </c>
      <c r="J768" s="4">
        <v>103.15600000000001</v>
      </c>
      <c r="M768" s="4">
        <v>-1.953125</v>
      </c>
      <c r="O768" s="4">
        <v>106.5915</v>
      </c>
      <c r="Q768" s="183"/>
      <c r="R768" s="183"/>
      <c r="S768" s="183"/>
      <c r="AJ768" s="183"/>
      <c r="AK768" s="183"/>
      <c r="AL768" s="183"/>
    </row>
    <row r="769" spans="1:38">
      <c r="A769" s="188">
        <v>43109</v>
      </c>
      <c r="C769" s="4">
        <v>2.8180000000000001</v>
      </c>
      <c r="D769" s="4">
        <v>98.563500000000005</v>
      </c>
      <c r="E769" s="4">
        <v>1.5833333333299999</v>
      </c>
      <c r="G769" s="4">
        <v>-8.3333333333299994E-2</v>
      </c>
      <c r="I769" s="4">
        <v>-0.760625</v>
      </c>
      <c r="J769" s="4">
        <v>104.435</v>
      </c>
      <c r="M769" s="4">
        <v>-3.3344999999999998</v>
      </c>
      <c r="O769" s="4">
        <v>106.104125</v>
      </c>
      <c r="Q769" s="183"/>
      <c r="R769" s="183"/>
      <c r="S769" s="183"/>
      <c r="AJ769" s="183"/>
    </row>
    <row r="770" spans="1:38">
      <c r="A770" s="188">
        <v>43110</v>
      </c>
      <c r="C770" s="4">
        <v>1.5623750000000001</v>
      </c>
      <c r="D770" s="4">
        <v>99.510750000000002</v>
      </c>
      <c r="E770" s="4">
        <v>0.58333333333299997</v>
      </c>
      <c r="G770" s="4">
        <v>-1.5</v>
      </c>
      <c r="I770" s="4">
        <v>-3.0843750000000001</v>
      </c>
      <c r="J770" s="4">
        <v>102.78625</v>
      </c>
      <c r="M770" s="4">
        <v>-6.0976249999999999</v>
      </c>
      <c r="O770" s="4">
        <v>104.84937499999999</v>
      </c>
      <c r="Q770" s="183"/>
      <c r="R770" s="183"/>
      <c r="S770" s="183"/>
    </row>
    <row r="771" spans="1:38">
      <c r="A771" s="188">
        <v>43111</v>
      </c>
      <c r="C771" s="4">
        <v>1.6877500000000001</v>
      </c>
      <c r="D771" s="4">
        <v>99.344999999999999</v>
      </c>
      <c r="E771" s="4">
        <v>1</v>
      </c>
      <c r="G771" s="4">
        <v>-0.5</v>
      </c>
      <c r="I771" s="4">
        <v>-0.57212499999999999</v>
      </c>
      <c r="J771" s="4">
        <v>104.99975000000001</v>
      </c>
      <c r="M771" s="4">
        <v>-2.7694999999999999</v>
      </c>
      <c r="O771" s="4">
        <v>106.42874999999999</v>
      </c>
      <c r="Q771" s="183"/>
      <c r="R771" s="183"/>
      <c r="S771" s="183"/>
    </row>
    <row r="772" spans="1:38">
      <c r="A772" s="188">
        <v>43112</v>
      </c>
      <c r="C772" s="4">
        <v>3.4453749999999999</v>
      </c>
      <c r="D772" s="4">
        <v>97.492000000000004</v>
      </c>
      <c r="E772" s="4">
        <v>2.9166666666699999</v>
      </c>
      <c r="G772" s="4">
        <v>1.4166666666700001</v>
      </c>
      <c r="I772" s="4">
        <v>0.74624999999999997</v>
      </c>
      <c r="J772" s="4">
        <v>105.900375</v>
      </c>
      <c r="M772" s="4">
        <v>-1.38825</v>
      </c>
      <c r="O772" s="4">
        <v>107.238125</v>
      </c>
      <c r="Q772" s="183"/>
      <c r="R772" s="183"/>
      <c r="S772" s="183"/>
    </row>
    <row r="773" spans="1:38">
      <c r="A773" s="188">
        <v>43113</v>
      </c>
      <c r="C773" s="4">
        <v>4.3235000000000001</v>
      </c>
      <c r="D773" s="4">
        <v>96.642875000000004</v>
      </c>
      <c r="E773" s="4">
        <v>3.6666666666699999</v>
      </c>
      <c r="G773" s="4">
        <v>3.5833333333300001</v>
      </c>
      <c r="I773" s="4">
        <v>2.5666250000000002</v>
      </c>
      <c r="J773" s="4">
        <v>103.189375</v>
      </c>
      <c r="M773" s="4">
        <v>0.9335</v>
      </c>
      <c r="O773" s="4">
        <v>107.021125</v>
      </c>
      <c r="Q773" s="183"/>
      <c r="R773" s="183"/>
      <c r="S773" s="183"/>
      <c r="AK773" s="183"/>
      <c r="AL773" s="183"/>
    </row>
    <row r="774" spans="1:38">
      <c r="A774" s="188">
        <v>43114</v>
      </c>
      <c r="C774" s="4">
        <v>4.0098750000000001</v>
      </c>
      <c r="D774" s="4">
        <v>96.242874999999998</v>
      </c>
      <c r="E774" s="4">
        <v>3.6666666666699999</v>
      </c>
      <c r="G774" s="4">
        <v>9.8333333333299997</v>
      </c>
      <c r="I774" s="4">
        <v>7.3332499999999996</v>
      </c>
      <c r="J774" s="4">
        <v>69.766999999999996</v>
      </c>
      <c r="M774" s="4">
        <v>9.0222499999999997</v>
      </c>
      <c r="O774" s="4">
        <v>52.83925</v>
      </c>
      <c r="Q774" s="183"/>
      <c r="R774" s="183"/>
      <c r="S774" s="183"/>
      <c r="AJ774" s="183"/>
      <c r="AK774" s="183"/>
      <c r="AL774" s="183"/>
    </row>
    <row r="775" spans="1:38">
      <c r="A775" s="188">
        <v>43115</v>
      </c>
      <c r="C775" s="4">
        <v>5.0134999999999996</v>
      </c>
      <c r="D775" s="4">
        <v>89.521000000000001</v>
      </c>
      <c r="E775" s="4">
        <v>4</v>
      </c>
      <c r="G775" s="4">
        <v>9</v>
      </c>
      <c r="I775" s="4">
        <v>7.1456249999999999</v>
      </c>
      <c r="J775" s="4">
        <v>62.831874999999997</v>
      </c>
      <c r="M775" s="4">
        <v>6.0137499999999999</v>
      </c>
      <c r="O775" s="4">
        <v>59.961125000000003</v>
      </c>
      <c r="Q775" s="183"/>
      <c r="R775" s="183"/>
      <c r="S775" s="183"/>
      <c r="AJ775" s="183"/>
      <c r="AK775" s="183"/>
      <c r="AL775" s="183"/>
    </row>
    <row r="776" spans="1:38">
      <c r="A776" s="188">
        <v>43116</v>
      </c>
      <c r="C776" s="4">
        <v>4.8252499999999996</v>
      </c>
      <c r="D776" s="4">
        <v>85.438000000000002</v>
      </c>
      <c r="E776" s="4">
        <v>4.0833333333299997</v>
      </c>
      <c r="G776" s="4">
        <v>1.6666666666700001</v>
      </c>
      <c r="I776" s="4">
        <v>0.68337499999999995</v>
      </c>
      <c r="J776" s="4">
        <v>103.14425</v>
      </c>
      <c r="M776" s="4">
        <v>-1.8905000000000001</v>
      </c>
      <c r="O776" s="4">
        <v>105.941</v>
      </c>
      <c r="Q776" s="183"/>
      <c r="R776" s="183"/>
      <c r="S776" s="183"/>
      <c r="AJ776" s="183"/>
      <c r="AK776" s="183"/>
      <c r="AL776" s="183"/>
    </row>
    <row r="777" spans="1:38">
      <c r="A777" s="188">
        <v>43117</v>
      </c>
      <c r="C777" s="4">
        <v>5.1391249999999999</v>
      </c>
      <c r="D777" s="4">
        <v>85.246624999999995</v>
      </c>
      <c r="E777" s="4">
        <v>4.5</v>
      </c>
      <c r="G777" s="4">
        <v>2.3333333333300001</v>
      </c>
      <c r="I777" s="4">
        <v>1.75075</v>
      </c>
      <c r="J777" s="4">
        <v>98.379374999999996</v>
      </c>
      <c r="M777" s="4">
        <v>-1.0746249999999999</v>
      </c>
      <c r="O777" s="4">
        <v>105.69974999999999</v>
      </c>
      <c r="Q777" s="183"/>
      <c r="R777" s="183"/>
      <c r="S777" s="183"/>
      <c r="AJ777" s="183"/>
    </row>
    <row r="778" spans="1:38">
      <c r="A778" s="188">
        <v>43118</v>
      </c>
      <c r="C778" s="4">
        <v>3.2571249999999998</v>
      </c>
      <c r="D778" s="4">
        <v>92.042625000000001</v>
      </c>
      <c r="E778" s="4">
        <v>1.75</v>
      </c>
      <c r="G778" s="4">
        <v>-0.166666666667</v>
      </c>
      <c r="I778" s="4">
        <v>-1.3885000000000001</v>
      </c>
      <c r="J778" s="4">
        <v>104.61425</v>
      </c>
      <c r="M778" s="4">
        <v>-4.2136250000000004</v>
      </c>
      <c r="O778" s="4">
        <v>105.66912499999999</v>
      </c>
      <c r="Q778" s="183"/>
      <c r="R778" s="183"/>
      <c r="S778" s="183"/>
    </row>
    <row r="779" spans="1:38">
      <c r="A779" s="188">
        <v>43119</v>
      </c>
      <c r="C779" s="4">
        <v>2.1274999999999999</v>
      </c>
      <c r="D779" s="4">
        <v>91.801500000000004</v>
      </c>
      <c r="E779" s="4">
        <v>0.91666666666700003</v>
      </c>
      <c r="G779" s="4">
        <v>-1</v>
      </c>
      <c r="I779" s="4">
        <v>-2.0165000000000002</v>
      </c>
      <c r="J779" s="4">
        <v>104.214</v>
      </c>
      <c r="M779" s="4">
        <v>-4.9671250000000002</v>
      </c>
      <c r="O779" s="4">
        <v>105.450875</v>
      </c>
      <c r="Q779" s="183"/>
      <c r="R779" s="183"/>
      <c r="S779" s="183"/>
    </row>
    <row r="780" spans="1:38">
      <c r="A780" s="188">
        <v>43120</v>
      </c>
      <c r="C780" s="4">
        <v>1.939125</v>
      </c>
      <c r="D780" s="4">
        <v>92.576374999999999</v>
      </c>
      <c r="E780" s="4">
        <v>1</v>
      </c>
      <c r="G780" s="4">
        <v>-0.83333333333299997</v>
      </c>
      <c r="I780" s="4">
        <v>-2.2048749999999999</v>
      </c>
      <c r="J780" s="4">
        <v>103.929625</v>
      </c>
      <c r="M780" s="4">
        <v>-5.0298749999999997</v>
      </c>
      <c r="O780" s="4">
        <v>105.340875</v>
      </c>
      <c r="Q780" s="183"/>
      <c r="R780" s="183"/>
      <c r="S780" s="183"/>
    </row>
    <row r="781" spans="1:38">
      <c r="A781" s="188">
        <v>43121</v>
      </c>
      <c r="C781" s="4">
        <v>2.5041250000000002</v>
      </c>
      <c r="D781" s="4">
        <v>92.750749999999996</v>
      </c>
      <c r="E781" s="4">
        <v>1.0833333333299999</v>
      </c>
      <c r="G781" s="4">
        <v>-0.166666666667</v>
      </c>
      <c r="I781" s="4">
        <v>-1.5141249999999999</v>
      </c>
      <c r="J781" s="4">
        <v>104.27612499999999</v>
      </c>
      <c r="M781" s="4">
        <v>-4.1508750000000001</v>
      </c>
      <c r="O781" s="4">
        <v>105.669</v>
      </c>
      <c r="Q781" s="183"/>
      <c r="R781" s="183"/>
      <c r="S781" s="183"/>
    </row>
    <row r="782" spans="1:38">
      <c r="A782" s="188">
        <v>43122</v>
      </c>
      <c r="C782" s="4">
        <v>0.80900000000000005</v>
      </c>
      <c r="D782" s="4">
        <v>96.413749999999993</v>
      </c>
      <c r="E782" s="4">
        <v>0.5</v>
      </c>
      <c r="G782" s="4">
        <v>-1.3333333333299999</v>
      </c>
      <c r="I782" s="4">
        <v>-2.7075</v>
      </c>
      <c r="J782" s="4">
        <v>103.70625</v>
      </c>
      <c r="M782" s="4">
        <v>-5.4067499999999997</v>
      </c>
      <c r="O782" s="4">
        <v>105.23275</v>
      </c>
      <c r="Q782" s="183"/>
      <c r="R782" s="183"/>
      <c r="S782" s="183"/>
    </row>
    <row r="783" spans="1:38">
      <c r="A783" s="188">
        <v>43123</v>
      </c>
      <c r="C783" s="4">
        <v>1.374125</v>
      </c>
      <c r="D783" s="4">
        <v>96.870374999999996</v>
      </c>
      <c r="E783" s="4">
        <v>0.5</v>
      </c>
      <c r="G783" s="4">
        <v>-0.83333333333299997</v>
      </c>
      <c r="I783" s="4">
        <v>-1.7655000000000001</v>
      </c>
      <c r="J783" s="4">
        <v>103.921125</v>
      </c>
      <c r="M783" s="4">
        <v>-4.3393750000000004</v>
      </c>
      <c r="O783" s="4">
        <v>105.777</v>
      </c>
      <c r="Q783" s="183"/>
      <c r="R783" s="183"/>
      <c r="S783" s="183"/>
    </row>
    <row r="784" spans="1:38">
      <c r="A784" s="188">
        <v>43124</v>
      </c>
      <c r="C784" s="4">
        <v>2.8180000000000001</v>
      </c>
      <c r="D784" s="4">
        <v>95.319874999999996</v>
      </c>
      <c r="E784" s="4">
        <v>1.9166666666700001</v>
      </c>
      <c r="G784" s="4">
        <v>0.166666666667</v>
      </c>
      <c r="I784" s="4">
        <v>-0.38387500000000002</v>
      </c>
      <c r="J784" s="4">
        <v>105.22975</v>
      </c>
      <c r="M784" s="4">
        <v>-2.9577499999999999</v>
      </c>
      <c r="O784" s="4">
        <v>106.26712499999999</v>
      </c>
      <c r="Q784" s="183"/>
      <c r="R784" s="183"/>
      <c r="S784" s="183"/>
    </row>
    <row r="785" spans="1:38">
      <c r="A785" s="188">
        <v>43125</v>
      </c>
      <c r="C785" s="4">
        <v>0.74624999999999997</v>
      </c>
      <c r="D785" s="4">
        <v>96.700625000000002</v>
      </c>
      <c r="E785" s="4">
        <v>0.5</v>
      </c>
      <c r="G785" s="4">
        <v>-2.3333333333300001</v>
      </c>
      <c r="I785" s="4">
        <v>-3.7127500000000002</v>
      </c>
      <c r="J785" s="4">
        <v>102.95075</v>
      </c>
      <c r="M785" s="4">
        <v>-6.5374999999999996</v>
      </c>
      <c r="O785" s="4">
        <v>104.84937499999999</v>
      </c>
      <c r="Q785" s="183"/>
      <c r="R785" s="183"/>
      <c r="S785" s="183"/>
    </row>
    <row r="786" spans="1:38">
      <c r="A786" s="188">
        <v>43126</v>
      </c>
      <c r="C786" s="4">
        <v>0.55800000000000005</v>
      </c>
      <c r="D786" s="4">
        <v>97.099500000000006</v>
      </c>
      <c r="E786" s="4">
        <v>0.166666666667</v>
      </c>
      <c r="G786" s="4">
        <v>-2.5</v>
      </c>
      <c r="I786" s="4">
        <v>-3.8383750000000001</v>
      </c>
      <c r="J786" s="4">
        <v>104.09925</v>
      </c>
      <c r="M786" s="4">
        <v>-6.663125</v>
      </c>
      <c r="O786" s="4">
        <v>104.959125</v>
      </c>
      <c r="Q786" s="183"/>
      <c r="R786" s="183"/>
      <c r="S786" s="183"/>
    </row>
    <row r="787" spans="1:38">
      <c r="A787" s="188">
        <v>43127</v>
      </c>
      <c r="C787" s="4">
        <v>1.1855</v>
      </c>
      <c r="D787" s="4">
        <v>96.700249999999997</v>
      </c>
      <c r="E787" s="4">
        <v>0.58333333333299997</v>
      </c>
      <c r="G787" s="4">
        <v>-0.58333333333299997</v>
      </c>
      <c r="I787" s="4">
        <v>-1.70275</v>
      </c>
      <c r="J787" s="4">
        <v>103.99299999999999</v>
      </c>
      <c r="M787" s="4">
        <v>-4.2763749999999998</v>
      </c>
      <c r="O787" s="4">
        <v>105.286</v>
      </c>
      <c r="Q787" s="183"/>
      <c r="R787" s="183"/>
      <c r="S787" s="183"/>
    </row>
    <row r="788" spans="1:38">
      <c r="A788" s="188">
        <v>43128</v>
      </c>
      <c r="C788" s="4">
        <v>2.5667499999999999</v>
      </c>
      <c r="D788" s="4">
        <v>95.720749999999995</v>
      </c>
      <c r="E788" s="4">
        <v>2.3333333333300001</v>
      </c>
      <c r="G788" s="4">
        <v>1.6666666666700001</v>
      </c>
      <c r="I788" s="4">
        <v>0.99737500000000001</v>
      </c>
      <c r="J788" s="4">
        <v>105.901625</v>
      </c>
      <c r="M788" s="4">
        <v>-1.20025</v>
      </c>
      <c r="O788" s="4">
        <v>106.751875</v>
      </c>
      <c r="Q788" s="183"/>
      <c r="R788" s="183"/>
      <c r="S788" s="183"/>
    </row>
    <row r="789" spans="1:38">
      <c r="A789" s="188">
        <v>43129</v>
      </c>
      <c r="C789" s="4">
        <v>4.0722500000000004</v>
      </c>
      <c r="D789" s="4">
        <v>94.503625</v>
      </c>
      <c r="E789" s="4">
        <v>3.3333333333300001</v>
      </c>
      <c r="G789" s="4">
        <v>1.6666666666700001</v>
      </c>
      <c r="I789" s="4">
        <v>0.49512499999999998</v>
      </c>
      <c r="J789" s="4">
        <v>105.733875</v>
      </c>
      <c r="M789" s="4">
        <v>-1.6395</v>
      </c>
      <c r="O789" s="4">
        <v>107.07537499999999</v>
      </c>
      <c r="Q789" s="183"/>
      <c r="R789" s="183"/>
      <c r="S789" s="183"/>
    </row>
    <row r="790" spans="1:38">
      <c r="A790" s="188">
        <v>43130</v>
      </c>
      <c r="C790" s="4">
        <v>0.80900000000000005</v>
      </c>
      <c r="D790" s="4">
        <v>97.496125000000006</v>
      </c>
      <c r="E790" s="4">
        <v>0.5</v>
      </c>
      <c r="G790" s="4">
        <v>-2</v>
      </c>
      <c r="I790" s="4">
        <v>-3.3358750000000001</v>
      </c>
      <c r="J790" s="4">
        <v>103.47725</v>
      </c>
      <c r="M790" s="4">
        <v>-6.0347499999999998</v>
      </c>
      <c r="O790" s="4">
        <v>105.45099999999999</v>
      </c>
      <c r="Q790" s="183"/>
      <c r="R790" s="183"/>
      <c r="S790" s="183"/>
    </row>
    <row r="791" spans="1:38">
      <c r="A791" s="188">
        <v>43131</v>
      </c>
      <c r="C791" s="4">
        <v>0.62075000000000002</v>
      </c>
      <c r="D791" s="4">
        <v>97.268625</v>
      </c>
      <c r="E791" s="4">
        <v>0.41666666666699997</v>
      </c>
      <c r="G791" s="4">
        <v>-1.8333333333299999</v>
      </c>
      <c r="I791" s="4">
        <v>-3.33575</v>
      </c>
      <c r="J791" s="4">
        <v>103.92812499999999</v>
      </c>
      <c r="M791" s="4">
        <v>-6.2231249999999996</v>
      </c>
      <c r="O791" s="4">
        <v>105.287375</v>
      </c>
      <c r="Q791" s="183"/>
      <c r="R791" s="183"/>
      <c r="S791" s="183"/>
    </row>
    <row r="792" spans="1:38">
      <c r="A792" s="188">
        <v>43132</v>
      </c>
      <c r="C792" s="4">
        <v>1.31125</v>
      </c>
      <c r="D792" s="4">
        <v>96.471625000000003</v>
      </c>
      <c r="E792" s="4">
        <v>0.66666666666700003</v>
      </c>
      <c r="G792" s="4">
        <v>-0.5</v>
      </c>
      <c r="I792" s="4">
        <v>-1.3887499999999999</v>
      </c>
      <c r="J792" s="4">
        <v>104.4385</v>
      </c>
      <c r="M792" s="4">
        <v>-4.1508750000000001</v>
      </c>
      <c r="O792" s="4">
        <v>105.940375</v>
      </c>
      <c r="Q792" s="183"/>
      <c r="R792" s="183"/>
      <c r="S792" s="183"/>
    </row>
    <row r="793" spans="1:38">
      <c r="A793" s="188">
        <v>43133</v>
      </c>
      <c r="C793" s="4">
        <v>2.69225</v>
      </c>
      <c r="D793" s="4">
        <v>94.097499999999997</v>
      </c>
      <c r="E793" s="4">
        <v>2</v>
      </c>
      <c r="G793" s="4">
        <v>1.4166666666700001</v>
      </c>
      <c r="I793" s="4">
        <v>0.99737500000000001</v>
      </c>
      <c r="J793" s="4">
        <v>105.500125</v>
      </c>
      <c r="M793" s="4">
        <v>-0.88612500000000005</v>
      </c>
      <c r="O793" s="4">
        <v>107.23699999999999</v>
      </c>
      <c r="Q793" s="183"/>
      <c r="R793" s="183"/>
      <c r="S793" s="183"/>
    </row>
    <row r="794" spans="1:38">
      <c r="A794" s="188">
        <v>43134</v>
      </c>
      <c r="C794" s="4">
        <v>3.5710000000000002</v>
      </c>
      <c r="D794" s="4">
        <v>92.636375000000001</v>
      </c>
      <c r="E794" s="4">
        <v>2.5833333333300001</v>
      </c>
      <c r="G794" s="4">
        <v>1.5</v>
      </c>
      <c r="I794" s="4">
        <v>1.06</v>
      </c>
      <c r="J794" s="4">
        <v>106.51049999999999</v>
      </c>
      <c r="M794" s="4">
        <v>-0.94874999999999998</v>
      </c>
      <c r="O794" s="4">
        <v>107.076125</v>
      </c>
      <c r="Q794" s="183"/>
      <c r="R794" s="183"/>
      <c r="S794" s="183"/>
    </row>
    <row r="795" spans="1:38">
      <c r="A795" s="188">
        <v>43135</v>
      </c>
      <c r="C795" s="4">
        <v>4.5742500000000001</v>
      </c>
      <c r="D795" s="4">
        <v>90.485749999999996</v>
      </c>
      <c r="E795" s="4">
        <v>3.4166666666699999</v>
      </c>
      <c r="G795" s="4">
        <v>2</v>
      </c>
      <c r="I795" s="4">
        <v>1.248375</v>
      </c>
      <c r="J795" s="4">
        <v>106.122625</v>
      </c>
      <c r="M795" s="4">
        <v>-7.0250000000000007E-2</v>
      </c>
      <c r="O795" s="4">
        <v>107.773875</v>
      </c>
      <c r="Q795" s="183"/>
      <c r="R795" s="183"/>
      <c r="S795" s="183"/>
    </row>
    <row r="796" spans="1:38">
      <c r="A796" s="188">
        <v>43136</v>
      </c>
      <c r="C796" s="4">
        <v>4.3236249999999998</v>
      </c>
      <c r="D796" s="4">
        <v>90.727500000000006</v>
      </c>
      <c r="E796" s="4">
        <v>2.8333333333300001</v>
      </c>
      <c r="G796" s="4">
        <v>0.41666666666699997</v>
      </c>
      <c r="I796" s="4">
        <v>-0.13262499999999999</v>
      </c>
      <c r="J796" s="4">
        <v>107.44674999999999</v>
      </c>
      <c r="M796" s="4">
        <v>-2.20425</v>
      </c>
      <c r="O796" s="4">
        <v>106.8075</v>
      </c>
      <c r="Q796" s="183"/>
      <c r="R796" s="183"/>
      <c r="S796" s="183"/>
    </row>
    <row r="797" spans="1:38">
      <c r="A797" s="188">
        <v>43137</v>
      </c>
      <c r="C797" s="4">
        <v>4.0726250000000004</v>
      </c>
      <c r="D797" s="4">
        <v>90.242374999999996</v>
      </c>
      <c r="E797" s="4">
        <v>2.75</v>
      </c>
      <c r="G797" s="4">
        <v>0.41666666666699997</v>
      </c>
      <c r="I797" s="4">
        <v>-0.57225000000000004</v>
      </c>
      <c r="J797" s="4">
        <v>106.17400000000001</v>
      </c>
      <c r="M797" s="4">
        <v>-2.8322500000000002</v>
      </c>
      <c r="O797" s="4">
        <v>106.32075</v>
      </c>
      <c r="Q797" s="183"/>
      <c r="R797" s="183"/>
      <c r="S797" s="183"/>
      <c r="AK797" s="183"/>
      <c r="AL797" s="183"/>
    </row>
    <row r="798" spans="1:38">
      <c r="A798" s="188">
        <v>43138</v>
      </c>
      <c r="C798" s="4">
        <v>4.5743749999999999</v>
      </c>
      <c r="D798" s="4">
        <v>88.35575</v>
      </c>
      <c r="E798" s="4">
        <v>3.1666666666699999</v>
      </c>
      <c r="G798" s="4">
        <v>2.25</v>
      </c>
      <c r="I798" s="4">
        <v>1.060125</v>
      </c>
      <c r="J798" s="4">
        <v>105.9545</v>
      </c>
      <c r="M798" s="4">
        <v>-0.13300000000000001</v>
      </c>
      <c r="O798" s="4">
        <v>107.82662500000001</v>
      </c>
      <c r="Q798" s="183"/>
      <c r="R798" s="183"/>
      <c r="S798" s="183"/>
      <c r="AJ798" s="183"/>
      <c r="AK798" s="183"/>
      <c r="AL798" s="183"/>
    </row>
    <row r="799" spans="1:38">
      <c r="A799" s="188">
        <v>43139</v>
      </c>
      <c r="C799" s="4">
        <v>5.2645</v>
      </c>
      <c r="D799" s="4">
        <v>85.819125</v>
      </c>
      <c r="E799" s="4">
        <v>4.25</v>
      </c>
      <c r="G799" s="4">
        <v>1.9166666666700001</v>
      </c>
      <c r="I799" s="4">
        <v>0.80900000000000005</v>
      </c>
      <c r="J799" s="4">
        <v>106.121375</v>
      </c>
      <c r="M799" s="4">
        <v>-1.3258749999999999</v>
      </c>
      <c r="O799" s="4">
        <v>107.236</v>
      </c>
      <c r="Q799" s="183"/>
      <c r="R799" s="183"/>
      <c r="S799" s="183"/>
      <c r="AJ799" s="183"/>
      <c r="AK799" s="183"/>
      <c r="AL799" s="183"/>
    </row>
    <row r="800" spans="1:38">
      <c r="A800" s="188">
        <v>43140</v>
      </c>
      <c r="C800" s="4">
        <v>1.499625</v>
      </c>
      <c r="D800" s="4">
        <v>89.937375000000003</v>
      </c>
      <c r="E800" s="4">
        <v>0.83333333333299997</v>
      </c>
      <c r="G800" s="4">
        <v>-1.4166666666700001</v>
      </c>
      <c r="I800" s="4">
        <v>-2.7077499999999999</v>
      </c>
      <c r="J800" s="4">
        <v>105.100875</v>
      </c>
      <c r="M800" s="4">
        <v>-5.3442499999999997</v>
      </c>
      <c r="O800" s="4">
        <v>105.66825</v>
      </c>
      <c r="Q800" s="183"/>
      <c r="R800" s="183"/>
      <c r="S800" s="183"/>
      <c r="AJ800" s="183"/>
      <c r="AK800" s="183"/>
      <c r="AL800" s="183"/>
    </row>
    <row r="801" spans="1:38">
      <c r="A801" s="188">
        <v>43141</v>
      </c>
      <c r="C801" s="4">
        <v>-1.011625</v>
      </c>
      <c r="D801" s="4">
        <v>76.171125000000004</v>
      </c>
      <c r="E801" s="4">
        <v>-2</v>
      </c>
      <c r="G801" s="4">
        <v>-4.75</v>
      </c>
      <c r="I801" s="4">
        <v>-6.7308750000000002</v>
      </c>
      <c r="J801" s="4">
        <v>92.827500000000001</v>
      </c>
      <c r="M801" s="4">
        <v>-7.7313749999999999</v>
      </c>
      <c r="N801" s="183"/>
      <c r="O801" s="4">
        <v>100.04049999999999</v>
      </c>
      <c r="Q801" s="183"/>
      <c r="R801" s="183"/>
      <c r="S801" s="183"/>
      <c r="AJ801" s="183"/>
    </row>
    <row r="802" spans="1:38">
      <c r="A802" s="188">
        <v>43142</v>
      </c>
      <c r="C802" s="4">
        <v>-1.2</v>
      </c>
      <c r="D802" s="4">
        <v>77.257999999999996</v>
      </c>
      <c r="E802" s="4">
        <v>-1.9166666666700001</v>
      </c>
      <c r="G802" s="4">
        <v>-5</v>
      </c>
      <c r="I802" s="4">
        <v>-5.7244999999999999</v>
      </c>
      <c r="J802" s="4">
        <v>77.820625000000007</v>
      </c>
      <c r="L802" s="183"/>
      <c r="M802" s="4">
        <v>-8.6741250000000001</v>
      </c>
      <c r="O802" s="4">
        <v>95.845624999999998</v>
      </c>
      <c r="Q802" s="183"/>
      <c r="R802" s="183"/>
      <c r="S802" s="183"/>
    </row>
    <row r="803" spans="1:38">
      <c r="A803" s="188">
        <v>43143</v>
      </c>
      <c r="C803" s="4">
        <v>-2.2678750000000001</v>
      </c>
      <c r="D803" s="4">
        <v>93.787000000000006</v>
      </c>
      <c r="E803" s="4">
        <v>-2.9166666666699999</v>
      </c>
      <c r="G803" s="4">
        <v>-5.6666666666700003</v>
      </c>
      <c r="I803" s="4">
        <v>-6.3532500000000001</v>
      </c>
      <c r="J803" s="4">
        <v>69.253500000000003</v>
      </c>
      <c r="M803" s="4">
        <v>-8.6745000000000001</v>
      </c>
      <c r="O803" s="4">
        <v>92.100999999999999</v>
      </c>
      <c r="Q803" s="183"/>
      <c r="R803" s="183"/>
      <c r="S803" s="183"/>
    </row>
    <row r="804" spans="1:38">
      <c r="A804" s="188">
        <v>43144</v>
      </c>
      <c r="C804" s="4">
        <v>-0.50962499999999999</v>
      </c>
      <c r="D804" s="4">
        <v>94.197999999999993</v>
      </c>
      <c r="E804" s="4">
        <v>-1.0833333333299999</v>
      </c>
      <c r="G804" s="4">
        <v>-1.6666666666700001</v>
      </c>
      <c r="I804" s="4">
        <v>-3.9020000000000001</v>
      </c>
      <c r="J804" s="4">
        <v>69.116749999999996</v>
      </c>
      <c r="M804" s="4">
        <v>-7.4797500000000001</v>
      </c>
      <c r="O804" s="4">
        <v>94.767624999999995</v>
      </c>
      <c r="Q804" s="183"/>
      <c r="R804" s="183"/>
      <c r="S804" s="183"/>
    </row>
    <row r="805" spans="1:38">
      <c r="A805" s="188">
        <v>43145</v>
      </c>
      <c r="C805" s="4">
        <v>0.307</v>
      </c>
      <c r="D805" s="4">
        <v>78.482500000000002</v>
      </c>
      <c r="E805" s="4">
        <v>-8.3333333333299994E-2</v>
      </c>
      <c r="G805" s="4">
        <v>-2.1666666666699999</v>
      </c>
      <c r="I805" s="4">
        <v>-3.65</v>
      </c>
      <c r="J805" s="4">
        <v>101.87412500000001</v>
      </c>
      <c r="M805" s="4">
        <v>-6.4117499999999996</v>
      </c>
      <c r="O805" s="4">
        <v>104.288625</v>
      </c>
      <c r="Q805" s="183"/>
      <c r="R805" s="183"/>
      <c r="S805" s="183"/>
      <c r="AK805" s="183"/>
      <c r="AL805" s="183"/>
    </row>
    <row r="806" spans="1:38">
      <c r="A806" s="188">
        <v>43146</v>
      </c>
      <c r="C806" s="4">
        <v>5.5750000000000001E-2</v>
      </c>
      <c r="D806" s="4">
        <v>78.636125000000007</v>
      </c>
      <c r="E806" s="4">
        <v>-0.25</v>
      </c>
      <c r="G806" s="4">
        <v>-3.1666666666699999</v>
      </c>
      <c r="I806" s="4">
        <v>-5.0327500000000001</v>
      </c>
      <c r="J806" s="4">
        <v>99.377375000000001</v>
      </c>
      <c r="M806" s="4">
        <v>-7.4796250000000004</v>
      </c>
      <c r="O806" s="4">
        <v>104.24025</v>
      </c>
      <c r="Q806" s="183"/>
      <c r="R806" s="183"/>
      <c r="S806" s="183"/>
      <c r="AJ806" s="183"/>
      <c r="AK806" s="183"/>
      <c r="AL806" s="183"/>
    </row>
    <row r="807" spans="1:38">
      <c r="A807" s="188">
        <v>43147</v>
      </c>
      <c r="C807" s="4">
        <v>0.49525000000000002</v>
      </c>
      <c r="D807" s="4">
        <v>82.461250000000007</v>
      </c>
      <c r="E807" s="4">
        <v>0.25</v>
      </c>
      <c r="G807" s="4">
        <v>-1.9166666666700001</v>
      </c>
      <c r="I807" s="4">
        <v>-3.084625</v>
      </c>
      <c r="J807" s="4">
        <v>102.15425</v>
      </c>
      <c r="M807" s="4">
        <v>-6.0977499999999996</v>
      </c>
      <c r="O807" s="4">
        <v>105.177375</v>
      </c>
      <c r="Q807" s="183"/>
      <c r="R807" s="183"/>
      <c r="S807" s="183"/>
      <c r="AJ807" s="183"/>
      <c r="AK807" s="183"/>
      <c r="AL807" s="183"/>
    </row>
    <row r="808" spans="1:38">
      <c r="A808" s="188">
        <v>43148</v>
      </c>
      <c r="C808" s="4">
        <v>0.55800000000000005</v>
      </c>
      <c r="D808" s="4">
        <v>84.690875000000005</v>
      </c>
      <c r="E808" s="4">
        <v>0.5</v>
      </c>
      <c r="G808" s="4">
        <v>-1.9166666666700001</v>
      </c>
      <c r="I808" s="4">
        <v>-3.0216249999999998</v>
      </c>
      <c r="J808" s="4">
        <v>105.455</v>
      </c>
      <c r="M808" s="4">
        <v>-5.5952500000000001</v>
      </c>
      <c r="O808" s="4">
        <v>105.66862500000001</v>
      </c>
      <c r="Q808" s="183"/>
      <c r="R808" s="183"/>
      <c r="S808" s="183"/>
      <c r="AJ808" s="183"/>
      <c r="AK808" s="183"/>
      <c r="AL808" s="183"/>
    </row>
    <row r="809" spans="1:38">
      <c r="A809" s="188">
        <v>43149</v>
      </c>
      <c r="C809" s="4">
        <v>-3.8388749999999998</v>
      </c>
      <c r="D809" s="4">
        <v>94.455250000000007</v>
      </c>
      <c r="E809" s="4">
        <v>-5.6666666666700003</v>
      </c>
      <c r="G809" s="4">
        <v>-8.75</v>
      </c>
      <c r="I809" s="4">
        <v>-10.314125000000001</v>
      </c>
      <c r="J809" s="4">
        <v>101.11262499999999</v>
      </c>
      <c r="M809" s="4">
        <v>-14.0185</v>
      </c>
      <c r="O809" s="4">
        <v>102.57275</v>
      </c>
      <c r="Q809" s="183"/>
      <c r="R809" s="183"/>
      <c r="S809" s="183"/>
      <c r="AJ809" s="183"/>
    </row>
    <row r="810" spans="1:38">
      <c r="A810" s="188">
        <v>43150</v>
      </c>
      <c r="C810" s="4">
        <v>-7.1068749999999996</v>
      </c>
      <c r="D810" s="4">
        <v>102.545</v>
      </c>
      <c r="E810" s="4">
        <v>-8.8333333333299997</v>
      </c>
      <c r="G810" s="4">
        <v>-11.75</v>
      </c>
      <c r="I810" s="4">
        <v>-13.208625</v>
      </c>
      <c r="J810" s="4">
        <v>93.852374999999995</v>
      </c>
      <c r="M810" s="4">
        <v>-15.590875</v>
      </c>
      <c r="O810" s="4">
        <v>102.180375</v>
      </c>
      <c r="Q810" s="183"/>
      <c r="R810" s="183"/>
      <c r="S810" s="183"/>
    </row>
    <row r="811" spans="1:38">
      <c r="A811" s="188">
        <v>43151</v>
      </c>
      <c r="C811" s="4">
        <v>-6.16425</v>
      </c>
      <c r="D811" s="4">
        <v>100.76287499999999</v>
      </c>
      <c r="E811" s="4">
        <v>-7.4166666666700003</v>
      </c>
      <c r="G811" s="4">
        <v>-9.9166666666700003</v>
      </c>
      <c r="I811" s="4">
        <v>-11.44725</v>
      </c>
      <c r="J811" s="4">
        <v>91.588374999999999</v>
      </c>
      <c r="M811" s="4">
        <v>-13.955375</v>
      </c>
      <c r="O811" s="4">
        <v>102.459875</v>
      </c>
      <c r="Q811" s="183"/>
      <c r="R811" s="183"/>
      <c r="S811" s="183"/>
    </row>
    <row r="812" spans="1:38">
      <c r="A812" s="188">
        <v>43152</v>
      </c>
      <c r="C812" s="4">
        <v>-6.5411250000000001</v>
      </c>
      <c r="D812" s="4">
        <v>101.146625</v>
      </c>
      <c r="E812" s="4">
        <v>-8</v>
      </c>
      <c r="G812" s="4">
        <v>-10.083333333300001</v>
      </c>
      <c r="I812" s="4">
        <v>-13.334625000000001</v>
      </c>
      <c r="J812" s="4">
        <v>90.064750000000004</v>
      </c>
      <c r="M812" s="4">
        <v>-14.3955</v>
      </c>
      <c r="O812" s="4">
        <v>102.57487500000001</v>
      </c>
      <c r="Q812" s="183"/>
      <c r="R812" s="183"/>
      <c r="S812" s="183"/>
    </row>
    <row r="813" spans="1:38">
      <c r="A813" s="188">
        <v>43153</v>
      </c>
      <c r="C813" s="4">
        <v>-6.5412499999999998</v>
      </c>
      <c r="D813" s="4">
        <v>101.388875</v>
      </c>
      <c r="E813" s="4">
        <v>-8.4166666666700003</v>
      </c>
      <c r="G813" s="4">
        <v>-10.083333333300001</v>
      </c>
      <c r="I813" s="4">
        <v>-11.824</v>
      </c>
      <c r="J813" s="4">
        <v>82.632625000000004</v>
      </c>
      <c r="M813" s="4">
        <v>-14.20675</v>
      </c>
      <c r="O813" s="4">
        <v>102.57425000000001</v>
      </c>
      <c r="Q813" s="183"/>
      <c r="R813" s="183"/>
      <c r="S813" s="183"/>
      <c r="AK813" s="183"/>
      <c r="AL813" s="183"/>
    </row>
    <row r="814" spans="1:38">
      <c r="A814" s="188">
        <v>43154</v>
      </c>
      <c r="C814" s="4">
        <v>-5.8497500000000002</v>
      </c>
      <c r="D814" s="4">
        <v>95.361625000000004</v>
      </c>
      <c r="E814" s="4">
        <v>-7</v>
      </c>
      <c r="G814" s="4">
        <v>-8.25</v>
      </c>
      <c r="I814" s="4">
        <v>-10.628625</v>
      </c>
      <c r="J814" s="4">
        <v>93.697999999999993</v>
      </c>
      <c r="M814" s="4">
        <v>-12.634625</v>
      </c>
      <c r="O814" s="4">
        <v>102.855375</v>
      </c>
      <c r="Q814" s="183"/>
      <c r="R814" s="183"/>
      <c r="S814" s="183"/>
      <c r="AJ814" s="183"/>
      <c r="AK814" s="183"/>
      <c r="AL814" s="183"/>
    </row>
    <row r="815" spans="1:38">
      <c r="A815" s="188">
        <v>43155</v>
      </c>
      <c r="C815" s="4">
        <v>-1.4515</v>
      </c>
      <c r="D815" s="4">
        <v>75.800124999999994</v>
      </c>
      <c r="E815" s="4">
        <v>-2</v>
      </c>
      <c r="G815" s="4">
        <v>-3.8333333333300001</v>
      </c>
      <c r="I815" s="4">
        <v>-4.9697500000000003</v>
      </c>
      <c r="J815" s="4">
        <v>104.053</v>
      </c>
      <c r="M815" s="4">
        <v>-8.0453749999999999</v>
      </c>
      <c r="O815" s="4">
        <v>104.51900000000001</v>
      </c>
      <c r="Q815" s="183"/>
      <c r="R815" s="183"/>
      <c r="S815" s="183"/>
      <c r="AJ815" s="183"/>
      <c r="AK815" s="183"/>
      <c r="AL815" s="183"/>
    </row>
    <row r="816" spans="1:38">
      <c r="A816" s="188">
        <v>43156</v>
      </c>
      <c r="C816" s="4">
        <v>-0.38387500000000002</v>
      </c>
      <c r="D816" s="4">
        <v>71.659750000000003</v>
      </c>
      <c r="E816" s="4">
        <v>-1.25</v>
      </c>
      <c r="G816" s="4">
        <v>-3.6666666666699999</v>
      </c>
      <c r="I816" s="4">
        <v>-5.4096250000000001</v>
      </c>
      <c r="J816" s="4">
        <v>102.843625</v>
      </c>
      <c r="M816" s="4">
        <v>-8.234</v>
      </c>
      <c r="O816" s="4">
        <v>104.574125</v>
      </c>
      <c r="Q816" s="183"/>
      <c r="R816" s="183"/>
      <c r="S816" s="183"/>
      <c r="AJ816" s="183"/>
      <c r="AK816" s="183"/>
      <c r="AL816" s="183"/>
    </row>
    <row r="817" spans="1:38">
      <c r="A817" s="188">
        <v>43157</v>
      </c>
      <c r="C817" s="4">
        <v>-0.88624999999999998</v>
      </c>
      <c r="D817" s="4">
        <v>73.694249999999997</v>
      </c>
      <c r="E817" s="4">
        <v>-1.5</v>
      </c>
      <c r="G817" s="4">
        <v>-4.5</v>
      </c>
      <c r="I817" s="4">
        <v>-6.2268749999999997</v>
      </c>
      <c r="J817" s="4">
        <v>101.22125</v>
      </c>
      <c r="M817" s="4">
        <v>-8.9252500000000001</v>
      </c>
      <c r="O817" s="4">
        <v>104.354</v>
      </c>
      <c r="Q817" s="183"/>
      <c r="R817" s="183"/>
      <c r="S817" s="183"/>
      <c r="AJ817" s="183"/>
    </row>
    <row r="818" spans="1:38">
      <c r="A818" s="188">
        <v>43158</v>
      </c>
      <c r="C818" s="4">
        <v>-0.13262499999999999</v>
      </c>
      <c r="D818" s="4">
        <v>70.610249999999994</v>
      </c>
      <c r="E818" s="4">
        <v>-0.83333333333299997</v>
      </c>
      <c r="G818" s="4">
        <v>-3</v>
      </c>
      <c r="I818" s="4">
        <v>-4.4666249999999996</v>
      </c>
      <c r="J818" s="4">
        <v>101.878125</v>
      </c>
      <c r="M818" s="4">
        <v>-7.2913750000000004</v>
      </c>
      <c r="O818" s="4">
        <v>104.9045</v>
      </c>
      <c r="Q818" s="183"/>
    </row>
    <row r="819" spans="1:38">
      <c r="A819" s="188">
        <v>43159</v>
      </c>
      <c r="C819" s="4">
        <v>0.55800000000000005</v>
      </c>
      <c r="D819" s="4">
        <v>73.893000000000001</v>
      </c>
      <c r="E819" s="4">
        <v>0</v>
      </c>
      <c r="G819" s="4">
        <v>-1.9166666666700001</v>
      </c>
      <c r="I819" s="4">
        <v>-3.2730000000000001</v>
      </c>
      <c r="J819" s="4">
        <v>103.022125</v>
      </c>
      <c r="M819" s="4">
        <v>-6.1604999999999999</v>
      </c>
      <c r="O819" s="4">
        <v>105.12275</v>
      </c>
      <c r="R819" s="183"/>
      <c r="S819" s="183"/>
    </row>
    <row r="820" spans="1:38">
      <c r="A820" s="188">
        <v>43160</v>
      </c>
      <c r="C820" s="4">
        <v>0.80900000000000005</v>
      </c>
      <c r="D820" s="4">
        <v>80.063500000000005</v>
      </c>
      <c r="E820" s="4">
        <v>0.41666666666699997</v>
      </c>
      <c r="G820" s="4">
        <v>-1.75</v>
      </c>
      <c r="I820" s="4">
        <v>-3.9016250000000001</v>
      </c>
      <c r="J820" s="4">
        <v>99.766999999999996</v>
      </c>
      <c r="M820" s="4">
        <v>-5.532375</v>
      </c>
      <c r="O820" s="4">
        <v>105.2325</v>
      </c>
      <c r="Q820" s="183"/>
      <c r="R820" s="183"/>
      <c r="S820" s="183"/>
    </row>
    <row r="821" spans="1:38">
      <c r="A821" s="188">
        <v>43161</v>
      </c>
      <c r="C821" s="4">
        <v>0.18137500000000001</v>
      </c>
      <c r="D821" s="4">
        <v>81.624250000000004</v>
      </c>
      <c r="E821" s="4">
        <v>-0.83333333333299997</v>
      </c>
      <c r="G821" s="4">
        <v>-3.1666666666699999</v>
      </c>
      <c r="I821" s="4">
        <v>-5.0952500000000001</v>
      </c>
      <c r="J821" s="4">
        <v>100.609875</v>
      </c>
      <c r="M821" s="4">
        <v>-6.9772499999999997</v>
      </c>
      <c r="O821" s="4">
        <v>105.06812499999999</v>
      </c>
      <c r="Q821" s="183"/>
      <c r="R821" s="183"/>
      <c r="S821" s="183"/>
    </row>
    <row r="822" spans="1:38">
      <c r="A822" s="188">
        <v>43162</v>
      </c>
      <c r="C822" s="4">
        <v>5.5750000000000001E-2</v>
      </c>
      <c r="D822" s="4">
        <v>73.52825</v>
      </c>
      <c r="E822" s="4">
        <v>-0.166666666667</v>
      </c>
      <c r="G822" s="4">
        <v>-2.1666666666699999</v>
      </c>
      <c r="I822" s="4">
        <v>-3.7763749999999998</v>
      </c>
      <c r="J822" s="4">
        <v>96.813874999999996</v>
      </c>
      <c r="M822" s="4">
        <v>-5.9722499999999998</v>
      </c>
      <c r="O822" s="4">
        <v>105.3385</v>
      </c>
      <c r="Q822" s="183"/>
      <c r="R822" s="183"/>
      <c r="S822" s="183"/>
    </row>
    <row r="823" spans="1:38">
      <c r="A823" s="188">
        <v>43163</v>
      </c>
      <c r="C823" s="4">
        <v>0.55812499999999998</v>
      </c>
      <c r="D823" s="4">
        <v>70.430000000000007</v>
      </c>
      <c r="E823" s="4">
        <v>0.25</v>
      </c>
      <c r="G823" s="4">
        <v>-2.5</v>
      </c>
      <c r="I823" s="4">
        <v>-3.147125</v>
      </c>
      <c r="J823" s="4">
        <v>100.363375</v>
      </c>
      <c r="M823" s="4">
        <v>-6.1606249999999996</v>
      </c>
      <c r="O823" s="4">
        <v>105.178375</v>
      </c>
      <c r="Q823" s="183"/>
      <c r="R823" s="183"/>
      <c r="S823" s="183"/>
    </row>
    <row r="824" spans="1:38">
      <c r="A824" s="188">
        <v>43164</v>
      </c>
      <c r="C824" s="4">
        <v>0.6835</v>
      </c>
      <c r="D824" s="4">
        <v>74.158749999999998</v>
      </c>
      <c r="E824" s="4">
        <v>0.166666666667</v>
      </c>
      <c r="G824" s="4">
        <v>-2.6666666666699999</v>
      </c>
      <c r="I824" s="4">
        <v>-3.7757499999999999</v>
      </c>
      <c r="J824" s="4">
        <v>99.218000000000004</v>
      </c>
      <c r="M824" s="4">
        <v>-6.8516250000000003</v>
      </c>
      <c r="O824" s="4">
        <v>105.014</v>
      </c>
      <c r="Q824" s="183"/>
      <c r="R824" s="183"/>
      <c r="S824" s="183"/>
    </row>
    <row r="825" spans="1:38">
      <c r="A825" s="188">
        <v>43165</v>
      </c>
      <c r="C825" s="4">
        <v>0.3695</v>
      </c>
      <c r="D825" s="4">
        <v>71.609624999999994</v>
      </c>
      <c r="E825" s="4">
        <v>-0.41666666666699997</v>
      </c>
      <c r="G825" s="4">
        <v>-3.0833333333300001</v>
      </c>
      <c r="I825" s="4">
        <v>-4.0277500000000002</v>
      </c>
      <c r="J825" s="4">
        <v>90.185000000000002</v>
      </c>
      <c r="M825" s="4">
        <v>-6.4118750000000002</v>
      </c>
      <c r="O825" s="4">
        <v>104.958625</v>
      </c>
      <c r="Q825" s="183"/>
      <c r="R825" s="183"/>
      <c r="S825" s="183"/>
      <c r="AK825" s="183"/>
      <c r="AL825" s="183"/>
    </row>
    <row r="826" spans="1:38">
      <c r="A826" s="188">
        <v>43166</v>
      </c>
      <c r="C826" s="4">
        <v>0.18112500000000001</v>
      </c>
      <c r="D826" s="4">
        <v>78.786749999999998</v>
      </c>
      <c r="E826" s="4">
        <v>-0.33333333333300003</v>
      </c>
      <c r="G826" s="4">
        <v>-0.5</v>
      </c>
      <c r="I826" s="4">
        <v>1.3727499999999999</v>
      </c>
      <c r="J826" s="4">
        <v>63.298124999999999</v>
      </c>
      <c r="M826" s="4">
        <v>-3.7113749999999999</v>
      </c>
      <c r="O826" s="4">
        <v>100.89937500000001</v>
      </c>
      <c r="Q826" s="183"/>
      <c r="R826" s="183"/>
      <c r="S826" s="183"/>
      <c r="AJ826" s="183"/>
      <c r="AK826" s="183"/>
      <c r="AL826" s="183"/>
    </row>
    <row r="827" spans="1:38">
      <c r="A827" s="188">
        <v>43167</v>
      </c>
      <c r="C827" s="4">
        <v>1.9390000000000001</v>
      </c>
      <c r="D827" s="4">
        <v>71.274625</v>
      </c>
      <c r="E827" s="4">
        <v>1.4166666666700001</v>
      </c>
      <c r="G827" s="4">
        <v>0.5</v>
      </c>
      <c r="I827" s="4">
        <v>0.43225000000000002</v>
      </c>
      <c r="J827" s="4">
        <v>102.668875</v>
      </c>
      <c r="M827" s="4">
        <v>-2.1416249999999999</v>
      </c>
      <c r="O827" s="4">
        <v>106.80625000000001</v>
      </c>
      <c r="Q827" s="183"/>
      <c r="R827" s="183"/>
      <c r="S827" s="183"/>
      <c r="AJ827" s="183"/>
      <c r="AK827" s="183"/>
      <c r="AL827" s="183"/>
    </row>
    <row r="828" spans="1:38">
      <c r="A828" s="188">
        <v>43168</v>
      </c>
      <c r="C828" s="4">
        <v>0.74624999999999997</v>
      </c>
      <c r="D828" s="4">
        <v>78.866249999999994</v>
      </c>
      <c r="E828" s="4">
        <v>0.5</v>
      </c>
      <c r="G828" s="4">
        <v>-1.9166666666700001</v>
      </c>
      <c r="I828" s="4">
        <v>-2.8966249999999998</v>
      </c>
      <c r="J828" s="4">
        <v>99.168000000000006</v>
      </c>
      <c r="M828" s="4">
        <v>-6.0977499999999996</v>
      </c>
      <c r="O828" s="4">
        <v>105.395875</v>
      </c>
      <c r="Q828" s="183"/>
      <c r="R828" s="183"/>
      <c r="S828" s="183"/>
      <c r="AJ828" s="183"/>
      <c r="AK828" s="183"/>
      <c r="AL828" s="183"/>
    </row>
    <row r="829" spans="1:38">
      <c r="A829" s="188">
        <v>43169</v>
      </c>
      <c r="C829" s="4">
        <v>0.68337499999999995</v>
      </c>
      <c r="D829" s="4">
        <v>70.081874999999997</v>
      </c>
      <c r="E829" s="4">
        <v>8.3333333333299994E-2</v>
      </c>
      <c r="G829" s="4">
        <v>-0.83333333333299997</v>
      </c>
      <c r="I829" s="4">
        <v>-1.8305</v>
      </c>
      <c r="J829" s="4">
        <v>88.216499999999996</v>
      </c>
      <c r="M829" s="4">
        <v>-4.1513749999999998</v>
      </c>
      <c r="O829" s="4">
        <v>100.596125</v>
      </c>
      <c r="Q829" s="183"/>
      <c r="R829" s="183"/>
      <c r="S829" s="183"/>
      <c r="AJ829" s="183"/>
    </row>
    <row r="830" spans="1:38">
      <c r="A830" s="188">
        <v>43170</v>
      </c>
      <c r="C830" s="4">
        <v>1.921</v>
      </c>
      <c r="D830" s="4">
        <v>71.615142857099997</v>
      </c>
      <c r="E830" s="4">
        <v>2</v>
      </c>
      <c r="G830" s="4">
        <v>4.2</v>
      </c>
      <c r="I830" s="4">
        <v>1.8472857142900001</v>
      </c>
      <c r="J830" s="4">
        <v>79.943714285699997</v>
      </c>
      <c r="M830" s="4">
        <v>-0.52771428571400003</v>
      </c>
      <c r="O830" s="4">
        <v>98.268142857100003</v>
      </c>
      <c r="Q830" s="183"/>
      <c r="R830" s="183"/>
      <c r="S830" s="183"/>
    </row>
    <row r="831" spans="1:38">
      <c r="A831" s="188">
        <v>43171</v>
      </c>
      <c r="C831" s="4">
        <v>3.2565</v>
      </c>
      <c r="D831" s="4">
        <v>90.824875000000006</v>
      </c>
      <c r="E831" s="4">
        <v>3.25</v>
      </c>
      <c r="G831" s="4">
        <v>6.75</v>
      </c>
      <c r="I831" s="4">
        <v>4.6985000000000001</v>
      </c>
      <c r="J831" s="4">
        <v>65.285124999999994</v>
      </c>
      <c r="M831" s="4">
        <v>0.99650000000000005</v>
      </c>
      <c r="O831" s="4">
        <v>93.954875000000001</v>
      </c>
      <c r="Q831" s="183"/>
      <c r="R831" s="183"/>
      <c r="S831" s="183"/>
    </row>
    <row r="832" spans="1:38">
      <c r="A832" s="188">
        <v>43172</v>
      </c>
      <c r="C832" s="4">
        <v>3.3198750000000001</v>
      </c>
      <c r="D832" s="4">
        <v>89.680374999999998</v>
      </c>
      <c r="E832" s="4">
        <v>3.6666666666699999</v>
      </c>
      <c r="G832" s="4">
        <v>5.9166666666700003</v>
      </c>
      <c r="I832" s="4">
        <v>4.2602500000000001</v>
      </c>
      <c r="J832" s="4">
        <v>76.058875</v>
      </c>
      <c r="M832" s="4">
        <v>0.80825000000000002</v>
      </c>
      <c r="O832" s="4">
        <v>96.825249999999997</v>
      </c>
      <c r="Q832" s="183"/>
      <c r="R832" s="183"/>
      <c r="S832" s="183"/>
    </row>
    <row r="833" spans="1:38">
      <c r="A833" s="188">
        <v>43173</v>
      </c>
      <c r="C833" s="4">
        <v>2.1902499999999998</v>
      </c>
      <c r="D833" s="4">
        <v>75.885374999999996</v>
      </c>
      <c r="E833" s="4">
        <v>1.9166666666700001</v>
      </c>
      <c r="G833" s="4">
        <v>0.66666666666700003</v>
      </c>
      <c r="I833" s="4">
        <v>-0.32100000000000001</v>
      </c>
      <c r="J833" s="4">
        <v>102.96299999999999</v>
      </c>
      <c r="M833" s="4">
        <v>-2.643875</v>
      </c>
      <c r="O833" s="4">
        <v>105.55</v>
      </c>
      <c r="Q833" s="183"/>
      <c r="R833" s="183"/>
      <c r="S833" s="183"/>
    </row>
    <row r="834" spans="1:38">
      <c r="A834" s="188">
        <v>43174</v>
      </c>
      <c r="C834" s="4">
        <v>1.248375</v>
      </c>
      <c r="D834" s="4">
        <v>72.955250000000007</v>
      </c>
      <c r="E834" s="4">
        <v>0.91666666666700003</v>
      </c>
      <c r="G834" s="4">
        <v>-0.66666666666700003</v>
      </c>
      <c r="I834" s="4">
        <v>-2.7717499999999999</v>
      </c>
      <c r="J834" s="4">
        <v>91.232249999999993</v>
      </c>
      <c r="M834" s="4">
        <v>-4.1511250000000004</v>
      </c>
      <c r="O834" s="4">
        <v>98.559124999999995</v>
      </c>
      <c r="Q834" s="183"/>
      <c r="R834" s="183"/>
      <c r="S834" s="183"/>
    </row>
    <row r="835" spans="1:38">
      <c r="A835" s="188">
        <v>43175</v>
      </c>
      <c r="C835" s="4">
        <v>1.93875</v>
      </c>
      <c r="D835" s="4">
        <v>70.663875000000004</v>
      </c>
      <c r="E835" s="4">
        <v>2.1666666666699999</v>
      </c>
      <c r="G835" s="4">
        <v>1.8333333333299999</v>
      </c>
      <c r="I835" s="4">
        <v>-0.51124999999999998</v>
      </c>
      <c r="J835" s="4">
        <v>83.463250000000002</v>
      </c>
      <c r="M835" s="4">
        <v>-2.2044999999999999</v>
      </c>
      <c r="O835" s="4">
        <v>94.8155</v>
      </c>
      <c r="Q835" s="183"/>
      <c r="R835" s="183"/>
      <c r="S835" s="183"/>
    </row>
    <row r="836" spans="1:38">
      <c r="A836" s="188">
        <v>43176</v>
      </c>
      <c r="C836" s="4">
        <v>2.3773749999999998</v>
      </c>
      <c r="D836" s="4">
        <v>78.986374999999995</v>
      </c>
      <c r="E836" s="4">
        <v>1.5</v>
      </c>
      <c r="G836" s="4">
        <v>0.66666666666700003</v>
      </c>
      <c r="I836" s="4">
        <v>-0.260125</v>
      </c>
      <c r="J836" s="4">
        <v>83.727625000000003</v>
      </c>
      <c r="M836" s="4">
        <v>-2.078875</v>
      </c>
      <c r="O836" s="4">
        <v>98.336124999999996</v>
      </c>
      <c r="Q836" s="183"/>
      <c r="R836" s="183"/>
      <c r="S836" s="183"/>
    </row>
    <row r="837" spans="1:38">
      <c r="A837" s="188">
        <v>43177</v>
      </c>
      <c r="C837" s="4">
        <v>2.81725</v>
      </c>
      <c r="D837" s="4">
        <v>74.149375000000006</v>
      </c>
      <c r="E837" s="4">
        <v>2</v>
      </c>
      <c r="G837" s="4">
        <v>0.41666666666699997</v>
      </c>
      <c r="I837" s="4">
        <v>-0.32124999999999998</v>
      </c>
      <c r="J837" s="4">
        <v>100.57474999999999</v>
      </c>
      <c r="M837" s="4">
        <v>-2.5185</v>
      </c>
      <c r="O837" s="4">
        <v>103.6955</v>
      </c>
      <c r="Q837" s="183"/>
      <c r="R837" s="183"/>
      <c r="S837" s="183"/>
      <c r="AK837" s="183"/>
      <c r="AL837" s="183"/>
    </row>
    <row r="838" spans="1:38">
      <c r="A838" s="188">
        <v>43178</v>
      </c>
      <c r="C838" s="4">
        <v>2.19</v>
      </c>
      <c r="D838" s="4">
        <v>71.918125000000003</v>
      </c>
      <c r="E838" s="4">
        <v>2</v>
      </c>
      <c r="G838" s="4">
        <v>0.25</v>
      </c>
      <c r="I838" s="4">
        <v>-0.69787500000000002</v>
      </c>
      <c r="J838" s="4">
        <v>99.004999999999995</v>
      </c>
      <c r="M838" s="4">
        <v>-3.58575</v>
      </c>
      <c r="O838" s="4">
        <v>103.665125</v>
      </c>
      <c r="Q838" s="183"/>
      <c r="R838" s="183"/>
      <c r="S838" s="183"/>
      <c r="AJ838" s="183"/>
      <c r="AK838" s="183"/>
      <c r="AL838" s="183"/>
    </row>
    <row r="839" spans="1:38">
      <c r="A839" s="188">
        <v>43179</v>
      </c>
      <c r="C839" s="4">
        <v>2.5665</v>
      </c>
      <c r="D839" s="4">
        <v>78.486999999999995</v>
      </c>
      <c r="E839" s="4">
        <v>2.5</v>
      </c>
      <c r="G839" s="4">
        <v>0.83333333333299997</v>
      </c>
      <c r="I839" s="4">
        <v>-0.25837500000000002</v>
      </c>
      <c r="J839" s="4">
        <v>95.141499999999994</v>
      </c>
      <c r="M839" s="4">
        <v>-3.6484999999999999</v>
      </c>
      <c r="O839" s="4">
        <v>104.18025</v>
      </c>
      <c r="Q839" s="183"/>
      <c r="R839" s="183"/>
      <c r="S839" s="183"/>
      <c r="AJ839" s="183"/>
      <c r="AK839" s="183"/>
      <c r="AL839" s="183"/>
    </row>
    <row r="840" spans="1:38">
      <c r="A840" s="188">
        <v>43180</v>
      </c>
      <c r="C840" s="4">
        <v>3.4446249999999998</v>
      </c>
      <c r="D840" s="4">
        <v>82.387124999999997</v>
      </c>
      <c r="E840" s="4">
        <v>3.3333333333300001</v>
      </c>
      <c r="G840" s="4">
        <v>3.3333333333300001</v>
      </c>
      <c r="I840" s="4">
        <v>2.88</v>
      </c>
      <c r="J840" s="4">
        <v>71.764250000000004</v>
      </c>
      <c r="M840" s="4">
        <v>-2.0161250000000002</v>
      </c>
      <c r="O840" s="4">
        <v>99.146874999999994</v>
      </c>
      <c r="Q840" s="183"/>
      <c r="R840" s="183"/>
      <c r="S840" s="183"/>
      <c r="AJ840" s="183"/>
      <c r="AK840" s="183"/>
      <c r="AL840" s="183"/>
    </row>
    <row r="841" spans="1:38">
      <c r="A841" s="188">
        <v>43181</v>
      </c>
      <c r="C841" s="4">
        <v>2.7548750000000002</v>
      </c>
      <c r="D841" s="4">
        <v>73.002750000000006</v>
      </c>
      <c r="E841" s="4">
        <v>2.1666666666699999</v>
      </c>
      <c r="G841" s="4">
        <v>1.1666666666700001</v>
      </c>
      <c r="I841" s="4">
        <v>0.24337500000000001</v>
      </c>
      <c r="J841" s="4">
        <v>95.523375000000001</v>
      </c>
      <c r="M841" s="4">
        <v>-2.7069999999999999</v>
      </c>
      <c r="O841" s="4">
        <v>104.84175</v>
      </c>
      <c r="Q841" s="183"/>
      <c r="R841" s="183"/>
      <c r="S841" s="183"/>
      <c r="AJ841" s="183"/>
      <c r="AK841" s="183"/>
      <c r="AL841" s="183"/>
    </row>
    <row r="842" spans="1:38">
      <c r="A842" s="188">
        <v>43182</v>
      </c>
      <c r="C842" s="4">
        <v>0.55800000000000005</v>
      </c>
      <c r="D842" s="4">
        <v>78.293125000000003</v>
      </c>
      <c r="E842" s="4">
        <v>0.25</v>
      </c>
      <c r="G842" s="4">
        <v>-2.5</v>
      </c>
      <c r="I842" s="4">
        <v>-4.0268750000000004</v>
      </c>
      <c r="J842" s="4">
        <v>98.684749999999994</v>
      </c>
      <c r="M842" s="4">
        <v>-7.2286250000000001</v>
      </c>
      <c r="O842" s="4">
        <v>104.629625</v>
      </c>
      <c r="Q842" s="183"/>
      <c r="R842" s="183"/>
      <c r="S842" s="183"/>
      <c r="AJ842" s="183"/>
      <c r="AK842" s="183"/>
      <c r="AL842" s="183"/>
    </row>
    <row r="843" spans="1:38">
      <c r="A843" s="188">
        <v>43183</v>
      </c>
      <c r="C843" s="4">
        <v>0.43237500000000001</v>
      </c>
      <c r="D843" s="4">
        <v>72.633125000000007</v>
      </c>
      <c r="E843" s="4">
        <v>-8.3333333333299994E-2</v>
      </c>
      <c r="G843" s="4">
        <v>-2.6666666666699999</v>
      </c>
      <c r="I843" s="4">
        <v>-4.4043749999999999</v>
      </c>
      <c r="J843" s="4">
        <v>96.660749999999993</v>
      </c>
      <c r="M843" s="4">
        <v>-6.7889999999999997</v>
      </c>
      <c r="O843" s="4">
        <v>102.83499999999999</v>
      </c>
      <c r="Q843" s="183"/>
      <c r="R843" s="183"/>
      <c r="S843" s="183"/>
      <c r="AJ843" s="183"/>
      <c r="AK843" s="183"/>
      <c r="AL843" s="183"/>
    </row>
    <row r="844" spans="1:38">
      <c r="A844" s="188">
        <v>43184</v>
      </c>
      <c r="C844" s="4">
        <v>-7.2500000000000004E-3</v>
      </c>
      <c r="D844" s="4">
        <v>70.876249999999999</v>
      </c>
      <c r="E844" s="4">
        <v>-1</v>
      </c>
      <c r="G844" s="4">
        <v>-3.0833333333300001</v>
      </c>
      <c r="I844" s="4">
        <v>-5.4106249999999996</v>
      </c>
      <c r="J844" s="4">
        <v>94.664249999999996</v>
      </c>
      <c r="M844" s="4">
        <v>-6.914625</v>
      </c>
      <c r="O844" s="4">
        <v>101.463875</v>
      </c>
      <c r="Q844" s="183"/>
      <c r="R844" s="183"/>
      <c r="S844" s="183"/>
      <c r="AJ844" s="183"/>
      <c r="AK844" s="183"/>
      <c r="AL844" s="183"/>
    </row>
    <row r="845" spans="1:38">
      <c r="A845" s="188">
        <v>43185</v>
      </c>
      <c r="C845" s="4">
        <v>1.1228750000000001</v>
      </c>
      <c r="D845" s="4">
        <v>65.234375</v>
      </c>
      <c r="E845" s="4">
        <v>0.66666666666700003</v>
      </c>
      <c r="G845" s="4">
        <v>-1.0833333333299999</v>
      </c>
      <c r="I845" s="4">
        <v>-2.2678750000000001</v>
      </c>
      <c r="J845" s="4">
        <v>101.065625</v>
      </c>
      <c r="M845" s="4">
        <v>-4.9046250000000002</v>
      </c>
      <c r="O845" s="4">
        <v>104.843125</v>
      </c>
      <c r="Q845" s="183"/>
      <c r="R845" s="183"/>
      <c r="S845" s="183"/>
      <c r="AJ845" s="183"/>
      <c r="AK845" s="183"/>
      <c r="AL845" s="183"/>
    </row>
    <row r="846" spans="1:38">
      <c r="A846" s="188">
        <v>43186</v>
      </c>
      <c r="C846" s="4">
        <v>2.3155000000000001</v>
      </c>
      <c r="D846" s="4">
        <v>74.338250000000002</v>
      </c>
      <c r="E846" s="4">
        <v>1.3333333333299999</v>
      </c>
      <c r="G846" s="4">
        <v>0.33333333333300003</v>
      </c>
      <c r="I846" s="4">
        <v>-0.32112499999999999</v>
      </c>
      <c r="J846" s="4">
        <v>102.667125</v>
      </c>
      <c r="M846" s="4">
        <v>-2.6437499999999998</v>
      </c>
      <c r="O846" s="4">
        <v>105.392375</v>
      </c>
      <c r="Q846" s="183"/>
      <c r="R846" s="183"/>
      <c r="S846" s="183"/>
      <c r="AJ846" s="183"/>
      <c r="AK846" s="183"/>
      <c r="AL846" s="183"/>
    </row>
    <row r="847" spans="1:38">
      <c r="A847" s="188">
        <v>43187</v>
      </c>
      <c r="C847" s="4">
        <v>3.2570000000000001</v>
      </c>
      <c r="D847" s="4">
        <v>75.336749999999995</v>
      </c>
      <c r="E847" s="4">
        <v>2.0833333333300001</v>
      </c>
      <c r="G847" s="4">
        <v>0.33333333333300003</v>
      </c>
      <c r="I847" s="4">
        <v>-0.50962499999999999</v>
      </c>
      <c r="J847" s="4">
        <v>99.361000000000004</v>
      </c>
      <c r="M847" s="4">
        <v>-3.1462500000000002</v>
      </c>
      <c r="O847" s="4">
        <v>102.979375</v>
      </c>
      <c r="Q847" s="183"/>
      <c r="R847" s="183"/>
      <c r="S847" s="183"/>
      <c r="AJ847" s="183"/>
      <c r="AK847" s="183"/>
      <c r="AL847" s="183"/>
    </row>
    <row r="848" spans="1:38">
      <c r="A848" s="188">
        <v>43188</v>
      </c>
      <c r="C848" s="4">
        <v>2.8803749999999999</v>
      </c>
      <c r="D848" s="4">
        <v>54.390625</v>
      </c>
      <c r="E848" s="4">
        <v>1.9166666666700001</v>
      </c>
      <c r="G848" s="4">
        <v>0.166666666667</v>
      </c>
      <c r="I848" s="4">
        <v>-0.82350000000000001</v>
      </c>
      <c r="J848" s="4">
        <v>100.54049999999999</v>
      </c>
      <c r="M848" s="4">
        <v>-3.6484999999999999</v>
      </c>
      <c r="O848" s="4">
        <v>104.28987499999999</v>
      </c>
      <c r="Q848" s="183"/>
      <c r="R848" s="183"/>
      <c r="S848" s="183"/>
      <c r="AJ848" s="183"/>
      <c r="AK848" s="183"/>
      <c r="AL848" s="183"/>
    </row>
    <row r="849" spans="1:38">
      <c r="A849" s="188">
        <v>43189</v>
      </c>
      <c r="C849" s="4">
        <v>4.2607499999999998</v>
      </c>
      <c r="D849" s="4">
        <v>59.278125000000003</v>
      </c>
      <c r="E849" s="4">
        <v>3.3333333333300001</v>
      </c>
      <c r="G849" s="4">
        <v>0.91666666666700003</v>
      </c>
      <c r="I849" s="4">
        <v>1.1853750000000001</v>
      </c>
      <c r="J849" s="4">
        <v>99.674250000000001</v>
      </c>
      <c r="M849" s="4">
        <v>-2.1416249999999999</v>
      </c>
      <c r="O849" s="4">
        <v>104.546375</v>
      </c>
      <c r="Q849" s="183"/>
      <c r="R849" s="183"/>
      <c r="S849" s="183"/>
      <c r="AJ849" s="183"/>
    </row>
    <row r="850" spans="1:38">
      <c r="A850" s="188">
        <v>43190</v>
      </c>
      <c r="C850" s="4">
        <v>3.4445000000000001</v>
      </c>
      <c r="D850" s="4">
        <v>70.484250000000003</v>
      </c>
      <c r="E850" s="4">
        <v>2.25</v>
      </c>
      <c r="G850" s="4">
        <v>1</v>
      </c>
      <c r="I850" s="4">
        <v>5.425E-2</v>
      </c>
      <c r="J850" s="4">
        <v>86.274625</v>
      </c>
      <c r="M850" s="4">
        <v>-3.0836250000000001</v>
      </c>
      <c r="O850" s="4">
        <v>97.825125</v>
      </c>
      <c r="Q850" s="183"/>
      <c r="R850" s="183"/>
      <c r="S850" s="183"/>
    </row>
    <row r="851" spans="1:38">
      <c r="A851" s="188">
        <v>43191</v>
      </c>
      <c r="C851" s="4">
        <v>1.37425</v>
      </c>
      <c r="D851" s="4">
        <v>67.751499999999993</v>
      </c>
      <c r="E851" s="4">
        <v>0.75</v>
      </c>
      <c r="G851" s="4">
        <v>-0.75</v>
      </c>
      <c r="I851" s="4">
        <v>-1.8912500000000001</v>
      </c>
      <c r="J851" s="4">
        <v>97.534374999999997</v>
      </c>
      <c r="M851" s="4">
        <v>-5.3442499999999997</v>
      </c>
      <c r="O851" s="4">
        <v>105.33625000000001</v>
      </c>
      <c r="Q851" s="183"/>
      <c r="R851" s="183"/>
      <c r="S851" s="183"/>
    </row>
    <row r="852" spans="1:38">
      <c r="A852" s="188">
        <v>43192</v>
      </c>
      <c r="C852" s="4">
        <v>0.43225000000000002</v>
      </c>
      <c r="D852" s="4">
        <v>66.544375000000002</v>
      </c>
      <c r="E852" s="4">
        <v>-0.25</v>
      </c>
      <c r="G852" s="4">
        <v>-2.6666666666699999</v>
      </c>
      <c r="I852" s="4">
        <v>-3.8387500000000001</v>
      </c>
      <c r="J852" s="4">
        <v>95.266874999999999</v>
      </c>
      <c r="M852" s="4">
        <v>-7.3543750000000001</v>
      </c>
      <c r="O852" s="4">
        <v>104.68237499999999</v>
      </c>
      <c r="Q852" s="183"/>
      <c r="R852" s="183"/>
      <c r="S852" s="183"/>
    </row>
    <row r="853" spans="1:38">
      <c r="A853" s="188">
        <v>43193</v>
      </c>
      <c r="C853" s="4">
        <v>1.0602499999999999</v>
      </c>
      <c r="D853" s="4">
        <v>71.590249999999997</v>
      </c>
      <c r="E853" s="4">
        <v>0.83333333333299997</v>
      </c>
      <c r="G853" s="4">
        <v>-1.5</v>
      </c>
      <c r="I853" s="4">
        <v>-2.7705000000000002</v>
      </c>
      <c r="J853" s="4">
        <v>97.497249999999994</v>
      </c>
      <c r="M853" s="4">
        <v>-6.3488749999999996</v>
      </c>
      <c r="O853" s="4">
        <v>105.014</v>
      </c>
      <c r="Q853" s="183"/>
      <c r="R853" s="183"/>
      <c r="S853" s="183"/>
      <c r="AK853" s="183"/>
      <c r="AL853" s="183"/>
    </row>
    <row r="854" spans="1:38">
      <c r="A854" s="188">
        <v>43194</v>
      </c>
      <c r="C854" s="4">
        <v>2.19</v>
      </c>
      <c r="D854" s="4">
        <v>67.577749999999995</v>
      </c>
      <c r="E854" s="4">
        <v>1.8333333333299999</v>
      </c>
      <c r="G854" s="4">
        <v>-0.25</v>
      </c>
      <c r="I854" s="4">
        <v>-0.82362500000000005</v>
      </c>
      <c r="J854" s="4">
        <v>95.746125000000006</v>
      </c>
      <c r="M854" s="4">
        <v>-4.3395000000000001</v>
      </c>
      <c r="O854" s="4">
        <v>105.5025</v>
      </c>
      <c r="Q854" s="183"/>
      <c r="R854" s="183"/>
      <c r="S854" s="183"/>
      <c r="AJ854" s="183"/>
      <c r="AK854" s="183"/>
      <c r="AL854" s="183"/>
    </row>
    <row r="855" spans="1:38">
      <c r="A855" s="188">
        <v>43195</v>
      </c>
      <c r="C855" s="4">
        <v>4.1352500000000001</v>
      </c>
      <c r="D855" s="4">
        <v>65.742999999999995</v>
      </c>
      <c r="E855" s="4">
        <v>3.75</v>
      </c>
      <c r="G855" s="4">
        <v>2.4166666666699999</v>
      </c>
      <c r="I855" s="4">
        <v>1.4368749999999999</v>
      </c>
      <c r="J855" s="4">
        <v>103.256625</v>
      </c>
      <c r="M855" s="4">
        <v>-0.94874999999999998</v>
      </c>
      <c r="O855" s="4">
        <v>106.80674999999999</v>
      </c>
      <c r="Q855" s="183"/>
      <c r="R855" s="183"/>
      <c r="S855" s="183"/>
      <c r="AJ855" s="183"/>
      <c r="AK855" s="183"/>
      <c r="AL855" s="183"/>
    </row>
    <row r="856" spans="1:38">
      <c r="A856" s="188">
        <v>43196</v>
      </c>
      <c r="C856" s="4">
        <v>6.2047499999999998</v>
      </c>
      <c r="D856" s="4">
        <v>59.302875</v>
      </c>
      <c r="E856" s="4">
        <v>5.5833333333299997</v>
      </c>
      <c r="G856" s="4">
        <v>4.4166666666700003</v>
      </c>
      <c r="I856" s="4">
        <v>3.695875</v>
      </c>
      <c r="J856" s="4">
        <v>102.64475</v>
      </c>
      <c r="M856" s="4">
        <v>0.871</v>
      </c>
      <c r="O856" s="4">
        <v>106.748875</v>
      </c>
      <c r="Q856" s="183"/>
      <c r="R856" s="183"/>
      <c r="S856" s="183"/>
      <c r="AJ856" s="183"/>
      <c r="AK856" s="183"/>
      <c r="AL856" s="183"/>
    </row>
    <row r="857" spans="1:38">
      <c r="A857" s="188">
        <v>43197</v>
      </c>
      <c r="C857" s="4">
        <v>5.4524999999999997</v>
      </c>
      <c r="D857" s="4">
        <v>47.463500000000003</v>
      </c>
      <c r="E857" s="4">
        <v>4.1666666666700003</v>
      </c>
      <c r="G857" s="4">
        <v>3.25</v>
      </c>
      <c r="I857" s="4">
        <v>2.2524999999999999</v>
      </c>
      <c r="J857" s="4">
        <v>99.087500000000006</v>
      </c>
      <c r="M857" s="4">
        <v>-0.13312499999999999</v>
      </c>
      <c r="O857" s="4">
        <v>104.3325</v>
      </c>
      <c r="Q857" s="183"/>
      <c r="R857" s="183"/>
      <c r="S857" s="183"/>
      <c r="AJ857" s="183"/>
      <c r="AK857" s="183"/>
      <c r="AL857" s="183"/>
    </row>
    <row r="858" spans="1:38">
      <c r="A858" s="188">
        <v>43198</v>
      </c>
      <c r="C858" s="4">
        <v>5.4524999999999997</v>
      </c>
      <c r="D858" s="4">
        <v>50.358874999999998</v>
      </c>
      <c r="E858" s="4">
        <v>4.4166666666700003</v>
      </c>
      <c r="G858" s="4">
        <v>2.1666666666699999</v>
      </c>
      <c r="I858" s="4">
        <v>0.99737500000000001</v>
      </c>
      <c r="J858" s="4">
        <v>102.583</v>
      </c>
      <c r="M858" s="4">
        <v>-1.82775</v>
      </c>
      <c r="O858" s="4">
        <v>106.699125</v>
      </c>
      <c r="Q858" s="183"/>
      <c r="R858" s="183"/>
      <c r="S858" s="183"/>
      <c r="AJ858" s="183"/>
      <c r="AK858" s="183"/>
      <c r="AL858" s="183"/>
    </row>
    <row r="859" spans="1:38">
      <c r="A859" s="188">
        <v>43199</v>
      </c>
      <c r="C859" s="4">
        <v>6.2677500000000004</v>
      </c>
      <c r="D859" s="4">
        <v>59.815750000000001</v>
      </c>
      <c r="E859" s="4">
        <v>5.0833333333299997</v>
      </c>
      <c r="G859" s="4">
        <v>4.0833333333299997</v>
      </c>
      <c r="I859" s="4">
        <v>3.444375</v>
      </c>
      <c r="J859" s="4">
        <v>88.052250000000001</v>
      </c>
      <c r="M859" s="4">
        <v>-0.63537500000000002</v>
      </c>
      <c r="O859" s="4">
        <v>101.99525</v>
      </c>
      <c r="Q859" s="183"/>
      <c r="R859" s="183"/>
      <c r="S859" s="183"/>
      <c r="AJ859" s="183"/>
      <c r="AK859" s="183"/>
      <c r="AL859" s="183"/>
    </row>
    <row r="860" spans="1:38">
      <c r="A860" s="188">
        <v>43200</v>
      </c>
      <c r="C860" s="4">
        <v>5.8914999999999997</v>
      </c>
      <c r="D860" s="4">
        <v>54.693125000000002</v>
      </c>
      <c r="E860" s="4">
        <v>4.6666666666700003</v>
      </c>
      <c r="G860" s="4">
        <v>4.8333333333299997</v>
      </c>
      <c r="I860" s="4">
        <v>4.1978749999999998</v>
      </c>
      <c r="J860" s="4">
        <v>83.331874999999997</v>
      </c>
      <c r="M860" s="4">
        <v>1.058875</v>
      </c>
      <c r="O860" s="4">
        <v>96.173374999999993</v>
      </c>
      <c r="Q860" s="183"/>
      <c r="R860" s="183"/>
      <c r="S860" s="183"/>
      <c r="AJ860" s="183"/>
      <c r="AK860" s="183"/>
      <c r="AL860" s="183"/>
    </row>
    <row r="861" spans="1:38">
      <c r="A861" s="188">
        <v>43201</v>
      </c>
      <c r="C861" s="4">
        <v>5.0134999999999996</v>
      </c>
      <c r="D861" s="4">
        <v>55.791499999999999</v>
      </c>
      <c r="E861" s="4">
        <v>3.9166666666699999</v>
      </c>
      <c r="G861" s="4">
        <v>1.8333333333299999</v>
      </c>
      <c r="I861" s="4">
        <v>0.93437499999999996</v>
      </c>
      <c r="J861" s="4">
        <v>97.001874999999998</v>
      </c>
      <c r="M861" s="4">
        <v>-2.5808749999999998</v>
      </c>
      <c r="O861" s="4">
        <v>106.69925000000001</v>
      </c>
      <c r="Q861" s="183"/>
      <c r="R861" s="183"/>
      <c r="S861" s="183"/>
      <c r="AJ861" s="183"/>
      <c r="AK861" s="183"/>
      <c r="AL861" s="183"/>
    </row>
    <row r="862" spans="1:38">
      <c r="A862" s="188">
        <v>43202</v>
      </c>
      <c r="C862" s="4">
        <v>3.4452500000000001</v>
      </c>
      <c r="D862" s="4">
        <v>61.166499999999999</v>
      </c>
      <c r="E862" s="4">
        <v>2.25</v>
      </c>
      <c r="G862" s="4">
        <v>-8.3333333333299994E-2</v>
      </c>
      <c r="I862" s="4">
        <v>-1.13775</v>
      </c>
      <c r="J862" s="4">
        <v>100.14225</v>
      </c>
      <c r="M862" s="4">
        <v>-3.8370000000000002</v>
      </c>
      <c r="O862" s="4">
        <v>105.45050000000001</v>
      </c>
      <c r="Q862" s="183"/>
      <c r="R862" s="183"/>
      <c r="S862" s="183"/>
      <c r="AJ862" s="183"/>
      <c r="AK862" s="183"/>
      <c r="AL862" s="183"/>
    </row>
    <row r="863" spans="1:38">
      <c r="A863" s="188">
        <v>43203</v>
      </c>
      <c r="C863" s="4">
        <v>3.9470000000000001</v>
      </c>
      <c r="D863" s="4">
        <v>48.287624999999998</v>
      </c>
      <c r="E863" s="4">
        <v>2.5833333333300001</v>
      </c>
      <c r="G863" s="4">
        <v>0.33333333333300003</v>
      </c>
      <c r="I863" s="4">
        <v>-0.69787500000000002</v>
      </c>
      <c r="J863" s="4">
        <v>103.42625</v>
      </c>
      <c r="M863" s="4">
        <v>-3.0833750000000002</v>
      </c>
      <c r="O863" s="4">
        <v>106.1045</v>
      </c>
      <c r="Q863" s="183"/>
      <c r="R863" s="183"/>
      <c r="S863" s="183"/>
      <c r="AJ863" s="183"/>
      <c r="AK863" s="183"/>
      <c r="AL863" s="183"/>
    </row>
    <row r="864" spans="1:38">
      <c r="A864" s="188">
        <v>43204</v>
      </c>
      <c r="C864" s="4">
        <v>4.5116250000000004</v>
      </c>
      <c r="D864" s="4">
        <v>53.329749999999997</v>
      </c>
      <c r="E864" s="4">
        <v>3.4166666666699999</v>
      </c>
      <c r="G864" s="4">
        <v>1</v>
      </c>
      <c r="I864" s="4">
        <v>0.62075000000000002</v>
      </c>
      <c r="J864" s="4">
        <v>104.086125</v>
      </c>
      <c r="M864" s="4">
        <v>-1.764875</v>
      </c>
      <c r="O864" s="4">
        <v>105.55437499999999</v>
      </c>
      <c r="Q864" s="183"/>
      <c r="R864" s="183"/>
      <c r="S864" s="183"/>
      <c r="AJ864" s="183"/>
      <c r="AK864" s="183"/>
      <c r="AL864" s="183"/>
    </row>
    <row r="865" spans="1:38">
      <c r="A865" s="188">
        <v>43205</v>
      </c>
      <c r="C865" s="4">
        <v>4.5739999999999998</v>
      </c>
      <c r="D865" s="4">
        <v>63.559750000000001</v>
      </c>
      <c r="E865" s="4">
        <v>3</v>
      </c>
      <c r="G865" s="4">
        <v>1.5833333333299999</v>
      </c>
      <c r="I865" s="4">
        <v>1.2481249999999999</v>
      </c>
      <c r="J865" s="4">
        <v>101.12824999999999</v>
      </c>
      <c r="M865" s="4">
        <v>-1.5767500000000001</v>
      </c>
      <c r="O865" s="4">
        <v>104.880875</v>
      </c>
      <c r="Q865" s="183"/>
      <c r="R865" s="183"/>
      <c r="S865" s="183"/>
      <c r="AJ865" s="183"/>
    </row>
    <row r="866" spans="1:38">
      <c r="A866" s="188">
        <v>43206</v>
      </c>
      <c r="C866" s="4">
        <v>4.1978749999999998</v>
      </c>
      <c r="D866" s="4">
        <v>53.246250000000003</v>
      </c>
      <c r="E866" s="4">
        <v>3.3333333333300001</v>
      </c>
      <c r="G866" s="4">
        <v>0.66666666666700003</v>
      </c>
      <c r="I866" s="4">
        <v>-0.57237499999999997</v>
      </c>
      <c r="J866" s="4">
        <v>103.17937499999999</v>
      </c>
      <c r="M866" s="4">
        <v>-2.895</v>
      </c>
      <c r="O866" s="4">
        <v>104.82025</v>
      </c>
      <c r="Q866" s="183"/>
      <c r="R866" s="183"/>
      <c r="S866" s="183"/>
    </row>
    <row r="867" spans="1:38">
      <c r="A867" s="188">
        <v>43207</v>
      </c>
      <c r="C867" s="4">
        <v>3.194</v>
      </c>
      <c r="D867" s="4">
        <v>59.076374999999999</v>
      </c>
      <c r="E867" s="4">
        <v>2.1666666666699999</v>
      </c>
      <c r="G867" s="4">
        <v>8.3333333333299994E-2</v>
      </c>
      <c r="I867" s="4">
        <v>-0.63549999999999995</v>
      </c>
      <c r="J867" s="4">
        <v>98.552875</v>
      </c>
      <c r="M867" s="4">
        <v>-4.0252499999999998</v>
      </c>
      <c r="O867" s="4">
        <v>103.71550000000001</v>
      </c>
      <c r="Q867" s="183"/>
      <c r="R867" s="183"/>
      <c r="S867" s="183"/>
    </row>
    <row r="868" spans="1:38">
      <c r="A868" s="188">
        <v>43208</v>
      </c>
      <c r="C868" s="4">
        <v>4.5113750000000001</v>
      </c>
      <c r="D868" s="4">
        <v>58.74</v>
      </c>
      <c r="E868" s="4">
        <v>3</v>
      </c>
      <c r="G868" s="4">
        <v>1.25</v>
      </c>
      <c r="I868" s="4">
        <v>0.11762499999999999</v>
      </c>
      <c r="J868" s="4">
        <v>93.635750000000002</v>
      </c>
      <c r="M868" s="4">
        <v>-3.2090000000000001</v>
      </c>
      <c r="O868" s="4">
        <v>102.59524999999999</v>
      </c>
      <c r="Q868" s="183"/>
      <c r="R868" s="183"/>
      <c r="S868" s="183"/>
    </row>
    <row r="869" spans="1:38">
      <c r="A869" s="188">
        <v>43209</v>
      </c>
      <c r="C869" s="4">
        <v>5.0751249999999999</v>
      </c>
      <c r="D869" s="4">
        <v>71.461124999999996</v>
      </c>
      <c r="E869" s="4">
        <v>3.6666666666699999</v>
      </c>
      <c r="G869" s="4">
        <v>3.4166666666699999</v>
      </c>
      <c r="I869" s="4">
        <v>1.74875</v>
      </c>
      <c r="J869" s="4">
        <v>84.230874999999997</v>
      </c>
      <c r="M869" s="4">
        <v>-1.0746249999999999</v>
      </c>
      <c r="O869" s="4">
        <v>102.543125</v>
      </c>
      <c r="Q869" s="183"/>
      <c r="R869" s="183"/>
      <c r="S869" s="183"/>
    </row>
    <row r="870" spans="1:38">
      <c r="A870" s="188">
        <v>43210</v>
      </c>
      <c r="C870" s="4">
        <v>6.5182500000000001</v>
      </c>
      <c r="D870" s="4">
        <v>81.211875000000006</v>
      </c>
      <c r="E870" s="4">
        <v>5.1666666666700003</v>
      </c>
      <c r="G870" s="4">
        <v>4</v>
      </c>
      <c r="I870" s="4">
        <v>2.6287500000000001</v>
      </c>
      <c r="J870" s="4">
        <v>81.887249999999995</v>
      </c>
      <c r="M870" s="4">
        <v>-1.70225</v>
      </c>
      <c r="O870" s="4">
        <v>103.5625</v>
      </c>
      <c r="Q870" s="183"/>
      <c r="R870" s="183"/>
      <c r="S870" s="183"/>
    </row>
    <row r="871" spans="1:38">
      <c r="A871" s="188">
        <v>43211</v>
      </c>
      <c r="C871" s="4">
        <v>5.5151250000000003</v>
      </c>
      <c r="D871" s="4">
        <v>66.668000000000006</v>
      </c>
      <c r="E871" s="4">
        <v>3.6666666666699999</v>
      </c>
      <c r="G871" s="4">
        <v>0.66666666666700003</v>
      </c>
      <c r="I871" s="4">
        <v>-7.3749999999999996E-3</v>
      </c>
      <c r="J871" s="4">
        <v>98.112250000000003</v>
      </c>
      <c r="M871" s="4">
        <v>-3.2716249999999998</v>
      </c>
      <c r="O871" s="4">
        <v>104.32062500000001</v>
      </c>
      <c r="Q871" s="183"/>
      <c r="R871" s="183"/>
      <c r="S871" s="183"/>
    </row>
    <row r="872" spans="1:38">
      <c r="A872" s="188">
        <v>43212</v>
      </c>
      <c r="C872" s="4">
        <v>5.6395</v>
      </c>
      <c r="D872" s="4">
        <v>72.857875000000007</v>
      </c>
      <c r="E872" s="4">
        <v>4.1666666666700003</v>
      </c>
      <c r="G872" s="4">
        <v>1.8333333333299999</v>
      </c>
      <c r="I872" s="4">
        <v>1.434625</v>
      </c>
      <c r="J872" s="4">
        <v>82.712874999999997</v>
      </c>
      <c r="M872" s="4">
        <v>-2.5812499999999998</v>
      </c>
      <c r="O872" s="4">
        <v>99.999250000000004</v>
      </c>
      <c r="Q872" s="183"/>
      <c r="R872" s="183"/>
      <c r="S872" s="183"/>
    </row>
    <row r="873" spans="1:38">
      <c r="A873" s="188">
        <v>43213</v>
      </c>
      <c r="C873" s="4">
        <v>7.7703749999999996</v>
      </c>
      <c r="D873" s="4">
        <v>75.765749999999997</v>
      </c>
      <c r="E873" s="4">
        <v>5.9166666666700003</v>
      </c>
      <c r="G873" s="4">
        <v>6.5</v>
      </c>
      <c r="I873" s="4">
        <v>4.1959999999999997</v>
      </c>
      <c r="J873" s="4">
        <v>61.674875</v>
      </c>
      <c r="M873" s="4">
        <v>0.36825000000000002</v>
      </c>
      <c r="O873" s="4">
        <v>81.232749999999996</v>
      </c>
      <c r="Q873" s="183"/>
      <c r="R873" s="183"/>
      <c r="S873" s="183"/>
      <c r="AK873" s="183"/>
      <c r="AL873" s="183"/>
    </row>
    <row r="874" spans="1:38">
      <c r="A874" s="188">
        <v>43214</v>
      </c>
      <c r="C874" s="4">
        <v>9.9012499999999992</v>
      </c>
      <c r="D874" s="4">
        <v>74.622375000000005</v>
      </c>
      <c r="E874" s="4">
        <v>8.1666666666700003</v>
      </c>
      <c r="G874" s="4">
        <v>10.583333333300001</v>
      </c>
      <c r="I874" s="4">
        <v>6.7054999999999998</v>
      </c>
      <c r="J874" s="4">
        <v>55.262374999999999</v>
      </c>
      <c r="M874" s="4">
        <v>6.5149999999999997</v>
      </c>
      <c r="O874" s="4">
        <v>47.292999999999999</v>
      </c>
      <c r="Q874" s="183"/>
      <c r="R874" s="183"/>
      <c r="S874" s="183"/>
      <c r="AJ874" s="183"/>
      <c r="AK874" s="183"/>
      <c r="AL874" s="183"/>
    </row>
    <row r="875" spans="1:38">
      <c r="A875" s="188">
        <v>43215</v>
      </c>
      <c r="C875" s="4">
        <v>11.406124999999999</v>
      </c>
      <c r="D875" s="4">
        <v>71.383624999999995</v>
      </c>
      <c r="E875" s="4">
        <v>9.5833333333299997</v>
      </c>
      <c r="G875" s="4">
        <v>11.083333333300001</v>
      </c>
      <c r="I875" s="4">
        <v>7.5213749999999999</v>
      </c>
      <c r="J875" s="4">
        <v>61.216124999999998</v>
      </c>
      <c r="M875" s="4">
        <v>8.2701250000000002</v>
      </c>
      <c r="O875" s="4">
        <v>47.542499999999997</v>
      </c>
      <c r="Q875" s="183"/>
      <c r="R875" s="183"/>
      <c r="S875" s="183"/>
      <c r="AJ875" s="183"/>
      <c r="AK875" s="183"/>
      <c r="AL875" s="183"/>
    </row>
    <row r="876" spans="1:38">
      <c r="A876" s="188">
        <v>43216</v>
      </c>
      <c r="C876" s="4">
        <v>13.096500000000001</v>
      </c>
      <c r="D876" s="4">
        <v>66.604249999999993</v>
      </c>
      <c r="E876" s="4">
        <v>10.916666666699999</v>
      </c>
      <c r="G876" s="4">
        <v>13.75</v>
      </c>
      <c r="I876" s="4">
        <v>8.4614999999999991</v>
      </c>
      <c r="J876" s="4">
        <v>55.453375000000001</v>
      </c>
      <c r="M876" s="4">
        <v>12.467750000000001</v>
      </c>
      <c r="O876" s="4">
        <v>29.361750000000001</v>
      </c>
      <c r="Q876" s="183"/>
      <c r="R876" s="183"/>
      <c r="S876" s="183"/>
      <c r="AJ876" s="183"/>
      <c r="AK876" s="183"/>
      <c r="AL876" s="183"/>
    </row>
    <row r="877" spans="1:38">
      <c r="A877" s="188">
        <v>43217</v>
      </c>
      <c r="C877" s="4">
        <v>12.785</v>
      </c>
      <c r="D877" s="4">
        <v>69.184875000000005</v>
      </c>
      <c r="E877" s="4">
        <v>10.75</v>
      </c>
      <c r="G877" s="4">
        <v>12.25</v>
      </c>
      <c r="I877" s="4">
        <v>8.0228750000000009</v>
      </c>
      <c r="J877" s="4">
        <v>66.131625</v>
      </c>
      <c r="M877" s="4">
        <v>11.213374999999999</v>
      </c>
      <c r="O877" s="4">
        <v>43.603124999999999</v>
      </c>
      <c r="Q877" s="183"/>
      <c r="R877" s="183"/>
      <c r="S877" s="183"/>
      <c r="AJ877" s="183"/>
      <c r="AK877" s="183"/>
      <c r="AL877" s="183"/>
    </row>
    <row r="878" spans="1:38">
      <c r="A878" s="188">
        <v>43218</v>
      </c>
      <c r="C878" s="4">
        <v>7.9610000000000003</v>
      </c>
      <c r="D878" s="4">
        <v>46.469124999999998</v>
      </c>
      <c r="E878" s="4">
        <v>7.5</v>
      </c>
      <c r="G878" s="4">
        <v>3.9166666666699999</v>
      </c>
      <c r="I878" s="4">
        <v>2.1273749999999998</v>
      </c>
      <c r="J878" s="4">
        <v>103.85787500000001</v>
      </c>
      <c r="M878" s="4">
        <v>5.525E-2</v>
      </c>
      <c r="O878" s="4">
        <v>107.399125</v>
      </c>
      <c r="Q878" s="183"/>
      <c r="R878" s="183"/>
      <c r="S878" s="183"/>
      <c r="AJ878" s="183"/>
      <c r="AK878" s="183"/>
      <c r="AL878" s="183"/>
    </row>
    <row r="879" spans="1:38">
      <c r="A879" s="188">
        <v>43219</v>
      </c>
      <c r="C879" s="4">
        <v>7.3968749999999996</v>
      </c>
      <c r="D879" s="4">
        <v>55.645000000000003</v>
      </c>
      <c r="E879" s="4">
        <v>6</v>
      </c>
      <c r="G879" s="4">
        <v>2.8333333333300001</v>
      </c>
      <c r="I879" s="4">
        <v>2.0642499999999999</v>
      </c>
      <c r="J879" s="4">
        <v>101.59587500000001</v>
      </c>
      <c r="M879" s="4">
        <v>-0.57225000000000004</v>
      </c>
      <c r="O879" s="4">
        <v>106.91312499999999</v>
      </c>
      <c r="Q879" s="183"/>
      <c r="R879" s="183"/>
      <c r="S879" s="183"/>
      <c r="AJ879" s="183"/>
      <c r="AK879" s="183"/>
      <c r="AL879" s="183"/>
    </row>
    <row r="880" spans="1:38">
      <c r="A880" s="188">
        <v>43220</v>
      </c>
      <c r="C880" s="4">
        <v>7.5222499999999997</v>
      </c>
      <c r="D880" s="4">
        <v>54.283124999999998</v>
      </c>
      <c r="E880" s="4">
        <v>6.5</v>
      </c>
      <c r="G880" s="4">
        <v>3.5</v>
      </c>
      <c r="I880" s="4">
        <v>2.6917499999999999</v>
      </c>
      <c r="J880" s="4">
        <v>100.4295</v>
      </c>
      <c r="M880" s="4">
        <v>0.24349999999999999</v>
      </c>
      <c r="O880" s="4">
        <v>107.019125</v>
      </c>
      <c r="Q880" s="183"/>
      <c r="R880" s="183"/>
      <c r="S880" s="183"/>
      <c r="AJ880" s="183"/>
      <c r="AK880" s="183"/>
      <c r="AL880" s="183"/>
    </row>
    <row r="881" spans="1:38">
      <c r="A881" s="188">
        <v>43221</v>
      </c>
      <c r="C881" s="4">
        <v>9.1516249999999992</v>
      </c>
      <c r="D881" s="4">
        <v>58.15325</v>
      </c>
      <c r="E881" s="4">
        <v>7.6666666666700003</v>
      </c>
      <c r="G881" s="4">
        <v>4.75</v>
      </c>
      <c r="I881" s="4">
        <v>4.5732499999999998</v>
      </c>
      <c r="J881" s="4">
        <v>92.877750000000006</v>
      </c>
      <c r="M881" s="4">
        <v>1.5607500000000001</v>
      </c>
      <c r="O881" s="4">
        <v>103.79675</v>
      </c>
      <c r="Q881" s="183"/>
      <c r="R881" s="183"/>
      <c r="S881" s="183"/>
      <c r="AJ881" s="183"/>
      <c r="AK881" s="183"/>
      <c r="AL881" s="183"/>
    </row>
    <row r="882" spans="1:38">
      <c r="A882" s="188">
        <v>43222</v>
      </c>
      <c r="C882" s="4">
        <v>10.153124999999999</v>
      </c>
      <c r="D882" s="4">
        <v>70.757999999999996</v>
      </c>
      <c r="E882" s="4">
        <v>8.1666666666700003</v>
      </c>
      <c r="G882" s="4">
        <v>7.1666666666700003</v>
      </c>
      <c r="I882" s="4">
        <v>6.0153749999999997</v>
      </c>
      <c r="J882" s="4">
        <v>87.476624999999999</v>
      </c>
      <c r="M882" s="4">
        <v>4.7595000000000001</v>
      </c>
      <c r="O882" s="4">
        <v>91.184375000000003</v>
      </c>
      <c r="Q882" s="183"/>
      <c r="R882" s="183"/>
      <c r="S882" s="183"/>
      <c r="AJ882" s="183"/>
      <c r="AK882" s="183"/>
      <c r="AL882" s="183"/>
    </row>
    <row r="883" spans="1:38">
      <c r="A883" s="188">
        <v>43223</v>
      </c>
      <c r="C883" s="4">
        <v>12.220124999999999</v>
      </c>
      <c r="D883" s="4">
        <v>73.829250000000002</v>
      </c>
      <c r="E883" s="4">
        <v>10.333333333300001</v>
      </c>
      <c r="G883" s="4">
        <v>9.6666666666700003</v>
      </c>
      <c r="I883" s="4">
        <v>7.6464999999999996</v>
      </c>
      <c r="J883" s="4">
        <v>84.326125000000005</v>
      </c>
      <c r="M883" s="4">
        <v>7.3298750000000004</v>
      </c>
      <c r="O883" s="4">
        <v>86.582999999999998</v>
      </c>
      <c r="Q883" s="183"/>
      <c r="R883" s="183"/>
      <c r="S883" s="183"/>
      <c r="AJ883" s="183"/>
      <c r="AK883" s="183"/>
      <c r="AL883" s="183"/>
    </row>
    <row r="884" spans="1:38">
      <c r="A884" s="188">
        <v>43224</v>
      </c>
      <c r="C884" s="4">
        <v>10.343</v>
      </c>
      <c r="D884" s="4">
        <v>83.330500000000001</v>
      </c>
      <c r="E884" s="4">
        <v>9.5833333333299997</v>
      </c>
      <c r="G884" s="4">
        <v>7.4166666666700003</v>
      </c>
      <c r="I884" s="4">
        <v>5.7033750000000003</v>
      </c>
      <c r="J884" s="4">
        <v>94.490750000000006</v>
      </c>
      <c r="M884" s="4">
        <v>3.25475</v>
      </c>
      <c r="O884" s="4">
        <v>105.825875</v>
      </c>
      <c r="Q884" s="183"/>
      <c r="R884" s="183"/>
      <c r="S884" s="183"/>
      <c r="AJ884" s="183"/>
      <c r="AK884" s="183"/>
      <c r="AL884" s="183"/>
    </row>
    <row r="885" spans="1:38">
      <c r="A885" s="188">
        <v>43225</v>
      </c>
      <c r="C885" s="4">
        <v>11.781750000000001</v>
      </c>
      <c r="D885" s="4">
        <v>71.712625000000003</v>
      </c>
      <c r="E885" s="4">
        <v>10.333333333300001</v>
      </c>
      <c r="G885" s="4">
        <v>9.4166666666700003</v>
      </c>
      <c r="I885" s="4">
        <v>7.0193750000000001</v>
      </c>
      <c r="J885" s="4">
        <v>80.500249999999994</v>
      </c>
      <c r="M885" s="4">
        <v>7.2670000000000003</v>
      </c>
      <c r="O885" s="4">
        <v>79.516125000000002</v>
      </c>
      <c r="Q885" s="183"/>
      <c r="R885" s="183"/>
      <c r="S885" s="183"/>
      <c r="AJ885" s="183"/>
      <c r="AK885" s="183"/>
      <c r="AL885" s="183"/>
    </row>
    <row r="886" spans="1:38">
      <c r="A886" s="188">
        <v>43226</v>
      </c>
      <c r="C886" s="4">
        <v>13.850625000000001</v>
      </c>
      <c r="D886" s="4">
        <v>84.595375000000004</v>
      </c>
      <c r="E886" s="4">
        <v>13.916666666699999</v>
      </c>
      <c r="G886" s="4">
        <v>12.833333333300001</v>
      </c>
      <c r="I886" s="4">
        <v>8.2738750000000003</v>
      </c>
      <c r="J886" s="4">
        <v>78.655124999999998</v>
      </c>
      <c r="M886" s="4">
        <v>9.3985000000000003</v>
      </c>
      <c r="O886" s="4">
        <v>76.294250000000005</v>
      </c>
      <c r="Q886" s="183"/>
      <c r="R886" s="183"/>
      <c r="S886" s="183"/>
      <c r="AJ886" s="183"/>
      <c r="AK886" s="183"/>
      <c r="AL886" s="183"/>
    </row>
    <row r="887" spans="1:38">
      <c r="A887" s="188">
        <v>43227</v>
      </c>
      <c r="C887" s="4">
        <v>14.038125000000001</v>
      </c>
      <c r="D887" s="4">
        <v>80.302999999999997</v>
      </c>
      <c r="E887" s="4">
        <v>12.5</v>
      </c>
      <c r="G887" s="4">
        <v>11.333333333300001</v>
      </c>
      <c r="I887" s="4">
        <v>7.7718749999999996</v>
      </c>
      <c r="J887" s="4">
        <v>88.041124999999994</v>
      </c>
      <c r="M887" s="4">
        <v>8.7087500000000002</v>
      </c>
      <c r="O887" s="4">
        <v>93.141750000000002</v>
      </c>
      <c r="Q887" s="183"/>
      <c r="R887" s="183"/>
      <c r="S887" s="183"/>
      <c r="AJ887" s="183"/>
      <c r="AK887" s="183"/>
      <c r="AL887" s="183"/>
    </row>
    <row r="888" spans="1:38">
      <c r="A888" s="188">
        <v>43228</v>
      </c>
      <c r="C888" s="4">
        <v>14.97575</v>
      </c>
      <c r="D888" s="4">
        <v>69.725250000000003</v>
      </c>
      <c r="E888" s="4">
        <v>13.583333333300001</v>
      </c>
      <c r="G888" s="4">
        <v>12.75</v>
      </c>
      <c r="I888" s="4">
        <v>8.6487499999999997</v>
      </c>
      <c r="J888" s="4">
        <v>77.724249999999998</v>
      </c>
      <c r="M888" s="4">
        <v>9.7739999999999991</v>
      </c>
      <c r="O888" s="4">
        <v>70.993250000000003</v>
      </c>
      <c r="Q888" s="183"/>
      <c r="R888" s="183"/>
      <c r="S888" s="183"/>
      <c r="AJ888" s="183"/>
      <c r="AK888" s="183"/>
      <c r="AL888" s="183"/>
    </row>
    <row r="889" spans="1:38">
      <c r="A889" s="188">
        <v>43229</v>
      </c>
      <c r="C889" s="4">
        <v>11.5335</v>
      </c>
      <c r="D889" s="4">
        <v>45.871499999999997</v>
      </c>
      <c r="E889" s="4">
        <v>11</v>
      </c>
      <c r="G889" s="4">
        <v>8.1666666666700003</v>
      </c>
      <c r="I889" s="4">
        <v>5.7035</v>
      </c>
      <c r="J889" s="4">
        <v>97.850750000000005</v>
      </c>
      <c r="M889" s="4">
        <v>3.4428749999999999</v>
      </c>
      <c r="O889" s="4">
        <v>106.643125</v>
      </c>
      <c r="Q889" s="183"/>
      <c r="R889" s="183"/>
      <c r="S889" s="183"/>
      <c r="AJ889" s="183"/>
      <c r="AK889" s="183"/>
      <c r="AL889" s="183"/>
    </row>
    <row r="890" spans="1:38">
      <c r="A890" s="188">
        <v>43230</v>
      </c>
      <c r="C890" s="4">
        <v>8.5879999999999992</v>
      </c>
      <c r="D890" s="4">
        <v>49.292875000000002</v>
      </c>
      <c r="E890" s="4">
        <v>7.6666666666700003</v>
      </c>
      <c r="G890" s="4">
        <v>4.3333333333299997</v>
      </c>
      <c r="I890" s="4">
        <v>3.3823750000000001</v>
      </c>
      <c r="J890" s="4">
        <v>99.068875000000006</v>
      </c>
      <c r="M890" s="4">
        <v>0.36899999999999999</v>
      </c>
      <c r="O890" s="4">
        <v>107.505375</v>
      </c>
      <c r="Q890" s="183"/>
      <c r="R890" s="183"/>
      <c r="S890" s="183"/>
      <c r="AJ890" s="183"/>
      <c r="AK890" s="183"/>
      <c r="AL890" s="183"/>
    </row>
    <row r="891" spans="1:38">
      <c r="A891" s="188">
        <v>43231</v>
      </c>
      <c r="C891" s="4">
        <v>11.594875</v>
      </c>
      <c r="D891" s="4">
        <v>59.094000000000001</v>
      </c>
      <c r="E891" s="4">
        <v>10.583333333300001</v>
      </c>
      <c r="G891" s="4">
        <v>6.9166666666700003</v>
      </c>
      <c r="I891" s="4">
        <v>5.9528749999999997</v>
      </c>
      <c r="J891" s="4">
        <v>91.968874999999997</v>
      </c>
      <c r="M891" s="4">
        <v>4.1321250000000003</v>
      </c>
      <c r="O891" s="4">
        <v>96.64425</v>
      </c>
      <c r="Q891" s="183"/>
      <c r="R891" s="183"/>
      <c r="S891" s="183"/>
      <c r="AJ891" s="183"/>
      <c r="AK891" s="183"/>
      <c r="AL891" s="183"/>
    </row>
    <row r="892" spans="1:38">
      <c r="A892" s="188">
        <v>43232</v>
      </c>
      <c r="C892" s="4">
        <v>14.2865</v>
      </c>
      <c r="D892" s="4">
        <v>72.254374999999996</v>
      </c>
      <c r="E892" s="4">
        <v>12.416666666699999</v>
      </c>
      <c r="G892" s="4">
        <v>11.916666666699999</v>
      </c>
      <c r="I892" s="4">
        <v>9.4623749999999998</v>
      </c>
      <c r="J892" s="4">
        <v>72.215999999999994</v>
      </c>
      <c r="M892" s="4">
        <v>10.462999999999999</v>
      </c>
      <c r="O892" s="4">
        <v>62.715625000000003</v>
      </c>
      <c r="Q892" s="183"/>
      <c r="R892" s="183"/>
      <c r="S892" s="183"/>
      <c r="AJ892" s="183"/>
      <c r="AK892" s="183"/>
      <c r="AL892" s="183"/>
    </row>
    <row r="893" spans="1:38">
      <c r="A893" s="188">
        <v>43233</v>
      </c>
      <c r="C893" s="4">
        <v>16.290500000000002</v>
      </c>
      <c r="D893" s="4">
        <v>71.391374999999996</v>
      </c>
      <c r="E893" s="4">
        <v>15.083333333300001</v>
      </c>
      <c r="G893" s="4">
        <v>16.416666666699999</v>
      </c>
      <c r="I893" s="4">
        <v>10.27875</v>
      </c>
      <c r="J893" s="4">
        <v>60.607125000000003</v>
      </c>
      <c r="M893" s="4">
        <v>13.407</v>
      </c>
      <c r="O893" s="4">
        <v>41.223125000000003</v>
      </c>
      <c r="Q893" s="183"/>
      <c r="R893" s="183"/>
      <c r="S893" s="183"/>
      <c r="AJ893" s="183"/>
    </row>
    <row r="894" spans="1:38">
      <c r="A894" s="188">
        <v>43234</v>
      </c>
      <c r="C894" s="4">
        <v>18.480625</v>
      </c>
      <c r="D894" s="4">
        <v>62.682625000000002</v>
      </c>
      <c r="E894" s="4">
        <v>16.5</v>
      </c>
      <c r="G894" s="4">
        <v>17.583333333300001</v>
      </c>
      <c r="I894" s="4">
        <v>10.654875000000001</v>
      </c>
      <c r="J894" s="4">
        <v>64.358999999999995</v>
      </c>
      <c r="M894" s="4">
        <v>15.410500000000001</v>
      </c>
      <c r="O894" s="4">
        <v>45.844749999999998</v>
      </c>
      <c r="Q894" s="183"/>
      <c r="R894" s="183"/>
      <c r="S894" s="183"/>
    </row>
    <row r="895" spans="1:38">
      <c r="A895" s="188">
        <v>43235</v>
      </c>
      <c r="C895" s="4">
        <v>17.793125</v>
      </c>
      <c r="D895" s="4">
        <v>68.966125000000005</v>
      </c>
      <c r="E895" s="4">
        <v>16.5</v>
      </c>
      <c r="G895" s="4">
        <v>16.833333333300001</v>
      </c>
      <c r="I895" s="4">
        <v>9.3394999999999992</v>
      </c>
      <c r="J895" s="4">
        <v>72.225125000000006</v>
      </c>
      <c r="M895" s="4">
        <v>15.0345</v>
      </c>
      <c r="O895" s="4">
        <v>51.293875</v>
      </c>
      <c r="Q895" s="183"/>
      <c r="R895" s="183"/>
      <c r="S895" s="183"/>
    </row>
    <row r="896" spans="1:38">
      <c r="A896" s="188">
        <v>43236</v>
      </c>
      <c r="C896" s="4">
        <v>14.03875</v>
      </c>
      <c r="D896" s="4">
        <v>85.400499999999994</v>
      </c>
      <c r="E896" s="4">
        <v>13.416666666699999</v>
      </c>
      <c r="G896" s="4">
        <v>12.583333333300001</v>
      </c>
      <c r="I896" s="4">
        <v>7.7093749999999996</v>
      </c>
      <c r="J896" s="4">
        <v>82.750124999999997</v>
      </c>
      <c r="M896" s="4">
        <v>11.590999999999999</v>
      </c>
      <c r="O896" s="4">
        <v>72.541124999999994</v>
      </c>
      <c r="Q896" s="183"/>
      <c r="R896" s="183"/>
      <c r="S896" s="183"/>
    </row>
    <row r="897" spans="1:38">
      <c r="A897" s="188">
        <v>43237</v>
      </c>
      <c r="C897" s="4">
        <v>12.410500000000001</v>
      </c>
      <c r="D897" s="4">
        <v>85.042124999999999</v>
      </c>
      <c r="E897" s="4">
        <v>13.166666666699999</v>
      </c>
      <c r="G897" s="4">
        <v>9.8333333333299997</v>
      </c>
      <c r="I897" s="4">
        <v>5.2640000000000002</v>
      </c>
      <c r="J897" s="4">
        <v>96.593000000000004</v>
      </c>
      <c r="M897" s="4">
        <v>5.9512499999999999</v>
      </c>
      <c r="O897" s="4">
        <v>100.19925000000001</v>
      </c>
      <c r="Q897" s="183"/>
      <c r="R897" s="183"/>
      <c r="S897" s="183"/>
      <c r="AK897" s="183"/>
      <c r="AL897" s="183"/>
    </row>
    <row r="898" spans="1:38">
      <c r="A898" s="188">
        <v>43238</v>
      </c>
      <c r="C898" s="4">
        <v>13.099500000000001</v>
      </c>
      <c r="D898" s="4">
        <v>85.289124999999999</v>
      </c>
      <c r="E898" s="4">
        <v>13.416666666699999</v>
      </c>
      <c r="G898" s="4">
        <v>10.583333333300001</v>
      </c>
      <c r="I898" s="4">
        <v>5.8285</v>
      </c>
      <c r="J898" s="4">
        <v>95.819374999999994</v>
      </c>
      <c r="M898" s="4">
        <v>7.5810000000000004</v>
      </c>
      <c r="O898" s="4">
        <v>90.093374999999995</v>
      </c>
      <c r="Q898" s="183"/>
      <c r="R898" s="183"/>
      <c r="S898" s="183"/>
      <c r="AJ898" s="183"/>
      <c r="AK898" s="183"/>
      <c r="AL898" s="183"/>
    </row>
    <row r="899" spans="1:38">
      <c r="A899" s="188">
        <v>43239</v>
      </c>
      <c r="C899" s="4">
        <v>12.222625000000001</v>
      </c>
      <c r="D899" s="4">
        <v>67.641374999999996</v>
      </c>
      <c r="E899" s="4">
        <v>12.5</v>
      </c>
      <c r="G899" s="4">
        <v>10.583333333300001</v>
      </c>
      <c r="I899" s="4">
        <v>6.3304999999999998</v>
      </c>
      <c r="J899" s="4">
        <v>90.461375000000004</v>
      </c>
      <c r="M899" s="4">
        <v>6.7035</v>
      </c>
      <c r="O899" s="4">
        <v>90.989750000000001</v>
      </c>
      <c r="Q899" s="183"/>
      <c r="R899" s="183"/>
      <c r="S899" s="183"/>
      <c r="AJ899" s="183"/>
      <c r="AK899" s="183"/>
      <c r="AL899" s="183"/>
    </row>
    <row r="900" spans="1:38">
      <c r="A900" s="188">
        <v>43240</v>
      </c>
      <c r="C900" s="4">
        <v>10.906750000000001</v>
      </c>
      <c r="D900" s="4">
        <v>51.393875000000001</v>
      </c>
      <c r="E900" s="4">
        <v>10.833333333300001</v>
      </c>
      <c r="G900" s="4">
        <v>9.1666666666700003</v>
      </c>
      <c r="I900" s="4">
        <v>6.6435000000000004</v>
      </c>
      <c r="J900" s="4">
        <v>93.554374999999993</v>
      </c>
      <c r="M900" s="4">
        <v>5.4496250000000002</v>
      </c>
      <c r="O900" s="4">
        <v>103.733125</v>
      </c>
      <c r="Q900" s="183"/>
      <c r="R900" s="183"/>
      <c r="S900" s="183"/>
      <c r="AJ900" s="183"/>
      <c r="AK900" s="183"/>
      <c r="AL900" s="183"/>
    </row>
    <row r="901" spans="1:38">
      <c r="A901" s="188">
        <v>43241</v>
      </c>
      <c r="C901" s="4">
        <v>13.098875</v>
      </c>
      <c r="D901" s="4">
        <v>69.450625000000002</v>
      </c>
      <c r="E901" s="4">
        <v>12.666666666699999</v>
      </c>
      <c r="G901" s="4">
        <v>10.25</v>
      </c>
      <c r="I901" s="4">
        <v>6.3921250000000001</v>
      </c>
      <c r="J901" s="4">
        <v>91.592500000000001</v>
      </c>
      <c r="M901" s="4">
        <v>6.8282499999999997</v>
      </c>
      <c r="O901" s="4">
        <v>91.765000000000001</v>
      </c>
      <c r="Q901" s="183"/>
      <c r="R901" s="183"/>
      <c r="S901" s="183"/>
      <c r="AJ901" s="183"/>
    </row>
    <row r="902" spans="1:38">
      <c r="A902" s="188">
        <v>43242</v>
      </c>
      <c r="C902" s="4">
        <v>15.476125</v>
      </c>
      <c r="D902" s="4">
        <v>73.089124999999996</v>
      </c>
      <c r="E902" s="4">
        <v>14.833333333300001</v>
      </c>
      <c r="G902" s="4">
        <v>14.666666666699999</v>
      </c>
      <c r="I902" s="4">
        <v>8.6485000000000003</v>
      </c>
      <c r="J902" s="4">
        <v>72.472499999999997</v>
      </c>
      <c r="M902" s="4">
        <v>12.968249999999999</v>
      </c>
      <c r="O902" s="4">
        <v>42.982875</v>
      </c>
      <c r="Q902" s="183"/>
      <c r="R902" s="183"/>
      <c r="S902" s="183"/>
    </row>
    <row r="903" spans="1:38">
      <c r="A903" s="188">
        <v>43243</v>
      </c>
      <c r="C903" s="4">
        <v>17.85575</v>
      </c>
      <c r="D903" s="4">
        <v>71.240375</v>
      </c>
      <c r="E903" s="4">
        <v>17.166666666699999</v>
      </c>
      <c r="G903" s="4">
        <v>17.25</v>
      </c>
      <c r="I903" s="4">
        <v>9.6523749999999993</v>
      </c>
      <c r="J903" s="4">
        <v>75.903125000000003</v>
      </c>
      <c r="M903" s="4">
        <v>15.097250000000001</v>
      </c>
      <c r="O903" s="4">
        <v>57.506500000000003</v>
      </c>
      <c r="Q903" s="183"/>
      <c r="R903" s="183"/>
      <c r="S903" s="183"/>
    </row>
    <row r="904" spans="1:38">
      <c r="A904" s="188">
        <v>43244</v>
      </c>
      <c r="C904" s="4">
        <v>14.727625</v>
      </c>
      <c r="D904" s="4">
        <v>84.455624999999998</v>
      </c>
      <c r="E904" s="4">
        <v>14.666666666699999</v>
      </c>
      <c r="G904" s="4">
        <v>13.833333333300001</v>
      </c>
      <c r="I904" s="4">
        <v>8.65</v>
      </c>
      <c r="J904" s="4">
        <v>86.994749999999996</v>
      </c>
      <c r="M904" s="4">
        <v>8.5210000000000008</v>
      </c>
      <c r="O904" s="4">
        <v>94.423749999999998</v>
      </c>
      <c r="Q904" s="183"/>
      <c r="R904" s="183"/>
      <c r="S904" s="183"/>
    </row>
    <row r="905" spans="1:38">
      <c r="A905" s="188">
        <v>43245</v>
      </c>
      <c r="C905" s="4">
        <v>14.10125</v>
      </c>
      <c r="D905" s="4">
        <v>75.095375000000004</v>
      </c>
      <c r="E905" s="4">
        <v>13.833333333300001</v>
      </c>
      <c r="G905" s="4">
        <v>11.666666666699999</v>
      </c>
      <c r="I905" s="4">
        <v>7.6467499999999999</v>
      </c>
      <c r="J905" s="4">
        <v>92.761624999999995</v>
      </c>
      <c r="M905" s="4">
        <v>6.1393750000000002</v>
      </c>
      <c r="O905" s="4">
        <v>100.06075</v>
      </c>
      <c r="Q905" s="183"/>
      <c r="R905" s="183"/>
      <c r="S905" s="183"/>
    </row>
    <row r="906" spans="1:38">
      <c r="A906" s="188">
        <v>43246</v>
      </c>
      <c r="C906" s="4">
        <v>11.532875000000001</v>
      </c>
      <c r="D906" s="4">
        <v>79.225624999999994</v>
      </c>
      <c r="E906" s="4">
        <v>11</v>
      </c>
      <c r="G906" s="4">
        <v>8.5</v>
      </c>
      <c r="I906" s="4">
        <v>5.0758749999999999</v>
      </c>
      <c r="J906" s="4">
        <v>87.715000000000003</v>
      </c>
      <c r="M906" s="4">
        <v>3.0665</v>
      </c>
      <c r="O906" s="4">
        <v>94.940624999999997</v>
      </c>
      <c r="Q906" s="183"/>
      <c r="R906" s="183"/>
      <c r="S906" s="183"/>
    </row>
    <row r="907" spans="1:38">
      <c r="A907" s="188">
        <v>43247</v>
      </c>
      <c r="C907" s="4">
        <v>13.78675</v>
      </c>
      <c r="D907" s="4">
        <v>74.105874999999997</v>
      </c>
      <c r="E907" s="4">
        <v>12.833333333300001</v>
      </c>
      <c r="G907" s="4">
        <v>11.25</v>
      </c>
      <c r="I907" s="4">
        <v>7.27</v>
      </c>
      <c r="J907" s="4">
        <v>86.461250000000007</v>
      </c>
      <c r="M907" s="4">
        <v>6.890625</v>
      </c>
      <c r="O907" s="4">
        <v>82.214375000000004</v>
      </c>
      <c r="Q907" s="183"/>
      <c r="R907" s="183"/>
      <c r="S907" s="183"/>
    </row>
    <row r="908" spans="1:38">
      <c r="A908" s="188">
        <v>43248</v>
      </c>
      <c r="C908" s="4">
        <v>13.47475</v>
      </c>
      <c r="D908" s="4">
        <v>75.336624999999998</v>
      </c>
      <c r="E908" s="4">
        <v>12</v>
      </c>
      <c r="G908" s="4">
        <v>10.333333333300001</v>
      </c>
      <c r="I908" s="4">
        <v>7.1455000000000002</v>
      </c>
      <c r="J908" s="4">
        <v>88.873249999999999</v>
      </c>
      <c r="M908" s="4">
        <v>4.320875</v>
      </c>
      <c r="O908" s="4">
        <v>101.479125</v>
      </c>
      <c r="Q908" s="183"/>
      <c r="R908" s="183"/>
      <c r="S908" s="183"/>
    </row>
    <row r="909" spans="1:38">
      <c r="A909" s="188">
        <v>43249</v>
      </c>
      <c r="C909" s="4">
        <v>10.781000000000001</v>
      </c>
      <c r="D909" s="4">
        <v>76.777375000000006</v>
      </c>
      <c r="E909" s="4">
        <v>9.25</v>
      </c>
      <c r="G909" s="4">
        <v>6.6666666666700003</v>
      </c>
      <c r="I909" s="4">
        <v>4.8871250000000002</v>
      </c>
      <c r="J909" s="4">
        <v>90.453625000000002</v>
      </c>
      <c r="M909" s="4">
        <v>1.812125</v>
      </c>
      <c r="O909" s="4">
        <v>99.871375</v>
      </c>
      <c r="Q909" s="183"/>
      <c r="R909" s="183"/>
      <c r="S909" s="183"/>
      <c r="AK909" s="183"/>
      <c r="AL909" s="183"/>
    </row>
    <row r="910" spans="1:38">
      <c r="A910" s="188">
        <v>43250</v>
      </c>
      <c r="C910" s="4">
        <v>10.404624999999999</v>
      </c>
      <c r="D910" s="4">
        <v>71.858874999999998</v>
      </c>
      <c r="E910" s="4">
        <v>9</v>
      </c>
      <c r="G910" s="4">
        <v>6.5833333333299997</v>
      </c>
      <c r="I910" s="4">
        <v>3.7581250000000002</v>
      </c>
      <c r="J910" s="4">
        <v>85.082875000000001</v>
      </c>
      <c r="M910" s="4">
        <v>1.81175</v>
      </c>
      <c r="O910" s="4">
        <v>90.118250000000003</v>
      </c>
      <c r="Q910" s="183"/>
      <c r="R910" s="183"/>
      <c r="S910" s="183"/>
      <c r="AJ910" s="183"/>
      <c r="AK910" s="183"/>
      <c r="AL910" s="183"/>
    </row>
    <row r="911" spans="1:38">
      <c r="A911" s="188">
        <v>43251</v>
      </c>
      <c r="C911" s="4">
        <v>9.5278749999999999</v>
      </c>
      <c r="D911" s="4">
        <v>85.017499999999998</v>
      </c>
      <c r="E911" s="4">
        <v>8.1666666666700003</v>
      </c>
      <c r="G911" s="4">
        <v>5.75</v>
      </c>
      <c r="I911" s="4">
        <v>3.0056250000000002</v>
      </c>
      <c r="J911" s="4">
        <v>98.838875000000002</v>
      </c>
      <c r="M911" s="4">
        <v>2.3766250000000002</v>
      </c>
      <c r="O911" s="4">
        <v>98.268249999999995</v>
      </c>
      <c r="Q911" s="183"/>
      <c r="R911" s="183"/>
      <c r="S911" s="183"/>
      <c r="AJ911" s="183"/>
      <c r="AK911" s="183"/>
      <c r="AL911" s="183"/>
    </row>
    <row r="912" spans="1:38">
      <c r="A912" s="188">
        <v>43252</v>
      </c>
      <c r="C912" s="4">
        <v>9.8411249999999999</v>
      </c>
      <c r="D912" s="4">
        <v>81.744249999999994</v>
      </c>
      <c r="E912" s="4">
        <v>9.3333333333299997</v>
      </c>
      <c r="G912" s="4">
        <v>6.25</v>
      </c>
      <c r="I912" s="4">
        <v>4.0722500000000004</v>
      </c>
      <c r="J912" s="4">
        <v>93.699624999999997</v>
      </c>
      <c r="M912" s="4">
        <v>0.4945</v>
      </c>
      <c r="O912" s="4">
        <v>105.37975</v>
      </c>
      <c r="Q912" s="183"/>
      <c r="R912" s="183"/>
      <c r="S912" s="183"/>
      <c r="AJ912" s="183"/>
      <c r="AK912" s="183"/>
      <c r="AL912" s="183"/>
    </row>
    <row r="913" spans="1:38">
      <c r="A913" s="188">
        <v>43253</v>
      </c>
      <c r="C913" s="4">
        <v>13.724500000000001</v>
      </c>
      <c r="D913" s="4">
        <v>76.590625000000003</v>
      </c>
      <c r="E913" s="4">
        <v>13.333333333300001</v>
      </c>
      <c r="G913" s="4">
        <v>11.25</v>
      </c>
      <c r="I913" s="4">
        <v>8.6488750000000003</v>
      </c>
      <c r="J913" s="4">
        <v>76.914124999999999</v>
      </c>
      <c r="M913" s="4">
        <v>4.8843750000000004</v>
      </c>
      <c r="O913" s="4">
        <v>92.959000000000003</v>
      </c>
      <c r="Q913" s="183"/>
      <c r="R913" s="183"/>
      <c r="S913" s="183"/>
      <c r="AJ913" s="183"/>
      <c r="AK913" s="183"/>
      <c r="AL913" s="183"/>
    </row>
    <row r="914" spans="1:38">
      <c r="A914" s="188">
        <v>43254</v>
      </c>
      <c r="C914" s="4">
        <v>10.65625</v>
      </c>
      <c r="D914" s="4">
        <v>63.029874999999997</v>
      </c>
      <c r="E914" s="4">
        <v>10.416666666699999</v>
      </c>
      <c r="G914" s="4">
        <v>9.3333333333299997</v>
      </c>
      <c r="I914" s="4">
        <v>6.7067500000000004</v>
      </c>
      <c r="J914" s="4">
        <v>93.581374999999994</v>
      </c>
      <c r="M914" s="4">
        <v>5.0732499999999998</v>
      </c>
      <c r="O914" s="4">
        <v>95.563124999999999</v>
      </c>
      <c r="Q914" s="183"/>
      <c r="AJ914" s="183"/>
      <c r="AK914" s="183"/>
      <c r="AL914" s="183"/>
    </row>
    <row r="915" spans="1:38">
      <c r="A915" s="188">
        <v>43255</v>
      </c>
      <c r="C915" s="4">
        <v>9.5277499999999993</v>
      </c>
      <c r="D915" s="4">
        <v>54.275874999999999</v>
      </c>
      <c r="E915" s="4">
        <v>8.25</v>
      </c>
      <c r="G915" s="4">
        <v>4.75</v>
      </c>
      <c r="I915" s="4">
        <v>4.0718750000000004</v>
      </c>
      <c r="J915" s="4">
        <v>97.810500000000005</v>
      </c>
      <c r="M915" s="4">
        <v>0.11799999999999999</v>
      </c>
      <c r="O915" s="4">
        <v>106.371</v>
      </c>
      <c r="R915" s="183"/>
      <c r="S915" s="183"/>
      <c r="AJ915" s="183"/>
      <c r="AK915" s="183"/>
      <c r="AL915" s="183"/>
    </row>
    <row r="916" spans="1:38">
      <c r="A916" s="188">
        <v>43256</v>
      </c>
      <c r="C916" s="4">
        <v>9.8406249999999993</v>
      </c>
      <c r="D916" s="4">
        <v>79.025374999999997</v>
      </c>
      <c r="E916" s="4">
        <v>8.4166666666700003</v>
      </c>
      <c r="G916" s="4">
        <v>6.8333333333299997</v>
      </c>
      <c r="I916" s="4">
        <v>5.2011250000000002</v>
      </c>
      <c r="J916" s="4">
        <v>81.166124999999994</v>
      </c>
      <c r="M916" s="4">
        <v>1.3727499999999999</v>
      </c>
      <c r="O916" s="4">
        <v>96.345500000000001</v>
      </c>
      <c r="Q916" s="183"/>
      <c r="R916" s="183"/>
      <c r="S916" s="183"/>
      <c r="AJ916" s="183"/>
      <c r="AK916" s="183"/>
      <c r="AL916" s="183"/>
    </row>
    <row r="917" spans="1:38">
      <c r="A917" s="188">
        <v>43257</v>
      </c>
      <c r="C917" s="4">
        <v>13.035375</v>
      </c>
      <c r="D917" s="4">
        <v>75.937624999999997</v>
      </c>
      <c r="E917" s="4">
        <v>12.833333333300001</v>
      </c>
      <c r="G917" s="4">
        <v>11.416666666699999</v>
      </c>
      <c r="I917" s="4">
        <v>9.4638749999999998</v>
      </c>
      <c r="J917" s="4">
        <v>71.857624999999999</v>
      </c>
      <c r="M917" s="4">
        <v>5.7625000000000002</v>
      </c>
      <c r="O917" s="4">
        <v>85.108374999999995</v>
      </c>
      <c r="Q917" s="183"/>
      <c r="R917" s="183"/>
      <c r="S917" s="183"/>
      <c r="AJ917" s="183"/>
      <c r="AK917" s="183"/>
      <c r="AL917" s="183"/>
    </row>
    <row r="918" spans="1:38">
      <c r="A918" s="188">
        <v>43258</v>
      </c>
      <c r="C918" s="4">
        <v>12.222250000000001</v>
      </c>
      <c r="D918" s="4">
        <v>83.763499999999993</v>
      </c>
      <c r="E918" s="4">
        <v>11.666666666699999</v>
      </c>
      <c r="G918" s="4">
        <v>11.166666666699999</v>
      </c>
      <c r="I918" s="4">
        <v>9.4649999999999999</v>
      </c>
      <c r="J918" s="4">
        <v>83.854249999999993</v>
      </c>
      <c r="M918" s="4">
        <v>5.6377499999999996</v>
      </c>
      <c r="O918" s="4">
        <v>99.197000000000003</v>
      </c>
      <c r="Q918" s="183"/>
      <c r="R918" s="183"/>
      <c r="S918" s="183"/>
      <c r="AJ918" s="183"/>
      <c r="AK918" s="183"/>
      <c r="AL918" s="183"/>
    </row>
    <row r="919" spans="1:38">
      <c r="A919" s="188">
        <v>43259</v>
      </c>
      <c r="C919" s="4">
        <v>10.4055</v>
      </c>
      <c r="D919" s="4">
        <v>63.852499999999999</v>
      </c>
      <c r="E919" s="4">
        <v>10.166666666699999</v>
      </c>
      <c r="G919" s="4">
        <v>7.6666666666700003</v>
      </c>
      <c r="I919" s="4">
        <v>5.5780000000000003</v>
      </c>
      <c r="J919" s="4">
        <v>101.30312499999999</v>
      </c>
      <c r="M919" s="4">
        <v>3.191875</v>
      </c>
      <c r="O919" s="4">
        <v>106.53775</v>
      </c>
      <c r="Q919" s="183"/>
      <c r="R919" s="183"/>
      <c r="S919" s="183"/>
      <c r="AJ919" s="183"/>
      <c r="AK919" s="183"/>
      <c r="AL919" s="183"/>
    </row>
    <row r="920" spans="1:38">
      <c r="A920" s="188">
        <v>43260</v>
      </c>
      <c r="C920" s="4">
        <v>8.5878750000000004</v>
      </c>
      <c r="D920" s="4">
        <v>37.562375000000003</v>
      </c>
      <c r="E920" s="4">
        <v>7.9166666666700003</v>
      </c>
      <c r="G920" s="4">
        <v>5.5</v>
      </c>
      <c r="I920" s="4">
        <v>3.6332499999999999</v>
      </c>
      <c r="J920" s="4">
        <v>102.60012500000001</v>
      </c>
      <c r="M920" s="4">
        <v>0.99650000000000005</v>
      </c>
      <c r="O920" s="4">
        <v>107.398875</v>
      </c>
      <c r="Q920" s="183"/>
      <c r="R920" s="183"/>
      <c r="S920" s="183"/>
      <c r="AJ920" s="183"/>
      <c r="AK920" s="183"/>
      <c r="AL920" s="183"/>
    </row>
    <row r="921" spans="1:38">
      <c r="A921" s="188">
        <v>43261</v>
      </c>
      <c r="C921" s="4">
        <v>7.2086249999999996</v>
      </c>
      <c r="D921" s="4">
        <v>42.054499999999997</v>
      </c>
      <c r="E921" s="4">
        <v>6.5833333333299997</v>
      </c>
      <c r="G921" s="4">
        <v>3.5833333333300001</v>
      </c>
      <c r="I921" s="4">
        <v>1.6251249999999999</v>
      </c>
      <c r="J921" s="4">
        <v>103.098625</v>
      </c>
      <c r="M921" s="4">
        <v>-0.88612500000000005</v>
      </c>
      <c r="O921" s="4">
        <v>106.31937499999999</v>
      </c>
      <c r="Q921" s="183"/>
      <c r="R921" s="183"/>
      <c r="S921" s="183"/>
      <c r="AJ921" s="183"/>
    </row>
    <row r="922" spans="1:38">
      <c r="A922" s="188">
        <v>43262</v>
      </c>
      <c r="C922" s="4">
        <v>8.3366249999999997</v>
      </c>
      <c r="D922" s="4">
        <v>52.322749999999999</v>
      </c>
      <c r="E922" s="4">
        <v>7.0833333333299997</v>
      </c>
      <c r="G922" s="4">
        <v>4.4166666666700003</v>
      </c>
      <c r="I922" s="4">
        <v>3.0055000000000001</v>
      </c>
      <c r="J922" s="4">
        <v>97.261125000000007</v>
      </c>
      <c r="M922" s="4">
        <v>-7.4999999999999997E-3</v>
      </c>
      <c r="O922" s="4">
        <v>102.45325</v>
      </c>
      <c r="Q922" s="183"/>
      <c r="R922" s="183"/>
      <c r="S922" s="183"/>
    </row>
    <row r="923" spans="1:38">
      <c r="A923" s="188">
        <v>43263</v>
      </c>
      <c r="C923" s="4">
        <v>10.090999999999999</v>
      </c>
      <c r="D923" s="4">
        <v>70.268874999999994</v>
      </c>
      <c r="E923" s="4">
        <v>9.0833333333299997</v>
      </c>
      <c r="G923" s="4">
        <v>7.75</v>
      </c>
      <c r="I923" s="4">
        <v>6.2662500000000003</v>
      </c>
      <c r="J923" s="4">
        <v>75.662625000000006</v>
      </c>
      <c r="M923" s="4">
        <v>4.57125</v>
      </c>
      <c r="O923" s="4">
        <v>69.390124999999998</v>
      </c>
      <c r="Q923" s="183"/>
      <c r="R923" s="183"/>
      <c r="S923" s="183"/>
    </row>
    <row r="924" spans="1:38">
      <c r="A924" s="188">
        <v>43264</v>
      </c>
      <c r="C924" s="4">
        <v>9.7789999999999999</v>
      </c>
      <c r="D924" s="4">
        <v>37.598624999999998</v>
      </c>
      <c r="E924" s="4">
        <v>9.3333333333299997</v>
      </c>
      <c r="G924" s="4">
        <v>7.0833333333299997</v>
      </c>
      <c r="I924" s="4">
        <v>5.1387499999999999</v>
      </c>
      <c r="J924" s="4">
        <v>92.505499999999998</v>
      </c>
      <c r="M924" s="4">
        <v>2.6274999999999999</v>
      </c>
      <c r="O924" s="4">
        <v>97.662499999999994</v>
      </c>
      <c r="Q924" s="183"/>
      <c r="R924" s="183"/>
      <c r="S924" s="183"/>
    </row>
    <row r="925" spans="1:38">
      <c r="A925" s="188">
        <v>43265</v>
      </c>
      <c r="C925" s="4">
        <v>9.8412500000000005</v>
      </c>
      <c r="D925" s="4">
        <v>36.703874999999996</v>
      </c>
      <c r="E925" s="4">
        <v>9.1666666666700003</v>
      </c>
      <c r="G925" s="4">
        <v>6.3333333333299997</v>
      </c>
      <c r="I925" s="4">
        <v>3.7588750000000002</v>
      </c>
      <c r="J925" s="4">
        <v>102.925375</v>
      </c>
      <c r="M925" s="4">
        <v>1.6865000000000001</v>
      </c>
      <c r="O925" s="4">
        <v>106.59099999999999</v>
      </c>
      <c r="Q925" s="183"/>
      <c r="R925" s="183"/>
      <c r="S925" s="183"/>
    </row>
    <row r="926" spans="1:38">
      <c r="A926" s="188">
        <v>43266</v>
      </c>
      <c r="C926" s="4">
        <v>10.843624999999999</v>
      </c>
      <c r="D926" s="4">
        <v>54.441749999999999</v>
      </c>
      <c r="E926" s="4">
        <v>10.583333333300001</v>
      </c>
      <c r="G926" s="4">
        <v>8</v>
      </c>
      <c r="I926" s="4">
        <v>5.3261250000000002</v>
      </c>
      <c r="J926" s="4">
        <v>94.882125000000002</v>
      </c>
      <c r="M926" s="4">
        <v>3.8817499999999998</v>
      </c>
      <c r="O926" s="4">
        <v>102.1755</v>
      </c>
      <c r="Q926" s="183"/>
      <c r="R926" s="183"/>
      <c r="S926" s="183"/>
    </row>
    <row r="927" spans="1:38">
      <c r="A927" s="188">
        <v>43267</v>
      </c>
      <c r="C927" s="4">
        <v>15.414375</v>
      </c>
      <c r="D927" s="4">
        <v>56.756625</v>
      </c>
      <c r="E927" s="4">
        <v>15</v>
      </c>
      <c r="G927" s="4">
        <v>12.75</v>
      </c>
      <c r="I927" s="4">
        <v>9.4627499999999998</v>
      </c>
      <c r="J927" s="4">
        <v>83.438500000000005</v>
      </c>
      <c r="M927" s="4">
        <v>7.9561250000000001</v>
      </c>
      <c r="O927" s="4">
        <v>86.055250000000001</v>
      </c>
      <c r="Q927" s="183"/>
      <c r="R927" s="183"/>
      <c r="S927" s="183"/>
    </row>
    <row r="928" spans="1:38">
      <c r="A928" s="188">
        <v>43268</v>
      </c>
      <c r="C928" s="4">
        <v>18.230374999999999</v>
      </c>
      <c r="D928" s="4">
        <v>64.242374999999996</v>
      </c>
      <c r="E928" s="4">
        <v>16.833333333300001</v>
      </c>
      <c r="G928" s="4">
        <v>16.333333333300001</v>
      </c>
      <c r="I928" s="4">
        <v>11.155374999999999</v>
      </c>
      <c r="J928" s="4">
        <v>67.551500000000004</v>
      </c>
      <c r="M928" s="4">
        <v>13.782999999999999</v>
      </c>
      <c r="O928" s="4">
        <v>53.532874999999997</v>
      </c>
      <c r="Q928" s="183"/>
      <c r="R928" s="183"/>
      <c r="S928" s="183"/>
    </row>
    <row r="929" spans="1:38">
      <c r="A929" s="188">
        <v>43269</v>
      </c>
      <c r="C929" s="4">
        <v>19.669374999999999</v>
      </c>
      <c r="D929" s="4">
        <v>62.120249999999999</v>
      </c>
      <c r="E929" s="4">
        <v>18.583333333300001</v>
      </c>
      <c r="G929" s="4">
        <v>19.5</v>
      </c>
      <c r="I929" s="4">
        <v>12.59625</v>
      </c>
      <c r="J929" s="4">
        <v>57.712499999999999</v>
      </c>
      <c r="M929" s="4">
        <v>16.59975</v>
      </c>
      <c r="O929" s="4">
        <v>36.858625000000004</v>
      </c>
      <c r="Q929" s="183"/>
      <c r="R929" s="183"/>
      <c r="S929" s="183"/>
      <c r="AK929" s="183"/>
      <c r="AL929" s="183"/>
    </row>
    <row r="930" spans="1:38">
      <c r="A930" s="188">
        <v>43270</v>
      </c>
      <c r="C930" s="4">
        <v>19.733125000000001</v>
      </c>
      <c r="D930" s="4">
        <v>68.741749999999996</v>
      </c>
      <c r="E930" s="4">
        <v>19.25</v>
      </c>
      <c r="G930" s="4">
        <v>19.666666666699999</v>
      </c>
      <c r="I930" s="4">
        <v>13.098625</v>
      </c>
      <c r="J930" s="4">
        <v>66.152749999999997</v>
      </c>
      <c r="M930" s="4">
        <v>15.410625</v>
      </c>
      <c r="O930" s="4">
        <v>56.686500000000002</v>
      </c>
      <c r="Q930" s="183"/>
      <c r="R930" s="183"/>
      <c r="S930" s="183"/>
      <c r="AJ930" s="183"/>
      <c r="AK930" s="183"/>
      <c r="AL930" s="183"/>
    </row>
    <row r="931" spans="1:38">
      <c r="A931" s="188">
        <v>43271</v>
      </c>
      <c r="C931" s="4">
        <v>20.297000000000001</v>
      </c>
      <c r="D931" s="4">
        <v>73.450749999999999</v>
      </c>
      <c r="E931" s="4">
        <v>19.833333333300001</v>
      </c>
      <c r="G931" s="4">
        <v>19</v>
      </c>
      <c r="I931" s="4">
        <v>12.66</v>
      </c>
      <c r="J931" s="4">
        <v>77.088624999999993</v>
      </c>
      <c r="M931" s="4">
        <v>15.660875000000001</v>
      </c>
      <c r="O931" s="4">
        <v>67.622500000000002</v>
      </c>
      <c r="Q931" s="183"/>
      <c r="R931" s="183"/>
      <c r="S931" s="183"/>
      <c r="AJ931" s="183"/>
      <c r="AK931" s="183"/>
      <c r="AL931" s="183"/>
    </row>
    <row r="932" spans="1:38">
      <c r="A932" s="188">
        <v>43272</v>
      </c>
      <c r="C932" s="4">
        <v>16.230625</v>
      </c>
      <c r="D932" s="4">
        <v>85.9405</v>
      </c>
      <c r="E932" s="4">
        <v>16.5</v>
      </c>
      <c r="G932" s="4">
        <v>15.583333333300001</v>
      </c>
      <c r="I932" s="4">
        <v>11.282125000000001</v>
      </c>
      <c r="J932" s="4">
        <v>86.174250000000001</v>
      </c>
      <c r="M932" s="4">
        <v>11.653625</v>
      </c>
      <c r="O932" s="4">
        <v>89.242874999999998</v>
      </c>
      <c r="Q932" s="183"/>
      <c r="R932" s="183"/>
      <c r="S932" s="183"/>
      <c r="AJ932" s="183"/>
      <c r="AK932" s="183"/>
      <c r="AL932" s="183"/>
    </row>
    <row r="933" spans="1:38">
      <c r="A933" s="188">
        <v>43273</v>
      </c>
      <c r="C933" s="4">
        <v>14.039249999999999</v>
      </c>
      <c r="D933" s="4">
        <v>70.377250000000004</v>
      </c>
      <c r="E933" s="4">
        <v>14</v>
      </c>
      <c r="G933" s="4">
        <v>11.666666666699999</v>
      </c>
      <c r="I933" s="4">
        <v>7.6476249999999997</v>
      </c>
      <c r="J933" s="4">
        <v>102.0365</v>
      </c>
      <c r="M933" s="4">
        <v>7.1422499999999998</v>
      </c>
      <c r="O933" s="4">
        <v>104.515</v>
      </c>
      <c r="Q933" s="183"/>
      <c r="AJ933" s="183"/>
      <c r="AK933" s="183"/>
      <c r="AL933" s="183"/>
    </row>
    <row r="934" spans="1:38">
      <c r="A934" s="188">
        <v>43274</v>
      </c>
      <c r="C934" s="4">
        <v>13.976125</v>
      </c>
      <c r="D934" s="4">
        <v>60.686875000000001</v>
      </c>
      <c r="E934" s="4">
        <v>13.333333333300001</v>
      </c>
      <c r="G934" s="4">
        <v>10.25</v>
      </c>
      <c r="I934" s="4">
        <v>6.1425000000000001</v>
      </c>
      <c r="J934" s="4">
        <v>102.486125</v>
      </c>
      <c r="M934" s="4">
        <v>6.3271249999999997</v>
      </c>
      <c r="O934" s="4">
        <v>105.28387499999999</v>
      </c>
      <c r="R934" s="183"/>
      <c r="S934" s="183"/>
      <c r="AJ934" s="183"/>
      <c r="AK934" s="183"/>
      <c r="AL934" s="183"/>
    </row>
    <row r="935" spans="1:38">
      <c r="A935" s="188">
        <v>43275</v>
      </c>
      <c r="C935" s="4">
        <v>16.3535</v>
      </c>
      <c r="D935" s="4">
        <v>64.465625000000003</v>
      </c>
      <c r="E935" s="4">
        <v>16.333333333300001</v>
      </c>
      <c r="G935" s="4">
        <v>14.833333333300001</v>
      </c>
      <c r="I935" s="4">
        <v>11.905875</v>
      </c>
      <c r="J935" s="4">
        <v>77.263249999999999</v>
      </c>
      <c r="M935" s="4">
        <v>11.277125</v>
      </c>
      <c r="O935" s="4">
        <v>75.385499999999993</v>
      </c>
      <c r="Q935" s="183"/>
      <c r="R935" s="183"/>
      <c r="S935" s="183"/>
      <c r="AJ935" s="183"/>
      <c r="AK935" s="183"/>
      <c r="AL935" s="183"/>
    </row>
    <row r="936" spans="1:38">
      <c r="A936" s="188">
        <v>43276</v>
      </c>
      <c r="C936" s="4">
        <v>11.5335</v>
      </c>
      <c r="D936" s="4">
        <v>37.146124999999998</v>
      </c>
      <c r="E936" s="4">
        <v>10.75</v>
      </c>
      <c r="G936" s="4">
        <v>7.6666666666700003</v>
      </c>
      <c r="I936" s="4">
        <v>5.8914999999999997</v>
      </c>
      <c r="J936" s="4">
        <v>101.16012499999999</v>
      </c>
      <c r="M936" s="4">
        <v>2.9412500000000001</v>
      </c>
      <c r="O936" s="4">
        <v>104.45887500000001</v>
      </c>
      <c r="Q936" s="183"/>
      <c r="R936" s="183"/>
      <c r="S936" s="183"/>
      <c r="AJ936" s="183"/>
      <c r="AK936" s="183"/>
      <c r="AL936" s="183"/>
    </row>
    <row r="937" spans="1:38">
      <c r="A937" s="188">
        <v>43277</v>
      </c>
      <c r="C937" s="4">
        <v>11.720874999999999</v>
      </c>
      <c r="D937" s="4">
        <v>40.143500000000003</v>
      </c>
      <c r="E937" s="4">
        <v>10.333333333300001</v>
      </c>
      <c r="G937" s="4">
        <v>7.25</v>
      </c>
      <c r="I937" s="4">
        <v>5.327</v>
      </c>
      <c r="J937" s="4">
        <v>99.139750000000006</v>
      </c>
      <c r="M937" s="4">
        <v>3.4428749999999999</v>
      </c>
      <c r="O937" s="4">
        <v>100.53037500000001</v>
      </c>
      <c r="Q937" s="183"/>
      <c r="R937" s="183"/>
      <c r="S937" s="183"/>
      <c r="AJ937" s="183"/>
      <c r="AK937" s="183"/>
      <c r="AL937" s="183"/>
    </row>
    <row r="938" spans="1:38">
      <c r="A938" s="188">
        <v>43278</v>
      </c>
      <c r="C938" s="4">
        <v>13.03575</v>
      </c>
      <c r="D938" s="4">
        <v>69.196250000000006</v>
      </c>
      <c r="E938" s="4">
        <v>11.333333333300001</v>
      </c>
      <c r="G938" s="4">
        <v>9.0833333333299997</v>
      </c>
      <c r="I938" s="4">
        <v>6.8937499999999998</v>
      </c>
      <c r="J938" s="4">
        <v>90.184749999999994</v>
      </c>
      <c r="M938" s="4">
        <v>5.4493749999999999</v>
      </c>
      <c r="O938" s="4">
        <v>92.583875000000006</v>
      </c>
      <c r="Q938" s="183"/>
      <c r="R938" s="183"/>
      <c r="S938" s="183"/>
      <c r="AJ938" s="183"/>
      <c r="AK938" s="183"/>
      <c r="AL938" s="183"/>
    </row>
    <row r="939" spans="1:38">
      <c r="A939" s="188">
        <v>43279</v>
      </c>
      <c r="C939" s="4">
        <v>11.408125</v>
      </c>
      <c r="D939" s="4">
        <v>79.277000000000001</v>
      </c>
      <c r="E939" s="4">
        <v>10.416666666699999</v>
      </c>
      <c r="G939" s="4">
        <v>7.1666666666700003</v>
      </c>
      <c r="I939" s="4">
        <v>4.5116250000000004</v>
      </c>
      <c r="J939" s="4">
        <v>103.061875</v>
      </c>
      <c r="M939" s="4">
        <v>2.4396249999999999</v>
      </c>
      <c r="O939" s="4">
        <v>106.53687499999999</v>
      </c>
      <c r="Q939" s="183"/>
      <c r="R939" s="183"/>
      <c r="S939" s="183"/>
      <c r="AJ939" s="183"/>
      <c r="AK939" s="183"/>
      <c r="AL939" s="183"/>
    </row>
    <row r="940" spans="1:38">
      <c r="A940" s="188">
        <v>43280</v>
      </c>
      <c r="C940" s="4">
        <v>11.78425</v>
      </c>
      <c r="D940" s="4">
        <v>58.785375000000002</v>
      </c>
      <c r="E940" s="4">
        <v>10.833333333300001</v>
      </c>
      <c r="G940" s="4">
        <v>8.0833333333299997</v>
      </c>
      <c r="I940" s="4">
        <v>5.5778749999999997</v>
      </c>
      <c r="J940" s="4">
        <v>103.34112500000001</v>
      </c>
      <c r="M940" s="4">
        <v>4.2582500000000003</v>
      </c>
      <c r="O940" s="4">
        <v>106.59099999999999</v>
      </c>
      <c r="Q940" s="183"/>
      <c r="R940" s="183"/>
      <c r="S940" s="183"/>
      <c r="AJ940" s="183"/>
      <c r="AK940" s="183"/>
      <c r="AL940" s="183"/>
    </row>
    <row r="941" spans="1:38">
      <c r="A941" s="188">
        <v>43281</v>
      </c>
      <c r="C941" s="4">
        <v>12.0345</v>
      </c>
      <c r="D941" s="4">
        <v>9.0542499999999997</v>
      </c>
      <c r="E941" s="4">
        <v>11.833333333300001</v>
      </c>
      <c r="G941" s="4">
        <v>9.25</v>
      </c>
      <c r="I941" s="4">
        <v>6.4560000000000004</v>
      </c>
      <c r="J941" s="4">
        <v>104.89687499999999</v>
      </c>
      <c r="M941" s="4">
        <v>5.2616250000000004</v>
      </c>
      <c r="O941" s="4">
        <v>106.5915</v>
      </c>
      <c r="Q941" s="183"/>
      <c r="R941" s="183"/>
      <c r="S941" s="183"/>
      <c r="AJ941" s="183"/>
      <c r="AK941" s="183"/>
      <c r="AL941" s="183"/>
    </row>
    <row r="942" spans="1:38">
      <c r="A942" s="188">
        <v>43282</v>
      </c>
      <c r="C942" s="4">
        <v>12.786375</v>
      </c>
      <c r="D942" s="4">
        <v>38.115625000000001</v>
      </c>
      <c r="E942" s="4">
        <v>11.916666666699999</v>
      </c>
      <c r="G942" s="4">
        <v>8.8333333333299997</v>
      </c>
      <c r="I942" s="4">
        <v>6.1423750000000004</v>
      </c>
      <c r="J942" s="4">
        <v>101.938125</v>
      </c>
      <c r="M942" s="4">
        <v>4.133</v>
      </c>
      <c r="O942" s="4">
        <v>106.86150000000001</v>
      </c>
      <c r="Q942" s="183"/>
      <c r="R942" s="183"/>
      <c r="S942" s="183"/>
      <c r="AJ942" s="183"/>
      <c r="AK942" s="183"/>
      <c r="AL942" s="183"/>
    </row>
    <row r="943" spans="1:38">
      <c r="A943" s="188">
        <v>43283</v>
      </c>
      <c r="C943" s="4">
        <v>10.092000000000001</v>
      </c>
      <c r="D943" s="4">
        <v>49.721375000000002</v>
      </c>
      <c r="E943" s="4">
        <v>9.25</v>
      </c>
      <c r="G943" s="4">
        <v>6.25</v>
      </c>
      <c r="I943" s="4">
        <v>4.4488750000000001</v>
      </c>
      <c r="J943" s="4">
        <v>102.89725</v>
      </c>
      <c r="M943" s="4">
        <v>1.310125</v>
      </c>
      <c r="O943" s="4">
        <v>107.559375</v>
      </c>
      <c r="Q943" s="183"/>
      <c r="R943" s="183"/>
      <c r="S943" s="183"/>
      <c r="AJ943" s="183"/>
      <c r="AK943" s="183"/>
      <c r="AL943" s="183"/>
    </row>
    <row r="944" spans="1:38">
      <c r="A944" s="188">
        <v>43284</v>
      </c>
      <c r="C944" s="4">
        <v>13.2865</v>
      </c>
      <c r="D944" s="4">
        <v>51.498624999999997</v>
      </c>
      <c r="E944" s="4">
        <v>12.166666666699999</v>
      </c>
      <c r="G944" s="4">
        <v>9.6666666666700003</v>
      </c>
      <c r="I944" s="4">
        <v>6.8316249999999998</v>
      </c>
      <c r="J944" s="4">
        <v>95.218125000000001</v>
      </c>
      <c r="M944" s="4">
        <v>5.8881249999999996</v>
      </c>
      <c r="O944" s="4">
        <v>98.201374999999999</v>
      </c>
      <c r="Q944" s="183"/>
      <c r="R944" s="183"/>
      <c r="S944" s="183"/>
      <c r="AJ944" s="183"/>
      <c r="AK944" s="183"/>
      <c r="AL944" s="183"/>
    </row>
    <row r="945" spans="1:38">
      <c r="A945" s="188">
        <v>43285</v>
      </c>
      <c r="C945" s="4">
        <v>15.853624999999999</v>
      </c>
      <c r="D945" s="4">
        <v>78.585999999999999</v>
      </c>
      <c r="E945" s="4">
        <v>15.75</v>
      </c>
      <c r="G945" s="4">
        <v>14.583333333300001</v>
      </c>
      <c r="I945" s="4">
        <v>11.342625</v>
      </c>
      <c r="J945" s="4">
        <v>73.346625000000003</v>
      </c>
      <c r="M945" s="4">
        <v>11.089874999999999</v>
      </c>
      <c r="O945" s="4">
        <v>66.250375000000005</v>
      </c>
      <c r="Q945" s="183"/>
      <c r="R945" s="183"/>
      <c r="S945" s="183"/>
      <c r="AJ945" s="183"/>
    </row>
    <row r="946" spans="1:38">
      <c r="A946" s="188">
        <v>43286</v>
      </c>
      <c r="C946" s="4">
        <v>20.045999999999999</v>
      </c>
      <c r="D946" s="4">
        <v>70.469875000000002</v>
      </c>
      <c r="E946" s="4">
        <v>19.416666666699999</v>
      </c>
      <c r="G946" s="4">
        <v>18.916666666699999</v>
      </c>
      <c r="I946" s="4">
        <v>14.536875</v>
      </c>
      <c r="J946" s="4">
        <v>63.835749999999997</v>
      </c>
      <c r="M946" s="4">
        <v>15.410125000000001</v>
      </c>
      <c r="O946" s="4">
        <v>54.506250000000001</v>
      </c>
      <c r="Q946" s="183"/>
      <c r="R946" s="183"/>
      <c r="S946" s="183"/>
    </row>
    <row r="947" spans="1:38">
      <c r="A947" s="188">
        <v>43287</v>
      </c>
      <c r="C947" s="4">
        <v>18.295750000000002</v>
      </c>
      <c r="D947" s="4">
        <v>78.748750000000001</v>
      </c>
      <c r="E947" s="4">
        <v>17.666666666699999</v>
      </c>
      <c r="G947" s="4">
        <v>15</v>
      </c>
      <c r="I947" s="4">
        <v>12.848750000000001</v>
      </c>
      <c r="J947" s="4">
        <v>75.696749999999994</v>
      </c>
      <c r="M947" s="4">
        <v>9.9626249999999992</v>
      </c>
      <c r="O947" s="4">
        <v>85.580875000000006</v>
      </c>
      <c r="Q947" s="183"/>
      <c r="R947" s="183"/>
      <c r="S947" s="183"/>
    </row>
    <row r="948" spans="1:38">
      <c r="A948" s="188">
        <v>43288</v>
      </c>
      <c r="C948" s="4">
        <v>14.414999999999999</v>
      </c>
      <c r="D948" s="4">
        <v>52.116875</v>
      </c>
      <c r="E948" s="4">
        <v>14.5</v>
      </c>
      <c r="G948" s="4">
        <v>11.25</v>
      </c>
      <c r="I948" s="4">
        <v>8.7131249999999998</v>
      </c>
      <c r="J948" s="4">
        <v>96.132249999999999</v>
      </c>
      <c r="M948" s="4">
        <v>5.7004999999999999</v>
      </c>
      <c r="O948" s="4">
        <v>104.714625</v>
      </c>
      <c r="Q948" s="183"/>
      <c r="R948" s="183"/>
      <c r="S948" s="183"/>
    </row>
    <row r="949" spans="1:38">
      <c r="A949" s="188">
        <v>43289</v>
      </c>
      <c r="C949" s="4">
        <v>15.66525</v>
      </c>
      <c r="D949" s="4">
        <v>55.71575</v>
      </c>
      <c r="E949" s="4">
        <v>15.833333333300001</v>
      </c>
      <c r="G949" s="4">
        <v>13.583333333300001</v>
      </c>
      <c r="I949" s="4">
        <v>10.84125</v>
      </c>
      <c r="J949" s="4">
        <v>77.226375000000004</v>
      </c>
      <c r="M949" s="4">
        <v>9.7732500000000009</v>
      </c>
      <c r="O949" s="4">
        <v>77.715999999999994</v>
      </c>
      <c r="Q949" s="183"/>
      <c r="R949" s="183"/>
      <c r="S949" s="183"/>
      <c r="AK949" s="183"/>
      <c r="AL949" s="183"/>
    </row>
    <row r="950" spans="1:38">
      <c r="A950" s="188">
        <v>43290</v>
      </c>
      <c r="C950" s="4">
        <v>16.355499999999999</v>
      </c>
      <c r="D950" s="4">
        <v>77.627375000000001</v>
      </c>
      <c r="E950" s="4">
        <v>16</v>
      </c>
      <c r="G950" s="4">
        <v>14.583333333300001</v>
      </c>
      <c r="I950" s="4">
        <v>12.284125</v>
      </c>
      <c r="J950" s="4">
        <v>77.035499999999999</v>
      </c>
      <c r="M950" s="4">
        <v>11.403</v>
      </c>
      <c r="O950" s="4">
        <v>70.233125000000001</v>
      </c>
      <c r="Q950" s="183"/>
      <c r="R950" s="183"/>
      <c r="S950" s="183"/>
      <c r="AJ950" s="183"/>
      <c r="AK950" s="183"/>
      <c r="AL950" s="183"/>
    </row>
    <row r="951" spans="1:38">
      <c r="A951" s="188">
        <v>43291</v>
      </c>
      <c r="C951" s="4">
        <v>14.102</v>
      </c>
      <c r="D951" s="4">
        <v>56.210875000000001</v>
      </c>
      <c r="E951" s="4">
        <v>13.75</v>
      </c>
      <c r="G951" s="4">
        <v>10.5</v>
      </c>
      <c r="I951" s="4">
        <v>7.5847499999999997</v>
      </c>
      <c r="J951" s="4">
        <v>102.10899999999999</v>
      </c>
      <c r="M951" s="4">
        <v>5.4496250000000002</v>
      </c>
      <c r="O951" s="4">
        <v>105.88612500000001</v>
      </c>
      <c r="Q951" s="183"/>
      <c r="R951" s="183"/>
      <c r="S951" s="183"/>
      <c r="AJ951" s="183"/>
      <c r="AK951" s="183"/>
      <c r="AL951" s="183"/>
    </row>
    <row r="952" spans="1:38">
      <c r="A952" s="188">
        <v>43292</v>
      </c>
      <c r="C952" s="4">
        <v>16.60425</v>
      </c>
      <c r="D952" s="4">
        <v>68.203000000000003</v>
      </c>
      <c r="E952" s="4">
        <v>16.166666666699999</v>
      </c>
      <c r="G952" s="4">
        <v>13.916666666699999</v>
      </c>
      <c r="I952" s="4">
        <v>12.218875000000001</v>
      </c>
      <c r="J952" s="4">
        <v>81.705124999999995</v>
      </c>
      <c r="M952" s="4">
        <v>11.84</v>
      </c>
      <c r="O952" s="4">
        <v>83.871750000000006</v>
      </c>
      <c r="Q952" s="183"/>
      <c r="R952" s="183"/>
      <c r="S952" s="183"/>
      <c r="AJ952" s="183"/>
      <c r="AK952" s="183"/>
      <c r="AL952" s="183"/>
    </row>
    <row r="953" spans="1:38">
      <c r="A953" s="188">
        <v>43293</v>
      </c>
      <c r="C953" s="4">
        <v>19.107375000000001</v>
      </c>
      <c r="D953" s="4">
        <v>70.779499999999999</v>
      </c>
      <c r="E953" s="4">
        <v>18.666666666699999</v>
      </c>
      <c r="G953" s="4">
        <v>18</v>
      </c>
      <c r="I953" s="4">
        <v>14.349125000000001</v>
      </c>
      <c r="J953" s="4">
        <v>70.284875</v>
      </c>
      <c r="M953" s="4">
        <v>14.784125</v>
      </c>
      <c r="O953" s="4">
        <v>61.158250000000002</v>
      </c>
      <c r="Q953" s="183"/>
      <c r="R953" s="183"/>
      <c r="S953" s="183"/>
      <c r="AJ953" s="183"/>
      <c r="AK953" s="183"/>
      <c r="AL953" s="183"/>
    </row>
    <row r="954" spans="1:38">
      <c r="A954" s="188">
        <v>43294</v>
      </c>
      <c r="C954" s="4">
        <v>19.233000000000001</v>
      </c>
      <c r="D954" s="4">
        <v>68.655500000000004</v>
      </c>
      <c r="E954" s="4">
        <v>18.75</v>
      </c>
      <c r="G954" s="4">
        <v>18.083333333300001</v>
      </c>
      <c r="I954" s="4">
        <v>14.663625</v>
      </c>
      <c r="J954" s="4">
        <v>68.438749999999999</v>
      </c>
      <c r="M954" s="4">
        <v>14.346500000000001</v>
      </c>
      <c r="O954" s="4">
        <v>65.090874999999997</v>
      </c>
      <c r="Q954" s="183"/>
      <c r="R954" s="183"/>
      <c r="S954" s="183"/>
      <c r="AJ954" s="183"/>
      <c r="AK954" s="183"/>
      <c r="AL954" s="183"/>
    </row>
    <row r="955" spans="1:38">
      <c r="A955" s="188">
        <v>43295</v>
      </c>
      <c r="C955" s="4">
        <v>20.295750000000002</v>
      </c>
      <c r="D955" s="4">
        <v>60.017625000000002</v>
      </c>
      <c r="E955" s="4">
        <v>19.166666666699999</v>
      </c>
      <c r="G955" s="4">
        <v>18</v>
      </c>
      <c r="I955" s="4">
        <v>14.474125000000001</v>
      </c>
      <c r="J955" s="4">
        <v>61.002375000000001</v>
      </c>
      <c r="M955" s="4">
        <v>13.907375</v>
      </c>
      <c r="O955" s="4">
        <v>58.530500000000004</v>
      </c>
      <c r="Q955" s="183"/>
      <c r="R955" s="183"/>
      <c r="S955" s="183"/>
      <c r="AJ955" s="183"/>
      <c r="AK955" s="183"/>
      <c r="AL955" s="183"/>
    </row>
    <row r="956" spans="1:38">
      <c r="A956" s="188">
        <v>43296</v>
      </c>
      <c r="C956" s="4">
        <v>20.795999999999999</v>
      </c>
      <c r="D956" s="4">
        <v>57.949375000000003</v>
      </c>
      <c r="E956" s="4">
        <v>20</v>
      </c>
      <c r="G956" s="4">
        <v>20.916666666699999</v>
      </c>
      <c r="I956" s="4">
        <v>16.352499999999999</v>
      </c>
      <c r="J956" s="4">
        <v>54.820124999999997</v>
      </c>
      <c r="M956" s="4">
        <v>18.101624999999999</v>
      </c>
      <c r="O956" s="4">
        <v>41.447249999999997</v>
      </c>
      <c r="Q956" s="183"/>
      <c r="R956" s="183"/>
      <c r="S956" s="183"/>
      <c r="AJ956" s="183"/>
      <c r="AK956" s="183"/>
      <c r="AL956" s="183"/>
    </row>
    <row r="957" spans="1:38">
      <c r="A957" s="188">
        <v>43297</v>
      </c>
      <c r="C957" s="4">
        <v>21.546624999999999</v>
      </c>
      <c r="D957" s="4">
        <v>57.389125</v>
      </c>
      <c r="E957" s="4">
        <v>20.75</v>
      </c>
      <c r="G957" s="4">
        <v>20.916666666699999</v>
      </c>
      <c r="I957" s="4">
        <v>17.291499999999999</v>
      </c>
      <c r="J957" s="4">
        <v>53.053125000000001</v>
      </c>
      <c r="M957" s="4">
        <v>19.227374999999999</v>
      </c>
      <c r="O957" s="4">
        <v>36.9495</v>
      </c>
      <c r="Q957" s="183"/>
      <c r="R957" s="183"/>
      <c r="S957" s="183"/>
      <c r="AJ957" s="183"/>
    </row>
    <row r="958" spans="1:38">
      <c r="A958" s="188">
        <v>43298</v>
      </c>
      <c r="C958" s="4">
        <v>21.422000000000001</v>
      </c>
      <c r="D958" s="4">
        <v>59.639375000000001</v>
      </c>
      <c r="E958" s="4">
        <v>20.333333333300001</v>
      </c>
      <c r="G958" s="4">
        <v>20.583333333300001</v>
      </c>
      <c r="I958" s="4">
        <v>16.290749999999999</v>
      </c>
      <c r="J958" s="4">
        <v>63.088000000000001</v>
      </c>
      <c r="M958" s="4">
        <v>17.538374999999998</v>
      </c>
      <c r="O958" s="4">
        <v>52.1905</v>
      </c>
      <c r="Q958" s="183"/>
      <c r="R958" s="183"/>
      <c r="S958" s="183"/>
    </row>
    <row r="959" spans="1:38">
      <c r="A959" s="188">
        <v>43299</v>
      </c>
      <c r="C959" s="4">
        <v>18.358374999999999</v>
      </c>
      <c r="D959" s="4">
        <v>78.853624999999994</v>
      </c>
      <c r="E959" s="4">
        <v>18.083333333300001</v>
      </c>
      <c r="G959" s="4">
        <v>16.583333333300001</v>
      </c>
      <c r="I959" s="4">
        <v>14.226125</v>
      </c>
      <c r="J959" s="4">
        <v>78.606125000000006</v>
      </c>
      <c r="M959" s="4">
        <v>12.843500000000001</v>
      </c>
      <c r="O959" s="4">
        <v>81.301374999999993</v>
      </c>
      <c r="Q959" s="183"/>
      <c r="R959" s="183"/>
      <c r="S959" s="183"/>
    </row>
    <row r="960" spans="1:38">
      <c r="A960" s="188">
        <v>43300</v>
      </c>
      <c r="C960" s="4">
        <v>15.291625</v>
      </c>
      <c r="D960" s="4">
        <v>85.357749999999996</v>
      </c>
      <c r="E960" s="4">
        <v>15.666666666699999</v>
      </c>
      <c r="G960" s="4">
        <v>13.083333333300001</v>
      </c>
      <c r="I960" s="4">
        <v>10.843875000000001</v>
      </c>
      <c r="J960" s="4">
        <v>90.506249999999994</v>
      </c>
      <c r="M960" s="4">
        <v>8.2078749999999996</v>
      </c>
      <c r="O960" s="4">
        <v>100.21837499999999</v>
      </c>
      <c r="Q960" s="183"/>
      <c r="R960" s="183"/>
      <c r="S960" s="183"/>
    </row>
    <row r="961" spans="1:38">
      <c r="A961" s="188">
        <v>43301</v>
      </c>
      <c r="C961" s="4">
        <v>14.9155</v>
      </c>
      <c r="D961" s="4">
        <v>76.814750000000004</v>
      </c>
      <c r="E961" s="4">
        <v>14.416666666699999</v>
      </c>
      <c r="G961" s="4">
        <v>11</v>
      </c>
      <c r="I961" s="4">
        <v>8.9009999999999998</v>
      </c>
      <c r="J961" s="4">
        <v>91.447125</v>
      </c>
      <c r="M961" s="4">
        <v>6.0763749999999996</v>
      </c>
      <c r="O961" s="4">
        <v>101.578875</v>
      </c>
      <c r="Q961" s="183"/>
      <c r="R961" s="183"/>
      <c r="S961" s="183"/>
    </row>
    <row r="962" spans="1:38">
      <c r="A962" s="188">
        <v>43302</v>
      </c>
      <c r="C962" s="4">
        <v>14.788875000000001</v>
      </c>
      <c r="D962" s="4">
        <v>72.981250000000003</v>
      </c>
      <c r="E962" s="4">
        <v>13.833333333300001</v>
      </c>
      <c r="G962" s="4">
        <v>11.333333333300001</v>
      </c>
      <c r="I962" s="4">
        <v>9.7140000000000004</v>
      </c>
      <c r="J962" s="4">
        <v>79.736249999999998</v>
      </c>
      <c r="M962" s="4">
        <v>8.0815000000000001</v>
      </c>
      <c r="O962" s="4">
        <v>81.873874999999998</v>
      </c>
      <c r="Q962" s="183"/>
      <c r="R962" s="183"/>
      <c r="S962" s="183"/>
    </row>
    <row r="963" spans="1:38">
      <c r="A963" s="188">
        <v>43303</v>
      </c>
      <c r="C963" s="4">
        <v>18.355374999999999</v>
      </c>
      <c r="D963" s="4">
        <v>70.034374999999997</v>
      </c>
      <c r="E963" s="4">
        <v>17.583333333300001</v>
      </c>
      <c r="G963" s="4">
        <v>17.083333333300001</v>
      </c>
      <c r="I963" s="4">
        <v>14.349</v>
      </c>
      <c r="J963" s="4">
        <v>68.099374999999995</v>
      </c>
      <c r="M963" s="4">
        <v>13.907249999999999</v>
      </c>
      <c r="O963" s="4">
        <v>64.585750000000004</v>
      </c>
      <c r="Q963" s="183"/>
      <c r="R963" s="183"/>
      <c r="S963" s="183"/>
    </row>
    <row r="964" spans="1:38">
      <c r="A964" s="188">
        <v>43304</v>
      </c>
      <c r="C964" s="4">
        <v>20.734124999999999</v>
      </c>
      <c r="D964" s="4">
        <v>68.545000000000002</v>
      </c>
      <c r="E964" s="4">
        <v>19.833333333300001</v>
      </c>
      <c r="G964" s="4">
        <v>19.833333333300001</v>
      </c>
      <c r="I964" s="4">
        <v>16.478249999999999</v>
      </c>
      <c r="J964" s="4">
        <v>64.179500000000004</v>
      </c>
      <c r="M964" s="4">
        <v>16.59975</v>
      </c>
      <c r="O964" s="4">
        <v>58.892749999999999</v>
      </c>
      <c r="Q964" s="183"/>
      <c r="R964" s="183"/>
      <c r="S964" s="183"/>
    </row>
    <row r="965" spans="1:38">
      <c r="A965" s="188">
        <v>43305</v>
      </c>
      <c r="C965" s="4">
        <v>20.984500000000001</v>
      </c>
      <c r="D965" s="4">
        <v>66.715625000000003</v>
      </c>
      <c r="E965" s="4">
        <v>20.333333333300001</v>
      </c>
      <c r="G965" s="4">
        <v>19.416666666699999</v>
      </c>
      <c r="I965" s="4">
        <v>15.8518333333</v>
      </c>
      <c r="J965" s="4">
        <v>68.373833333299999</v>
      </c>
      <c r="M965" s="4">
        <v>16.4115</v>
      </c>
      <c r="O965" s="4">
        <v>62.602375000000002</v>
      </c>
      <c r="Q965" s="183"/>
      <c r="R965" s="183"/>
      <c r="S965" s="183"/>
    </row>
    <row r="966" spans="1:38">
      <c r="A966" s="188">
        <v>43306</v>
      </c>
      <c r="C966" s="4">
        <v>17.106999999999999</v>
      </c>
      <c r="D966" s="4">
        <v>84.460250000000002</v>
      </c>
      <c r="E966" s="4">
        <v>19.625</v>
      </c>
      <c r="G966" s="4">
        <v>20.166666666699999</v>
      </c>
      <c r="M966" s="4">
        <v>17.225375</v>
      </c>
      <c r="O966" s="4">
        <v>58.863</v>
      </c>
      <c r="Q966" s="183"/>
      <c r="R966" s="183"/>
      <c r="S966" s="183"/>
    </row>
    <row r="967" spans="1:38">
      <c r="A967" s="188">
        <v>43307</v>
      </c>
      <c r="G967" s="4">
        <v>20.5</v>
      </c>
      <c r="M967" s="4">
        <v>17.663374999999998</v>
      </c>
      <c r="O967" s="4">
        <v>52.6755</v>
      </c>
      <c r="Q967" s="183"/>
      <c r="R967" s="183"/>
      <c r="S967" s="183"/>
    </row>
    <row r="968" spans="1:38">
      <c r="A968" s="188">
        <v>43308</v>
      </c>
      <c r="G968" s="4">
        <v>20.75</v>
      </c>
      <c r="M968" s="4">
        <v>18.414375</v>
      </c>
      <c r="O968" s="4">
        <v>46.048375</v>
      </c>
      <c r="Q968" s="183"/>
      <c r="R968" s="183"/>
      <c r="S968" s="183"/>
    </row>
    <row r="969" spans="1:38">
      <c r="A969" s="188">
        <v>43309</v>
      </c>
      <c r="G969" s="4">
        <v>20.833333333300001</v>
      </c>
      <c r="M969" s="4">
        <v>18.977374999999999</v>
      </c>
      <c r="O969" s="4">
        <v>50.702125000000002</v>
      </c>
      <c r="Q969" s="183"/>
      <c r="R969" s="183"/>
      <c r="S969" s="183"/>
      <c r="AK969" s="183"/>
      <c r="AL969" s="183"/>
    </row>
    <row r="970" spans="1:38">
      <c r="A970" s="188">
        <v>43310</v>
      </c>
      <c r="G970" s="4">
        <v>23.583333333300001</v>
      </c>
      <c r="M970" s="4">
        <v>20.916250000000002</v>
      </c>
      <c r="O970" s="4">
        <v>36.026375000000002</v>
      </c>
      <c r="Q970" s="183"/>
      <c r="R970" s="183"/>
      <c r="S970" s="183"/>
      <c r="AJ970" s="183"/>
      <c r="AK970" s="183"/>
      <c r="AL970" s="183"/>
    </row>
    <row r="971" spans="1:38">
      <c r="A971" s="188">
        <v>43311</v>
      </c>
      <c r="G971" s="4">
        <v>25.25</v>
      </c>
      <c r="M971" s="4">
        <v>22.417375</v>
      </c>
      <c r="O971" s="4">
        <v>34.630125</v>
      </c>
      <c r="Q971" s="183"/>
      <c r="R971" s="183"/>
      <c r="S971" s="183"/>
      <c r="AJ971" s="183"/>
      <c r="AK971" s="183"/>
      <c r="AL971" s="183"/>
    </row>
    <row r="972" spans="1:38">
      <c r="A972" s="188">
        <v>43312</v>
      </c>
      <c r="G972" s="4">
        <v>21.75</v>
      </c>
      <c r="M972" s="4">
        <v>19.290125</v>
      </c>
      <c r="O972" s="4">
        <v>56.674875</v>
      </c>
      <c r="Q972" s="183"/>
      <c r="R972" s="183"/>
      <c r="S972" s="183"/>
      <c r="AJ972" s="183"/>
      <c r="AK972" s="183"/>
      <c r="AL972" s="183"/>
    </row>
    <row r="973" spans="1:38">
      <c r="A973" s="188">
        <v>43313</v>
      </c>
      <c r="G973" s="4">
        <v>17.416666666699999</v>
      </c>
      <c r="M973" s="4">
        <v>13.970750000000001</v>
      </c>
      <c r="O973" s="4">
        <v>73.461250000000007</v>
      </c>
      <c r="Q973" s="183"/>
      <c r="R973" s="183"/>
      <c r="S973" s="183"/>
      <c r="AJ973" s="183"/>
    </row>
    <row r="974" spans="1:38">
      <c r="A974" s="188">
        <v>43314</v>
      </c>
      <c r="G974" s="4">
        <v>12.916666666699999</v>
      </c>
      <c r="M974" s="4">
        <v>8.3956250000000008</v>
      </c>
      <c r="O974" s="4">
        <v>94.925749999999994</v>
      </c>
      <c r="Q974" s="183"/>
      <c r="R974" s="183"/>
      <c r="S974" s="183"/>
    </row>
    <row r="975" spans="1:38">
      <c r="A975" s="188">
        <v>43315</v>
      </c>
      <c r="G975" s="4">
        <v>11.083333333300001</v>
      </c>
      <c r="M975" s="4">
        <v>6.8286249999999997</v>
      </c>
      <c r="O975" s="4">
        <v>105.014</v>
      </c>
      <c r="Q975" s="183"/>
      <c r="R975" s="183"/>
      <c r="S975" s="183"/>
    </row>
    <row r="976" spans="1:38">
      <c r="A976" s="188">
        <v>43316</v>
      </c>
      <c r="G976" s="4">
        <v>14.5</v>
      </c>
      <c r="M976" s="4">
        <v>11.088749999999999</v>
      </c>
      <c r="O976" s="4">
        <v>89.101124999999996</v>
      </c>
      <c r="Q976" s="183"/>
      <c r="R976" s="183"/>
      <c r="S976" s="183"/>
    </row>
    <row r="977" spans="1:19">
      <c r="A977" s="188">
        <v>43317</v>
      </c>
      <c r="G977" s="4">
        <v>17.333333333300001</v>
      </c>
      <c r="M977" s="4">
        <v>14.721625</v>
      </c>
      <c r="O977" s="4">
        <v>68.159499999999994</v>
      </c>
      <c r="Q977" s="183"/>
      <c r="R977" s="183"/>
      <c r="S977" s="183"/>
    </row>
    <row r="978" spans="1:19">
      <c r="A978" s="188">
        <v>43318</v>
      </c>
      <c r="G978" s="4">
        <v>20</v>
      </c>
      <c r="M978" s="4">
        <v>16.912624999999998</v>
      </c>
      <c r="O978" s="4">
        <v>60.100499999999997</v>
      </c>
      <c r="Q978" s="183"/>
      <c r="R978" s="183"/>
      <c r="S978" s="183"/>
    </row>
    <row r="979" spans="1:19">
      <c r="A979" s="188">
        <v>43319</v>
      </c>
      <c r="G979" s="4">
        <v>20</v>
      </c>
      <c r="M979" s="4">
        <v>17.975750000000001</v>
      </c>
      <c r="O979" s="4">
        <v>48.015875000000001</v>
      </c>
      <c r="Q979" s="183"/>
      <c r="R979" s="183"/>
      <c r="S979" s="183"/>
    </row>
    <row r="980" spans="1:19">
      <c r="A980" s="188">
        <v>43320</v>
      </c>
      <c r="G980" s="4">
        <v>23.25</v>
      </c>
      <c r="M980" s="4">
        <v>20.7285</v>
      </c>
      <c r="O980" s="4">
        <v>45.387</v>
      </c>
      <c r="Q980" s="183"/>
      <c r="R980" s="183"/>
      <c r="S980" s="183"/>
    </row>
    <row r="981" spans="1:19">
      <c r="A981" s="188">
        <v>43321</v>
      </c>
      <c r="G981" s="4">
        <v>23.166666666699999</v>
      </c>
      <c r="M981" s="4">
        <v>20.728874999999999</v>
      </c>
      <c r="O981" s="4">
        <v>48.8765</v>
      </c>
      <c r="Q981" s="183"/>
      <c r="R981" s="183"/>
      <c r="S981" s="183"/>
    </row>
    <row r="982" spans="1:19">
      <c r="A982" s="188">
        <v>43322</v>
      </c>
      <c r="G982" s="4">
        <v>22.333333333300001</v>
      </c>
      <c r="M982" s="4">
        <v>19.915624999999999</v>
      </c>
      <c r="O982" s="4">
        <v>51.638375000000003</v>
      </c>
      <c r="Q982" s="183"/>
      <c r="R982" s="183"/>
      <c r="S982" s="183"/>
    </row>
    <row r="983" spans="1:19">
      <c r="A983" s="188">
        <v>43323</v>
      </c>
      <c r="G983" s="4">
        <v>13.583333333300001</v>
      </c>
      <c r="M983" s="4">
        <v>9.0847499999999997</v>
      </c>
      <c r="O983" s="4">
        <v>98.277749999999997</v>
      </c>
      <c r="Q983" s="183"/>
      <c r="R983" s="183"/>
      <c r="S983" s="183"/>
    </row>
    <row r="984" spans="1:19">
      <c r="A984" s="188">
        <v>43324</v>
      </c>
      <c r="G984" s="4">
        <v>11.75</v>
      </c>
      <c r="M984" s="4">
        <v>8.0196249999999996</v>
      </c>
      <c r="O984" s="4">
        <v>104.67400000000001</v>
      </c>
      <c r="Q984" s="183"/>
      <c r="R984" s="183"/>
      <c r="S984" s="183"/>
    </row>
    <row r="985" spans="1:19">
      <c r="A985" s="188">
        <v>43325</v>
      </c>
      <c r="G985" s="4">
        <v>15.416666666699999</v>
      </c>
      <c r="M985" s="4">
        <v>14.784625</v>
      </c>
      <c r="O985" s="4">
        <v>57.455624999999998</v>
      </c>
      <c r="Q985" s="183"/>
      <c r="R985" s="183"/>
      <c r="S985" s="183"/>
    </row>
    <row r="986" spans="1:19">
      <c r="A986" s="188">
        <v>43326</v>
      </c>
      <c r="G986" s="4">
        <v>19.666666666699999</v>
      </c>
      <c r="M986" s="4">
        <v>17.788374999999998</v>
      </c>
      <c r="O986" s="4">
        <v>42.675750000000001</v>
      </c>
      <c r="Q986" s="183"/>
      <c r="R986" s="183"/>
      <c r="S986" s="183"/>
    </row>
    <row r="987" spans="1:19">
      <c r="A987" s="188">
        <v>43327</v>
      </c>
      <c r="G987" s="4">
        <v>19.916666666699999</v>
      </c>
      <c r="M987" s="4">
        <v>17.287875</v>
      </c>
      <c r="O987" s="4">
        <v>51.578749999999999</v>
      </c>
      <c r="Q987" s="183"/>
      <c r="R987" s="183"/>
      <c r="S987" s="183"/>
    </row>
    <row r="988" spans="1:19">
      <c r="A988" s="188">
        <v>43328</v>
      </c>
      <c r="G988" s="4">
        <v>18.416666666699999</v>
      </c>
      <c r="M988" s="4">
        <v>16.0365</v>
      </c>
      <c r="O988" s="4">
        <v>67.395624999999995</v>
      </c>
      <c r="Q988" s="183"/>
      <c r="R988" s="183"/>
      <c r="S988" s="183"/>
    </row>
    <row r="989" spans="1:19">
      <c r="A989" s="188">
        <v>43329</v>
      </c>
      <c r="G989" s="4">
        <v>15.333333333300001</v>
      </c>
      <c r="M989" s="4">
        <v>13.281625</v>
      </c>
      <c r="O989" s="4">
        <v>74.509249999999994</v>
      </c>
      <c r="Q989" s="183"/>
      <c r="R989" s="183"/>
      <c r="S989" s="183"/>
    </row>
    <row r="990" spans="1:19">
      <c r="A990" s="188">
        <v>43330</v>
      </c>
      <c r="G990" s="4">
        <v>14.75</v>
      </c>
      <c r="M990" s="4">
        <v>15.409625</v>
      </c>
      <c r="O990" s="4">
        <v>53.26</v>
      </c>
      <c r="Q990" s="183"/>
      <c r="R990" s="183"/>
      <c r="S990" s="183"/>
    </row>
    <row r="991" spans="1:19">
      <c r="A991" s="188">
        <v>43331</v>
      </c>
      <c r="G991" s="4">
        <v>17.583333333300001</v>
      </c>
      <c r="M991" s="4">
        <v>17.78875</v>
      </c>
      <c r="O991" s="4">
        <v>43.844499999999996</v>
      </c>
      <c r="Q991" s="183"/>
      <c r="R991" s="183"/>
      <c r="S991" s="183"/>
    </row>
    <row r="992" spans="1:19">
      <c r="A992" s="188">
        <v>43332</v>
      </c>
      <c r="G992" s="4">
        <v>19.833333333300001</v>
      </c>
      <c r="M992" s="4">
        <v>16.224250000000001</v>
      </c>
      <c r="O992" s="4">
        <v>41.488875</v>
      </c>
      <c r="Q992" s="183"/>
      <c r="R992" s="183"/>
      <c r="S992" s="183"/>
    </row>
    <row r="993" spans="1:38">
      <c r="A993" s="188">
        <v>43333</v>
      </c>
      <c r="G993" s="4">
        <v>20.333333333300001</v>
      </c>
      <c r="M993" s="4">
        <v>17.600999999999999</v>
      </c>
      <c r="O993" s="4">
        <v>41.305374999999998</v>
      </c>
      <c r="Q993" s="183"/>
      <c r="R993" s="183"/>
      <c r="S993" s="183"/>
    </row>
    <row r="994" spans="1:38">
      <c r="A994" s="188">
        <v>43334</v>
      </c>
      <c r="G994" s="4">
        <v>20.25</v>
      </c>
      <c r="M994" s="4">
        <v>17.413125000000001</v>
      </c>
      <c r="O994" s="4">
        <v>46.612625000000001</v>
      </c>
      <c r="Q994" s="183"/>
      <c r="R994" s="183"/>
      <c r="S994" s="183"/>
    </row>
    <row r="995" spans="1:38">
      <c r="A995" s="188">
        <v>43335</v>
      </c>
      <c r="G995" s="4">
        <v>14.833333333300001</v>
      </c>
      <c r="M995" s="4">
        <v>9.7117500000000003</v>
      </c>
      <c r="O995" s="4">
        <v>85.953125</v>
      </c>
      <c r="Q995" s="183"/>
      <c r="R995" s="183"/>
      <c r="S995" s="183"/>
    </row>
    <row r="996" spans="1:38">
      <c r="A996" s="188">
        <v>43336</v>
      </c>
      <c r="G996" s="4">
        <v>10.25</v>
      </c>
      <c r="M996" s="4">
        <v>5.5123749999999996</v>
      </c>
      <c r="O996" s="4">
        <v>103.020375</v>
      </c>
      <c r="Q996" s="183"/>
      <c r="R996" s="183"/>
      <c r="S996" s="183"/>
    </row>
    <row r="997" spans="1:38">
      <c r="A997" s="188">
        <v>43337</v>
      </c>
      <c r="G997" s="4">
        <v>9.1666666666700003</v>
      </c>
      <c r="M997" s="4">
        <v>5.0107499999999998</v>
      </c>
      <c r="O997" s="4">
        <v>104.00475</v>
      </c>
      <c r="Q997" s="183"/>
      <c r="R997" s="183"/>
      <c r="S997" s="183"/>
    </row>
    <row r="998" spans="1:38">
      <c r="A998" s="188">
        <v>43338</v>
      </c>
      <c r="G998" s="4">
        <v>8.5</v>
      </c>
      <c r="M998" s="4">
        <v>4.4467499999999998</v>
      </c>
      <c r="O998" s="4">
        <v>106.15825</v>
      </c>
      <c r="Q998" s="183"/>
      <c r="R998" s="183"/>
      <c r="S998" s="183"/>
    </row>
    <row r="999" spans="1:38">
      <c r="A999" s="188">
        <v>43339</v>
      </c>
      <c r="G999" s="4">
        <v>10.25</v>
      </c>
      <c r="M999" s="4">
        <v>7.5802500000000004</v>
      </c>
      <c r="O999" s="4">
        <v>81.324624999999997</v>
      </c>
      <c r="Q999" s="183"/>
      <c r="R999" s="183"/>
      <c r="S999" s="183"/>
    </row>
    <row r="1000" spans="1:38">
      <c r="A1000" s="188">
        <v>43340</v>
      </c>
      <c r="G1000" s="4">
        <v>13.416666666699999</v>
      </c>
      <c r="M1000" s="4">
        <v>11.27725</v>
      </c>
      <c r="O1000" s="4">
        <v>67.335624999999993</v>
      </c>
      <c r="Q1000" s="183"/>
      <c r="R1000" s="183"/>
      <c r="S1000" s="183"/>
    </row>
    <row r="1001" spans="1:38">
      <c r="A1001" s="188">
        <v>43341</v>
      </c>
      <c r="G1001" s="4">
        <v>12.25</v>
      </c>
      <c r="M1001" s="4">
        <v>8.3957499999999996</v>
      </c>
      <c r="O1001" s="4">
        <v>91.577875000000006</v>
      </c>
      <c r="Q1001" s="183"/>
      <c r="R1001" s="183"/>
      <c r="S1001" s="183"/>
    </row>
    <row r="1002" spans="1:38">
      <c r="A1002" s="188">
        <v>43342</v>
      </c>
      <c r="G1002" s="4">
        <v>11.166666666699999</v>
      </c>
      <c r="M1002" s="4">
        <v>6.1392499999999997</v>
      </c>
      <c r="O1002" s="4">
        <v>102.649</v>
      </c>
      <c r="Q1002" s="183"/>
    </row>
    <row r="1003" spans="1:38">
      <c r="A1003" s="188">
        <v>43343</v>
      </c>
      <c r="G1003" s="4">
        <v>11.333333333300001</v>
      </c>
      <c r="M1003" s="4">
        <v>6.327375</v>
      </c>
      <c r="O1003" s="4">
        <v>102.04</v>
      </c>
      <c r="R1003" s="183"/>
      <c r="S1003" s="183"/>
    </row>
    <row r="1004" spans="1:38">
      <c r="A1004" s="188">
        <v>43344</v>
      </c>
      <c r="G1004" s="4">
        <v>10.166666666699999</v>
      </c>
      <c r="M1004" s="4">
        <v>5.1987500000000004</v>
      </c>
      <c r="O1004" s="4">
        <v>104.025125</v>
      </c>
      <c r="Q1004" s="183"/>
      <c r="R1004" s="183"/>
      <c r="S1004" s="183"/>
    </row>
    <row r="1005" spans="1:38">
      <c r="A1005" s="188">
        <v>43345</v>
      </c>
      <c r="G1005" s="4">
        <v>10.666666666699999</v>
      </c>
      <c r="M1005" s="4">
        <v>7.0166250000000003</v>
      </c>
      <c r="O1005" s="4">
        <v>89.540750000000003</v>
      </c>
      <c r="Q1005" s="183"/>
      <c r="R1005" s="183"/>
      <c r="S1005" s="183"/>
      <c r="AK1005" s="183"/>
      <c r="AL1005" s="183"/>
    </row>
    <row r="1006" spans="1:38">
      <c r="A1006" s="188">
        <v>43346</v>
      </c>
      <c r="G1006" s="4">
        <v>11.083333333300001</v>
      </c>
      <c r="M1006" s="4">
        <v>6.640625</v>
      </c>
      <c r="O1006" s="4">
        <v>96.811875000000001</v>
      </c>
      <c r="Q1006" s="183"/>
      <c r="R1006" s="183"/>
      <c r="S1006" s="183"/>
      <c r="AJ1006" s="183"/>
      <c r="AK1006" s="183"/>
      <c r="AL1006" s="183"/>
    </row>
    <row r="1007" spans="1:38">
      <c r="A1007" s="188">
        <v>43347</v>
      </c>
      <c r="G1007" s="4">
        <v>12.5</v>
      </c>
      <c r="M1007" s="4">
        <v>7.9442000000000004</v>
      </c>
      <c r="O1007" s="4">
        <v>69.552999999999997</v>
      </c>
      <c r="Q1007" s="183"/>
      <c r="R1007" s="183"/>
      <c r="S1007" s="183"/>
      <c r="AJ1007" s="183"/>
      <c r="AK1007" s="183"/>
      <c r="AL1007" s="183"/>
    </row>
    <row r="1008" spans="1:38">
      <c r="A1008" s="188">
        <v>43348</v>
      </c>
      <c r="Q1008" s="183"/>
      <c r="R1008" s="183"/>
      <c r="S1008" s="183"/>
      <c r="AJ1008" s="183"/>
      <c r="AK1008" s="183"/>
      <c r="AL1008" s="183"/>
    </row>
    <row r="1009" spans="1:38">
      <c r="A1009" s="188">
        <v>43349</v>
      </c>
      <c r="Q1009" s="183"/>
      <c r="R1009" s="183"/>
      <c r="S1009" s="183"/>
      <c r="AJ1009" s="183"/>
    </row>
    <row r="1010" spans="1:38">
      <c r="A1010" s="188">
        <v>43350</v>
      </c>
      <c r="Q1010" s="183"/>
      <c r="R1010" s="183"/>
      <c r="S1010" s="183"/>
    </row>
    <row r="1011" spans="1:38">
      <c r="A1011" s="188">
        <v>43351</v>
      </c>
      <c r="Q1011" s="183"/>
      <c r="R1011" s="183"/>
      <c r="S1011" s="183"/>
    </row>
    <row r="1012" spans="1:38">
      <c r="A1012" s="188">
        <v>43352</v>
      </c>
      <c r="Q1012" s="183"/>
      <c r="R1012" s="183"/>
      <c r="S1012" s="183"/>
    </row>
    <row r="1013" spans="1:38">
      <c r="A1013" s="188">
        <v>43353</v>
      </c>
      <c r="Q1013" s="183"/>
      <c r="R1013" s="183"/>
      <c r="S1013" s="183"/>
      <c r="AK1013" s="183"/>
      <c r="AL1013" s="183"/>
    </row>
    <row r="1014" spans="1:38">
      <c r="A1014" s="188">
        <v>43354</v>
      </c>
      <c r="Q1014" s="183"/>
      <c r="R1014" s="183"/>
      <c r="S1014" s="183"/>
      <c r="AJ1014" s="183"/>
      <c r="AK1014" s="183"/>
      <c r="AL1014" s="183"/>
    </row>
    <row r="1015" spans="1:38">
      <c r="A1015" s="188">
        <v>43355</v>
      </c>
      <c r="Q1015" s="183"/>
      <c r="R1015" s="183"/>
      <c r="S1015" s="183"/>
      <c r="AJ1015" s="183"/>
      <c r="AK1015" s="183"/>
      <c r="AL1015" s="183"/>
    </row>
    <row r="1016" spans="1:38">
      <c r="A1016" s="188">
        <v>43356</v>
      </c>
      <c r="Q1016" s="183"/>
      <c r="R1016" s="183"/>
      <c r="S1016" s="183"/>
      <c r="AJ1016" s="183"/>
      <c r="AK1016" s="183"/>
      <c r="AL1016" s="183"/>
    </row>
    <row r="1017" spans="1:38">
      <c r="A1017" s="188">
        <v>43357</v>
      </c>
      <c r="Q1017" s="183"/>
      <c r="R1017" s="183"/>
      <c r="S1017" s="183"/>
      <c r="AJ1017" s="183"/>
      <c r="AK1017" s="183"/>
      <c r="AL1017" s="183"/>
    </row>
    <row r="1018" spans="1:38">
      <c r="A1018" s="188">
        <v>43358</v>
      </c>
      <c r="Q1018" s="183"/>
      <c r="R1018" s="183"/>
      <c r="S1018" s="183"/>
      <c r="AJ1018" s="183"/>
      <c r="AK1018" s="183"/>
      <c r="AL1018" s="183"/>
    </row>
    <row r="1019" spans="1:38">
      <c r="A1019" s="188">
        <v>43359</v>
      </c>
      <c r="Q1019" s="183"/>
      <c r="R1019" s="183"/>
      <c r="S1019" s="183"/>
      <c r="AJ1019" s="183"/>
      <c r="AK1019" s="183"/>
      <c r="AL1019" s="183"/>
    </row>
    <row r="1020" spans="1:38">
      <c r="A1020" s="188">
        <v>43360</v>
      </c>
      <c r="Q1020" s="183"/>
      <c r="R1020" s="183"/>
      <c r="S1020" s="183"/>
      <c r="AJ1020" s="183"/>
      <c r="AK1020" s="183"/>
      <c r="AL1020" s="183"/>
    </row>
    <row r="1021" spans="1:38">
      <c r="A1021" s="188">
        <v>43361</v>
      </c>
      <c r="Q1021" s="183"/>
      <c r="R1021" s="183"/>
      <c r="S1021" s="183"/>
      <c r="AJ1021" s="183"/>
    </row>
    <row r="1022" spans="1:38">
      <c r="A1022" s="188">
        <v>43362</v>
      </c>
      <c r="Q1022" s="183"/>
      <c r="R1022" s="183"/>
      <c r="S1022" s="183"/>
    </row>
    <row r="1023" spans="1:38">
      <c r="A1023" s="188">
        <v>43363</v>
      </c>
      <c r="Q1023" s="183"/>
      <c r="R1023" s="183"/>
      <c r="S1023" s="183"/>
    </row>
    <row r="1024" spans="1:38">
      <c r="A1024" s="188">
        <v>43364</v>
      </c>
      <c r="Q1024" s="183"/>
      <c r="R1024" s="183"/>
      <c r="S1024" s="183"/>
    </row>
    <row r="1025" spans="1:38">
      <c r="A1025" s="188">
        <v>43365</v>
      </c>
      <c r="Q1025" s="183"/>
      <c r="R1025" s="183"/>
      <c r="S1025" s="183"/>
      <c r="AK1025" s="183"/>
      <c r="AL1025" s="183"/>
    </row>
    <row r="1026" spans="1:38">
      <c r="A1026" s="188">
        <v>43366</v>
      </c>
      <c r="Q1026" s="183"/>
      <c r="R1026" s="183"/>
      <c r="S1026" s="183"/>
      <c r="AJ1026" s="183"/>
      <c r="AK1026" s="183"/>
      <c r="AL1026" s="183"/>
    </row>
    <row r="1027" spans="1:38">
      <c r="A1027" s="188">
        <v>43367</v>
      </c>
      <c r="Q1027" s="183"/>
      <c r="R1027" s="183"/>
      <c r="S1027" s="183"/>
      <c r="AJ1027" s="183"/>
      <c r="AK1027" s="183"/>
      <c r="AL1027" s="183"/>
    </row>
    <row r="1028" spans="1:38">
      <c r="A1028" s="188">
        <v>43368</v>
      </c>
      <c r="Q1028" s="183"/>
      <c r="R1028" s="183"/>
      <c r="S1028" s="183"/>
      <c r="AJ1028" s="183"/>
      <c r="AK1028" s="183"/>
      <c r="AL1028" s="183"/>
    </row>
    <row r="1029" spans="1:38">
      <c r="A1029" s="188">
        <v>43369</v>
      </c>
      <c r="Q1029" s="183"/>
      <c r="R1029" s="183"/>
      <c r="S1029" s="183"/>
      <c r="AJ1029" s="183"/>
    </row>
    <row r="1030" spans="1:38">
      <c r="A1030" s="188">
        <v>43370</v>
      </c>
      <c r="Q1030" s="183"/>
      <c r="R1030" s="183"/>
      <c r="S1030" s="183"/>
    </row>
    <row r="1031" spans="1:38">
      <c r="A1031" s="188">
        <v>43371</v>
      </c>
      <c r="Q1031" s="183"/>
      <c r="R1031" s="183"/>
      <c r="S1031" s="183"/>
    </row>
    <row r="1032" spans="1:38">
      <c r="A1032" s="188">
        <v>43372</v>
      </c>
      <c r="Q1032" s="183"/>
      <c r="R1032" s="183"/>
      <c r="S1032" s="183"/>
    </row>
    <row r="1033" spans="1:38">
      <c r="A1033" s="188">
        <v>43373</v>
      </c>
      <c r="Q1033" s="183"/>
      <c r="R1033" s="183"/>
      <c r="S1033" s="183"/>
    </row>
    <row r="1034" spans="1:38">
      <c r="A1034" s="182"/>
      <c r="Q1034" s="183"/>
      <c r="R1034" s="183"/>
      <c r="S1034" s="183"/>
    </row>
    <row r="1035" spans="1:38">
      <c r="A1035" s="182"/>
      <c r="Q1035" s="183"/>
      <c r="R1035" s="183"/>
      <c r="S1035" s="183"/>
    </row>
    <row r="1036" spans="1:38">
      <c r="A1036" s="182"/>
      <c r="Q1036" s="183"/>
      <c r="R1036" s="183"/>
      <c r="S1036" s="183"/>
    </row>
    <row r="1037" spans="1:38">
      <c r="A1037" s="182"/>
      <c r="Q1037" s="183"/>
      <c r="R1037" s="183"/>
      <c r="S1037" s="183"/>
    </row>
    <row r="1038" spans="1:38">
      <c r="A1038" s="182"/>
      <c r="Q1038" s="183"/>
      <c r="R1038" s="183"/>
      <c r="S1038" s="183"/>
    </row>
    <row r="1039" spans="1:38">
      <c r="A1039" s="182"/>
      <c r="Q1039" s="183"/>
      <c r="R1039" s="183"/>
      <c r="S1039" s="183"/>
    </row>
    <row r="1040" spans="1:38">
      <c r="A1040" s="182"/>
      <c r="Q1040" s="183"/>
      <c r="R1040" s="183"/>
      <c r="S1040" s="183"/>
    </row>
    <row r="1041" spans="1:38">
      <c r="A1041" s="182"/>
      <c r="Q1041" s="183"/>
      <c r="R1041" s="183"/>
      <c r="S1041" s="183"/>
      <c r="AK1041" s="183"/>
      <c r="AL1041" s="183"/>
    </row>
    <row r="1042" spans="1:38">
      <c r="A1042" s="182"/>
      <c r="Q1042" s="183"/>
      <c r="R1042" s="183"/>
      <c r="S1042" s="183"/>
      <c r="AJ1042" s="183"/>
      <c r="AK1042" s="183"/>
      <c r="AL1042" s="183"/>
    </row>
    <row r="1043" spans="1:38">
      <c r="A1043" s="182"/>
      <c r="Q1043" s="183"/>
      <c r="R1043" s="183"/>
      <c r="S1043" s="183"/>
      <c r="AJ1043" s="183"/>
      <c r="AK1043" s="183"/>
      <c r="AL1043" s="183"/>
    </row>
    <row r="1044" spans="1:38">
      <c r="A1044" s="182"/>
      <c r="Q1044" s="183"/>
      <c r="R1044" s="183"/>
      <c r="S1044" s="183"/>
      <c r="AJ1044" s="183"/>
      <c r="AK1044" s="183"/>
      <c r="AL1044" s="183"/>
    </row>
    <row r="1045" spans="1:38">
      <c r="A1045" s="182"/>
      <c r="Q1045" s="183"/>
      <c r="R1045" s="183"/>
      <c r="S1045" s="183"/>
      <c r="AJ1045" s="183"/>
      <c r="AK1045" s="183"/>
      <c r="AL1045" s="183"/>
    </row>
    <row r="1046" spans="1:38">
      <c r="A1046" s="182"/>
      <c r="Q1046" s="183"/>
      <c r="R1046" s="183"/>
      <c r="S1046" s="183"/>
      <c r="AJ1046" s="183"/>
      <c r="AK1046" s="183"/>
      <c r="AL1046" s="183"/>
    </row>
    <row r="1047" spans="1:38">
      <c r="A1047" s="182"/>
      <c r="Q1047" s="183"/>
      <c r="R1047" s="183"/>
      <c r="S1047" s="183"/>
      <c r="AJ1047" s="183"/>
      <c r="AK1047" s="183"/>
      <c r="AL1047" s="183"/>
    </row>
    <row r="1048" spans="1:38">
      <c r="A1048" s="182"/>
      <c r="Q1048" s="183"/>
      <c r="R1048" s="183"/>
      <c r="S1048" s="183"/>
      <c r="AJ1048" s="183"/>
      <c r="AK1048" s="183"/>
      <c r="AL1048" s="183"/>
    </row>
    <row r="1049" spans="1:38">
      <c r="A1049" s="182"/>
      <c r="Q1049" s="183"/>
      <c r="R1049" s="183"/>
      <c r="S1049" s="183"/>
      <c r="AJ1049" s="183"/>
      <c r="AK1049" s="183"/>
      <c r="AL1049" s="183"/>
    </row>
    <row r="1050" spans="1:38">
      <c r="A1050" s="182"/>
      <c r="Q1050" s="183"/>
      <c r="R1050" s="183"/>
      <c r="S1050" s="183"/>
      <c r="AJ1050" s="183"/>
      <c r="AK1050" s="183"/>
      <c r="AL1050" s="183"/>
    </row>
    <row r="1051" spans="1:38">
      <c r="A1051" s="182"/>
      <c r="Q1051" s="183"/>
      <c r="R1051" s="183"/>
      <c r="S1051" s="183"/>
      <c r="AJ1051" s="183"/>
      <c r="AK1051" s="183"/>
      <c r="AL1051" s="183"/>
    </row>
    <row r="1052" spans="1:38">
      <c r="A1052" s="182"/>
      <c r="Q1052" s="183"/>
      <c r="R1052" s="183"/>
      <c r="S1052" s="183"/>
      <c r="AJ1052" s="183"/>
      <c r="AK1052" s="183"/>
      <c r="AL1052" s="183"/>
    </row>
    <row r="1053" spans="1:38">
      <c r="A1053" s="182"/>
      <c r="Q1053" s="183"/>
      <c r="R1053" s="183"/>
      <c r="S1053" s="183"/>
      <c r="AJ1053" s="183"/>
      <c r="AK1053" s="183"/>
      <c r="AL1053" s="183"/>
    </row>
    <row r="1054" spans="1:38">
      <c r="A1054" s="182"/>
      <c r="Q1054" s="183"/>
      <c r="R1054" s="183"/>
      <c r="S1054" s="183"/>
      <c r="AJ1054" s="183"/>
      <c r="AK1054" s="183"/>
      <c r="AL1054" s="183"/>
    </row>
    <row r="1055" spans="1:38">
      <c r="A1055" s="182"/>
      <c r="Q1055" s="183"/>
      <c r="R1055" s="183"/>
      <c r="S1055" s="183"/>
      <c r="AJ1055" s="183"/>
      <c r="AK1055" s="183"/>
      <c r="AL1055" s="183"/>
    </row>
    <row r="1056" spans="1:38">
      <c r="A1056" s="182"/>
      <c r="Q1056" s="183"/>
      <c r="R1056" s="183"/>
      <c r="S1056" s="183"/>
      <c r="AJ1056" s="183"/>
      <c r="AK1056" s="183"/>
      <c r="AL1056" s="183"/>
    </row>
    <row r="1057" spans="1:38">
      <c r="A1057" s="182"/>
      <c r="Q1057" s="183"/>
      <c r="R1057" s="183"/>
      <c r="S1057" s="183"/>
      <c r="AJ1057" s="183"/>
      <c r="AK1057" s="183"/>
      <c r="AL1057" s="183"/>
    </row>
    <row r="1058" spans="1:38">
      <c r="A1058" s="182"/>
      <c r="Q1058" s="183"/>
      <c r="R1058" s="183"/>
      <c r="S1058" s="183"/>
      <c r="AJ1058" s="183"/>
      <c r="AK1058" s="183"/>
      <c r="AL1058" s="183"/>
    </row>
    <row r="1059" spans="1:38">
      <c r="A1059" s="182"/>
      <c r="Q1059" s="183"/>
      <c r="R1059" s="183"/>
      <c r="S1059" s="183"/>
      <c r="AJ1059" s="183"/>
      <c r="AK1059" s="183"/>
      <c r="AL1059" s="183"/>
    </row>
    <row r="1060" spans="1:38">
      <c r="A1060" s="182"/>
      <c r="Q1060" s="183"/>
      <c r="R1060" s="183"/>
      <c r="S1060" s="183"/>
      <c r="AJ1060" s="183"/>
      <c r="AK1060" s="183"/>
      <c r="AL1060" s="183"/>
    </row>
    <row r="1061" spans="1:38">
      <c r="A1061" s="182"/>
      <c r="Q1061" s="183"/>
      <c r="R1061" s="183"/>
      <c r="S1061" s="183"/>
      <c r="AJ1061" s="183"/>
    </row>
    <row r="1062" spans="1:38">
      <c r="A1062" s="182"/>
      <c r="Q1062" s="183"/>
      <c r="R1062" s="183"/>
      <c r="S1062" s="183"/>
    </row>
    <row r="1063" spans="1:38">
      <c r="A1063" s="182"/>
      <c r="Q1063" s="183"/>
      <c r="R1063" s="183"/>
      <c r="S1063" s="183"/>
    </row>
    <row r="1064" spans="1:38">
      <c r="A1064" s="182"/>
      <c r="Q1064" s="183"/>
      <c r="R1064" s="183"/>
      <c r="S1064" s="183"/>
    </row>
    <row r="1065" spans="1:38">
      <c r="A1065" s="182"/>
      <c r="Q1065" s="183"/>
      <c r="R1065" s="183"/>
      <c r="S1065" s="183"/>
    </row>
    <row r="1066" spans="1:38">
      <c r="A1066" s="182"/>
      <c r="Q1066" s="183"/>
      <c r="R1066" s="183"/>
      <c r="S1066" s="183"/>
    </row>
    <row r="1067" spans="1:38">
      <c r="A1067" s="182"/>
      <c r="Q1067" s="183"/>
      <c r="R1067" s="183"/>
      <c r="S1067" s="183"/>
    </row>
    <row r="1068" spans="1:38">
      <c r="A1068" s="182"/>
      <c r="Q1068" s="183"/>
      <c r="R1068" s="183"/>
      <c r="S1068" s="183"/>
    </row>
    <row r="1069" spans="1:38">
      <c r="A1069" s="182"/>
      <c r="Q1069" s="183"/>
      <c r="R1069" s="183"/>
      <c r="S1069" s="183"/>
      <c r="AK1069" s="183"/>
      <c r="AL1069" s="183"/>
    </row>
    <row r="1070" spans="1:38">
      <c r="A1070" s="182"/>
      <c r="Q1070" s="183"/>
      <c r="R1070" s="183"/>
      <c r="S1070" s="183"/>
      <c r="AJ1070" s="183"/>
      <c r="AK1070" s="183"/>
      <c r="AL1070" s="183"/>
    </row>
    <row r="1071" spans="1:38">
      <c r="A1071" s="182"/>
      <c r="Q1071" s="183"/>
      <c r="R1071" s="183"/>
      <c r="S1071" s="183"/>
      <c r="AJ1071" s="183"/>
      <c r="AK1071" s="183"/>
      <c r="AL1071" s="183"/>
    </row>
    <row r="1072" spans="1:38">
      <c r="A1072" s="182"/>
      <c r="Q1072" s="183"/>
      <c r="R1072" s="183"/>
      <c r="S1072" s="183"/>
      <c r="AJ1072" s="183"/>
      <c r="AK1072" s="183"/>
      <c r="AL1072" s="183"/>
    </row>
    <row r="1073" spans="1:38">
      <c r="A1073" s="182"/>
      <c r="Q1073" s="183"/>
      <c r="R1073" s="183"/>
      <c r="S1073" s="183"/>
      <c r="AJ1073" s="183"/>
    </row>
    <row r="1074" spans="1:38">
      <c r="A1074" s="182"/>
      <c r="Q1074" s="183"/>
      <c r="R1074" s="183"/>
      <c r="S1074" s="183"/>
    </row>
    <row r="1075" spans="1:38">
      <c r="A1075" s="182"/>
      <c r="Q1075" s="183"/>
      <c r="R1075" s="183"/>
      <c r="S1075" s="183"/>
    </row>
    <row r="1076" spans="1:38">
      <c r="A1076" s="182"/>
      <c r="Q1076" s="183"/>
      <c r="R1076" s="183"/>
      <c r="S1076" s="183"/>
    </row>
    <row r="1077" spans="1:38">
      <c r="A1077" s="182"/>
      <c r="Q1077" s="183"/>
      <c r="R1077" s="183"/>
      <c r="S1077" s="183"/>
      <c r="AK1077" s="183"/>
      <c r="AL1077" s="183"/>
    </row>
    <row r="1078" spans="1:38">
      <c r="A1078" s="182"/>
      <c r="Q1078" s="183"/>
      <c r="R1078" s="183"/>
      <c r="S1078" s="183"/>
      <c r="AJ1078" s="183"/>
      <c r="AK1078" s="183"/>
      <c r="AL1078" s="183"/>
    </row>
    <row r="1079" spans="1:38">
      <c r="A1079" s="182"/>
      <c r="Q1079" s="183"/>
      <c r="R1079" s="183"/>
      <c r="S1079" s="183"/>
      <c r="AJ1079" s="183"/>
      <c r="AK1079" s="183"/>
      <c r="AL1079" s="183"/>
    </row>
    <row r="1080" spans="1:38">
      <c r="A1080" s="182"/>
      <c r="Q1080" s="183"/>
      <c r="R1080" s="183"/>
      <c r="S1080" s="183"/>
      <c r="AJ1080" s="183"/>
      <c r="AK1080" s="183"/>
      <c r="AL1080" s="183"/>
    </row>
    <row r="1081" spans="1:38">
      <c r="A1081" s="182"/>
      <c r="Q1081" s="183"/>
      <c r="R1081" s="183"/>
      <c r="S1081" s="183"/>
      <c r="AJ1081" s="183"/>
    </row>
    <row r="1082" spans="1:38">
      <c r="A1082" s="182"/>
      <c r="Q1082" s="183"/>
      <c r="R1082" s="183"/>
      <c r="S1082" s="183"/>
    </row>
    <row r="1083" spans="1:38">
      <c r="A1083" s="182"/>
      <c r="Q1083" s="183"/>
      <c r="R1083" s="183"/>
      <c r="S1083" s="183"/>
    </row>
    <row r="1084" spans="1:38">
      <c r="A1084" s="182"/>
      <c r="Q1084" s="183"/>
      <c r="R1084" s="183"/>
      <c r="S1084" s="183"/>
    </row>
    <row r="1085" spans="1:38">
      <c r="A1085" s="182"/>
      <c r="Q1085" s="183"/>
      <c r="R1085" s="183"/>
      <c r="S1085" s="183"/>
      <c r="AK1085" s="183"/>
      <c r="AL1085" s="183"/>
    </row>
    <row r="1086" spans="1:38">
      <c r="A1086" s="182"/>
      <c r="Q1086" s="183"/>
      <c r="R1086" s="183"/>
      <c r="S1086" s="183"/>
      <c r="AJ1086" s="183"/>
      <c r="AK1086" s="183"/>
      <c r="AL1086" s="183"/>
    </row>
    <row r="1087" spans="1:38">
      <c r="A1087" s="182"/>
      <c r="Q1087" s="183"/>
      <c r="R1087" s="183"/>
      <c r="S1087" s="183"/>
      <c r="AJ1087" s="183"/>
      <c r="AK1087" s="183"/>
      <c r="AL1087" s="183"/>
    </row>
    <row r="1088" spans="1:38">
      <c r="A1088" s="182"/>
      <c r="Q1088" s="183"/>
      <c r="R1088" s="183"/>
      <c r="S1088" s="183"/>
      <c r="AJ1088" s="183"/>
      <c r="AK1088" s="183"/>
      <c r="AL1088" s="183"/>
    </row>
    <row r="1089" spans="1:36">
      <c r="A1089" s="182"/>
      <c r="Q1089" s="183"/>
      <c r="R1089" s="183"/>
      <c r="S1089" s="183"/>
      <c r="AJ1089" s="183"/>
    </row>
    <row r="1090" spans="1:36">
      <c r="A1090" s="182"/>
      <c r="Q1090" s="183"/>
      <c r="R1090" s="183"/>
      <c r="S1090" s="183"/>
    </row>
    <row r="1091" spans="1:36">
      <c r="A1091" s="182"/>
      <c r="Q1091" s="183"/>
      <c r="R1091" s="183"/>
      <c r="S1091" s="183"/>
    </row>
    <row r="1092" spans="1:36">
      <c r="A1092" s="182"/>
      <c r="Q1092" s="183"/>
      <c r="R1092" s="183"/>
      <c r="S1092" s="183"/>
    </row>
    <row r="1093" spans="1:36">
      <c r="A1093" s="182"/>
      <c r="Q1093" s="183"/>
      <c r="R1093" s="183"/>
      <c r="S1093" s="183"/>
    </row>
    <row r="1094" spans="1:36">
      <c r="A1094" s="182"/>
      <c r="Q1094" s="183"/>
      <c r="R1094" s="183"/>
      <c r="S1094" s="183"/>
    </row>
    <row r="1095" spans="1:36">
      <c r="A1095" s="182"/>
      <c r="Q1095" s="183"/>
      <c r="R1095" s="183"/>
      <c r="S1095" s="183"/>
    </row>
    <row r="1096" spans="1:36">
      <c r="A1096" s="182"/>
      <c r="Q1096" s="183"/>
      <c r="R1096" s="183"/>
      <c r="S1096" s="183"/>
    </row>
    <row r="1097" spans="1:36">
      <c r="A1097" s="182"/>
      <c r="Q1097" s="183"/>
      <c r="R1097" s="183"/>
      <c r="S1097" s="183"/>
    </row>
    <row r="1098" spans="1:36">
      <c r="A1098" s="182"/>
      <c r="Q1098" s="183"/>
      <c r="R1098" s="183"/>
      <c r="S1098" s="183"/>
    </row>
    <row r="1099" spans="1:36">
      <c r="A1099" s="182"/>
      <c r="Q1099" s="183"/>
      <c r="R1099" s="183"/>
      <c r="S1099" s="183"/>
    </row>
    <row r="1100" spans="1:36">
      <c r="A1100" s="182"/>
      <c r="Q1100" s="183"/>
      <c r="R1100" s="183"/>
      <c r="S1100" s="183"/>
    </row>
    <row r="1101" spans="1:36">
      <c r="A1101" s="182"/>
      <c r="Q1101" s="183"/>
      <c r="R1101" s="183"/>
      <c r="S1101" s="183"/>
    </row>
    <row r="1102" spans="1:36">
      <c r="A1102" s="182"/>
      <c r="Q1102" s="183"/>
      <c r="R1102" s="183"/>
      <c r="S1102" s="183"/>
    </row>
    <row r="1103" spans="1:36">
      <c r="A1103" s="182"/>
      <c r="Q1103" s="183"/>
      <c r="R1103" s="183"/>
      <c r="S1103" s="183"/>
    </row>
    <row r="1104" spans="1:36">
      <c r="A1104" s="182"/>
      <c r="Q1104" s="183"/>
      <c r="R1104" s="183"/>
      <c r="S1104" s="183"/>
    </row>
    <row r="1105" spans="1:19">
      <c r="A1105" s="182"/>
      <c r="Q1105" s="183"/>
      <c r="R1105" s="183"/>
      <c r="S1105" s="183"/>
    </row>
    <row r="1106" spans="1:19">
      <c r="A1106" s="182"/>
      <c r="Q1106" s="183"/>
      <c r="R1106" s="183"/>
      <c r="S1106" s="183"/>
    </row>
    <row r="1107" spans="1:19">
      <c r="A1107" s="182"/>
      <c r="Q1107" s="183"/>
      <c r="R1107" s="183"/>
      <c r="S1107" s="183"/>
    </row>
    <row r="1108" spans="1:19">
      <c r="A1108" s="182"/>
      <c r="Q1108" s="183"/>
      <c r="R1108" s="183"/>
      <c r="S1108" s="183"/>
    </row>
    <row r="1109" spans="1:19">
      <c r="A1109" s="182"/>
      <c r="Q1109" s="183"/>
    </row>
    <row r="1110" spans="1:19">
      <c r="A1110" s="182"/>
    </row>
    <row r="1111" spans="1:19">
      <c r="A1111" s="182"/>
    </row>
    <row r="1112" spans="1:19">
      <c r="A1112" s="182"/>
    </row>
    <row r="1113" spans="1:19">
      <c r="A1113" s="182"/>
    </row>
    <row r="1114" spans="1:19">
      <c r="A1114" s="182"/>
    </row>
    <row r="1115" spans="1:19">
      <c r="A1115" s="182"/>
    </row>
    <row r="1116" spans="1:19">
      <c r="A1116" s="182"/>
    </row>
    <row r="1117" spans="1:19">
      <c r="A1117" s="182"/>
    </row>
    <row r="1118" spans="1:19">
      <c r="A1118" s="182"/>
    </row>
    <row r="1119" spans="1:19">
      <c r="A1119" s="182"/>
    </row>
    <row r="1120" spans="1:19">
      <c r="A1120" s="182"/>
    </row>
    <row r="1121" spans="1:1">
      <c r="A1121" s="182"/>
    </row>
    <row r="1122" spans="1:1">
      <c r="A1122" s="182"/>
    </row>
    <row r="1123" spans="1:1">
      <c r="A1123" s="182"/>
    </row>
    <row r="1124" spans="1:1">
      <c r="A1124" s="182"/>
    </row>
    <row r="1125" spans="1:1">
      <c r="A1125" s="182"/>
    </row>
    <row r="1126" spans="1:1">
      <c r="A1126" s="182"/>
    </row>
    <row r="1127" spans="1:1">
      <c r="A1127" s="182"/>
    </row>
    <row r="1128" spans="1:1">
      <c r="A1128" s="182"/>
    </row>
    <row r="1129" spans="1:1">
      <c r="A1129" s="182"/>
    </row>
    <row r="1130" spans="1:1">
      <c r="A1130" s="182"/>
    </row>
    <row r="1131" spans="1:1">
      <c r="A1131" s="182"/>
    </row>
    <row r="1132" spans="1:1">
      <c r="A1132" s="182"/>
    </row>
    <row r="1133" spans="1:1">
      <c r="A1133" s="182"/>
    </row>
    <row r="1134" spans="1:1">
      <c r="A1134" s="182"/>
    </row>
    <row r="1135" spans="1:1">
      <c r="A1135" s="182"/>
    </row>
    <row r="1136" spans="1:1">
      <c r="A1136" s="182"/>
    </row>
    <row r="1137" spans="1:1">
      <c r="A1137" s="182"/>
    </row>
    <row r="1138" spans="1:1">
      <c r="A1138" s="182"/>
    </row>
    <row r="1139" spans="1:1">
      <c r="A1139" s="182"/>
    </row>
    <row r="1140" spans="1:1">
      <c r="A1140" s="182"/>
    </row>
    <row r="1141" spans="1:1">
      <c r="A1141" s="182"/>
    </row>
    <row r="1142" spans="1:1">
      <c r="A1142" s="182"/>
    </row>
    <row r="1143" spans="1:1">
      <c r="A1143" s="182"/>
    </row>
    <row r="1144" spans="1:1">
      <c r="A1144" s="182"/>
    </row>
    <row r="1145" spans="1:1">
      <c r="A1145" s="182"/>
    </row>
    <row r="1146" spans="1:1">
      <c r="A1146" s="182"/>
    </row>
    <row r="1147" spans="1:1">
      <c r="A1147" s="182"/>
    </row>
    <row r="1148" spans="1:1">
      <c r="A1148" s="182"/>
    </row>
    <row r="1149" spans="1:1">
      <c r="A1149" s="182"/>
    </row>
    <row r="1150" spans="1:1">
      <c r="A1150" s="182"/>
    </row>
    <row r="1151" spans="1:1">
      <c r="A1151" s="182"/>
    </row>
    <row r="1152" spans="1:1">
      <c r="A1152" s="182"/>
    </row>
    <row r="1153" spans="1:1">
      <c r="A1153" s="182"/>
    </row>
    <row r="1154" spans="1:1">
      <c r="A1154" s="182"/>
    </row>
    <row r="1155" spans="1:1">
      <c r="A1155" s="182"/>
    </row>
    <row r="1156" spans="1:1">
      <c r="A1156" s="182"/>
    </row>
    <row r="1157" spans="1:1">
      <c r="A1157" s="182"/>
    </row>
    <row r="1158" spans="1:1">
      <c r="A1158" s="182"/>
    </row>
    <row r="1159" spans="1:1">
      <c r="A1159" s="182"/>
    </row>
    <row r="1160" spans="1:1">
      <c r="A1160" s="182"/>
    </row>
    <row r="1161" spans="1:1">
      <c r="A1161" s="182"/>
    </row>
    <row r="1162" spans="1:1">
      <c r="A1162" s="182"/>
    </row>
    <row r="1163" spans="1:1">
      <c r="A1163" s="182"/>
    </row>
    <row r="1164" spans="1:1">
      <c r="A1164" s="182"/>
    </row>
    <row r="1165" spans="1:1">
      <c r="A1165" s="182"/>
    </row>
    <row r="1166" spans="1:1">
      <c r="A1166" s="182"/>
    </row>
    <row r="1167" spans="1:1">
      <c r="A1167" s="182"/>
    </row>
    <row r="1168" spans="1:1">
      <c r="A1168" s="182"/>
    </row>
    <row r="1169" spans="1:38">
      <c r="A1169" s="182"/>
    </row>
    <row r="1170" spans="1:38">
      <c r="A1170" s="182"/>
    </row>
    <row r="1171" spans="1:38">
      <c r="A1171" s="182"/>
    </row>
    <row r="1172" spans="1:38">
      <c r="A1172" s="182"/>
    </row>
    <row r="1173" spans="1:38">
      <c r="A1173" s="182"/>
    </row>
    <row r="1174" spans="1:38">
      <c r="A1174" s="182"/>
    </row>
    <row r="1175" spans="1:38">
      <c r="A1175" s="182"/>
    </row>
    <row r="1176" spans="1:38">
      <c r="A1176" s="182"/>
    </row>
    <row r="1177" spans="1:38">
      <c r="A1177" s="182"/>
    </row>
    <row r="1178" spans="1:38">
      <c r="A1178" s="182"/>
    </row>
    <row r="1179" spans="1:38">
      <c r="A1179" s="182"/>
    </row>
    <row r="1180" spans="1:38">
      <c r="A1180" s="182"/>
    </row>
    <row r="1181" spans="1:38">
      <c r="A1181" s="182"/>
      <c r="AK1181" s="183"/>
      <c r="AL1181" s="183"/>
    </row>
    <row r="1182" spans="1:38">
      <c r="A1182" s="182"/>
      <c r="AJ1182" s="183"/>
      <c r="AK1182" s="183"/>
      <c r="AL1182" s="183"/>
    </row>
    <row r="1183" spans="1:38">
      <c r="A1183" s="182"/>
      <c r="AJ1183" s="183"/>
      <c r="AK1183" s="183"/>
      <c r="AL1183" s="183"/>
    </row>
    <row r="1184" spans="1:38">
      <c r="A1184" s="182"/>
      <c r="AJ1184" s="183"/>
      <c r="AK1184" s="183"/>
      <c r="AL1184" s="183"/>
    </row>
    <row r="1185" spans="1:38">
      <c r="A1185" s="182"/>
      <c r="AJ1185" s="183"/>
    </row>
    <row r="1186" spans="1:38">
      <c r="A1186" s="182"/>
    </row>
    <row r="1187" spans="1:38">
      <c r="A1187" s="182"/>
    </row>
    <row r="1188" spans="1:38">
      <c r="A1188" s="182"/>
    </row>
    <row r="1189" spans="1:38">
      <c r="A1189" s="182"/>
      <c r="AK1189" s="183"/>
      <c r="AL1189" s="183"/>
    </row>
    <row r="1190" spans="1:38">
      <c r="A1190" s="182"/>
      <c r="AJ1190" s="183"/>
      <c r="AK1190" s="183"/>
      <c r="AL1190" s="183"/>
    </row>
    <row r="1191" spans="1:38">
      <c r="A1191" s="182"/>
      <c r="AJ1191" s="183"/>
      <c r="AK1191" s="183"/>
      <c r="AL1191" s="183"/>
    </row>
    <row r="1192" spans="1:38">
      <c r="A1192" s="182"/>
      <c r="AJ1192" s="183"/>
      <c r="AK1192" s="183"/>
      <c r="AL1192" s="183"/>
    </row>
    <row r="1193" spans="1:38">
      <c r="A1193" s="182"/>
      <c r="AJ1193" s="183"/>
      <c r="AK1193" s="183"/>
      <c r="AL1193" s="183"/>
    </row>
    <row r="1194" spans="1:38">
      <c r="A1194" s="182"/>
      <c r="AJ1194" s="183"/>
      <c r="AK1194" s="183"/>
      <c r="AL1194" s="183"/>
    </row>
    <row r="1195" spans="1:38">
      <c r="A1195" s="182"/>
      <c r="AJ1195" s="183"/>
      <c r="AK1195" s="183"/>
      <c r="AL1195" s="183"/>
    </row>
    <row r="1196" spans="1:38">
      <c r="A1196" s="182"/>
      <c r="AJ1196" s="183"/>
      <c r="AK1196" s="183"/>
      <c r="AL1196" s="183"/>
    </row>
    <row r="1197" spans="1:38">
      <c r="A1197" s="182"/>
      <c r="AJ1197" s="183"/>
    </row>
    <row r="1198" spans="1:38">
      <c r="A1198" s="182"/>
    </row>
    <row r="1199" spans="1:38">
      <c r="A1199" s="182"/>
    </row>
    <row r="1200" spans="1:38">
      <c r="A1200" s="182"/>
    </row>
    <row r="1201" spans="1:38">
      <c r="A1201" s="182"/>
    </row>
    <row r="1202" spans="1:38">
      <c r="A1202" s="182"/>
    </row>
    <row r="1203" spans="1:38">
      <c r="A1203" s="182"/>
    </row>
    <row r="1204" spans="1:38">
      <c r="A1204" s="182"/>
    </row>
    <row r="1205" spans="1:38">
      <c r="A1205" s="182"/>
    </row>
    <row r="1206" spans="1:38">
      <c r="A1206" s="182"/>
    </row>
    <row r="1207" spans="1:38">
      <c r="A1207" s="182"/>
    </row>
    <row r="1208" spans="1:38">
      <c r="A1208" s="182"/>
    </row>
    <row r="1209" spans="1:38">
      <c r="A1209" s="182"/>
    </row>
    <row r="1210" spans="1:38">
      <c r="A1210" s="182"/>
    </row>
    <row r="1211" spans="1:38">
      <c r="A1211" s="182"/>
    </row>
    <row r="1212" spans="1:38">
      <c r="A1212" s="182"/>
    </row>
    <row r="1213" spans="1:38">
      <c r="A1213" s="182"/>
      <c r="AK1213" s="183"/>
      <c r="AL1213" s="183"/>
    </row>
    <row r="1214" spans="1:38">
      <c r="A1214" s="182"/>
      <c r="AJ1214" s="183"/>
      <c r="AK1214" s="183"/>
      <c r="AL1214" s="183"/>
    </row>
    <row r="1215" spans="1:38">
      <c r="A1215" s="182"/>
      <c r="AJ1215" s="183"/>
      <c r="AK1215" s="183"/>
      <c r="AL1215" s="183"/>
    </row>
    <row r="1216" spans="1:38">
      <c r="A1216" s="182"/>
      <c r="AJ1216" s="183"/>
      <c r="AK1216" s="183"/>
      <c r="AL1216" s="183"/>
    </row>
    <row r="1217" spans="1:36">
      <c r="A1217" s="182"/>
      <c r="AJ1217" s="183"/>
    </row>
    <row r="1218" spans="1:36">
      <c r="A1218" s="182"/>
    </row>
    <row r="1219" spans="1:36">
      <c r="A1219" s="182"/>
    </row>
    <row r="1220" spans="1:36">
      <c r="A1220" s="182"/>
    </row>
    <row r="1221" spans="1:36">
      <c r="A1221" s="182"/>
    </row>
    <row r="1222" spans="1:36">
      <c r="A1222" s="182"/>
    </row>
    <row r="1223" spans="1:36">
      <c r="A1223" s="182"/>
    </row>
    <row r="1224" spans="1:36">
      <c r="A1224" s="182"/>
    </row>
    <row r="1225" spans="1:36">
      <c r="A1225" s="182"/>
    </row>
    <row r="1226" spans="1:36">
      <c r="A1226" s="182"/>
    </row>
    <row r="1227" spans="1:36">
      <c r="A1227" s="182"/>
    </row>
    <row r="1228" spans="1:36">
      <c r="A1228" s="182"/>
    </row>
    <row r="1229" spans="1:36">
      <c r="A1229" s="182"/>
    </row>
    <row r="1230" spans="1:36">
      <c r="A1230" s="182"/>
    </row>
    <row r="1231" spans="1:36">
      <c r="A1231" s="182"/>
    </row>
    <row r="1232" spans="1:36">
      <c r="A1232" s="182"/>
    </row>
    <row r="1233" spans="1:38">
      <c r="A1233" s="182"/>
    </row>
    <row r="1234" spans="1:38">
      <c r="A1234" s="182"/>
    </row>
    <row r="1235" spans="1:38">
      <c r="A1235" s="182"/>
    </row>
    <row r="1236" spans="1:38">
      <c r="A1236" s="182"/>
    </row>
    <row r="1237" spans="1:38">
      <c r="A1237" s="182"/>
    </row>
    <row r="1238" spans="1:38">
      <c r="A1238" s="182"/>
    </row>
    <row r="1239" spans="1:38">
      <c r="A1239" s="182"/>
    </row>
    <row r="1240" spans="1:38">
      <c r="A1240" s="182"/>
    </row>
    <row r="1241" spans="1:38">
      <c r="A1241" s="182"/>
      <c r="AK1241" s="183"/>
      <c r="AL1241" s="183"/>
    </row>
    <row r="1242" spans="1:38">
      <c r="A1242" s="182"/>
      <c r="AJ1242" s="183"/>
      <c r="AK1242" s="183"/>
      <c r="AL1242" s="183"/>
    </row>
    <row r="1243" spans="1:38">
      <c r="A1243" s="182"/>
      <c r="AJ1243" s="183"/>
      <c r="AK1243" s="183"/>
      <c r="AL1243" s="183"/>
    </row>
    <row r="1244" spans="1:38">
      <c r="A1244" s="182"/>
      <c r="AJ1244" s="183"/>
      <c r="AK1244" s="183"/>
      <c r="AL1244" s="183"/>
    </row>
    <row r="1245" spans="1:38">
      <c r="A1245" s="182"/>
      <c r="AJ1245" s="183"/>
      <c r="AK1245" s="183"/>
      <c r="AL1245" s="183"/>
    </row>
    <row r="1246" spans="1:38">
      <c r="A1246" s="182"/>
      <c r="AJ1246" s="183"/>
      <c r="AK1246" s="183"/>
      <c r="AL1246" s="183"/>
    </row>
    <row r="1247" spans="1:38">
      <c r="A1247" s="182"/>
      <c r="R1247" s="183"/>
      <c r="S1247" s="183"/>
      <c r="AJ1247" s="183"/>
      <c r="AK1247" s="183"/>
      <c r="AL1247" s="183"/>
    </row>
    <row r="1248" spans="1:38">
      <c r="A1248" s="182"/>
      <c r="Q1248" s="183"/>
      <c r="R1248" s="183"/>
      <c r="S1248" s="183"/>
      <c r="AJ1248" s="183"/>
      <c r="AK1248" s="183"/>
      <c r="AL1248" s="183"/>
    </row>
    <row r="1249" spans="1:38">
      <c r="A1249" s="182"/>
      <c r="Q1249" s="183"/>
      <c r="R1249" s="183"/>
      <c r="S1249" s="183"/>
      <c r="AJ1249" s="183"/>
    </row>
    <row r="1250" spans="1:38">
      <c r="A1250" s="182"/>
      <c r="Q1250" s="183"/>
      <c r="R1250" s="183"/>
      <c r="S1250" s="183"/>
    </row>
    <row r="1251" spans="1:38">
      <c r="A1251" s="182"/>
      <c r="Q1251" s="183"/>
    </row>
    <row r="1252" spans="1:38">
      <c r="A1252" s="182"/>
    </row>
    <row r="1253" spans="1:38">
      <c r="A1253" s="182"/>
      <c r="R1253" s="183"/>
      <c r="S1253" s="183"/>
    </row>
    <row r="1254" spans="1:38">
      <c r="A1254" s="182"/>
      <c r="Q1254" s="183"/>
      <c r="R1254" s="183"/>
      <c r="S1254" s="183"/>
    </row>
    <row r="1255" spans="1:38">
      <c r="A1255" s="182"/>
      <c r="Q1255" s="183"/>
      <c r="R1255" s="183"/>
      <c r="S1255" s="183"/>
    </row>
    <row r="1256" spans="1:38">
      <c r="A1256" s="182"/>
      <c r="Q1256" s="183"/>
      <c r="R1256" s="183"/>
      <c r="S1256" s="183"/>
    </row>
    <row r="1257" spans="1:38">
      <c r="A1257" s="182"/>
      <c r="Q1257" s="183"/>
      <c r="R1257" s="183"/>
      <c r="S1257" s="183"/>
    </row>
    <row r="1258" spans="1:38">
      <c r="A1258" s="182"/>
      <c r="Q1258" s="183"/>
      <c r="R1258" s="183"/>
      <c r="S1258" s="183"/>
    </row>
    <row r="1259" spans="1:38">
      <c r="A1259" s="182"/>
      <c r="Q1259" s="183"/>
      <c r="R1259" s="183"/>
      <c r="S1259" s="183"/>
    </row>
    <row r="1260" spans="1:38">
      <c r="A1260" s="182"/>
      <c r="Q1260" s="183"/>
    </row>
    <row r="1261" spans="1:38">
      <c r="A1261" s="182"/>
      <c r="AK1261" s="183"/>
      <c r="AL1261" s="183"/>
    </row>
    <row r="1262" spans="1:38">
      <c r="A1262" s="182"/>
      <c r="AJ1262" s="183"/>
      <c r="AK1262" s="183"/>
      <c r="AL1262" s="183"/>
    </row>
    <row r="1263" spans="1:38">
      <c r="A1263" s="182"/>
      <c r="AJ1263" s="183"/>
      <c r="AK1263" s="183"/>
      <c r="AL1263" s="183"/>
    </row>
    <row r="1264" spans="1:38">
      <c r="A1264" s="182"/>
      <c r="AJ1264" s="183"/>
      <c r="AK1264" s="183"/>
      <c r="AL1264" s="183"/>
    </row>
    <row r="1265" spans="1:38">
      <c r="A1265" s="182"/>
      <c r="AJ1265" s="183"/>
      <c r="AK1265" s="183"/>
      <c r="AL1265" s="183"/>
    </row>
    <row r="1266" spans="1:38">
      <c r="A1266" s="182"/>
      <c r="AJ1266" s="183"/>
      <c r="AK1266" s="183"/>
      <c r="AL1266" s="183"/>
    </row>
    <row r="1267" spans="1:38">
      <c r="A1267" s="182"/>
      <c r="AJ1267" s="183"/>
      <c r="AK1267" s="183"/>
      <c r="AL1267" s="183"/>
    </row>
    <row r="1268" spans="1:38">
      <c r="A1268" s="182"/>
      <c r="AJ1268" s="183"/>
      <c r="AK1268" s="183"/>
      <c r="AL1268" s="183"/>
    </row>
    <row r="1269" spans="1:38">
      <c r="A1269" s="182"/>
      <c r="AJ1269" s="183"/>
      <c r="AK1269" s="183"/>
      <c r="AL1269" s="183"/>
    </row>
    <row r="1270" spans="1:38">
      <c r="A1270" s="182"/>
      <c r="AJ1270" s="183"/>
      <c r="AK1270" s="183"/>
      <c r="AL1270" s="183"/>
    </row>
    <row r="1271" spans="1:38">
      <c r="A1271" s="182"/>
      <c r="AJ1271" s="183"/>
      <c r="AK1271" s="183"/>
      <c r="AL1271" s="183"/>
    </row>
    <row r="1272" spans="1:38">
      <c r="A1272" s="182"/>
      <c r="AJ1272" s="183"/>
      <c r="AK1272" s="183"/>
      <c r="AL1272" s="183"/>
    </row>
    <row r="1273" spans="1:38">
      <c r="A1273" s="182"/>
      <c r="AJ1273" s="183"/>
    </row>
    <row r="1274" spans="1:38">
      <c r="A1274" s="182"/>
    </row>
    <row r="1275" spans="1:38">
      <c r="A1275" s="182"/>
    </row>
    <row r="1276" spans="1:38">
      <c r="A1276" s="182"/>
    </row>
    <row r="1277" spans="1:38">
      <c r="A1277" s="182"/>
    </row>
    <row r="1278" spans="1:38">
      <c r="A1278" s="182"/>
    </row>
    <row r="1279" spans="1:38">
      <c r="A1279" s="182"/>
      <c r="R1279" s="183"/>
      <c r="S1279" s="183"/>
    </row>
    <row r="1280" spans="1:38">
      <c r="A1280" s="182"/>
      <c r="Q1280" s="183"/>
    </row>
    <row r="1281" spans="1:1">
      <c r="A1281" s="182"/>
    </row>
    <row r="1282" spans="1:1">
      <c r="A1282" s="182"/>
    </row>
    <row r="1283" spans="1:1">
      <c r="A1283" s="182"/>
    </row>
    <row r="1284" spans="1:1">
      <c r="A1284" s="182"/>
    </row>
    <row r="1285" spans="1:1">
      <c r="A1285" s="182"/>
    </row>
    <row r="1286" spans="1:1">
      <c r="A1286" s="182"/>
    </row>
    <row r="1287" spans="1:1">
      <c r="A1287" s="182"/>
    </row>
    <row r="1288" spans="1:1">
      <c r="A1288" s="182"/>
    </row>
    <row r="1289" spans="1:1">
      <c r="A1289" s="182"/>
    </row>
    <row r="1290" spans="1:1">
      <c r="A1290" s="182"/>
    </row>
    <row r="1291" spans="1:1">
      <c r="A1291" s="182"/>
    </row>
    <row r="1292" spans="1:1">
      <c r="A1292" s="182"/>
    </row>
    <row r="1293" spans="1:1">
      <c r="A1293" s="182"/>
    </row>
    <row r="1294" spans="1:1">
      <c r="A1294" s="182"/>
    </row>
    <row r="1295" spans="1:1">
      <c r="A1295" s="182"/>
    </row>
    <row r="1296" spans="1:1">
      <c r="A1296" s="182"/>
    </row>
    <row r="1297" spans="1:1">
      <c r="A1297" s="182"/>
    </row>
    <row r="1298" spans="1:1">
      <c r="A1298" s="182"/>
    </row>
    <row r="1299" spans="1:1">
      <c r="A1299" s="182"/>
    </row>
    <row r="1300" spans="1:1">
      <c r="A1300" s="182"/>
    </row>
    <row r="1301" spans="1:1">
      <c r="A1301" s="182"/>
    </row>
    <row r="1302" spans="1:1">
      <c r="A1302" s="182"/>
    </row>
    <row r="1303" spans="1:1">
      <c r="A1303" s="182"/>
    </row>
    <row r="1304" spans="1:1">
      <c r="A1304" s="182"/>
    </row>
    <row r="1305" spans="1:1">
      <c r="A1305" s="182"/>
    </row>
    <row r="1306" spans="1:1">
      <c r="A1306" s="182"/>
    </row>
    <row r="1307" spans="1:1">
      <c r="A1307" s="182"/>
    </row>
    <row r="1308" spans="1:1">
      <c r="A1308" s="182"/>
    </row>
    <row r="1309" spans="1:1">
      <c r="A1309" s="182"/>
    </row>
    <row r="1310" spans="1:1">
      <c r="A1310" s="182"/>
    </row>
    <row r="1311" spans="1:1">
      <c r="A1311" s="182"/>
    </row>
    <row r="1312" spans="1:1">
      <c r="A1312" s="182"/>
    </row>
    <row r="1313" spans="1:38">
      <c r="A1313" s="182"/>
      <c r="AK1313" s="183"/>
      <c r="AL1313" s="183"/>
    </row>
    <row r="1314" spans="1:38">
      <c r="A1314" s="182"/>
      <c r="AJ1314" s="183"/>
      <c r="AK1314" s="183"/>
      <c r="AL1314" s="183"/>
    </row>
    <row r="1315" spans="1:38">
      <c r="A1315" s="182"/>
      <c r="AJ1315" s="183"/>
      <c r="AK1315" s="183"/>
      <c r="AL1315" s="183"/>
    </row>
    <row r="1316" spans="1:38">
      <c r="A1316" s="182"/>
      <c r="AJ1316" s="183"/>
      <c r="AK1316" s="183"/>
      <c r="AL1316" s="183"/>
    </row>
    <row r="1317" spans="1:38">
      <c r="A1317" s="182"/>
      <c r="AJ1317" s="183"/>
    </row>
    <row r="1318" spans="1:38">
      <c r="A1318" s="182"/>
    </row>
    <row r="1319" spans="1:38">
      <c r="A1319" s="182"/>
    </row>
    <row r="1320" spans="1:38">
      <c r="A1320" s="182"/>
    </row>
    <row r="1321" spans="1:38">
      <c r="A1321" s="182"/>
    </row>
    <row r="1322" spans="1:38">
      <c r="A1322" s="182"/>
    </row>
    <row r="1323" spans="1:38">
      <c r="A1323" s="182"/>
    </row>
    <row r="1324" spans="1:38">
      <c r="A1324" s="182"/>
    </row>
    <row r="1325" spans="1:38">
      <c r="A1325" s="182"/>
      <c r="AK1325" s="183"/>
      <c r="AL1325" s="183"/>
    </row>
    <row r="1326" spans="1:38">
      <c r="A1326" s="182"/>
      <c r="AJ1326" s="183"/>
      <c r="AK1326" s="183"/>
      <c r="AL1326" s="183"/>
    </row>
    <row r="1327" spans="1:38">
      <c r="A1327" s="182"/>
      <c r="AJ1327" s="183"/>
      <c r="AK1327" s="183"/>
      <c r="AL1327" s="183"/>
    </row>
    <row r="1328" spans="1:38">
      <c r="A1328" s="182"/>
      <c r="AJ1328" s="183"/>
      <c r="AK1328" s="183"/>
      <c r="AL1328" s="183"/>
    </row>
    <row r="1329" spans="1:38">
      <c r="A1329" s="182"/>
      <c r="AJ1329" s="183"/>
    </row>
    <row r="1330" spans="1:38">
      <c r="A1330" s="182"/>
    </row>
    <row r="1331" spans="1:38">
      <c r="A1331" s="182"/>
    </row>
    <row r="1332" spans="1:38">
      <c r="A1332" s="182"/>
    </row>
    <row r="1333" spans="1:38">
      <c r="A1333" s="182"/>
      <c r="AK1333" s="183"/>
      <c r="AL1333" s="183"/>
    </row>
    <row r="1334" spans="1:38">
      <c r="A1334" s="182"/>
      <c r="AJ1334" s="183"/>
      <c r="AK1334" s="183"/>
      <c r="AL1334" s="183"/>
    </row>
    <row r="1335" spans="1:38">
      <c r="A1335" s="182"/>
      <c r="AJ1335" s="183"/>
      <c r="AK1335" s="183"/>
      <c r="AL1335" s="183"/>
    </row>
    <row r="1336" spans="1:38">
      <c r="A1336" s="182"/>
      <c r="AJ1336" s="183"/>
      <c r="AK1336" s="183"/>
      <c r="AL1336" s="183"/>
    </row>
    <row r="1337" spans="1:38">
      <c r="A1337" s="182"/>
      <c r="AJ1337" s="183"/>
    </row>
    <row r="1338" spans="1:38">
      <c r="A1338" s="182"/>
    </row>
    <row r="1339" spans="1:38">
      <c r="A1339" s="182"/>
    </row>
    <row r="1340" spans="1:38">
      <c r="A1340" s="182"/>
    </row>
    <row r="1341" spans="1:38">
      <c r="A1341" s="182"/>
      <c r="AK1341" s="183"/>
      <c r="AL1341" s="183"/>
    </row>
    <row r="1342" spans="1:38">
      <c r="A1342" s="182"/>
      <c r="AJ1342" s="183"/>
      <c r="AK1342" s="183"/>
      <c r="AL1342" s="183"/>
    </row>
    <row r="1343" spans="1:38">
      <c r="A1343" s="182"/>
      <c r="AJ1343" s="183"/>
      <c r="AK1343" s="183"/>
      <c r="AL1343" s="183"/>
    </row>
    <row r="1344" spans="1:38">
      <c r="A1344" s="182"/>
      <c r="AJ1344" s="183"/>
      <c r="AK1344" s="183"/>
      <c r="AL1344" s="183"/>
    </row>
    <row r="1345" spans="1:38">
      <c r="A1345" s="182"/>
      <c r="AJ1345" s="183"/>
      <c r="AK1345" s="183"/>
      <c r="AL1345" s="183"/>
    </row>
    <row r="1346" spans="1:38">
      <c r="A1346" s="182"/>
      <c r="AJ1346" s="183"/>
      <c r="AK1346" s="183"/>
      <c r="AL1346" s="183"/>
    </row>
    <row r="1347" spans="1:38">
      <c r="A1347" s="182"/>
      <c r="AJ1347" s="183"/>
      <c r="AK1347" s="183"/>
      <c r="AL1347" s="183"/>
    </row>
    <row r="1348" spans="1:38">
      <c r="A1348" s="182"/>
      <c r="AJ1348" s="183"/>
      <c r="AK1348" s="183"/>
      <c r="AL1348" s="183"/>
    </row>
    <row r="1349" spans="1:38">
      <c r="A1349" s="182"/>
      <c r="AJ1349" s="183"/>
    </row>
    <row r="1350" spans="1:38">
      <c r="A1350" s="182"/>
    </row>
    <row r="1351" spans="1:38">
      <c r="A1351" s="182"/>
    </row>
    <row r="1352" spans="1:38">
      <c r="A1352" s="182"/>
    </row>
    <row r="1353" spans="1:38">
      <c r="A1353" s="182"/>
      <c r="AK1353" s="183"/>
      <c r="AL1353" s="183"/>
    </row>
    <row r="1354" spans="1:38">
      <c r="A1354" s="182"/>
      <c r="AJ1354" s="183"/>
      <c r="AK1354" s="183"/>
      <c r="AL1354" s="183"/>
    </row>
    <row r="1355" spans="1:38">
      <c r="A1355" s="182"/>
      <c r="AJ1355" s="183"/>
      <c r="AK1355" s="183"/>
      <c r="AL1355" s="183"/>
    </row>
    <row r="1356" spans="1:38">
      <c r="A1356" s="182"/>
      <c r="R1356" s="183"/>
      <c r="S1356" s="183"/>
      <c r="AJ1356" s="183"/>
      <c r="AK1356" s="183"/>
      <c r="AL1356" s="183"/>
    </row>
    <row r="1357" spans="1:38">
      <c r="A1357" s="182"/>
      <c r="Q1357" s="183"/>
      <c r="R1357" s="183"/>
      <c r="S1357" s="183"/>
      <c r="AJ1357" s="183"/>
      <c r="AK1357" s="183"/>
      <c r="AL1357" s="183"/>
    </row>
    <row r="1358" spans="1:38">
      <c r="A1358" s="182"/>
      <c r="Q1358" s="183"/>
      <c r="R1358" s="183"/>
      <c r="S1358" s="183"/>
      <c r="AJ1358" s="183"/>
      <c r="AK1358" s="183"/>
      <c r="AL1358" s="183"/>
    </row>
    <row r="1359" spans="1:38">
      <c r="A1359" s="182"/>
      <c r="Q1359" s="183"/>
      <c r="R1359" s="183"/>
      <c r="S1359" s="183"/>
      <c r="AJ1359" s="183"/>
      <c r="AK1359" s="183"/>
      <c r="AL1359" s="183"/>
    </row>
    <row r="1360" spans="1:38">
      <c r="A1360" s="182"/>
      <c r="Q1360" s="183"/>
      <c r="R1360" s="183"/>
      <c r="S1360" s="183"/>
      <c r="AJ1360" s="183"/>
      <c r="AK1360" s="183"/>
      <c r="AL1360" s="183"/>
    </row>
    <row r="1361" spans="1:38">
      <c r="A1361" s="182"/>
      <c r="Q1361" s="183"/>
      <c r="R1361" s="183"/>
      <c r="S1361" s="183"/>
      <c r="AJ1361" s="183"/>
    </row>
    <row r="1362" spans="1:38">
      <c r="A1362" s="182"/>
      <c r="Q1362" s="183"/>
      <c r="R1362" s="183"/>
      <c r="S1362" s="183"/>
    </row>
    <row r="1363" spans="1:38">
      <c r="A1363" s="182"/>
      <c r="Q1363" s="183"/>
      <c r="R1363" s="183"/>
      <c r="S1363" s="183"/>
    </row>
    <row r="1364" spans="1:38">
      <c r="A1364" s="182"/>
      <c r="Q1364" s="183"/>
      <c r="R1364" s="183"/>
      <c r="S1364" s="183"/>
    </row>
    <row r="1365" spans="1:38">
      <c r="A1365" s="182"/>
      <c r="Q1365" s="183"/>
      <c r="R1365" s="183"/>
      <c r="S1365" s="183"/>
      <c r="AK1365" s="183"/>
      <c r="AL1365" s="183"/>
    </row>
    <row r="1366" spans="1:38">
      <c r="A1366" s="182"/>
      <c r="Q1366" s="183"/>
      <c r="R1366" s="183"/>
      <c r="S1366" s="183"/>
      <c r="AJ1366" s="183"/>
      <c r="AK1366" s="183"/>
      <c r="AL1366" s="183"/>
    </row>
    <row r="1367" spans="1:38">
      <c r="A1367" s="182"/>
      <c r="Q1367" s="183"/>
      <c r="R1367" s="183"/>
      <c r="S1367" s="183"/>
      <c r="AJ1367" s="183"/>
      <c r="AK1367" s="183"/>
      <c r="AL1367" s="183"/>
    </row>
    <row r="1368" spans="1:38">
      <c r="A1368" s="182"/>
      <c r="Q1368" s="183"/>
      <c r="R1368" s="183"/>
      <c r="S1368" s="183"/>
      <c r="AJ1368" s="183"/>
      <c r="AK1368" s="183"/>
      <c r="AL1368" s="183"/>
    </row>
    <row r="1369" spans="1:38">
      <c r="A1369" s="182"/>
      <c r="Q1369" s="183"/>
      <c r="R1369" s="183"/>
      <c r="S1369" s="183"/>
      <c r="AJ1369" s="183"/>
    </row>
    <row r="1370" spans="1:38">
      <c r="A1370" s="182"/>
      <c r="Q1370" s="183"/>
      <c r="R1370" s="183"/>
      <c r="S1370" s="183"/>
    </row>
    <row r="1371" spans="1:38">
      <c r="A1371" s="182"/>
      <c r="Q1371" s="183"/>
      <c r="R1371" s="183"/>
      <c r="S1371" s="183"/>
    </row>
    <row r="1372" spans="1:38">
      <c r="A1372" s="182"/>
      <c r="Q1372" s="183"/>
      <c r="R1372" s="183"/>
      <c r="S1372" s="183"/>
    </row>
    <row r="1373" spans="1:38">
      <c r="A1373" s="182"/>
      <c r="Q1373" s="183"/>
      <c r="R1373" s="183"/>
      <c r="S1373" s="183"/>
    </row>
    <row r="1374" spans="1:38">
      <c r="A1374" s="182"/>
      <c r="Q1374" s="183"/>
      <c r="R1374" s="183"/>
      <c r="S1374" s="183"/>
    </row>
    <row r="1375" spans="1:38">
      <c r="A1375" s="182"/>
      <c r="Q1375" s="183"/>
      <c r="R1375" s="183"/>
      <c r="S1375" s="183"/>
    </row>
    <row r="1376" spans="1:38">
      <c r="A1376" s="182"/>
      <c r="Q1376" s="183"/>
      <c r="R1376" s="183"/>
      <c r="S1376" s="183"/>
    </row>
    <row r="1377" spans="1:19">
      <c r="A1377" s="182"/>
      <c r="Q1377" s="183"/>
      <c r="R1377" s="183"/>
      <c r="S1377" s="183"/>
    </row>
    <row r="1378" spans="1:19">
      <c r="A1378" s="182"/>
      <c r="Q1378" s="183"/>
      <c r="R1378" s="183"/>
      <c r="S1378" s="183"/>
    </row>
    <row r="1379" spans="1:19">
      <c r="A1379" s="182"/>
      <c r="Q1379" s="183"/>
      <c r="R1379" s="183"/>
      <c r="S1379" s="183"/>
    </row>
    <row r="1380" spans="1:19">
      <c r="A1380" s="182"/>
      <c r="Q1380" s="183"/>
    </row>
    <row r="1381" spans="1:19">
      <c r="A1381" s="182"/>
    </row>
    <row r="1382" spans="1:19">
      <c r="A1382" s="182"/>
    </row>
    <row r="1383" spans="1:19">
      <c r="A1383" s="182"/>
    </row>
    <row r="1384" spans="1:19">
      <c r="A1384" s="182"/>
    </row>
    <row r="1385" spans="1:19">
      <c r="A1385" s="182"/>
    </row>
    <row r="1386" spans="1:19">
      <c r="A1386" s="182"/>
    </row>
    <row r="1387" spans="1:19">
      <c r="A1387" s="182"/>
    </row>
    <row r="1388" spans="1:19">
      <c r="A1388" s="182"/>
    </row>
    <row r="1389" spans="1:19">
      <c r="A1389" s="182"/>
    </row>
    <row r="1390" spans="1:19">
      <c r="A1390" s="182"/>
    </row>
    <row r="1391" spans="1:19">
      <c r="A1391" s="182"/>
    </row>
    <row r="1392" spans="1:19">
      <c r="A1392" s="182"/>
    </row>
    <row r="1393" spans="1:1">
      <c r="A1393" s="182"/>
    </row>
    <row r="1394" spans="1:1">
      <c r="A1394" s="182"/>
    </row>
    <row r="1395" spans="1:1">
      <c r="A1395" s="182"/>
    </row>
    <row r="1396" spans="1:1">
      <c r="A1396" s="182"/>
    </row>
    <row r="1397" spans="1:1">
      <c r="A1397" s="182"/>
    </row>
    <row r="1398" spans="1:1">
      <c r="A1398" s="182"/>
    </row>
    <row r="1399" spans="1:1">
      <c r="A1399" s="182"/>
    </row>
    <row r="1400" spans="1:1">
      <c r="A1400" s="182"/>
    </row>
    <row r="1401" spans="1:1">
      <c r="A1401" s="182"/>
    </row>
    <row r="1402" spans="1:1">
      <c r="A1402" s="182"/>
    </row>
    <row r="1403" spans="1:1">
      <c r="A1403" s="182"/>
    </row>
    <row r="1404" spans="1:1">
      <c r="A1404" s="182"/>
    </row>
    <row r="1405" spans="1:1">
      <c r="A1405" s="182"/>
    </row>
    <row r="1406" spans="1:1">
      <c r="A1406" s="182"/>
    </row>
    <row r="1407" spans="1:1">
      <c r="A1407" s="182"/>
    </row>
    <row r="1408" spans="1:1">
      <c r="A1408" s="182"/>
    </row>
    <row r="1409" spans="1:19">
      <c r="A1409" s="182"/>
    </row>
    <row r="1410" spans="1:19">
      <c r="A1410" s="182"/>
    </row>
    <row r="1411" spans="1:19">
      <c r="A1411" s="182"/>
    </row>
    <row r="1412" spans="1:19">
      <c r="A1412" s="182"/>
    </row>
    <row r="1413" spans="1:19">
      <c r="A1413" s="182"/>
    </row>
    <row r="1414" spans="1:19">
      <c r="A1414" s="182"/>
    </row>
    <row r="1415" spans="1:19">
      <c r="A1415" s="182"/>
    </row>
    <row r="1416" spans="1:19">
      <c r="A1416" s="182"/>
    </row>
    <row r="1417" spans="1:19">
      <c r="A1417" s="182"/>
    </row>
    <row r="1418" spans="1:19">
      <c r="A1418" s="182"/>
    </row>
    <row r="1419" spans="1:19">
      <c r="A1419" s="182"/>
    </row>
    <row r="1420" spans="1:19">
      <c r="A1420" s="182"/>
      <c r="R1420" s="183"/>
      <c r="S1420" s="183"/>
    </row>
    <row r="1421" spans="1:19">
      <c r="A1421" s="182"/>
      <c r="Q1421" s="183"/>
      <c r="R1421" s="183"/>
      <c r="S1421" s="183"/>
    </row>
    <row r="1422" spans="1:19">
      <c r="A1422" s="182"/>
      <c r="Q1422" s="183"/>
      <c r="R1422" s="183"/>
      <c r="S1422" s="183"/>
    </row>
    <row r="1423" spans="1:19">
      <c r="A1423" s="182"/>
      <c r="Q1423" s="183"/>
      <c r="R1423" s="183"/>
      <c r="S1423" s="183"/>
    </row>
    <row r="1424" spans="1:19">
      <c r="A1424" s="182"/>
      <c r="Q1424" s="183"/>
      <c r="R1424" s="183"/>
      <c r="S1424" s="183"/>
    </row>
    <row r="1425" spans="1:38">
      <c r="A1425" s="182"/>
      <c r="Q1425" s="183"/>
      <c r="R1425" s="183"/>
      <c r="S1425" s="183"/>
    </row>
    <row r="1426" spans="1:38">
      <c r="A1426" s="182"/>
      <c r="Q1426" s="183"/>
      <c r="R1426" s="183"/>
      <c r="S1426" s="183"/>
    </row>
    <row r="1427" spans="1:38">
      <c r="A1427" s="182"/>
      <c r="Q1427" s="183"/>
      <c r="R1427" s="183"/>
      <c r="S1427" s="183"/>
    </row>
    <row r="1428" spans="1:38">
      <c r="A1428" s="182"/>
      <c r="Q1428" s="183"/>
      <c r="R1428" s="183"/>
      <c r="S1428" s="183"/>
    </row>
    <row r="1429" spans="1:38">
      <c r="A1429" s="182"/>
      <c r="Q1429" s="183"/>
      <c r="R1429" s="183"/>
      <c r="S1429" s="183"/>
      <c r="AK1429" s="183"/>
      <c r="AL1429" s="183"/>
    </row>
    <row r="1430" spans="1:38">
      <c r="A1430" s="182"/>
      <c r="Q1430" s="183"/>
      <c r="R1430" s="183"/>
      <c r="S1430" s="183"/>
      <c r="AJ1430" s="183"/>
      <c r="AK1430" s="183"/>
      <c r="AL1430" s="183"/>
    </row>
    <row r="1431" spans="1:38">
      <c r="A1431" s="182"/>
      <c r="Q1431" s="183"/>
      <c r="R1431" s="183"/>
      <c r="S1431" s="183"/>
      <c r="AJ1431" s="183"/>
      <c r="AK1431" s="183"/>
      <c r="AL1431" s="183"/>
    </row>
    <row r="1432" spans="1:38">
      <c r="A1432" s="182"/>
      <c r="Q1432" s="183"/>
      <c r="R1432" s="183"/>
      <c r="S1432" s="183"/>
      <c r="AJ1432" s="183"/>
      <c r="AK1432" s="183"/>
      <c r="AL1432" s="183"/>
    </row>
    <row r="1433" spans="1:38">
      <c r="A1433" s="182"/>
      <c r="Q1433" s="183"/>
      <c r="R1433" s="183"/>
      <c r="S1433" s="183"/>
      <c r="AJ1433" s="183"/>
      <c r="AK1433" s="183"/>
      <c r="AL1433" s="183"/>
    </row>
    <row r="1434" spans="1:38">
      <c r="A1434" s="182"/>
      <c r="Q1434" s="183"/>
      <c r="R1434" s="183"/>
      <c r="S1434" s="183"/>
      <c r="AJ1434" s="183"/>
      <c r="AK1434" s="183"/>
      <c r="AL1434" s="183"/>
    </row>
    <row r="1435" spans="1:38">
      <c r="A1435" s="182"/>
      <c r="Q1435" s="183"/>
      <c r="R1435" s="183"/>
      <c r="S1435" s="183"/>
      <c r="AJ1435" s="183"/>
      <c r="AK1435" s="183"/>
      <c r="AL1435" s="183"/>
    </row>
    <row r="1436" spans="1:38">
      <c r="A1436" s="182"/>
      <c r="Q1436" s="183"/>
      <c r="R1436" s="183"/>
      <c r="S1436" s="183"/>
      <c r="AJ1436" s="183"/>
      <c r="AK1436" s="183"/>
      <c r="AL1436" s="183"/>
    </row>
    <row r="1437" spans="1:38">
      <c r="A1437" s="182"/>
      <c r="Q1437" s="183"/>
      <c r="R1437" s="183"/>
      <c r="S1437" s="183"/>
      <c r="AJ1437" s="183"/>
    </row>
    <row r="1438" spans="1:38">
      <c r="A1438" s="182"/>
      <c r="Q1438" s="183"/>
      <c r="R1438" s="183"/>
      <c r="S1438" s="183"/>
    </row>
    <row r="1439" spans="1:38">
      <c r="A1439" s="182"/>
      <c r="Q1439" s="183"/>
      <c r="R1439" s="183"/>
      <c r="S1439" s="183"/>
    </row>
    <row r="1440" spans="1:38">
      <c r="A1440" s="182"/>
      <c r="Q1440" s="183"/>
      <c r="R1440" s="183"/>
      <c r="S1440" s="183"/>
    </row>
    <row r="1441" spans="1:38">
      <c r="A1441" s="182"/>
      <c r="Q1441" s="183"/>
      <c r="R1441" s="183"/>
      <c r="S1441" s="183"/>
    </row>
    <row r="1442" spans="1:38">
      <c r="A1442" s="182"/>
      <c r="Q1442" s="183"/>
      <c r="R1442" s="183"/>
      <c r="S1442" s="183"/>
    </row>
    <row r="1443" spans="1:38">
      <c r="A1443" s="182"/>
      <c r="Q1443" s="183"/>
      <c r="R1443" s="183"/>
      <c r="S1443" s="183"/>
    </row>
    <row r="1444" spans="1:38">
      <c r="A1444" s="182"/>
      <c r="Q1444" s="183"/>
      <c r="R1444" s="183"/>
      <c r="S1444" s="183"/>
    </row>
    <row r="1445" spans="1:38">
      <c r="A1445" s="182"/>
      <c r="Q1445" s="183"/>
      <c r="R1445" s="183"/>
      <c r="S1445" s="183"/>
    </row>
    <row r="1446" spans="1:38">
      <c r="A1446" s="182"/>
      <c r="Q1446" s="183"/>
      <c r="R1446" s="183"/>
      <c r="S1446" s="183"/>
    </row>
    <row r="1447" spans="1:38">
      <c r="A1447" s="182"/>
      <c r="Q1447" s="183"/>
      <c r="R1447" s="183"/>
      <c r="S1447" s="183"/>
    </row>
    <row r="1448" spans="1:38">
      <c r="A1448" s="182"/>
      <c r="Q1448" s="183"/>
      <c r="R1448" s="183"/>
      <c r="S1448" s="183"/>
    </row>
    <row r="1449" spans="1:38">
      <c r="A1449" s="182"/>
      <c r="Q1449" s="183"/>
      <c r="R1449" s="183"/>
      <c r="S1449" s="183"/>
    </row>
    <row r="1450" spans="1:38">
      <c r="A1450" s="182"/>
      <c r="Q1450" s="183"/>
      <c r="R1450" s="183"/>
      <c r="S1450" s="183"/>
    </row>
    <row r="1451" spans="1:38">
      <c r="A1451" s="182"/>
      <c r="Q1451" s="183"/>
      <c r="R1451" s="183"/>
      <c r="S1451" s="183"/>
    </row>
    <row r="1452" spans="1:38">
      <c r="A1452" s="182"/>
      <c r="Q1452" s="183"/>
      <c r="R1452" s="183"/>
      <c r="S1452" s="183"/>
    </row>
    <row r="1453" spans="1:38">
      <c r="A1453" s="182"/>
      <c r="Q1453" s="183"/>
      <c r="R1453" s="183"/>
      <c r="S1453" s="183"/>
      <c r="AK1453" s="183"/>
      <c r="AL1453" s="183"/>
    </row>
    <row r="1454" spans="1:38">
      <c r="A1454" s="182"/>
      <c r="Q1454" s="183"/>
      <c r="R1454" s="183"/>
      <c r="S1454" s="183"/>
      <c r="AJ1454" s="183"/>
      <c r="AK1454" s="183"/>
      <c r="AL1454" s="183"/>
    </row>
    <row r="1455" spans="1:38">
      <c r="A1455" s="182"/>
      <c r="Q1455" s="183"/>
      <c r="R1455" s="183"/>
      <c r="S1455" s="183"/>
      <c r="AJ1455" s="183"/>
      <c r="AK1455" s="183"/>
      <c r="AL1455" s="183"/>
    </row>
    <row r="1456" spans="1:38">
      <c r="A1456" s="182"/>
      <c r="Q1456" s="183"/>
      <c r="R1456" s="183"/>
      <c r="S1456" s="183"/>
      <c r="AJ1456" s="183"/>
      <c r="AK1456" s="183"/>
      <c r="AL1456" s="183"/>
    </row>
    <row r="1457" spans="1:38">
      <c r="A1457" s="182"/>
      <c r="Q1457" s="183"/>
      <c r="R1457" s="183"/>
      <c r="S1457" s="183"/>
      <c r="AJ1457" s="183"/>
      <c r="AK1457" s="183"/>
      <c r="AL1457" s="183"/>
    </row>
    <row r="1458" spans="1:38">
      <c r="A1458" s="182"/>
      <c r="Q1458" s="183"/>
      <c r="R1458" s="183"/>
      <c r="S1458" s="183"/>
      <c r="AJ1458" s="183"/>
      <c r="AK1458" s="183"/>
      <c r="AL1458" s="183"/>
    </row>
    <row r="1459" spans="1:38">
      <c r="A1459" s="182"/>
      <c r="Q1459" s="183"/>
      <c r="R1459" s="183"/>
      <c r="S1459" s="183"/>
      <c r="AJ1459" s="183"/>
      <c r="AK1459" s="183"/>
      <c r="AL1459" s="183"/>
    </row>
    <row r="1460" spans="1:38">
      <c r="A1460" s="182"/>
      <c r="Q1460" s="183"/>
      <c r="R1460" s="183"/>
      <c r="S1460" s="183"/>
      <c r="AJ1460" s="183"/>
      <c r="AK1460" s="183"/>
      <c r="AL1460" s="183"/>
    </row>
    <row r="1461" spans="1:38">
      <c r="A1461" s="182"/>
      <c r="Q1461" s="183"/>
      <c r="R1461" s="183"/>
      <c r="S1461" s="183"/>
      <c r="AJ1461" s="183"/>
      <c r="AK1461" s="183"/>
      <c r="AL1461" s="183"/>
    </row>
    <row r="1462" spans="1:38">
      <c r="A1462" s="182"/>
      <c r="Q1462" s="183"/>
      <c r="R1462" s="183"/>
      <c r="S1462" s="183"/>
      <c r="AJ1462" s="183"/>
      <c r="AK1462" s="183"/>
      <c r="AL1462" s="183"/>
    </row>
    <row r="1463" spans="1:38">
      <c r="A1463" s="182"/>
      <c r="Q1463" s="183"/>
      <c r="AJ1463" s="183"/>
      <c r="AK1463" s="183"/>
      <c r="AL1463" s="183"/>
    </row>
    <row r="1464" spans="1:38">
      <c r="A1464" s="182"/>
      <c r="R1464" s="183"/>
      <c r="S1464" s="183"/>
      <c r="AJ1464" s="183"/>
      <c r="AK1464" s="183"/>
      <c r="AL1464" s="183"/>
    </row>
    <row r="1465" spans="1:38">
      <c r="A1465" s="182"/>
      <c r="Q1465" s="183"/>
      <c r="R1465" s="183"/>
      <c r="S1465" s="183"/>
      <c r="AJ1465" s="183"/>
    </row>
    <row r="1466" spans="1:38">
      <c r="A1466" s="182"/>
      <c r="Q1466" s="183"/>
    </row>
    <row r="1467" spans="1:38">
      <c r="A1467" s="182"/>
    </row>
    <row r="1468" spans="1:38">
      <c r="A1468" s="182"/>
    </row>
    <row r="1469" spans="1:38">
      <c r="A1469" s="182"/>
    </row>
    <row r="1470" spans="1:38">
      <c r="A1470" s="182"/>
    </row>
    <row r="1471" spans="1:38">
      <c r="A1471" s="182"/>
    </row>
    <row r="1472" spans="1:38">
      <c r="A1472" s="182"/>
    </row>
    <row r="1473" spans="1:38">
      <c r="A1473" s="182"/>
      <c r="AK1473" s="183"/>
      <c r="AL1473" s="183"/>
    </row>
    <row r="1474" spans="1:38">
      <c r="A1474" s="182"/>
      <c r="AJ1474" s="183"/>
      <c r="AK1474" s="183"/>
      <c r="AL1474" s="183"/>
    </row>
    <row r="1475" spans="1:38">
      <c r="A1475" s="182"/>
      <c r="AJ1475" s="183"/>
      <c r="AK1475" s="183"/>
      <c r="AL1475" s="183"/>
    </row>
    <row r="1476" spans="1:38">
      <c r="A1476" s="182"/>
      <c r="AJ1476" s="183"/>
      <c r="AK1476" s="183"/>
      <c r="AL1476" s="183"/>
    </row>
    <row r="1477" spans="1:38">
      <c r="A1477" s="182"/>
      <c r="AJ1477" s="183"/>
    </row>
    <row r="1478" spans="1:38">
      <c r="A1478" s="182"/>
    </row>
    <row r="1479" spans="1:38">
      <c r="A1479" s="182"/>
    </row>
    <row r="1480" spans="1:38">
      <c r="A1480" s="182"/>
    </row>
    <row r="1481" spans="1:38">
      <c r="A1481" s="182"/>
    </row>
    <row r="1482" spans="1:38">
      <c r="A1482" s="182"/>
    </row>
    <row r="1483" spans="1:38">
      <c r="A1483" s="182"/>
    </row>
    <row r="1484" spans="1:38">
      <c r="A1484" s="182"/>
    </row>
    <row r="1485" spans="1:38">
      <c r="A1485" s="182"/>
    </row>
    <row r="1486" spans="1:38">
      <c r="A1486" s="182"/>
    </row>
    <row r="1487" spans="1:38">
      <c r="A1487" s="182"/>
    </row>
    <row r="1488" spans="1:38">
      <c r="A1488" s="182"/>
    </row>
    <row r="1489" spans="1:38">
      <c r="A1489" s="182"/>
      <c r="AK1489" s="183"/>
      <c r="AL1489" s="183"/>
    </row>
    <row r="1490" spans="1:38">
      <c r="A1490" s="182"/>
      <c r="AJ1490" s="183"/>
      <c r="AK1490" s="183"/>
      <c r="AL1490" s="183"/>
    </row>
    <row r="1491" spans="1:38">
      <c r="A1491" s="182"/>
      <c r="AJ1491" s="183"/>
      <c r="AK1491" s="183"/>
      <c r="AL1491" s="183"/>
    </row>
    <row r="1492" spans="1:38">
      <c r="A1492" s="182"/>
      <c r="AJ1492" s="183"/>
      <c r="AK1492" s="183"/>
      <c r="AL1492" s="183"/>
    </row>
    <row r="1493" spans="1:38">
      <c r="A1493" s="182"/>
      <c r="AJ1493" s="183"/>
    </row>
    <row r="1494" spans="1:38">
      <c r="A1494" s="182"/>
    </row>
    <row r="1495" spans="1:38">
      <c r="A1495" s="182"/>
    </row>
    <row r="1496" spans="1:38">
      <c r="A1496" s="182"/>
    </row>
    <row r="1497" spans="1:38">
      <c r="A1497" s="182"/>
    </row>
    <row r="1498" spans="1:38">
      <c r="A1498" s="182"/>
    </row>
    <row r="1499" spans="1:38">
      <c r="A1499" s="182"/>
    </row>
    <row r="1500" spans="1:38">
      <c r="A1500" s="182"/>
    </row>
    <row r="1501" spans="1:38">
      <c r="A1501" s="182"/>
    </row>
    <row r="1502" spans="1:38">
      <c r="A1502" s="182"/>
    </row>
    <row r="1503" spans="1:38">
      <c r="A1503" s="182"/>
    </row>
    <row r="1504" spans="1:38">
      <c r="A1504" s="182"/>
    </row>
    <row r="1505" spans="1:38">
      <c r="A1505" s="182"/>
    </row>
    <row r="1506" spans="1:38">
      <c r="A1506" s="182"/>
    </row>
    <row r="1507" spans="1:38">
      <c r="A1507" s="182"/>
    </row>
    <row r="1508" spans="1:38">
      <c r="A1508" s="182"/>
    </row>
    <row r="1509" spans="1:38">
      <c r="A1509" s="182"/>
      <c r="AK1509" s="183"/>
      <c r="AL1509" s="183"/>
    </row>
    <row r="1510" spans="1:38">
      <c r="A1510" s="182"/>
      <c r="AJ1510" s="183"/>
      <c r="AK1510" s="183"/>
      <c r="AL1510" s="183"/>
    </row>
    <row r="1511" spans="1:38">
      <c r="A1511" s="182"/>
      <c r="AJ1511" s="183"/>
      <c r="AK1511" s="183"/>
      <c r="AL1511" s="183"/>
    </row>
    <row r="1512" spans="1:38">
      <c r="A1512" s="182"/>
      <c r="AJ1512" s="183"/>
      <c r="AK1512" s="183"/>
      <c r="AL1512" s="183"/>
    </row>
    <row r="1513" spans="1:38">
      <c r="A1513" s="182"/>
      <c r="AJ1513" s="183"/>
    </row>
    <row r="1514" spans="1:38">
      <c r="A1514" s="182"/>
    </row>
    <row r="1515" spans="1:38">
      <c r="A1515" s="182"/>
    </row>
    <row r="1516" spans="1:38">
      <c r="A1516" s="182"/>
    </row>
    <row r="1517" spans="1:38">
      <c r="A1517" s="182"/>
      <c r="AK1517" s="183"/>
      <c r="AL1517" s="183"/>
    </row>
    <row r="1518" spans="1:38">
      <c r="A1518" s="182"/>
      <c r="AJ1518" s="183"/>
      <c r="AK1518" s="183"/>
      <c r="AL1518" s="183"/>
    </row>
    <row r="1519" spans="1:38">
      <c r="A1519" s="182"/>
      <c r="AJ1519" s="183"/>
      <c r="AK1519" s="183"/>
      <c r="AL1519" s="183"/>
    </row>
    <row r="1520" spans="1:38">
      <c r="A1520" s="182"/>
      <c r="AJ1520" s="183"/>
      <c r="AK1520" s="183"/>
      <c r="AL1520" s="183"/>
    </row>
    <row r="1521" spans="1:38">
      <c r="A1521" s="182"/>
      <c r="AJ1521" s="183"/>
    </row>
    <row r="1522" spans="1:38">
      <c r="A1522" s="182"/>
    </row>
    <row r="1523" spans="1:38">
      <c r="A1523" s="182"/>
    </row>
    <row r="1524" spans="1:38">
      <c r="A1524" s="182"/>
    </row>
    <row r="1525" spans="1:38">
      <c r="A1525" s="182"/>
    </row>
    <row r="1526" spans="1:38">
      <c r="A1526" s="182"/>
    </row>
    <row r="1527" spans="1:38">
      <c r="A1527" s="182"/>
    </row>
    <row r="1528" spans="1:38">
      <c r="A1528" s="182"/>
    </row>
    <row r="1529" spans="1:38">
      <c r="A1529" s="182"/>
    </row>
    <row r="1530" spans="1:38">
      <c r="A1530" s="182"/>
    </row>
    <row r="1531" spans="1:38">
      <c r="A1531" s="182"/>
    </row>
    <row r="1532" spans="1:38">
      <c r="A1532" s="182"/>
    </row>
    <row r="1533" spans="1:38">
      <c r="A1533" s="182"/>
      <c r="AK1533" s="183"/>
      <c r="AL1533" s="183"/>
    </row>
    <row r="1534" spans="1:38">
      <c r="A1534" s="182"/>
      <c r="AJ1534" s="183"/>
      <c r="AK1534" s="183"/>
      <c r="AL1534" s="183"/>
    </row>
    <row r="1535" spans="1:38">
      <c r="A1535" s="182"/>
      <c r="AJ1535" s="183"/>
      <c r="AK1535" s="183"/>
      <c r="AL1535" s="183"/>
    </row>
    <row r="1536" spans="1:38">
      <c r="A1536" s="182"/>
      <c r="AJ1536" s="183"/>
      <c r="AK1536" s="183"/>
      <c r="AL1536" s="183"/>
    </row>
    <row r="1537" spans="1:38">
      <c r="A1537" s="182"/>
      <c r="AJ1537" s="183"/>
      <c r="AK1537" s="183"/>
      <c r="AL1537" s="183"/>
    </row>
    <row r="1538" spans="1:38">
      <c r="A1538" s="182"/>
      <c r="AJ1538" s="183"/>
      <c r="AK1538" s="183"/>
      <c r="AL1538" s="183"/>
    </row>
    <row r="1539" spans="1:38">
      <c r="A1539" s="182"/>
      <c r="AJ1539" s="183"/>
      <c r="AK1539" s="183"/>
      <c r="AL1539" s="183"/>
    </row>
    <row r="1540" spans="1:38">
      <c r="A1540" s="182"/>
      <c r="AJ1540" s="183"/>
      <c r="AK1540" s="183"/>
      <c r="AL1540" s="183"/>
    </row>
    <row r="1541" spans="1:38">
      <c r="A1541" s="182"/>
      <c r="AJ1541" s="183"/>
    </row>
    <row r="1542" spans="1:38">
      <c r="A1542" s="182"/>
    </row>
    <row r="1543" spans="1:38">
      <c r="A1543" s="182"/>
    </row>
    <row r="1544" spans="1:38">
      <c r="A1544" s="182"/>
    </row>
    <row r="1545" spans="1:38">
      <c r="A1545" s="182"/>
    </row>
    <row r="1546" spans="1:38">
      <c r="A1546" s="182"/>
    </row>
    <row r="1547" spans="1:38">
      <c r="A1547" s="182"/>
    </row>
    <row r="1548" spans="1:38">
      <c r="A1548" s="182"/>
    </row>
    <row r="1549" spans="1:38">
      <c r="A1549" s="182"/>
    </row>
    <row r="1550" spans="1:38">
      <c r="A1550" s="182"/>
    </row>
    <row r="1551" spans="1:38">
      <c r="A1551" s="182"/>
    </row>
    <row r="1552" spans="1:38">
      <c r="A1552" s="182"/>
      <c r="R1552" s="183"/>
      <c r="S1552" s="183"/>
    </row>
    <row r="1553" spans="1:38">
      <c r="A1553" s="182"/>
      <c r="Q1553" s="183"/>
      <c r="R1553" s="183"/>
      <c r="S1553" s="183"/>
    </row>
    <row r="1554" spans="1:38">
      <c r="A1554" s="182"/>
      <c r="Q1554" s="183"/>
      <c r="R1554" s="183"/>
      <c r="S1554" s="183"/>
    </row>
    <row r="1555" spans="1:38">
      <c r="A1555" s="182"/>
      <c r="Q1555" s="183"/>
      <c r="R1555" s="183"/>
      <c r="S1555" s="183"/>
    </row>
    <row r="1556" spans="1:38">
      <c r="A1556" s="182"/>
      <c r="Q1556" s="183"/>
      <c r="R1556" s="183"/>
      <c r="S1556" s="183"/>
    </row>
    <row r="1557" spans="1:38">
      <c r="A1557" s="182"/>
      <c r="Q1557" s="183"/>
      <c r="R1557" s="183"/>
      <c r="S1557" s="183"/>
    </row>
    <row r="1558" spans="1:38">
      <c r="A1558" s="182"/>
      <c r="Q1558" s="183"/>
      <c r="R1558" s="183"/>
      <c r="S1558" s="183"/>
    </row>
    <row r="1559" spans="1:38">
      <c r="A1559" s="182"/>
      <c r="Q1559" s="183"/>
      <c r="R1559" s="183"/>
      <c r="S1559" s="183"/>
    </row>
    <row r="1560" spans="1:38">
      <c r="A1560" s="182"/>
      <c r="Q1560" s="183"/>
      <c r="R1560" s="183"/>
      <c r="S1560" s="183"/>
    </row>
    <row r="1561" spans="1:38">
      <c r="A1561" s="182"/>
      <c r="Q1561" s="183"/>
      <c r="R1561" s="183"/>
      <c r="S1561" s="183"/>
      <c r="AK1561" s="183"/>
      <c r="AL1561" s="183"/>
    </row>
    <row r="1562" spans="1:38">
      <c r="A1562" s="182"/>
      <c r="Q1562" s="183"/>
      <c r="R1562" s="183"/>
      <c r="S1562" s="183"/>
      <c r="AJ1562" s="183"/>
      <c r="AK1562" s="183"/>
      <c r="AL1562" s="183"/>
    </row>
    <row r="1563" spans="1:38">
      <c r="A1563" s="182"/>
      <c r="Q1563" s="183"/>
      <c r="R1563" s="183"/>
      <c r="S1563" s="183"/>
      <c r="AJ1563" s="183"/>
      <c r="AK1563" s="183"/>
      <c r="AL1563" s="183"/>
    </row>
    <row r="1564" spans="1:38">
      <c r="A1564" s="182"/>
      <c r="Q1564" s="183"/>
      <c r="R1564" s="183"/>
      <c r="S1564" s="183"/>
      <c r="AJ1564" s="183"/>
      <c r="AK1564" s="183"/>
      <c r="AL1564" s="183"/>
    </row>
    <row r="1565" spans="1:38">
      <c r="A1565" s="182"/>
      <c r="Q1565" s="183"/>
      <c r="R1565" s="183"/>
      <c r="S1565" s="183"/>
      <c r="AJ1565" s="183"/>
    </row>
    <row r="1566" spans="1:38">
      <c r="A1566" s="182"/>
      <c r="Q1566" s="183"/>
      <c r="R1566" s="183"/>
      <c r="S1566" s="183"/>
    </row>
    <row r="1567" spans="1:38">
      <c r="A1567" s="182"/>
      <c r="Q1567" s="183"/>
      <c r="R1567" s="183"/>
      <c r="S1567" s="183"/>
    </row>
    <row r="1568" spans="1:38">
      <c r="A1568" s="182"/>
      <c r="Q1568" s="183"/>
      <c r="R1568" s="183"/>
      <c r="S1568" s="183"/>
    </row>
    <row r="1569" spans="1:19">
      <c r="A1569" s="182"/>
      <c r="Q1569" s="183"/>
      <c r="R1569" s="183"/>
      <c r="S1569" s="183"/>
    </row>
    <row r="1570" spans="1:19">
      <c r="A1570" s="182"/>
      <c r="Q1570" s="183"/>
      <c r="R1570" s="183"/>
      <c r="S1570" s="183"/>
    </row>
    <row r="1571" spans="1:19">
      <c r="A1571" s="182"/>
      <c r="Q1571" s="183"/>
      <c r="R1571" s="183"/>
      <c r="S1571" s="183"/>
    </row>
    <row r="1572" spans="1:19">
      <c r="A1572" s="182"/>
      <c r="Q1572" s="183"/>
      <c r="R1572" s="183"/>
      <c r="S1572" s="183"/>
    </row>
    <row r="1573" spans="1:19">
      <c r="A1573" s="182"/>
      <c r="Q1573" s="183"/>
    </row>
    <row r="1574" spans="1:19">
      <c r="A1574" s="182"/>
    </row>
    <row r="1575" spans="1:19">
      <c r="A1575" s="182"/>
    </row>
    <row r="1576" spans="1:19">
      <c r="A1576" s="182"/>
    </row>
    <row r="1577" spans="1:19">
      <c r="A1577" s="182"/>
    </row>
    <row r="1578" spans="1:19">
      <c r="A1578" s="182"/>
    </row>
    <row r="1579" spans="1:19">
      <c r="A1579" s="182"/>
    </row>
    <row r="1580" spans="1:19">
      <c r="A1580" s="182"/>
    </row>
    <row r="1581" spans="1:19">
      <c r="A1581" s="182"/>
    </row>
    <row r="1582" spans="1:19">
      <c r="A1582" s="182"/>
    </row>
    <row r="1583" spans="1:19">
      <c r="A1583" s="182"/>
      <c r="R1583" s="183"/>
      <c r="S1583" s="183"/>
    </row>
    <row r="1584" spans="1:19">
      <c r="A1584" s="182"/>
      <c r="Q1584" s="183"/>
    </row>
    <row r="1585" spans="1:1">
      <c r="A1585" s="182"/>
    </row>
    <row r="1586" spans="1:1">
      <c r="A1586" s="182"/>
    </row>
    <row r="1587" spans="1:1">
      <c r="A1587" s="182"/>
    </row>
    <row r="1588" spans="1:1">
      <c r="A1588" s="182"/>
    </row>
    <row r="1589" spans="1:1">
      <c r="A1589" s="182"/>
    </row>
    <row r="1590" spans="1:1">
      <c r="A1590" s="182"/>
    </row>
    <row r="1591" spans="1:1">
      <c r="A1591" s="182"/>
    </row>
    <row r="1592" spans="1:1">
      <c r="A1592" s="182"/>
    </row>
    <row r="1593" spans="1:1">
      <c r="A1593" s="182"/>
    </row>
    <row r="1594" spans="1:1">
      <c r="A1594" s="182"/>
    </row>
    <row r="1595" spans="1:1">
      <c r="A1595" s="182"/>
    </row>
    <row r="1596" spans="1:1">
      <c r="A1596" s="182"/>
    </row>
    <row r="1597" spans="1:1">
      <c r="A1597" s="182"/>
    </row>
    <row r="1598" spans="1:1">
      <c r="A1598" s="182"/>
    </row>
    <row r="1599" spans="1:1">
      <c r="A1599" s="182"/>
    </row>
    <row r="1600" spans="1:1">
      <c r="A1600" s="182"/>
    </row>
    <row r="1601" spans="1:1">
      <c r="A1601" s="182"/>
    </row>
    <row r="1602" spans="1:1">
      <c r="A1602" s="182"/>
    </row>
    <row r="1603" spans="1:1">
      <c r="A1603" s="182"/>
    </row>
    <row r="1604" spans="1:1">
      <c r="A1604" s="182"/>
    </row>
    <row r="1605" spans="1:1">
      <c r="A1605" s="182"/>
    </row>
    <row r="1606" spans="1:1">
      <c r="A1606" s="182"/>
    </row>
    <row r="1607" spans="1:1">
      <c r="A1607" s="182"/>
    </row>
    <row r="1608" spans="1:1">
      <c r="A1608" s="182"/>
    </row>
    <row r="1609" spans="1:1">
      <c r="A1609" s="182"/>
    </row>
    <row r="1610" spans="1:1">
      <c r="A1610" s="182"/>
    </row>
    <row r="1611" spans="1:1">
      <c r="A1611" s="182"/>
    </row>
    <row r="1612" spans="1:1">
      <c r="A1612" s="182"/>
    </row>
    <row r="1613" spans="1:1">
      <c r="A1613" s="182"/>
    </row>
    <row r="1614" spans="1:1">
      <c r="A1614" s="182"/>
    </row>
    <row r="1615" spans="1:1">
      <c r="A1615" s="182"/>
    </row>
    <row r="1616" spans="1:1">
      <c r="A1616" s="182"/>
    </row>
    <row r="1617" spans="1:19">
      <c r="A1617" s="182"/>
    </row>
    <row r="1618" spans="1:19">
      <c r="A1618" s="182"/>
    </row>
    <row r="1619" spans="1:19">
      <c r="A1619" s="182"/>
    </row>
    <row r="1620" spans="1:19">
      <c r="A1620" s="182"/>
      <c r="R1620" s="183"/>
      <c r="S1620" s="183"/>
    </row>
    <row r="1621" spans="1:19">
      <c r="A1621" s="182"/>
      <c r="Q1621" s="183"/>
    </row>
    <row r="1622" spans="1:19">
      <c r="A1622" s="182"/>
    </row>
    <row r="1623" spans="1:19">
      <c r="A1623" s="182"/>
    </row>
    <row r="1624" spans="1:19">
      <c r="A1624" s="182"/>
      <c r="R1624" s="183"/>
      <c r="S1624" s="183"/>
    </row>
    <row r="1625" spans="1:19">
      <c r="A1625" s="182"/>
      <c r="Q1625" s="183"/>
    </row>
    <row r="1626" spans="1:19">
      <c r="A1626" s="182"/>
    </row>
    <row r="1627" spans="1:19">
      <c r="A1627" s="182"/>
    </row>
    <row r="1628" spans="1:19">
      <c r="A1628" s="182"/>
    </row>
    <row r="1629" spans="1:19">
      <c r="A1629" s="182"/>
    </row>
    <row r="1630" spans="1:19">
      <c r="A1630" s="182"/>
    </row>
    <row r="1631" spans="1:19">
      <c r="A1631" s="182"/>
    </row>
    <row r="1632" spans="1:19">
      <c r="A1632" s="182"/>
    </row>
    <row r="1633" spans="1:38">
      <c r="A1633" s="182"/>
    </row>
    <row r="1634" spans="1:38">
      <c r="A1634" s="182"/>
    </row>
    <row r="1635" spans="1:38">
      <c r="A1635" s="182"/>
    </row>
    <row r="1636" spans="1:38">
      <c r="A1636" s="182"/>
    </row>
    <row r="1637" spans="1:38">
      <c r="A1637" s="182"/>
      <c r="AK1637" s="183"/>
      <c r="AL1637" s="183"/>
    </row>
    <row r="1638" spans="1:38">
      <c r="A1638" s="182"/>
      <c r="AJ1638" s="183"/>
      <c r="AK1638" s="183"/>
      <c r="AL1638" s="183"/>
    </row>
    <row r="1639" spans="1:38">
      <c r="A1639" s="182"/>
      <c r="AJ1639" s="183"/>
      <c r="AK1639" s="183"/>
      <c r="AL1639" s="183"/>
    </row>
    <row r="1640" spans="1:38">
      <c r="A1640" s="182"/>
      <c r="AJ1640" s="183"/>
      <c r="AK1640" s="183"/>
      <c r="AL1640" s="183"/>
    </row>
    <row r="1641" spans="1:38">
      <c r="A1641" s="182"/>
      <c r="AJ1641" s="183"/>
    </row>
    <row r="1642" spans="1:38">
      <c r="A1642" s="182"/>
    </row>
    <row r="1643" spans="1:38">
      <c r="A1643" s="182"/>
    </row>
    <row r="1644" spans="1:38">
      <c r="A1644" s="182"/>
    </row>
    <row r="1645" spans="1:38">
      <c r="A1645" s="182"/>
      <c r="AK1645" s="183"/>
      <c r="AL1645" s="183"/>
    </row>
    <row r="1646" spans="1:38">
      <c r="A1646" s="182"/>
      <c r="AJ1646" s="183"/>
      <c r="AK1646" s="183"/>
      <c r="AL1646" s="183"/>
    </row>
    <row r="1647" spans="1:38">
      <c r="A1647" s="182"/>
      <c r="AJ1647" s="183"/>
      <c r="AK1647" s="183"/>
      <c r="AL1647" s="183"/>
    </row>
    <row r="1648" spans="1:38">
      <c r="A1648" s="182"/>
      <c r="AJ1648" s="183"/>
      <c r="AK1648" s="183"/>
      <c r="AL1648" s="183"/>
    </row>
    <row r="1649" spans="1:38">
      <c r="A1649" s="182"/>
      <c r="AJ1649" s="183"/>
      <c r="AK1649" s="183"/>
      <c r="AL1649" s="183"/>
    </row>
    <row r="1650" spans="1:38">
      <c r="A1650" s="182"/>
      <c r="AJ1650" s="183"/>
      <c r="AK1650" s="183"/>
      <c r="AL1650" s="183"/>
    </row>
    <row r="1651" spans="1:38">
      <c r="A1651" s="182"/>
      <c r="AJ1651" s="183"/>
      <c r="AK1651" s="183"/>
      <c r="AL1651" s="183"/>
    </row>
    <row r="1652" spans="1:38">
      <c r="A1652" s="182"/>
      <c r="AJ1652" s="183"/>
      <c r="AK1652" s="183"/>
      <c r="AL1652" s="183"/>
    </row>
    <row r="1653" spans="1:38">
      <c r="A1653" s="182"/>
      <c r="AJ1653" s="183"/>
      <c r="AK1653" s="183"/>
      <c r="AL1653" s="183"/>
    </row>
    <row r="1654" spans="1:38">
      <c r="A1654" s="182"/>
      <c r="AJ1654" s="183"/>
      <c r="AK1654" s="183"/>
      <c r="AL1654" s="183"/>
    </row>
    <row r="1655" spans="1:38">
      <c r="A1655" s="182"/>
      <c r="AJ1655" s="183"/>
      <c r="AK1655" s="183"/>
      <c r="AL1655" s="183"/>
    </row>
    <row r="1656" spans="1:38">
      <c r="A1656" s="182"/>
      <c r="AJ1656" s="183"/>
      <c r="AK1656" s="183"/>
      <c r="AL1656" s="183"/>
    </row>
    <row r="1657" spans="1:38">
      <c r="A1657" s="182"/>
      <c r="AJ1657" s="183"/>
      <c r="AK1657" s="183"/>
      <c r="AL1657" s="183"/>
    </row>
    <row r="1658" spans="1:38">
      <c r="A1658" s="182"/>
      <c r="AJ1658" s="183"/>
      <c r="AK1658" s="183"/>
      <c r="AL1658" s="183"/>
    </row>
    <row r="1659" spans="1:38">
      <c r="A1659" s="182"/>
      <c r="AJ1659" s="183"/>
      <c r="AK1659" s="183"/>
      <c r="AL1659" s="183"/>
    </row>
    <row r="1660" spans="1:38">
      <c r="A1660" s="182"/>
      <c r="AJ1660" s="183"/>
      <c r="AK1660" s="183"/>
      <c r="AL1660" s="183"/>
    </row>
    <row r="1661" spans="1:38">
      <c r="A1661" s="182"/>
      <c r="AJ1661" s="183"/>
      <c r="AK1661" s="183"/>
      <c r="AL1661" s="183"/>
    </row>
    <row r="1662" spans="1:38">
      <c r="A1662" s="182"/>
      <c r="AJ1662" s="183"/>
      <c r="AK1662" s="183"/>
      <c r="AL1662" s="183"/>
    </row>
    <row r="1663" spans="1:38">
      <c r="A1663" s="182"/>
      <c r="AJ1663" s="183"/>
      <c r="AK1663" s="183"/>
      <c r="AL1663" s="183"/>
    </row>
    <row r="1664" spans="1:38">
      <c r="A1664" s="182"/>
      <c r="AJ1664" s="183"/>
      <c r="AK1664" s="183"/>
      <c r="AL1664" s="183"/>
    </row>
    <row r="1665" spans="1:38">
      <c r="A1665" s="182"/>
      <c r="AJ1665" s="183"/>
    </row>
    <row r="1666" spans="1:38">
      <c r="A1666" s="182"/>
    </row>
    <row r="1667" spans="1:38">
      <c r="A1667" s="182"/>
    </row>
    <row r="1668" spans="1:38">
      <c r="A1668" s="182"/>
    </row>
    <row r="1669" spans="1:38">
      <c r="A1669" s="182"/>
      <c r="AK1669" s="183"/>
      <c r="AL1669" s="183"/>
    </row>
    <row r="1670" spans="1:38">
      <c r="A1670" s="182"/>
      <c r="AJ1670" s="183"/>
      <c r="AK1670" s="183"/>
      <c r="AL1670" s="183"/>
    </row>
    <row r="1671" spans="1:38">
      <c r="A1671" s="182"/>
      <c r="AJ1671" s="183"/>
      <c r="AK1671" s="183"/>
      <c r="AL1671" s="183"/>
    </row>
    <row r="1672" spans="1:38">
      <c r="A1672" s="182"/>
      <c r="AJ1672" s="183"/>
      <c r="AK1672" s="183"/>
      <c r="AL1672" s="183"/>
    </row>
    <row r="1673" spans="1:38">
      <c r="A1673" s="182"/>
      <c r="AJ1673" s="183"/>
    </row>
    <row r="1674" spans="1:38">
      <c r="A1674" s="182"/>
    </row>
    <row r="1675" spans="1:38">
      <c r="A1675" s="182"/>
    </row>
    <row r="1676" spans="1:38">
      <c r="A1676" s="182"/>
    </row>
    <row r="1677" spans="1:38">
      <c r="A1677" s="182"/>
    </row>
    <row r="1678" spans="1:38">
      <c r="A1678" s="182"/>
    </row>
    <row r="1679" spans="1:38">
      <c r="A1679" s="182"/>
    </row>
    <row r="1680" spans="1:38">
      <c r="A1680" s="182"/>
    </row>
    <row r="1681" spans="1:38">
      <c r="A1681" s="182"/>
    </row>
    <row r="1682" spans="1:38">
      <c r="A1682" s="182"/>
    </row>
    <row r="1683" spans="1:38">
      <c r="A1683" s="182"/>
    </row>
    <row r="1684" spans="1:38">
      <c r="A1684" s="182"/>
    </row>
    <row r="1685" spans="1:38">
      <c r="A1685" s="182"/>
    </row>
    <row r="1686" spans="1:38">
      <c r="A1686" s="182"/>
    </row>
    <row r="1687" spans="1:38">
      <c r="A1687" s="182"/>
    </row>
    <row r="1688" spans="1:38">
      <c r="A1688" s="182"/>
    </row>
    <row r="1689" spans="1:38">
      <c r="A1689" s="182"/>
    </row>
    <row r="1690" spans="1:38">
      <c r="A1690" s="182"/>
    </row>
    <row r="1691" spans="1:38">
      <c r="A1691" s="182"/>
    </row>
    <row r="1692" spans="1:38">
      <c r="A1692" s="182"/>
    </row>
    <row r="1693" spans="1:38">
      <c r="A1693" s="182"/>
      <c r="AK1693" s="183"/>
      <c r="AL1693" s="183"/>
    </row>
    <row r="1694" spans="1:38">
      <c r="A1694" s="182"/>
      <c r="AJ1694" s="183"/>
      <c r="AK1694" s="183"/>
      <c r="AL1694" s="183"/>
    </row>
    <row r="1695" spans="1:38">
      <c r="A1695" s="182"/>
      <c r="AJ1695" s="183"/>
      <c r="AK1695" s="183"/>
      <c r="AL1695" s="183"/>
    </row>
    <row r="1696" spans="1:38">
      <c r="A1696" s="182"/>
      <c r="AJ1696" s="183"/>
      <c r="AK1696" s="183"/>
      <c r="AL1696" s="183"/>
    </row>
    <row r="1697" spans="1:36">
      <c r="A1697" s="182"/>
      <c r="AJ1697" s="183"/>
    </row>
    <row r="1698" spans="1:36">
      <c r="A1698" s="182"/>
    </row>
    <row r="1699" spans="1:36">
      <c r="A1699" s="182"/>
    </row>
    <row r="1700" spans="1:36">
      <c r="A1700" s="182"/>
    </row>
    <row r="1701" spans="1:36">
      <c r="A1701" s="182"/>
    </row>
    <row r="1702" spans="1:36">
      <c r="A1702" s="182"/>
    </row>
    <row r="1703" spans="1:36">
      <c r="A1703" s="182"/>
    </row>
    <row r="1704" spans="1:36">
      <c r="A1704" s="182"/>
    </row>
    <row r="1705" spans="1:36">
      <c r="A1705" s="182"/>
    </row>
    <row r="1706" spans="1:36">
      <c r="A1706" s="182"/>
    </row>
    <row r="1707" spans="1:36">
      <c r="A1707" s="182"/>
    </row>
    <row r="1708" spans="1:36">
      <c r="A1708" s="182"/>
    </row>
    <row r="1709" spans="1:36">
      <c r="A1709" s="182"/>
    </row>
    <row r="1710" spans="1:36">
      <c r="A1710" s="182"/>
    </row>
    <row r="1711" spans="1:36">
      <c r="A1711" s="182"/>
    </row>
    <row r="1712" spans="1:36">
      <c r="A1712" s="182"/>
    </row>
    <row r="1713" spans="1:38">
      <c r="A1713" s="182"/>
      <c r="AK1713" s="183"/>
      <c r="AL1713" s="183"/>
    </row>
    <row r="1714" spans="1:38">
      <c r="A1714" s="182"/>
      <c r="AJ1714" s="183"/>
      <c r="AK1714" s="183"/>
      <c r="AL1714" s="183"/>
    </row>
    <row r="1715" spans="1:38">
      <c r="A1715" s="182"/>
      <c r="AJ1715" s="183"/>
      <c r="AK1715" s="183"/>
      <c r="AL1715" s="183"/>
    </row>
    <row r="1716" spans="1:38">
      <c r="A1716" s="182"/>
      <c r="AJ1716" s="183"/>
      <c r="AK1716" s="183"/>
      <c r="AL1716" s="183"/>
    </row>
    <row r="1717" spans="1:38">
      <c r="A1717" s="182"/>
      <c r="AJ1717" s="183"/>
    </row>
    <row r="1718" spans="1:38">
      <c r="A1718" s="182"/>
    </row>
    <row r="1719" spans="1:38">
      <c r="A1719" s="182"/>
    </row>
    <row r="1720" spans="1:38">
      <c r="A1720" s="182"/>
    </row>
    <row r="1721" spans="1:38">
      <c r="A1721" s="182"/>
      <c r="AK1721" s="183"/>
      <c r="AL1721" s="183"/>
    </row>
    <row r="1722" spans="1:38">
      <c r="A1722" s="182"/>
      <c r="AJ1722" s="183"/>
      <c r="AK1722" s="183"/>
      <c r="AL1722" s="183"/>
    </row>
    <row r="1723" spans="1:38">
      <c r="A1723" s="182"/>
      <c r="AJ1723" s="183"/>
      <c r="AK1723" s="183"/>
      <c r="AL1723" s="183"/>
    </row>
    <row r="1724" spans="1:38">
      <c r="A1724" s="182"/>
      <c r="AJ1724" s="183"/>
      <c r="AK1724" s="183"/>
      <c r="AL1724" s="183"/>
    </row>
    <row r="1725" spans="1:38">
      <c r="A1725" s="182"/>
      <c r="AJ1725" s="183"/>
      <c r="AK1725" s="183"/>
      <c r="AL1725" s="183"/>
    </row>
    <row r="1726" spans="1:38">
      <c r="A1726" s="182"/>
      <c r="AJ1726" s="183"/>
      <c r="AK1726" s="183"/>
      <c r="AL1726" s="183"/>
    </row>
    <row r="1727" spans="1:38">
      <c r="A1727" s="182"/>
      <c r="AJ1727" s="183"/>
      <c r="AK1727" s="183"/>
      <c r="AL1727" s="183"/>
    </row>
    <row r="1728" spans="1:38">
      <c r="A1728" s="182"/>
      <c r="AJ1728" s="183"/>
      <c r="AK1728" s="183"/>
      <c r="AL1728" s="183"/>
    </row>
    <row r="1729" spans="1:36">
      <c r="A1729" s="182"/>
      <c r="AJ1729" s="183"/>
    </row>
    <row r="1730" spans="1:36">
      <c r="A1730" s="182"/>
    </row>
    <row r="1731" spans="1:36">
      <c r="A1731" s="182"/>
    </row>
    <row r="1732" spans="1:36">
      <c r="A1732" s="182"/>
    </row>
    <row r="1733" spans="1:36">
      <c r="A1733" s="182"/>
    </row>
    <row r="1734" spans="1:36">
      <c r="A1734" s="182"/>
    </row>
    <row r="1735" spans="1:36">
      <c r="A1735" s="182"/>
    </row>
    <row r="1736" spans="1:36">
      <c r="A1736" s="182"/>
    </row>
    <row r="1737" spans="1:36">
      <c r="A1737" s="182"/>
    </row>
    <row r="1738" spans="1:36">
      <c r="A1738" s="182"/>
    </row>
    <row r="1739" spans="1:36">
      <c r="A1739" s="182"/>
    </row>
    <row r="1740" spans="1:36">
      <c r="A1740" s="182"/>
    </row>
    <row r="1741" spans="1:36">
      <c r="A1741" s="182"/>
    </row>
    <row r="1742" spans="1:36">
      <c r="A1742" s="182"/>
    </row>
    <row r="1743" spans="1:36">
      <c r="A1743" s="182"/>
    </row>
    <row r="1744" spans="1:36">
      <c r="A1744" s="182"/>
    </row>
    <row r="1745" spans="1:38">
      <c r="A1745" s="182"/>
      <c r="AK1745" s="183"/>
      <c r="AL1745" s="183"/>
    </row>
    <row r="1746" spans="1:38">
      <c r="A1746" s="182"/>
      <c r="AJ1746" s="183"/>
      <c r="AK1746" s="183"/>
      <c r="AL1746" s="183"/>
    </row>
    <row r="1747" spans="1:38">
      <c r="A1747" s="182"/>
      <c r="AJ1747" s="183"/>
      <c r="AK1747" s="183"/>
      <c r="AL1747" s="183"/>
    </row>
    <row r="1748" spans="1:38">
      <c r="A1748" s="182"/>
      <c r="AJ1748" s="183"/>
      <c r="AK1748" s="183"/>
      <c r="AL1748" s="183"/>
    </row>
    <row r="1749" spans="1:38">
      <c r="A1749" s="182"/>
      <c r="AJ1749" s="183"/>
      <c r="AK1749" s="183"/>
      <c r="AL1749" s="183"/>
    </row>
    <row r="1750" spans="1:38">
      <c r="A1750" s="182"/>
      <c r="AJ1750" s="183"/>
      <c r="AK1750" s="183"/>
      <c r="AL1750" s="183"/>
    </row>
    <row r="1751" spans="1:38">
      <c r="A1751" s="182"/>
      <c r="AJ1751" s="183"/>
      <c r="AK1751" s="183"/>
      <c r="AL1751" s="183"/>
    </row>
    <row r="1752" spans="1:38">
      <c r="A1752" s="182"/>
      <c r="AJ1752" s="183"/>
      <c r="AK1752" s="183"/>
      <c r="AL1752" s="183"/>
    </row>
    <row r="1753" spans="1:38">
      <c r="A1753" s="182"/>
      <c r="AJ1753" s="183"/>
    </row>
    <row r="1754" spans="1:38">
      <c r="A1754" s="182"/>
    </row>
    <row r="1755" spans="1:38">
      <c r="A1755" s="182"/>
    </row>
    <row r="1756" spans="1:38">
      <c r="A1756" s="182"/>
    </row>
    <row r="1757" spans="1:38">
      <c r="A1757" s="182"/>
      <c r="AK1757" s="183"/>
      <c r="AL1757" s="183"/>
    </row>
    <row r="1758" spans="1:38">
      <c r="A1758" s="182"/>
      <c r="AJ1758" s="183"/>
      <c r="AK1758" s="183"/>
      <c r="AL1758" s="183"/>
    </row>
    <row r="1759" spans="1:38">
      <c r="A1759" s="182"/>
      <c r="AJ1759" s="183"/>
      <c r="AK1759" s="183"/>
      <c r="AL1759" s="183"/>
    </row>
    <row r="1760" spans="1:38">
      <c r="A1760" s="182"/>
      <c r="AJ1760" s="183"/>
      <c r="AK1760" s="183"/>
      <c r="AL1760" s="183"/>
    </row>
    <row r="1761" spans="1:38">
      <c r="A1761" s="182"/>
      <c r="AJ1761" s="183"/>
    </row>
    <row r="1762" spans="1:38">
      <c r="A1762" s="182"/>
    </row>
    <row r="1763" spans="1:38">
      <c r="A1763" s="182"/>
    </row>
    <row r="1764" spans="1:38">
      <c r="A1764" s="182"/>
    </row>
    <row r="1765" spans="1:38">
      <c r="A1765" s="182"/>
      <c r="AK1765" s="183"/>
      <c r="AL1765" s="183"/>
    </row>
    <row r="1766" spans="1:38">
      <c r="A1766" s="182"/>
      <c r="AJ1766" s="183"/>
      <c r="AK1766" s="183"/>
      <c r="AL1766" s="183"/>
    </row>
    <row r="1767" spans="1:38">
      <c r="A1767" s="182"/>
      <c r="AJ1767" s="183"/>
      <c r="AK1767" s="183"/>
      <c r="AL1767" s="183"/>
    </row>
    <row r="1768" spans="1:38">
      <c r="A1768" s="182"/>
      <c r="AJ1768" s="183"/>
      <c r="AK1768" s="183"/>
      <c r="AL1768" s="183"/>
    </row>
    <row r="1769" spans="1:38">
      <c r="A1769" s="182"/>
      <c r="AJ1769" s="183"/>
      <c r="AK1769" s="183"/>
      <c r="AL1769" s="183"/>
    </row>
    <row r="1770" spans="1:38">
      <c r="A1770" s="182"/>
      <c r="AJ1770" s="183"/>
      <c r="AK1770" s="183"/>
      <c r="AL1770" s="183"/>
    </row>
    <row r="1771" spans="1:38">
      <c r="A1771" s="182"/>
      <c r="AJ1771" s="183"/>
      <c r="AK1771" s="183"/>
      <c r="AL1771" s="183"/>
    </row>
    <row r="1772" spans="1:38">
      <c r="A1772" s="182"/>
      <c r="AJ1772" s="183"/>
      <c r="AK1772" s="183"/>
      <c r="AL1772" s="183"/>
    </row>
    <row r="1773" spans="1:38">
      <c r="A1773" s="182"/>
      <c r="AJ1773" s="183"/>
    </row>
    <row r="1774" spans="1:38">
      <c r="A1774" s="182"/>
    </row>
    <row r="1775" spans="1:38">
      <c r="A1775" s="182"/>
    </row>
    <row r="1776" spans="1:38">
      <c r="A1776" s="182"/>
    </row>
    <row r="1777" spans="1:38">
      <c r="A1777" s="182"/>
      <c r="AK1777" s="183"/>
      <c r="AL1777" s="183"/>
    </row>
    <row r="1778" spans="1:38">
      <c r="A1778" s="182"/>
      <c r="AJ1778" s="183"/>
      <c r="AK1778" s="183"/>
      <c r="AL1778" s="183"/>
    </row>
    <row r="1779" spans="1:38">
      <c r="A1779" s="182"/>
      <c r="AJ1779" s="183"/>
      <c r="AK1779" s="183"/>
      <c r="AL1779" s="183"/>
    </row>
    <row r="1780" spans="1:38">
      <c r="A1780" s="182"/>
      <c r="AJ1780" s="183"/>
      <c r="AK1780" s="183"/>
      <c r="AL1780" s="183"/>
    </row>
    <row r="1781" spans="1:38">
      <c r="A1781" s="182"/>
      <c r="AJ1781" s="183"/>
    </row>
    <row r="1782" spans="1:38">
      <c r="A1782" s="182"/>
    </row>
    <row r="1783" spans="1:38">
      <c r="A1783" s="182"/>
    </row>
    <row r="1784" spans="1:38">
      <c r="A1784" s="182"/>
    </row>
    <row r="1785" spans="1:38">
      <c r="A1785" s="182"/>
    </row>
    <row r="1786" spans="1:38">
      <c r="A1786" s="182"/>
    </row>
    <row r="1787" spans="1:38">
      <c r="A1787" s="182"/>
    </row>
    <row r="1788" spans="1:38">
      <c r="A1788" s="182"/>
    </row>
    <row r="1789" spans="1:38">
      <c r="A1789" s="182"/>
    </row>
    <row r="1790" spans="1:38">
      <c r="A1790" s="182"/>
    </row>
    <row r="1791" spans="1:38">
      <c r="A1791" s="182"/>
    </row>
    <row r="1792" spans="1:38">
      <c r="A1792" s="182"/>
    </row>
    <row r="1793" spans="1:1">
      <c r="A1793" s="182"/>
    </row>
    <row r="1794" spans="1:1">
      <c r="A1794" s="182"/>
    </row>
    <row r="1795" spans="1:1">
      <c r="A1795" s="182"/>
    </row>
    <row r="1796" spans="1:1">
      <c r="A1796" s="182"/>
    </row>
    <row r="1797" spans="1:1">
      <c r="A1797" s="182"/>
    </row>
    <row r="1798" spans="1:1">
      <c r="A1798" s="182"/>
    </row>
    <row r="1799" spans="1:1">
      <c r="A1799" s="182"/>
    </row>
    <row r="1800" spans="1:1">
      <c r="A1800" s="182"/>
    </row>
    <row r="1801" spans="1:1">
      <c r="A1801" s="182"/>
    </row>
    <row r="1802" spans="1:1">
      <c r="A1802" s="182"/>
    </row>
    <row r="1803" spans="1:1">
      <c r="A1803" s="182"/>
    </row>
    <row r="1804" spans="1:1">
      <c r="A1804" s="182"/>
    </row>
    <row r="1805" spans="1:1">
      <c r="A1805" s="182"/>
    </row>
    <row r="1806" spans="1:1">
      <c r="A1806" s="182"/>
    </row>
    <row r="1807" spans="1:1">
      <c r="A1807" s="182"/>
    </row>
    <row r="1808" spans="1:1">
      <c r="A1808" s="182"/>
    </row>
    <row r="1809" spans="1:38">
      <c r="A1809" s="182"/>
    </row>
    <row r="1810" spans="1:38">
      <c r="A1810" s="182"/>
    </row>
    <row r="1811" spans="1:38">
      <c r="A1811" s="182"/>
    </row>
    <row r="1812" spans="1:38">
      <c r="A1812" s="182"/>
    </row>
    <row r="1813" spans="1:38">
      <c r="A1813" s="182"/>
    </row>
    <row r="1814" spans="1:38">
      <c r="A1814" s="182"/>
    </row>
    <row r="1815" spans="1:38">
      <c r="A1815" s="182"/>
    </row>
    <row r="1816" spans="1:38">
      <c r="A1816" s="182"/>
    </row>
    <row r="1817" spans="1:38">
      <c r="A1817" s="182"/>
      <c r="AK1817" s="183"/>
      <c r="AL1817" s="183"/>
    </row>
    <row r="1818" spans="1:38">
      <c r="A1818" s="182"/>
      <c r="AJ1818" s="183"/>
      <c r="AK1818" s="183"/>
      <c r="AL1818" s="183"/>
    </row>
    <row r="1819" spans="1:38">
      <c r="A1819" s="182"/>
      <c r="AJ1819" s="183"/>
      <c r="AK1819" s="183"/>
      <c r="AL1819" s="183"/>
    </row>
    <row r="1820" spans="1:38">
      <c r="A1820" s="182"/>
      <c r="AJ1820" s="183"/>
      <c r="AK1820" s="183"/>
      <c r="AL1820" s="183"/>
    </row>
    <row r="1821" spans="1:38">
      <c r="A1821" s="182"/>
      <c r="AJ1821" s="183"/>
    </row>
    <row r="1822" spans="1:38">
      <c r="A1822" s="182"/>
    </row>
    <row r="1823" spans="1:38">
      <c r="A1823" s="182"/>
    </row>
    <row r="1824" spans="1:38">
      <c r="A1824" s="182"/>
    </row>
    <row r="1825" spans="1:1">
      <c r="A1825" s="182"/>
    </row>
    <row r="1826" spans="1:1">
      <c r="A1826" s="182"/>
    </row>
    <row r="1827" spans="1:1">
      <c r="A1827" s="182"/>
    </row>
    <row r="1828" spans="1:1">
      <c r="A1828" s="182"/>
    </row>
    <row r="1829" spans="1:1">
      <c r="A1829" s="182"/>
    </row>
    <row r="1830" spans="1:1">
      <c r="A1830" s="182"/>
    </row>
    <row r="1831" spans="1:1">
      <c r="A1831" s="182"/>
    </row>
    <row r="1832" spans="1:1">
      <c r="A1832" s="182"/>
    </row>
    <row r="1833" spans="1:1">
      <c r="A1833" s="182"/>
    </row>
    <row r="1834" spans="1:1">
      <c r="A1834" s="182"/>
    </row>
    <row r="1835" spans="1:1">
      <c r="A1835" s="182"/>
    </row>
    <row r="1836" spans="1:1">
      <c r="A1836" s="182"/>
    </row>
    <row r="1837" spans="1:1">
      <c r="A1837" s="182"/>
    </row>
    <row r="1838" spans="1:1">
      <c r="A1838" s="182"/>
    </row>
    <row r="1839" spans="1:1">
      <c r="A1839" s="182"/>
    </row>
    <row r="1840" spans="1:1">
      <c r="A1840" s="182"/>
    </row>
    <row r="1841" spans="1:38">
      <c r="A1841" s="182"/>
      <c r="AK1841" s="183"/>
      <c r="AL1841" s="183"/>
    </row>
    <row r="1842" spans="1:38">
      <c r="A1842" s="182"/>
      <c r="AJ1842" s="183"/>
      <c r="AK1842" s="183"/>
      <c r="AL1842" s="183"/>
    </row>
    <row r="1843" spans="1:38">
      <c r="A1843" s="182"/>
      <c r="AJ1843" s="183"/>
      <c r="AK1843" s="183"/>
      <c r="AL1843" s="183"/>
    </row>
    <row r="1844" spans="1:38">
      <c r="A1844" s="182"/>
      <c r="AJ1844" s="183"/>
      <c r="AK1844" s="183"/>
      <c r="AL1844" s="183"/>
    </row>
    <row r="1845" spans="1:38">
      <c r="A1845" s="182"/>
      <c r="AJ1845" s="183"/>
    </row>
    <row r="1846" spans="1:38">
      <c r="A1846" s="182"/>
    </row>
    <row r="1847" spans="1:38">
      <c r="A1847" s="182"/>
    </row>
    <row r="1848" spans="1:38">
      <c r="A1848" s="182"/>
    </row>
    <row r="1849" spans="1:38">
      <c r="A1849" s="182"/>
    </row>
    <row r="1850" spans="1:38">
      <c r="A1850" s="182"/>
    </row>
    <row r="1851" spans="1:38">
      <c r="A1851" s="182"/>
    </row>
    <row r="1852" spans="1:38">
      <c r="A1852" s="182"/>
    </row>
    <row r="1853" spans="1:38">
      <c r="A1853" s="182"/>
    </row>
    <row r="1854" spans="1:38">
      <c r="A1854" s="182"/>
    </row>
    <row r="1855" spans="1:38">
      <c r="A1855" s="182"/>
    </row>
    <row r="1856" spans="1:38">
      <c r="A1856" s="182"/>
    </row>
    <row r="1857" spans="1:38">
      <c r="A1857" s="182"/>
      <c r="AK1857" s="183"/>
      <c r="AL1857" s="183"/>
    </row>
    <row r="1858" spans="1:38">
      <c r="A1858" s="182"/>
      <c r="AJ1858" s="183"/>
      <c r="AK1858" s="183"/>
      <c r="AL1858" s="183"/>
    </row>
    <row r="1859" spans="1:38">
      <c r="A1859" s="182"/>
      <c r="AJ1859" s="183"/>
      <c r="AK1859" s="183"/>
      <c r="AL1859" s="183"/>
    </row>
    <row r="1860" spans="1:38">
      <c r="A1860" s="182"/>
      <c r="AJ1860" s="183"/>
      <c r="AK1860" s="183"/>
      <c r="AL1860" s="183"/>
    </row>
    <row r="1861" spans="1:38">
      <c r="A1861" s="182"/>
      <c r="AJ1861" s="183"/>
      <c r="AK1861" s="183"/>
      <c r="AL1861" s="183"/>
    </row>
    <row r="1862" spans="1:38">
      <c r="A1862" s="182"/>
      <c r="AJ1862" s="183"/>
      <c r="AK1862" s="183"/>
      <c r="AL1862" s="183"/>
    </row>
    <row r="1863" spans="1:38">
      <c r="A1863" s="182"/>
      <c r="AJ1863" s="183"/>
      <c r="AK1863" s="183"/>
      <c r="AL1863" s="183"/>
    </row>
    <row r="1864" spans="1:38">
      <c r="A1864" s="182"/>
      <c r="AJ1864" s="183"/>
      <c r="AK1864" s="183"/>
      <c r="AL1864" s="183"/>
    </row>
    <row r="1865" spans="1:38">
      <c r="A1865" s="182"/>
      <c r="AJ1865" s="183"/>
      <c r="AK1865" s="183"/>
      <c r="AL1865" s="183"/>
    </row>
    <row r="1866" spans="1:38">
      <c r="A1866" s="182"/>
      <c r="AJ1866" s="183"/>
      <c r="AK1866" s="183"/>
      <c r="AL1866" s="183"/>
    </row>
    <row r="1867" spans="1:38">
      <c r="A1867" s="182"/>
      <c r="AJ1867" s="183"/>
      <c r="AK1867" s="183"/>
      <c r="AL1867" s="183"/>
    </row>
    <row r="1868" spans="1:38">
      <c r="A1868" s="182"/>
      <c r="AJ1868" s="183"/>
      <c r="AK1868" s="183"/>
      <c r="AL1868" s="183"/>
    </row>
    <row r="1869" spans="1:38">
      <c r="A1869" s="182"/>
      <c r="AJ1869" s="183"/>
    </row>
    <row r="1870" spans="1:38">
      <c r="A1870" s="182"/>
    </row>
    <row r="1871" spans="1:38">
      <c r="A1871" s="182"/>
    </row>
    <row r="1872" spans="1:38">
      <c r="A1872" s="182"/>
    </row>
    <row r="1873" spans="1:38">
      <c r="A1873" s="182"/>
    </row>
    <row r="1874" spans="1:38">
      <c r="A1874" s="182"/>
    </row>
    <row r="1875" spans="1:38">
      <c r="A1875" s="182"/>
    </row>
    <row r="1876" spans="1:38">
      <c r="A1876" s="182"/>
    </row>
    <row r="1877" spans="1:38">
      <c r="A1877" s="182"/>
    </row>
    <row r="1878" spans="1:38">
      <c r="A1878" s="182"/>
    </row>
    <row r="1879" spans="1:38">
      <c r="A1879" s="182"/>
    </row>
    <row r="1880" spans="1:38">
      <c r="A1880" s="182"/>
    </row>
    <row r="1881" spans="1:38">
      <c r="A1881" s="182"/>
    </row>
    <row r="1882" spans="1:38">
      <c r="A1882" s="182"/>
    </row>
    <row r="1883" spans="1:38">
      <c r="A1883" s="182"/>
    </row>
    <row r="1884" spans="1:38">
      <c r="A1884" s="182"/>
    </row>
    <row r="1885" spans="1:38">
      <c r="A1885" s="182"/>
      <c r="AK1885" s="183"/>
      <c r="AL1885" s="183"/>
    </row>
    <row r="1886" spans="1:38">
      <c r="A1886" s="182"/>
      <c r="AJ1886" s="183"/>
      <c r="AK1886" s="183"/>
      <c r="AL1886" s="183"/>
    </row>
    <row r="1887" spans="1:38">
      <c r="A1887" s="182"/>
      <c r="AJ1887" s="183"/>
      <c r="AK1887" s="183"/>
      <c r="AL1887" s="183"/>
    </row>
    <row r="1888" spans="1:38">
      <c r="A1888" s="182"/>
      <c r="AJ1888" s="183"/>
      <c r="AK1888" s="183"/>
      <c r="AL1888" s="183"/>
    </row>
    <row r="1889" spans="1:38">
      <c r="A1889" s="182"/>
      <c r="AJ1889" s="183"/>
    </row>
    <row r="1890" spans="1:38">
      <c r="A1890" s="182"/>
    </row>
    <row r="1891" spans="1:38">
      <c r="A1891" s="182"/>
    </row>
    <row r="1892" spans="1:38">
      <c r="A1892" s="182"/>
    </row>
    <row r="1893" spans="1:38">
      <c r="A1893" s="182"/>
      <c r="AK1893" s="183"/>
      <c r="AL1893" s="183"/>
    </row>
    <row r="1894" spans="1:38">
      <c r="A1894" s="182"/>
      <c r="AJ1894" s="183"/>
      <c r="AK1894" s="183"/>
      <c r="AL1894" s="183"/>
    </row>
    <row r="1895" spans="1:38">
      <c r="A1895" s="182"/>
      <c r="AJ1895" s="183"/>
      <c r="AK1895" s="183"/>
      <c r="AL1895" s="183"/>
    </row>
    <row r="1896" spans="1:38">
      <c r="A1896" s="182"/>
      <c r="AJ1896" s="183"/>
      <c r="AK1896" s="183"/>
      <c r="AL1896" s="183"/>
    </row>
    <row r="1897" spans="1:38">
      <c r="A1897" s="182"/>
      <c r="AJ1897" s="183"/>
    </row>
    <row r="1898" spans="1:38">
      <c r="A1898" s="182"/>
    </row>
    <row r="1899" spans="1:38">
      <c r="A1899" s="182"/>
    </row>
    <row r="1900" spans="1:38">
      <c r="A1900" s="182"/>
    </row>
    <row r="1901" spans="1:38">
      <c r="A1901" s="182"/>
    </row>
    <row r="1902" spans="1:38">
      <c r="A1902" s="182"/>
    </row>
    <row r="1903" spans="1:38">
      <c r="A1903" s="182"/>
    </row>
    <row r="1904" spans="1:38">
      <c r="A1904" s="182"/>
    </row>
    <row r="1905" spans="1:38">
      <c r="A1905" s="182"/>
    </row>
    <row r="1906" spans="1:38">
      <c r="A1906" s="182"/>
    </row>
    <row r="1907" spans="1:38">
      <c r="A1907" s="182"/>
    </row>
    <row r="1908" spans="1:38">
      <c r="A1908" s="182"/>
    </row>
    <row r="1909" spans="1:38">
      <c r="A1909" s="182"/>
    </row>
    <row r="1910" spans="1:38">
      <c r="A1910" s="182"/>
    </row>
    <row r="1911" spans="1:38">
      <c r="A1911" s="182"/>
    </row>
    <row r="1912" spans="1:38">
      <c r="A1912" s="182"/>
    </row>
    <row r="1913" spans="1:38">
      <c r="A1913" s="182"/>
      <c r="AK1913" s="183"/>
      <c r="AL1913" s="183"/>
    </row>
    <row r="1914" spans="1:38">
      <c r="A1914" s="182"/>
      <c r="AJ1914" s="183"/>
      <c r="AK1914" s="183"/>
      <c r="AL1914" s="183"/>
    </row>
    <row r="1915" spans="1:38">
      <c r="A1915" s="182"/>
      <c r="AJ1915" s="183"/>
      <c r="AK1915" s="183"/>
      <c r="AL1915" s="183"/>
    </row>
    <row r="1916" spans="1:38">
      <c r="A1916" s="182"/>
      <c r="AJ1916" s="183"/>
      <c r="AK1916" s="183"/>
      <c r="AL1916" s="183"/>
    </row>
    <row r="1917" spans="1:38">
      <c r="A1917" s="182"/>
      <c r="AJ1917" s="183"/>
      <c r="AK1917" s="183"/>
      <c r="AL1917" s="183"/>
    </row>
    <row r="1918" spans="1:38">
      <c r="A1918" s="182"/>
      <c r="AJ1918" s="183"/>
      <c r="AK1918" s="183"/>
      <c r="AL1918" s="183"/>
    </row>
    <row r="1919" spans="1:38">
      <c r="A1919" s="182"/>
      <c r="AJ1919" s="183"/>
      <c r="AK1919" s="183"/>
      <c r="AL1919" s="183"/>
    </row>
    <row r="1920" spans="1:38">
      <c r="A1920" s="182"/>
      <c r="M1920" s="183"/>
      <c r="N1920" s="183"/>
      <c r="O1920" s="183"/>
      <c r="AJ1920" s="183"/>
      <c r="AK1920" s="183"/>
      <c r="AL1920" s="183"/>
    </row>
    <row r="1921" spans="1:38">
      <c r="A1921" s="182"/>
      <c r="L1921" s="183"/>
      <c r="M1921" s="183"/>
      <c r="N1921" s="183"/>
      <c r="O1921" s="183"/>
      <c r="AJ1921" s="183"/>
    </row>
    <row r="1922" spans="1:38">
      <c r="A1922" s="182"/>
      <c r="L1922" s="183"/>
      <c r="M1922" s="183"/>
    </row>
    <row r="1923" spans="1:38">
      <c r="A1923" s="182"/>
    </row>
    <row r="1924" spans="1:38">
      <c r="A1924" s="182"/>
    </row>
    <row r="1925" spans="1:38">
      <c r="A1925" s="182"/>
      <c r="AK1925" s="183"/>
      <c r="AL1925" s="183"/>
    </row>
    <row r="1926" spans="1:38">
      <c r="A1926" s="182"/>
      <c r="AJ1926" s="183"/>
      <c r="AK1926" s="183"/>
      <c r="AL1926" s="183"/>
    </row>
    <row r="1927" spans="1:38">
      <c r="A1927" s="182"/>
      <c r="AJ1927" s="183"/>
      <c r="AK1927" s="183"/>
      <c r="AL1927" s="183"/>
    </row>
    <row r="1928" spans="1:38">
      <c r="A1928" s="182"/>
      <c r="AJ1928" s="183"/>
      <c r="AK1928" s="183"/>
      <c r="AL1928" s="183"/>
    </row>
    <row r="1929" spans="1:38">
      <c r="A1929" s="182"/>
      <c r="AJ1929" s="183"/>
    </row>
    <row r="1930" spans="1:38">
      <c r="A1930" s="182"/>
    </row>
    <row r="1931" spans="1:38">
      <c r="A1931" s="182"/>
    </row>
    <row r="1932" spans="1:38">
      <c r="A1932" s="182"/>
    </row>
    <row r="1933" spans="1:38">
      <c r="A1933" s="182"/>
    </row>
    <row r="1934" spans="1:38">
      <c r="A1934" s="182"/>
    </row>
    <row r="1935" spans="1:38">
      <c r="A1935" s="182"/>
    </row>
    <row r="1936" spans="1:38">
      <c r="A1936" s="182"/>
      <c r="N1936" s="183"/>
      <c r="O1936" s="183"/>
    </row>
    <row r="1937" spans="1:38">
      <c r="A1937" s="182"/>
      <c r="M1937" s="183"/>
      <c r="AK1937" s="183"/>
      <c r="AL1937" s="183"/>
    </row>
    <row r="1938" spans="1:38">
      <c r="A1938" s="182"/>
      <c r="AJ1938" s="183"/>
      <c r="AK1938" s="183"/>
      <c r="AL1938" s="183"/>
    </row>
    <row r="1939" spans="1:38">
      <c r="A1939" s="182"/>
      <c r="AJ1939" s="183"/>
      <c r="AK1939" s="183"/>
      <c r="AL1939" s="183"/>
    </row>
    <row r="1940" spans="1:38">
      <c r="A1940" s="182"/>
      <c r="M1940" s="183"/>
      <c r="N1940" s="183"/>
      <c r="O1940" s="183"/>
      <c r="AJ1940" s="183"/>
      <c r="AK1940" s="183"/>
      <c r="AL1940" s="183"/>
    </row>
    <row r="1941" spans="1:38">
      <c r="A1941" s="182"/>
      <c r="L1941" s="183"/>
      <c r="M1941" s="183"/>
      <c r="AJ1941" s="183"/>
    </row>
    <row r="1942" spans="1:38">
      <c r="A1942" s="182"/>
    </row>
    <row r="1943" spans="1:38">
      <c r="A1943" s="182"/>
    </row>
    <row r="1944" spans="1:38">
      <c r="A1944" s="182"/>
    </row>
    <row r="1945" spans="1:38">
      <c r="A1945" s="182"/>
    </row>
    <row r="1946" spans="1:38">
      <c r="A1946" s="182"/>
    </row>
    <row r="1947" spans="1:38">
      <c r="A1947" s="182"/>
    </row>
    <row r="1948" spans="1:38">
      <c r="A1948" s="182"/>
    </row>
    <row r="1949" spans="1:38">
      <c r="A1949" s="182"/>
    </row>
    <row r="1950" spans="1:38">
      <c r="A1950" s="182"/>
    </row>
    <row r="1951" spans="1:38">
      <c r="A1951" s="182"/>
    </row>
    <row r="1952" spans="1:38">
      <c r="A1952" s="182"/>
    </row>
    <row r="1953" spans="1:1">
      <c r="A1953" s="182"/>
    </row>
    <row r="1954" spans="1:1">
      <c r="A1954" s="182"/>
    </row>
    <row r="1955" spans="1:1">
      <c r="A1955" s="182"/>
    </row>
    <row r="1956" spans="1:1">
      <c r="A1956" s="182"/>
    </row>
    <row r="1957" spans="1:1">
      <c r="A1957" s="182"/>
    </row>
    <row r="1958" spans="1:1">
      <c r="A1958" s="182"/>
    </row>
    <row r="1959" spans="1:1">
      <c r="A1959" s="182"/>
    </row>
    <row r="1960" spans="1:1">
      <c r="A1960" s="182"/>
    </row>
    <row r="1961" spans="1:1">
      <c r="A1961" s="182"/>
    </row>
    <row r="1962" spans="1:1">
      <c r="A1962" s="182"/>
    </row>
    <row r="1963" spans="1:1">
      <c r="A1963" s="182"/>
    </row>
    <row r="1964" spans="1:1">
      <c r="A1964" s="182"/>
    </row>
    <row r="1965" spans="1:1">
      <c r="A1965" s="182"/>
    </row>
    <row r="1966" spans="1:1">
      <c r="A1966" s="182"/>
    </row>
    <row r="1967" spans="1:1">
      <c r="A1967" s="182"/>
    </row>
    <row r="1968" spans="1:1">
      <c r="A1968" s="182"/>
    </row>
    <row r="1969" spans="1:19">
      <c r="A1969" s="182"/>
    </row>
    <row r="1970" spans="1:19">
      <c r="A1970" s="182"/>
    </row>
    <row r="1971" spans="1:19">
      <c r="A1971" s="182"/>
    </row>
    <row r="1972" spans="1:19">
      <c r="A1972" s="182"/>
    </row>
    <row r="1973" spans="1:19">
      <c r="A1973" s="182"/>
    </row>
    <row r="1974" spans="1:19">
      <c r="A1974" s="182"/>
    </row>
    <row r="1975" spans="1:19">
      <c r="A1975" s="182"/>
    </row>
    <row r="1976" spans="1:19">
      <c r="A1976" s="182"/>
    </row>
    <row r="1977" spans="1:19">
      <c r="A1977" s="182"/>
    </row>
    <row r="1978" spans="1:19">
      <c r="A1978" s="182"/>
    </row>
    <row r="1979" spans="1:19">
      <c r="A1979" s="182"/>
      <c r="R1979" s="183"/>
      <c r="S1979" s="183"/>
    </row>
    <row r="1980" spans="1:19">
      <c r="A1980" s="182"/>
      <c r="Q1980" s="183"/>
      <c r="R1980" s="183"/>
      <c r="S1980" s="183"/>
    </row>
    <row r="1981" spans="1:19">
      <c r="A1981" s="182"/>
      <c r="Q1981" s="183"/>
      <c r="R1981" s="183"/>
      <c r="S1981" s="183"/>
    </row>
    <row r="1982" spans="1:19">
      <c r="A1982" s="182"/>
      <c r="Q1982" s="183"/>
      <c r="R1982" s="183"/>
      <c r="S1982" s="183"/>
    </row>
    <row r="1983" spans="1:19">
      <c r="A1983" s="182"/>
      <c r="Q1983" s="183"/>
      <c r="R1983" s="183"/>
      <c r="S1983" s="183"/>
    </row>
    <row r="1984" spans="1:19">
      <c r="A1984" s="182"/>
      <c r="Q1984" s="183"/>
      <c r="R1984" s="183"/>
      <c r="S1984" s="183"/>
    </row>
    <row r="1985" spans="1:38">
      <c r="A1985" s="182"/>
      <c r="Q1985" s="183"/>
      <c r="R1985" s="183"/>
      <c r="S1985" s="183"/>
    </row>
    <row r="1986" spans="1:38">
      <c r="A1986" s="182"/>
      <c r="Q1986" s="183"/>
      <c r="R1986" s="183"/>
      <c r="S1986" s="183"/>
    </row>
    <row r="1987" spans="1:38">
      <c r="A1987" s="182"/>
      <c r="Q1987" s="183"/>
      <c r="R1987" s="183"/>
      <c r="S1987" s="183"/>
    </row>
    <row r="1988" spans="1:38">
      <c r="A1988" s="182"/>
      <c r="Q1988" s="183"/>
      <c r="R1988" s="183"/>
      <c r="S1988" s="183"/>
    </row>
    <row r="1989" spans="1:38">
      <c r="A1989" s="182"/>
      <c r="Q1989" s="183"/>
      <c r="R1989" s="183"/>
      <c r="S1989" s="183"/>
      <c r="AK1989" s="183"/>
      <c r="AL1989" s="183"/>
    </row>
    <row r="1990" spans="1:38">
      <c r="A1990" s="182"/>
      <c r="Q1990" s="183"/>
      <c r="R1990" s="183"/>
      <c r="S1990" s="183"/>
      <c r="AJ1990" s="183"/>
      <c r="AK1990" s="183"/>
      <c r="AL1990" s="183"/>
    </row>
    <row r="1991" spans="1:38">
      <c r="A1991" s="182"/>
      <c r="Q1991" s="183"/>
      <c r="AJ1991" s="183"/>
      <c r="AK1991" s="183"/>
      <c r="AL1991" s="183"/>
    </row>
    <row r="1992" spans="1:38">
      <c r="A1992" s="182"/>
      <c r="AJ1992" s="183"/>
      <c r="AK1992" s="183"/>
      <c r="AL1992" s="183"/>
    </row>
    <row r="1993" spans="1:38">
      <c r="A1993" s="182"/>
      <c r="AJ1993" s="183"/>
    </row>
    <row r="1994" spans="1:38">
      <c r="A1994" s="182"/>
    </row>
    <row r="1995" spans="1:38">
      <c r="A1995" s="182"/>
    </row>
    <row r="1996" spans="1:38">
      <c r="A1996" s="182"/>
    </row>
    <row r="1997" spans="1:38">
      <c r="A1997" s="182"/>
    </row>
    <row r="1998" spans="1:38">
      <c r="A1998" s="182"/>
    </row>
    <row r="1999" spans="1:38">
      <c r="A1999" s="182"/>
    </row>
    <row r="2000" spans="1:38">
      <c r="A2000" s="182"/>
    </row>
    <row r="2001" spans="1:19">
      <c r="A2001" s="182"/>
      <c r="R2001" s="183"/>
      <c r="S2001" s="183"/>
    </row>
    <row r="2002" spans="1:19">
      <c r="A2002" s="182"/>
      <c r="Q2002" s="183"/>
      <c r="R2002" s="183"/>
      <c r="S2002" s="183"/>
    </row>
    <row r="2003" spans="1:19">
      <c r="A2003" s="182"/>
      <c r="Q2003" s="183"/>
      <c r="R2003" s="183"/>
      <c r="S2003" s="183"/>
    </row>
    <row r="2004" spans="1:19">
      <c r="A2004" s="182"/>
      <c r="M2004" s="183"/>
      <c r="N2004" s="183"/>
      <c r="O2004" s="183"/>
      <c r="Q2004" s="183"/>
      <c r="R2004" s="183"/>
      <c r="S2004" s="183"/>
    </row>
    <row r="2005" spans="1:19">
      <c r="A2005" s="182"/>
      <c r="L2005" s="183"/>
      <c r="M2005" s="183"/>
      <c r="Q2005" s="183"/>
      <c r="R2005" s="183"/>
      <c r="S2005" s="183"/>
    </row>
    <row r="2006" spans="1:19">
      <c r="A2006" s="182"/>
      <c r="Q2006" s="183"/>
      <c r="R2006" s="183"/>
      <c r="S2006" s="183"/>
    </row>
    <row r="2007" spans="1:19">
      <c r="A2007" s="182"/>
      <c r="Q2007" s="183"/>
      <c r="R2007" s="183"/>
      <c r="S2007" s="183"/>
    </row>
    <row r="2008" spans="1:19">
      <c r="A2008" s="182"/>
      <c r="M2008" s="183"/>
      <c r="N2008" s="183"/>
      <c r="O2008" s="183"/>
      <c r="Q2008" s="183"/>
      <c r="R2008" s="183"/>
      <c r="S2008" s="183"/>
    </row>
    <row r="2009" spans="1:19">
      <c r="A2009" s="182"/>
      <c r="L2009" s="183"/>
      <c r="M2009" s="183"/>
      <c r="Q2009" s="183"/>
      <c r="R2009" s="183"/>
      <c r="S2009" s="183"/>
    </row>
    <row r="2010" spans="1:19">
      <c r="A2010" s="182"/>
      <c r="Q2010" s="183"/>
      <c r="R2010" s="183"/>
      <c r="S2010" s="183"/>
    </row>
    <row r="2011" spans="1:19">
      <c r="A2011" s="182"/>
      <c r="Q2011" s="183"/>
      <c r="R2011" s="183"/>
      <c r="S2011" s="183"/>
    </row>
    <row r="2012" spans="1:19">
      <c r="A2012" s="182"/>
      <c r="Q2012" s="183"/>
      <c r="R2012" s="183"/>
      <c r="S2012" s="183"/>
    </row>
    <row r="2013" spans="1:19">
      <c r="A2013" s="182"/>
      <c r="Q2013" s="183"/>
      <c r="R2013" s="183"/>
      <c r="S2013" s="183"/>
    </row>
    <row r="2014" spans="1:19">
      <c r="A2014" s="182"/>
      <c r="Q2014" s="183"/>
      <c r="R2014" s="183"/>
      <c r="S2014" s="183"/>
    </row>
    <row r="2015" spans="1:19">
      <c r="A2015" s="182"/>
      <c r="Q2015" s="183"/>
      <c r="R2015" s="183"/>
      <c r="S2015" s="183"/>
    </row>
    <row r="2016" spans="1:19">
      <c r="A2016" s="182"/>
      <c r="Q2016" s="183"/>
      <c r="R2016" s="183"/>
      <c r="S2016" s="183"/>
    </row>
    <row r="2017" spans="1:38">
      <c r="A2017" s="182"/>
      <c r="M2017" s="183"/>
      <c r="N2017" s="183"/>
      <c r="O2017" s="183"/>
      <c r="Q2017" s="183"/>
      <c r="R2017" s="183"/>
      <c r="S2017" s="183"/>
      <c r="AK2017" s="183"/>
      <c r="AL2017" s="183"/>
    </row>
    <row r="2018" spans="1:38">
      <c r="A2018" s="182"/>
      <c r="L2018" s="183"/>
      <c r="M2018" s="183"/>
      <c r="N2018" s="183"/>
      <c r="O2018" s="183"/>
      <c r="Q2018" s="183"/>
      <c r="R2018" s="183"/>
      <c r="S2018" s="183"/>
      <c r="AJ2018" s="183"/>
      <c r="AK2018" s="183"/>
      <c r="AL2018" s="183"/>
    </row>
    <row r="2019" spans="1:38">
      <c r="A2019" s="182"/>
      <c r="L2019" s="183"/>
      <c r="M2019" s="183"/>
      <c r="Q2019" s="183"/>
      <c r="R2019" s="183"/>
      <c r="S2019" s="183"/>
      <c r="AJ2019" s="183"/>
      <c r="AK2019" s="183"/>
      <c r="AL2019" s="183"/>
    </row>
    <row r="2020" spans="1:38">
      <c r="A2020" s="182"/>
      <c r="M2020" s="183"/>
      <c r="N2020" s="183"/>
      <c r="Q2020" s="183"/>
      <c r="R2020" s="183"/>
      <c r="S2020" s="183"/>
      <c r="AJ2020" s="183"/>
      <c r="AK2020" s="183"/>
      <c r="AL2020" s="183"/>
    </row>
    <row r="2021" spans="1:38">
      <c r="A2021" s="182"/>
      <c r="L2021" s="183"/>
      <c r="Q2021" s="183"/>
      <c r="R2021" s="183"/>
      <c r="S2021" s="183"/>
      <c r="AJ2021" s="183"/>
      <c r="AK2021" s="183"/>
      <c r="AL2021" s="183"/>
    </row>
    <row r="2022" spans="1:38">
      <c r="A2022" s="182"/>
      <c r="Q2022" s="183"/>
      <c r="R2022" s="183"/>
      <c r="S2022" s="183"/>
      <c r="AJ2022" s="183"/>
      <c r="AK2022" s="183"/>
      <c r="AL2022" s="183"/>
    </row>
    <row r="2023" spans="1:38">
      <c r="A2023" s="182"/>
      <c r="Q2023" s="183"/>
      <c r="R2023" s="183"/>
      <c r="S2023" s="183"/>
      <c r="AJ2023" s="183"/>
      <c r="AK2023" s="183"/>
      <c r="AL2023" s="183"/>
    </row>
    <row r="2024" spans="1:38">
      <c r="A2024" s="182"/>
      <c r="Q2024" s="183"/>
      <c r="R2024" s="183"/>
      <c r="S2024" s="183"/>
      <c r="AJ2024" s="183"/>
      <c r="AK2024" s="183"/>
      <c r="AL2024" s="183"/>
    </row>
    <row r="2025" spans="1:38">
      <c r="A2025" s="182"/>
      <c r="Q2025" s="183"/>
      <c r="R2025" s="183"/>
      <c r="S2025" s="183"/>
      <c r="AJ2025" s="183"/>
      <c r="AK2025" s="183"/>
      <c r="AL2025" s="183"/>
    </row>
    <row r="2026" spans="1:38">
      <c r="A2026" s="182"/>
      <c r="Q2026" s="183"/>
      <c r="R2026" s="183"/>
      <c r="S2026" s="183"/>
      <c r="AJ2026" s="183"/>
      <c r="AK2026" s="183"/>
      <c r="AL2026" s="183"/>
    </row>
    <row r="2027" spans="1:38">
      <c r="A2027" s="182"/>
      <c r="Q2027" s="183"/>
      <c r="R2027" s="183"/>
      <c r="S2027" s="183"/>
      <c r="AJ2027" s="183"/>
      <c r="AK2027" s="183"/>
      <c r="AL2027" s="183"/>
    </row>
    <row r="2028" spans="1:38">
      <c r="A2028" s="182"/>
      <c r="Q2028" s="183"/>
      <c r="R2028" s="183"/>
      <c r="S2028" s="183"/>
      <c r="AJ2028" s="183"/>
      <c r="AK2028" s="183"/>
      <c r="AL2028" s="183"/>
    </row>
    <row r="2029" spans="1:38">
      <c r="A2029" s="182"/>
      <c r="Q2029" s="183"/>
      <c r="R2029" s="183"/>
      <c r="S2029" s="183"/>
      <c r="AJ2029" s="183"/>
      <c r="AK2029" s="183"/>
      <c r="AL2029" s="183"/>
    </row>
    <row r="2030" spans="1:38">
      <c r="A2030" s="182"/>
      <c r="Q2030" s="183"/>
      <c r="R2030" s="183"/>
      <c r="S2030" s="183"/>
      <c r="AJ2030" s="183"/>
      <c r="AK2030" s="183"/>
      <c r="AL2030" s="183"/>
    </row>
    <row r="2031" spans="1:38">
      <c r="A2031" s="182"/>
      <c r="Q2031" s="183"/>
      <c r="R2031" s="183"/>
      <c r="S2031" s="183"/>
      <c r="AJ2031" s="183"/>
      <c r="AK2031" s="183"/>
      <c r="AL2031" s="183"/>
    </row>
    <row r="2032" spans="1:38">
      <c r="A2032" s="182"/>
      <c r="Q2032" s="183"/>
      <c r="R2032" s="183"/>
      <c r="S2032" s="183"/>
      <c r="AJ2032" s="183"/>
      <c r="AK2032" s="183"/>
      <c r="AL2032" s="183"/>
    </row>
    <row r="2033" spans="1:38">
      <c r="A2033" s="182"/>
      <c r="Q2033" s="183"/>
      <c r="R2033" s="183"/>
      <c r="S2033" s="183"/>
      <c r="AJ2033" s="183"/>
      <c r="AK2033" s="183"/>
      <c r="AL2033" s="183"/>
    </row>
    <row r="2034" spans="1:38">
      <c r="A2034" s="182"/>
      <c r="Q2034" s="183"/>
      <c r="R2034" s="183"/>
      <c r="S2034" s="183"/>
      <c r="AJ2034" s="183"/>
      <c r="AK2034" s="183"/>
      <c r="AL2034" s="183"/>
    </row>
    <row r="2035" spans="1:38">
      <c r="A2035" s="182"/>
      <c r="Q2035" s="183"/>
      <c r="R2035" s="183"/>
      <c r="S2035" s="183"/>
      <c r="AJ2035" s="183"/>
      <c r="AK2035" s="183"/>
      <c r="AL2035" s="183"/>
    </row>
    <row r="2036" spans="1:38">
      <c r="A2036" s="182"/>
      <c r="M2036" s="183"/>
      <c r="N2036" s="183"/>
      <c r="O2036" s="183"/>
      <c r="Q2036" s="183"/>
      <c r="R2036" s="183"/>
      <c r="S2036" s="183"/>
      <c r="AJ2036" s="183"/>
      <c r="AK2036" s="183"/>
      <c r="AL2036" s="183"/>
    </row>
    <row r="2037" spans="1:38">
      <c r="A2037" s="182"/>
      <c r="L2037" s="183"/>
      <c r="M2037" s="183"/>
      <c r="Q2037" s="183"/>
      <c r="R2037" s="183"/>
      <c r="S2037" s="183"/>
      <c r="AJ2037" s="183"/>
    </row>
    <row r="2038" spans="1:38">
      <c r="A2038" s="182"/>
      <c r="Q2038" s="183"/>
      <c r="R2038" s="183"/>
      <c r="S2038" s="183"/>
    </row>
    <row r="2039" spans="1:38">
      <c r="A2039" s="182"/>
      <c r="Q2039" s="183"/>
      <c r="R2039" s="183"/>
      <c r="S2039" s="183"/>
    </row>
    <row r="2040" spans="1:38">
      <c r="A2040" s="182"/>
      <c r="Q2040" s="183"/>
      <c r="R2040" s="183"/>
      <c r="S2040" s="183"/>
    </row>
    <row r="2041" spans="1:38">
      <c r="A2041" s="182"/>
      <c r="Q2041" s="183"/>
      <c r="R2041" s="183"/>
      <c r="S2041" s="183"/>
      <c r="AK2041" s="183"/>
      <c r="AL2041" s="183"/>
    </row>
    <row r="2042" spans="1:38">
      <c r="A2042" s="182"/>
      <c r="Q2042" s="183"/>
      <c r="R2042" s="183"/>
      <c r="S2042" s="183"/>
      <c r="AJ2042" s="183"/>
      <c r="AK2042" s="183"/>
      <c r="AL2042" s="183"/>
    </row>
    <row r="2043" spans="1:38">
      <c r="A2043" s="182"/>
      <c r="Q2043" s="183"/>
      <c r="R2043" s="183"/>
      <c r="S2043" s="183"/>
      <c r="AJ2043" s="183"/>
      <c r="AK2043" s="183"/>
      <c r="AL2043" s="183"/>
    </row>
    <row r="2044" spans="1:38">
      <c r="A2044" s="182"/>
      <c r="Q2044" s="183"/>
      <c r="R2044" s="183"/>
      <c r="S2044" s="183"/>
      <c r="AJ2044" s="183"/>
      <c r="AK2044" s="183"/>
      <c r="AL2044" s="183"/>
    </row>
    <row r="2045" spans="1:38">
      <c r="A2045" s="182"/>
      <c r="Q2045" s="183"/>
      <c r="R2045" s="183"/>
      <c r="S2045" s="183"/>
      <c r="AJ2045" s="183"/>
      <c r="AK2045" s="183"/>
      <c r="AL2045" s="183"/>
    </row>
    <row r="2046" spans="1:38">
      <c r="A2046" s="182"/>
      <c r="Q2046" s="183"/>
      <c r="R2046" s="183"/>
      <c r="S2046" s="183"/>
      <c r="AJ2046" s="183"/>
      <c r="AK2046" s="183"/>
      <c r="AL2046" s="183"/>
    </row>
    <row r="2047" spans="1:38">
      <c r="A2047" s="182"/>
      <c r="Q2047" s="183"/>
      <c r="R2047" s="183"/>
      <c r="S2047" s="183"/>
      <c r="AJ2047" s="183"/>
      <c r="AK2047" s="183"/>
      <c r="AL2047" s="183"/>
    </row>
    <row r="2048" spans="1:38">
      <c r="A2048" s="182"/>
      <c r="Q2048" s="183"/>
      <c r="R2048" s="183"/>
      <c r="S2048" s="183"/>
      <c r="AJ2048" s="183"/>
      <c r="AK2048" s="183"/>
      <c r="AL2048" s="183"/>
    </row>
    <row r="2049" spans="1:36">
      <c r="A2049" s="182"/>
      <c r="Q2049" s="183"/>
      <c r="R2049" s="183"/>
      <c r="S2049" s="183"/>
      <c r="AJ2049" s="183"/>
    </row>
    <row r="2050" spans="1:36">
      <c r="A2050" s="182"/>
      <c r="Q2050" s="183"/>
      <c r="R2050" s="183"/>
      <c r="S2050" s="183"/>
    </row>
    <row r="2051" spans="1:36">
      <c r="A2051" s="182"/>
      <c r="Q2051" s="183"/>
      <c r="R2051" s="183"/>
      <c r="S2051" s="183"/>
    </row>
    <row r="2052" spans="1:36">
      <c r="A2052" s="182"/>
      <c r="Q2052" s="183"/>
    </row>
    <row r="2053" spans="1:36">
      <c r="A2053" s="182"/>
    </row>
    <row r="2054" spans="1:36">
      <c r="A2054" s="182"/>
    </row>
    <row r="2055" spans="1:36">
      <c r="A2055" s="182"/>
    </row>
    <row r="2056" spans="1:36">
      <c r="A2056" s="182"/>
      <c r="R2056" s="183"/>
      <c r="S2056" s="183"/>
    </row>
    <row r="2057" spans="1:36">
      <c r="A2057" s="182"/>
      <c r="Q2057" s="183"/>
      <c r="R2057" s="183"/>
      <c r="S2057" s="183"/>
    </row>
    <row r="2058" spans="1:36">
      <c r="A2058" s="182"/>
      <c r="Q2058" s="183"/>
      <c r="R2058" s="183"/>
      <c r="S2058" s="183"/>
    </row>
    <row r="2059" spans="1:36">
      <c r="A2059" s="182"/>
      <c r="Q2059" s="183"/>
      <c r="R2059" s="183"/>
      <c r="S2059" s="183"/>
    </row>
    <row r="2060" spans="1:36">
      <c r="A2060" s="182"/>
      <c r="Q2060" s="183"/>
      <c r="R2060" s="183"/>
      <c r="S2060" s="183"/>
    </row>
    <row r="2061" spans="1:36">
      <c r="A2061" s="182"/>
      <c r="Q2061" s="183"/>
      <c r="R2061" s="183"/>
      <c r="S2061" s="183"/>
    </row>
    <row r="2062" spans="1:36">
      <c r="A2062" s="182"/>
      <c r="Q2062" s="183"/>
      <c r="R2062" s="183"/>
      <c r="S2062" s="183"/>
    </row>
    <row r="2063" spans="1:36">
      <c r="A2063" s="182"/>
      <c r="Q2063" s="183"/>
      <c r="R2063" s="183"/>
      <c r="S2063" s="183"/>
    </row>
    <row r="2064" spans="1:36">
      <c r="A2064" s="182"/>
      <c r="Q2064" s="183"/>
      <c r="R2064" s="183"/>
      <c r="S2064" s="183"/>
    </row>
    <row r="2065" spans="1:19">
      <c r="A2065" s="182"/>
      <c r="Q2065" s="183"/>
      <c r="R2065" s="183"/>
      <c r="S2065" s="183"/>
    </row>
    <row r="2066" spans="1:19">
      <c r="A2066" s="182"/>
      <c r="Q2066" s="183"/>
    </row>
    <row r="2067" spans="1:19">
      <c r="A2067" s="182"/>
      <c r="R2067" s="183"/>
      <c r="S2067" s="183"/>
    </row>
    <row r="2068" spans="1:19">
      <c r="A2068" s="182"/>
      <c r="Q2068" s="183"/>
      <c r="R2068" s="183"/>
      <c r="S2068" s="183"/>
    </row>
    <row r="2069" spans="1:19">
      <c r="A2069" s="182"/>
      <c r="Q2069" s="183"/>
      <c r="R2069" s="183"/>
      <c r="S2069" s="183"/>
    </row>
    <row r="2070" spans="1:19">
      <c r="A2070" s="182"/>
      <c r="Q2070" s="183"/>
      <c r="R2070" s="183"/>
      <c r="S2070" s="183"/>
    </row>
    <row r="2071" spans="1:19">
      <c r="A2071" s="182"/>
      <c r="Q2071" s="183"/>
      <c r="R2071" s="183"/>
      <c r="S2071" s="183"/>
    </row>
    <row r="2072" spans="1:19">
      <c r="A2072" s="182"/>
      <c r="Q2072" s="183"/>
      <c r="R2072" s="183"/>
      <c r="S2072" s="183"/>
    </row>
    <row r="2073" spans="1:19">
      <c r="A2073" s="182"/>
      <c r="Q2073" s="183"/>
      <c r="R2073" s="183"/>
      <c r="S2073" s="183"/>
    </row>
    <row r="2074" spans="1:19">
      <c r="A2074" s="182"/>
      <c r="Q2074" s="183"/>
      <c r="R2074" s="183"/>
      <c r="S2074" s="183"/>
    </row>
    <row r="2075" spans="1:19">
      <c r="A2075" s="182"/>
      <c r="Q2075" s="183"/>
      <c r="R2075" s="183"/>
      <c r="S2075" s="183"/>
    </row>
    <row r="2076" spans="1:19">
      <c r="A2076" s="182"/>
      <c r="Q2076" s="183"/>
      <c r="R2076" s="183"/>
      <c r="S2076" s="183"/>
    </row>
    <row r="2077" spans="1:19">
      <c r="A2077" s="182"/>
      <c r="Q2077" s="183"/>
      <c r="R2077" s="183"/>
      <c r="S2077" s="183"/>
    </row>
    <row r="2078" spans="1:19">
      <c r="A2078" s="182"/>
      <c r="Q2078" s="183"/>
      <c r="R2078" s="183"/>
      <c r="S2078" s="183"/>
    </row>
    <row r="2079" spans="1:19">
      <c r="A2079" s="182"/>
      <c r="Q2079" s="183"/>
      <c r="R2079" s="183"/>
      <c r="S2079" s="183"/>
    </row>
    <row r="2080" spans="1:19">
      <c r="A2080" s="182"/>
      <c r="Q2080" s="183"/>
      <c r="R2080" s="183"/>
      <c r="S2080" s="183"/>
    </row>
    <row r="2081" spans="1:19">
      <c r="A2081" s="182"/>
      <c r="Q2081" s="183"/>
      <c r="R2081" s="183"/>
      <c r="S2081" s="183"/>
    </row>
    <row r="2082" spans="1:19">
      <c r="A2082" s="182"/>
      <c r="Q2082" s="183"/>
      <c r="R2082" s="183"/>
      <c r="S2082" s="183"/>
    </row>
    <row r="2083" spans="1:19">
      <c r="A2083" s="182"/>
      <c r="Q2083" s="183"/>
      <c r="R2083" s="183"/>
      <c r="S2083" s="183"/>
    </row>
    <row r="2084" spans="1:19">
      <c r="A2084" s="182"/>
      <c r="Q2084" s="183"/>
      <c r="R2084" s="183"/>
      <c r="S2084" s="183"/>
    </row>
    <row r="2085" spans="1:19">
      <c r="A2085" s="182"/>
      <c r="Q2085" s="183"/>
      <c r="R2085" s="183"/>
      <c r="S2085" s="183"/>
    </row>
    <row r="2086" spans="1:19">
      <c r="A2086" s="182"/>
      <c r="Q2086" s="183"/>
      <c r="R2086" s="183"/>
      <c r="S2086" s="183"/>
    </row>
    <row r="2087" spans="1:19">
      <c r="A2087" s="182"/>
      <c r="Q2087" s="183"/>
      <c r="R2087" s="183"/>
      <c r="S2087" s="183"/>
    </row>
    <row r="2088" spans="1:19">
      <c r="A2088" s="182"/>
      <c r="Q2088" s="183"/>
      <c r="R2088" s="183"/>
      <c r="S2088" s="183"/>
    </row>
    <row r="2089" spans="1:19">
      <c r="A2089" s="182"/>
      <c r="Q2089" s="183"/>
      <c r="R2089" s="183"/>
      <c r="S2089" s="183"/>
    </row>
    <row r="2090" spans="1:19">
      <c r="A2090" s="182"/>
      <c r="Q2090" s="183"/>
      <c r="R2090" s="183"/>
      <c r="S2090" s="183"/>
    </row>
    <row r="2091" spans="1:19">
      <c r="A2091" s="182"/>
      <c r="Q2091" s="183"/>
      <c r="R2091" s="183"/>
      <c r="S2091" s="183"/>
    </row>
    <row r="2092" spans="1:19">
      <c r="A2092" s="182"/>
      <c r="Q2092" s="183"/>
      <c r="R2092" s="183"/>
      <c r="S2092" s="183"/>
    </row>
    <row r="2093" spans="1:19">
      <c r="A2093" s="182"/>
      <c r="Q2093" s="183"/>
      <c r="R2093" s="183"/>
      <c r="S2093" s="183"/>
    </row>
    <row r="2094" spans="1:19">
      <c r="A2094" s="182"/>
      <c r="Q2094" s="183"/>
      <c r="R2094" s="183"/>
      <c r="S2094" s="183"/>
    </row>
    <row r="2095" spans="1:19">
      <c r="A2095" s="182"/>
      <c r="Q2095" s="183"/>
      <c r="R2095" s="183"/>
      <c r="S2095" s="183"/>
    </row>
    <row r="2096" spans="1:19">
      <c r="A2096" s="182"/>
      <c r="Q2096" s="183"/>
      <c r="R2096" s="183"/>
      <c r="S2096" s="183"/>
    </row>
    <row r="2097" spans="1:19">
      <c r="A2097" s="182"/>
      <c r="Q2097" s="183"/>
      <c r="R2097" s="183"/>
      <c r="S2097" s="183"/>
    </row>
    <row r="2098" spans="1:19">
      <c r="A2098" s="182"/>
      <c r="Q2098" s="183"/>
      <c r="R2098" s="183"/>
      <c r="S2098" s="183"/>
    </row>
    <row r="2099" spans="1:19">
      <c r="A2099" s="182"/>
      <c r="Q2099" s="183"/>
      <c r="R2099" s="183"/>
      <c r="S2099" s="183"/>
    </row>
    <row r="2100" spans="1:19">
      <c r="A2100" s="182"/>
      <c r="Q2100" s="183"/>
      <c r="R2100" s="183"/>
      <c r="S2100" s="183"/>
    </row>
    <row r="2101" spans="1:19">
      <c r="A2101" s="182"/>
      <c r="Q2101" s="183"/>
      <c r="R2101" s="183"/>
      <c r="S2101" s="183"/>
    </row>
    <row r="2102" spans="1:19">
      <c r="A2102" s="182"/>
      <c r="Q2102" s="183"/>
      <c r="R2102" s="183"/>
      <c r="S2102" s="183"/>
    </row>
    <row r="2103" spans="1:19">
      <c r="A2103" s="182"/>
      <c r="Q2103" s="183"/>
      <c r="R2103" s="183"/>
      <c r="S2103" s="183"/>
    </row>
    <row r="2104" spans="1:19">
      <c r="A2104" s="182"/>
      <c r="Q2104" s="183"/>
      <c r="R2104" s="183"/>
      <c r="S2104" s="183"/>
    </row>
    <row r="2105" spans="1:19">
      <c r="A2105" s="182"/>
      <c r="Q2105" s="183"/>
      <c r="R2105" s="183"/>
      <c r="S2105" s="183"/>
    </row>
    <row r="2106" spans="1:19">
      <c r="A2106" s="182"/>
      <c r="Q2106" s="183"/>
      <c r="R2106" s="183"/>
      <c r="S2106" s="183"/>
    </row>
    <row r="2107" spans="1:19">
      <c r="A2107" s="182"/>
      <c r="Q2107" s="183"/>
      <c r="R2107" s="183"/>
      <c r="S2107" s="183"/>
    </row>
    <row r="2108" spans="1:19">
      <c r="A2108" s="182"/>
      <c r="Q2108" s="183"/>
      <c r="R2108" s="183"/>
      <c r="S2108" s="183"/>
    </row>
    <row r="2109" spans="1:19">
      <c r="A2109" s="182"/>
      <c r="Q2109" s="183"/>
      <c r="R2109" s="183"/>
      <c r="S2109" s="183"/>
    </row>
    <row r="2110" spans="1:19">
      <c r="A2110" s="182"/>
      <c r="Q2110" s="183"/>
      <c r="R2110" s="183"/>
      <c r="S2110" s="183"/>
    </row>
    <row r="2111" spans="1:19">
      <c r="A2111" s="182"/>
      <c r="Q2111" s="183"/>
      <c r="R2111" s="183"/>
      <c r="S2111" s="183"/>
    </row>
    <row r="2112" spans="1:19">
      <c r="A2112" s="182"/>
      <c r="Q2112" s="183"/>
      <c r="R2112" s="183"/>
      <c r="S2112" s="183"/>
    </row>
    <row r="2113" spans="1:38">
      <c r="A2113" s="182"/>
      <c r="Q2113" s="183"/>
      <c r="R2113" s="183"/>
      <c r="S2113" s="183"/>
    </row>
    <row r="2114" spans="1:38">
      <c r="A2114" s="182"/>
      <c r="Q2114" s="183"/>
      <c r="R2114" s="183"/>
      <c r="S2114" s="183"/>
    </row>
    <row r="2115" spans="1:38">
      <c r="A2115" s="182"/>
      <c r="Q2115" s="183"/>
      <c r="R2115" s="183"/>
      <c r="S2115" s="183"/>
    </row>
    <row r="2116" spans="1:38">
      <c r="A2116" s="182"/>
      <c r="Q2116" s="183"/>
      <c r="R2116" s="183"/>
      <c r="S2116" s="183"/>
    </row>
    <row r="2117" spans="1:38">
      <c r="A2117" s="182"/>
      <c r="Q2117" s="183"/>
      <c r="R2117" s="183"/>
      <c r="S2117" s="183"/>
    </row>
    <row r="2118" spans="1:38">
      <c r="A2118" s="182"/>
      <c r="Q2118" s="183"/>
      <c r="R2118" s="183"/>
      <c r="S2118" s="183"/>
    </row>
    <row r="2119" spans="1:38">
      <c r="A2119" s="182"/>
      <c r="Q2119" s="183"/>
      <c r="R2119" s="183"/>
      <c r="S2119" s="183"/>
    </row>
    <row r="2120" spans="1:38">
      <c r="A2120" s="182"/>
      <c r="Q2120" s="183"/>
      <c r="R2120" s="183"/>
      <c r="S2120" s="183"/>
    </row>
    <row r="2121" spans="1:38">
      <c r="A2121" s="182"/>
      <c r="Q2121" s="183"/>
      <c r="R2121" s="183"/>
      <c r="S2121" s="183"/>
      <c r="AK2121" s="183"/>
      <c r="AL2121" s="183"/>
    </row>
    <row r="2122" spans="1:38">
      <c r="A2122" s="182"/>
      <c r="Q2122" s="183"/>
      <c r="R2122" s="183"/>
      <c r="S2122" s="183"/>
      <c r="AJ2122" s="183"/>
      <c r="AK2122" s="183"/>
      <c r="AL2122" s="183"/>
    </row>
    <row r="2123" spans="1:38">
      <c r="A2123" s="182"/>
      <c r="Q2123" s="183"/>
      <c r="R2123" s="183"/>
      <c r="S2123" s="183"/>
      <c r="AJ2123" s="183"/>
      <c r="AK2123" s="183"/>
      <c r="AL2123" s="183"/>
    </row>
    <row r="2124" spans="1:38">
      <c r="A2124" s="182"/>
      <c r="Q2124" s="183"/>
      <c r="R2124" s="183"/>
      <c r="S2124" s="183"/>
      <c r="AJ2124" s="183"/>
      <c r="AK2124" s="183"/>
      <c r="AL2124" s="183"/>
    </row>
    <row r="2125" spans="1:38">
      <c r="A2125" s="182"/>
      <c r="Q2125" s="183"/>
      <c r="R2125" s="183"/>
      <c r="S2125" s="183"/>
      <c r="AJ2125" s="183"/>
      <c r="AK2125" s="183"/>
      <c r="AL2125" s="183"/>
    </row>
    <row r="2126" spans="1:38">
      <c r="A2126" s="182"/>
      <c r="Q2126" s="183"/>
      <c r="R2126" s="183"/>
      <c r="S2126" s="183"/>
      <c r="AJ2126" s="183"/>
      <c r="AK2126" s="183"/>
      <c r="AL2126" s="183"/>
    </row>
    <row r="2127" spans="1:38">
      <c r="A2127" s="182"/>
      <c r="Q2127" s="183"/>
      <c r="R2127" s="183"/>
      <c r="S2127" s="183"/>
      <c r="AJ2127" s="183"/>
      <c r="AK2127" s="183"/>
      <c r="AL2127" s="183"/>
    </row>
    <row r="2128" spans="1:38">
      <c r="A2128" s="182"/>
      <c r="Q2128" s="183"/>
      <c r="R2128" s="183"/>
      <c r="S2128" s="183"/>
      <c r="AJ2128" s="183"/>
      <c r="AK2128" s="183"/>
      <c r="AL2128" s="183"/>
    </row>
    <row r="2129" spans="1:38">
      <c r="A2129" s="182"/>
      <c r="Q2129" s="183"/>
      <c r="R2129" s="183"/>
      <c r="S2129" s="183"/>
      <c r="AJ2129" s="183"/>
      <c r="AK2129" s="183"/>
      <c r="AL2129" s="183"/>
    </row>
    <row r="2130" spans="1:38">
      <c r="A2130" s="182"/>
      <c r="Q2130" s="183"/>
      <c r="R2130" s="183"/>
      <c r="S2130" s="183"/>
      <c r="AJ2130" s="183"/>
      <c r="AK2130" s="183"/>
      <c r="AL2130" s="183"/>
    </row>
    <row r="2131" spans="1:38">
      <c r="A2131" s="182"/>
      <c r="Q2131" s="183"/>
      <c r="R2131" s="183"/>
      <c r="S2131" s="183"/>
      <c r="AJ2131" s="183"/>
      <c r="AK2131" s="183"/>
      <c r="AL2131" s="183"/>
    </row>
    <row r="2132" spans="1:38">
      <c r="A2132" s="182"/>
      <c r="Q2132" s="183"/>
      <c r="R2132" s="183"/>
      <c r="S2132" s="183"/>
      <c r="AJ2132" s="183"/>
      <c r="AK2132" s="183"/>
      <c r="AL2132" s="183"/>
    </row>
    <row r="2133" spans="1:38">
      <c r="A2133" s="182"/>
      <c r="Q2133" s="183"/>
      <c r="R2133" s="183"/>
      <c r="S2133" s="183"/>
      <c r="AJ2133" s="183"/>
    </row>
    <row r="2134" spans="1:38">
      <c r="A2134" s="182"/>
      <c r="Q2134" s="183"/>
      <c r="R2134" s="183"/>
      <c r="S2134" s="183"/>
    </row>
    <row r="2135" spans="1:38">
      <c r="A2135" s="182"/>
      <c r="Q2135" s="183"/>
      <c r="R2135" s="183"/>
      <c r="S2135" s="183"/>
    </row>
    <row r="2136" spans="1:38">
      <c r="A2136" s="182"/>
      <c r="Q2136" s="183"/>
      <c r="R2136" s="183"/>
      <c r="S2136" s="183"/>
    </row>
    <row r="2137" spans="1:38">
      <c r="A2137" s="182"/>
      <c r="Q2137" s="183"/>
      <c r="R2137" s="183"/>
      <c r="S2137" s="183"/>
      <c r="AK2137" s="183"/>
      <c r="AL2137" s="183"/>
    </row>
    <row r="2138" spans="1:38">
      <c r="A2138" s="182"/>
      <c r="Q2138" s="183"/>
      <c r="R2138" s="183"/>
      <c r="S2138" s="183"/>
      <c r="AJ2138" s="183"/>
      <c r="AK2138" s="183"/>
      <c r="AL2138" s="183"/>
    </row>
    <row r="2139" spans="1:38">
      <c r="A2139" s="182"/>
      <c r="Q2139" s="183"/>
      <c r="R2139" s="183"/>
      <c r="S2139" s="183"/>
      <c r="AJ2139" s="183"/>
      <c r="AK2139" s="183"/>
      <c r="AL2139" s="183"/>
    </row>
    <row r="2140" spans="1:38">
      <c r="A2140" s="182"/>
      <c r="Q2140" s="183"/>
      <c r="R2140" s="183"/>
      <c r="S2140" s="183"/>
      <c r="AJ2140" s="183"/>
      <c r="AK2140" s="183"/>
      <c r="AL2140" s="183"/>
    </row>
    <row r="2141" spans="1:38">
      <c r="A2141" s="182"/>
      <c r="Q2141" s="183"/>
      <c r="R2141" s="183"/>
      <c r="S2141" s="183"/>
      <c r="AJ2141" s="183"/>
      <c r="AK2141" s="183"/>
      <c r="AL2141" s="183"/>
    </row>
    <row r="2142" spans="1:38">
      <c r="A2142" s="182"/>
      <c r="Q2142" s="183"/>
      <c r="R2142" s="183"/>
      <c r="S2142" s="183"/>
      <c r="AJ2142" s="183"/>
      <c r="AK2142" s="183"/>
      <c r="AL2142" s="183"/>
    </row>
    <row r="2143" spans="1:38">
      <c r="A2143" s="182"/>
      <c r="Q2143" s="183"/>
      <c r="R2143" s="183"/>
      <c r="S2143" s="183"/>
      <c r="AJ2143" s="183"/>
      <c r="AK2143" s="183"/>
      <c r="AL2143" s="183"/>
    </row>
    <row r="2144" spans="1:38">
      <c r="A2144" s="182"/>
      <c r="Q2144" s="183"/>
      <c r="R2144" s="183"/>
      <c r="S2144" s="183"/>
      <c r="AJ2144" s="183"/>
      <c r="AK2144" s="183"/>
      <c r="AL2144" s="183"/>
    </row>
    <row r="2145" spans="1:36">
      <c r="A2145" s="182"/>
      <c r="Q2145" s="183"/>
      <c r="R2145" s="183"/>
      <c r="S2145" s="183"/>
      <c r="AJ2145" s="183"/>
    </row>
    <row r="2146" spans="1:36">
      <c r="A2146" s="182"/>
      <c r="Q2146" s="183"/>
      <c r="R2146" s="183"/>
      <c r="S2146" s="183"/>
    </row>
    <row r="2147" spans="1:36">
      <c r="A2147" s="182"/>
      <c r="Q2147" s="183"/>
      <c r="R2147" s="183"/>
      <c r="S2147" s="183"/>
    </row>
    <row r="2148" spans="1:36">
      <c r="A2148" s="182"/>
      <c r="Q2148" s="183"/>
      <c r="R2148" s="183"/>
      <c r="S2148" s="183"/>
    </row>
    <row r="2149" spans="1:36">
      <c r="A2149" s="182"/>
      <c r="Q2149" s="183"/>
      <c r="R2149" s="183"/>
      <c r="S2149" s="183"/>
    </row>
    <row r="2150" spans="1:36">
      <c r="A2150" s="182"/>
      <c r="Q2150" s="183"/>
      <c r="R2150" s="183"/>
      <c r="S2150" s="183"/>
    </row>
    <row r="2151" spans="1:36">
      <c r="A2151" s="182"/>
      <c r="Q2151" s="183"/>
      <c r="R2151" s="183"/>
      <c r="S2151" s="183"/>
    </row>
    <row r="2152" spans="1:36">
      <c r="A2152" s="182"/>
      <c r="Q2152" s="183"/>
      <c r="R2152" s="183"/>
      <c r="S2152" s="183"/>
    </row>
    <row r="2153" spans="1:36">
      <c r="A2153" s="182"/>
      <c r="Q2153" s="183"/>
      <c r="R2153" s="183"/>
      <c r="S2153" s="183"/>
    </row>
    <row r="2154" spans="1:36">
      <c r="A2154" s="182"/>
      <c r="Q2154" s="183"/>
      <c r="R2154" s="183"/>
      <c r="S2154" s="183"/>
    </row>
    <row r="2155" spans="1:36">
      <c r="A2155" s="182"/>
      <c r="Q2155" s="183"/>
      <c r="R2155" s="183"/>
      <c r="S2155" s="183"/>
    </row>
    <row r="2156" spans="1:36">
      <c r="A2156" s="182"/>
      <c r="Q2156" s="183"/>
      <c r="R2156" s="183"/>
      <c r="S2156" s="183"/>
    </row>
    <row r="2157" spans="1:36">
      <c r="A2157" s="182"/>
      <c r="Q2157" s="183"/>
      <c r="R2157" s="183"/>
      <c r="S2157" s="183"/>
    </row>
    <row r="2158" spans="1:36">
      <c r="A2158" s="182"/>
      <c r="Q2158" s="183"/>
      <c r="R2158" s="183"/>
      <c r="S2158" s="183"/>
    </row>
    <row r="2159" spans="1:36">
      <c r="A2159" s="182"/>
      <c r="Q2159" s="183"/>
      <c r="R2159" s="183"/>
      <c r="S2159" s="183"/>
    </row>
    <row r="2160" spans="1:36">
      <c r="A2160" s="182"/>
      <c r="Q2160" s="183"/>
      <c r="R2160" s="183"/>
      <c r="S2160" s="183"/>
    </row>
    <row r="2161" spans="1:19">
      <c r="A2161" s="182"/>
      <c r="Q2161" s="183"/>
      <c r="R2161" s="183"/>
      <c r="S2161" s="183"/>
    </row>
    <row r="2162" spans="1:19">
      <c r="A2162" s="182"/>
      <c r="Q2162" s="183"/>
      <c r="R2162" s="183"/>
      <c r="S2162" s="183"/>
    </row>
    <row r="2163" spans="1:19">
      <c r="A2163" s="182"/>
      <c r="Q2163" s="183"/>
      <c r="R2163" s="183"/>
      <c r="S2163" s="183"/>
    </row>
    <row r="2164" spans="1:19">
      <c r="A2164" s="182"/>
      <c r="Q2164" s="183"/>
      <c r="R2164" s="183"/>
      <c r="S2164" s="183"/>
    </row>
    <row r="2165" spans="1:19">
      <c r="A2165" s="182"/>
      <c r="Q2165" s="183"/>
      <c r="R2165" s="183"/>
      <c r="S2165" s="183"/>
    </row>
    <row r="2166" spans="1:19">
      <c r="A2166" s="182"/>
      <c r="Q2166" s="183"/>
      <c r="R2166" s="183"/>
      <c r="S2166" s="183"/>
    </row>
    <row r="2167" spans="1:19">
      <c r="A2167" s="182"/>
      <c r="Q2167" s="183"/>
      <c r="R2167" s="183"/>
      <c r="S2167" s="183"/>
    </row>
    <row r="2168" spans="1:19">
      <c r="A2168" s="182"/>
      <c r="Q2168" s="183"/>
      <c r="R2168" s="183"/>
      <c r="S2168" s="183"/>
    </row>
    <row r="2169" spans="1:19">
      <c r="A2169" s="182"/>
      <c r="Q2169" s="183"/>
      <c r="R2169" s="183"/>
      <c r="S2169" s="183"/>
    </row>
    <row r="2170" spans="1:19">
      <c r="A2170" s="182"/>
      <c r="Q2170" s="183"/>
      <c r="R2170" s="183"/>
      <c r="S2170" s="183"/>
    </row>
    <row r="2171" spans="1:19">
      <c r="A2171" s="182"/>
      <c r="Q2171" s="183"/>
      <c r="R2171" s="183"/>
      <c r="S2171" s="183"/>
    </row>
    <row r="2172" spans="1:19">
      <c r="A2172" s="182"/>
      <c r="Q2172" s="183"/>
      <c r="R2172" s="183"/>
      <c r="S2172" s="183"/>
    </row>
    <row r="2173" spans="1:19">
      <c r="A2173" s="182"/>
      <c r="Q2173" s="183"/>
      <c r="R2173" s="183"/>
      <c r="S2173" s="183"/>
    </row>
    <row r="2174" spans="1:19">
      <c r="A2174" s="182"/>
      <c r="Q2174" s="183"/>
      <c r="R2174" s="183"/>
      <c r="S2174" s="183"/>
    </row>
    <row r="2175" spans="1:19">
      <c r="A2175" s="182"/>
      <c r="Q2175" s="183"/>
      <c r="R2175" s="183"/>
      <c r="S2175" s="183"/>
    </row>
    <row r="2176" spans="1:19">
      <c r="A2176" s="182"/>
      <c r="Q2176" s="183"/>
      <c r="R2176" s="183"/>
      <c r="S2176" s="183"/>
    </row>
    <row r="2177" spans="1:38">
      <c r="A2177" s="182"/>
      <c r="Q2177" s="183"/>
      <c r="R2177" s="183"/>
      <c r="S2177" s="183"/>
    </row>
    <row r="2178" spans="1:38">
      <c r="A2178" s="182"/>
      <c r="Q2178" s="183"/>
      <c r="R2178" s="183"/>
      <c r="S2178" s="183"/>
    </row>
    <row r="2179" spans="1:38">
      <c r="A2179" s="182"/>
      <c r="Q2179" s="183"/>
      <c r="R2179" s="183"/>
      <c r="S2179" s="183"/>
    </row>
    <row r="2180" spans="1:38">
      <c r="A2180" s="182"/>
      <c r="Q2180" s="183"/>
      <c r="R2180" s="183"/>
      <c r="S2180" s="183"/>
    </row>
    <row r="2181" spans="1:38">
      <c r="A2181" s="182"/>
      <c r="Q2181" s="183"/>
      <c r="AK2181" s="183"/>
      <c r="AL2181" s="183"/>
    </row>
    <row r="2182" spans="1:38">
      <c r="A2182" s="182"/>
      <c r="R2182" s="183"/>
      <c r="S2182" s="183"/>
      <c r="AJ2182" s="183"/>
      <c r="AK2182" s="183"/>
      <c r="AL2182" s="183"/>
    </row>
    <row r="2183" spans="1:38">
      <c r="A2183" s="182"/>
      <c r="Q2183" s="183"/>
      <c r="R2183" s="183"/>
      <c r="S2183" s="183"/>
      <c r="AJ2183" s="183"/>
      <c r="AK2183" s="183"/>
      <c r="AL2183" s="183"/>
    </row>
    <row r="2184" spans="1:38">
      <c r="A2184" s="182"/>
      <c r="Q2184" s="183"/>
      <c r="AJ2184" s="183"/>
      <c r="AK2184" s="183"/>
      <c r="AL2184" s="183"/>
    </row>
    <row r="2185" spans="1:38">
      <c r="A2185" s="182"/>
      <c r="AJ2185" s="183"/>
      <c r="AK2185" s="183"/>
      <c r="AL2185" s="183"/>
    </row>
    <row r="2186" spans="1:38">
      <c r="A2186" s="182"/>
      <c r="AJ2186" s="183"/>
      <c r="AK2186" s="183"/>
      <c r="AL2186" s="183"/>
    </row>
    <row r="2187" spans="1:38">
      <c r="A2187" s="182"/>
      <c r="AJ2187" s="183"/>
      <c r="AK2187" s="183"/>
      <c r="AL2187" s="183"/>
    </row>
    <row r="2188" spans="1:38">
      <c r="A2188" s="182"/>
      <c r="AJ2188" s="183"/>
      <c r="AK2188" s="183"/>
      <c r="AL2188" s="183"/>
    </row>
    <row r="2189" spans="1:38">
      <c r="A2189" s="182"/>
      <c r="AJ2189" s="183"/>
    </row>
    <row r="2190" spans="1:38">
      <c r="A2190" s="182"/>
    </row>
    <row r="2191" spans="1:38">
      <c r="A2191" s="182"/>
    </row>
    <row r="2192" spans="1:38">
      <c r="A2192" s="182"/>
    </row>
    <row r="2193" spans="1:38">
      <c r="A2193" s="182"/>
    </row>
    <row r="2194" spans="1:38">
      <c r="A2194" s="182"/>
    </row>
    <row r="2195" spans="1:38">
      <c r="A2195" s="182"/>
    </row>
    <row r="2196" spans="1:38">
      <c r="A2196" s="182"/>
    </row>
    <row r="2197" spans="1:38">
      <c r="A2197" s="182"/>
    </row>
    <row r="2198" spans="1:38">
      <c r="A2198" s="182"/>
    </row>
    <row r="2199" spans="1:38">
      <c r="A2199" s="182"/>
    </row>
    <row r="2200" spans="1:38">
      <c r="A2200" s="182"/>
      <c r="R2200" s="183"/>
      <c r="S2200" s="183"/>
    </row>
    <row r="2201" spans="1:38">
      <c r="A2201" s="182"/>
      <c r="Q2201" s="183"/>
      <c r="R2201" s="183"/>
      <c r="S2201" s="183"/>
      <c r="AK2201" s="183"/>
      <c r="AL2201" s="183"/>
    </row>
    <row r="2202" spans="1:38">
      <c r="A2202" s="182"/>
      <c r="Q2202" s="183"/>
      <c r="R2202" s="183"/>
      <c r="S2202" s="183"/>
      <c r="AJ2202" s="183"/>
      <c r="AK2202" s="183"/>
      <c r="AL2202" s="183"/>
    </row>
    <row r="2203" spans="1:38">
      <c r="A2203" s="182"/>
      <c r="Q2203" s="183"/>
      <c r="R2203" s="183"/>
      <c r="S2203" s="183"/>
      <c r="AJ2203" s="183"/>
      <c r="AK2203" s="183"/>
      <c r="AL2203" s="183"/>
    </row>
    <row r="2204" spans="1:38">
      <c r="A2204" s="182"/>
      <c r="Q2204" s="183"/>
      <c r="R2204" s="183"/>
      <c r="S2204" s="183"/>
      <c r="AJ2204" s="183"/>
      <c r="AK2204" s="183"/>
      <c r="AL2204" s="183"/>
    </row>
    <row r="2205" spans="1:38">
      <c r="A2205" s="182"/>
      <c r="Q2205" s="183"/>
      <c r="R2205" s="183"/>
      <c r="S2205" s="183"/>
      <c r="AJ2205" s="183"/>
    </row>
    <row r="2206" spans="1:38">
      <c r="A2206" s="182"/>
      <c r="Q2206" s="183"/>
      <c r="R2206" s="183"/>
      <c r="S2206" s="183"/>
    </row>
    <row r="2207" spans="1:38">
      <c r="A2207" s="182"/>
      <c r="Q2207" s="183"/>
      <c r="R2207" s="183"/>
      <c r="S2207" s="183"/>
    </row>
    <row r="2208" spans="1:38">
      <c r="A2208" s="182"/>
      <c r="Q2208" s="183"/>
      <c r="R2208" s="183"/>
      <c r="S2208" s="183"/>
    </row>
    <row r="2209" spans="1:19">
      <c r="A2209" s="182"/>
      <c r="Q2209" s="183"/>
      <c r="R2209" s="183"/>
      <c r="S2209" s="183"/>
    </row>
    <row r="2210" spans="1:19">
      <c r="A2210" s="182"/>
      <c r="Q2210" s="183"/>
      <c r="R2210" s="183"/>
      <c r="S2210" s="183"/>
    </row>
    <row r="2211" spans="1:19">
      <c r="A2211" s="182"/>
      <c r="Q2211" s="183"/>
      <c r="R2211" s="183"/>
      <c r="S2211" s="183"/>
    </row>
    <row r="2212" spans="1:19">
      <c r="A2212" s="182"/>
      <c r="Q2212" s="183"/>
      <c r="R2212" s="183"/>
      <c r="S2212" s="183"/>
    </row>
    <row r="2213" spans="1:19">
      <c r="A2213" s="182"/>
      <c r="Q2213" s="183"/>
      <c r="R2213" s="183"/>
      <c r="S2213" s="183"/>
    </row>
    <row r="2214" spans="1:19">
      <c r="A2214" s="182"/>
      <c r="Q2214" s="183"/>
      <c r="R2214" s="183"/>
      <c r="S2214" s="183"/>
    </row>
    <row r="2215" spans="1:19">
      <c r="A2215" s="182"/>
      <c r="Q2215" s="183"/>
      <c r="R2215" s="183"/>
      <c r="S2215" s="183"/>
    </row>
    <row r="2216" spans="1:19">
      <c r="A2216" s="182"/>
      <c r="Q2216" s="183"/>
      <c r="R2216" s="183"/>
      <c r="S2216" s="183"/>
    </row>
    <row r="2217" spans="1:19">
      <c r="A2217" s="182"/>
      <c r="Q2217" s="183"/>
      <c r="R2217" s="183"/>
      <c r="S2217" s="183"/>
    </row>
    <row r="2218" spans="1:19">
      <c r="A2218" s="182"/>
      <c r="Q2218" s="183"/>
      <c r="R2218" s="183"/>
      <c r="S2218" s="183"/>
    </row>
    <row r="2219" spans="1:19">
      <c r="A2219" s="182"/>
      <c r="Q2219" s="183"/>
      <c r="R2219" s="183"/>
      <c r="S2219" s="183"/>
    </row>
    <row r="2220" spans="1:19">
      <c r="A2220" s="182"/>
      <c r="Q2220" s="183"/>
      <c r="R2220" s="183"/>
      <c r="S2220" s="183"/>
    </row>
    <row r="2221" spans="1:19">
      <c r="A2221" s="182"/>
      <c r="Q2221" s="183"/>
      <c r="R2221" s="183"/>
      <c r="S2221" s="183"/>
    </row>
    <row r="2222" spans="1:19">
      <c r="A2222" s="182"/>
      <c r="Q2222" s="183"/>
      <c r="R2222" s="183"/>
      <c r="S2222" s="183"/>
    </row>
    <row r="2223" spans="1:19">
      <c r="A2223" s="182"/>
      <c r="Q2223" s="183"/>
      <c r="R2223" s="183"/>
      <c r="S2223" s="183"/>
    </row>
    <row r="2224" spans="1:19">
      <c r="A2224" s="182"/>
      <c r="Q2224" s="183"/>
      <c r="R2224" s="183"/>
      <c r="S2224" s="183"/>
    </row>
    <row r="2225" spans="1:38">
      <c r="A2225" s="182"/>
      <c r="Q2225" s="183"/>
      <c r="R2225" s="183"/>
      <c r="S2225" s="183"/>
      <c r="AK2225" s="183"/>
      <c r="AL2225" s="183"/>
    </row>
    <row r="2226" spans="1:38">
      <c r="A2226" s="182"/>
      <c r="Q2226" s="183"/>
      <c r="R2226" s="183"/>
      <c r="S2226" s="183"/>
      <c r="AJ2226" s="183"/>
      <c r="AK2226" s="183"/>
      <c r="AL2226" s="183"/>
    </row>
    <row r="2227" spans="1:38">
      <c r="A2227" s="182"/>
      <c r="Q2227" s="183"/>
      <c r="R2227" s="183"/>
      <c r="S2227" s="183"/>
      <c r="AJ2227" s="183"/>
      <c r="AK2227" s="183"/>
      <c r="AL2227" s="183"/>
    </row>
    <row r="2228" spans="1:38">
      <c r="A2228" s="182"/>
      <c r="Q2228" s="183"/>
      <c r="R2228" s="183"/>
      <c r="S2228" s="183"/>
      <c r="AJ2228" s="183"/>
      <c r="AK2228" s="183"/>
      <c r="AL2228" s="183"/>
    </row>
    <row r="2229" spans="1:38">
      <c r="A2229" s="182"/>
      <c r="Q2229" s="183"/>
      <c r="R2229" s="183"/>
      <c r="S2229" s="183"/>
      <c r="AJ2229" s="183"/>
    </row>
    <row r="2230" spans="1:38">
      <c r="A2230" s="182"/>
      <c r="Q2230" s="183"/>
      <c r="R2230" s="183"/>
      <c r="S2230" s="183"/>
    </row>
    <row r="2231" spans="1:38">
      <c r="A2231" s="182"/>
      <c r="Q2231" s="183"/>
      <c r="R2231" s="183"/>
      <c r="S2231" s="183"/>
    </row>
    <row r="2232" spans="1:38">
      <c r="A2232" s="182"/>
      <c r="Q2232" s="183"/>
      <c r="R2232" s="183"/>
      <c r="S2232" s="183"/>
    </row>
    <row r="2233" spans="1:38">
      <c r="A2233" s="182"/>
      <c r="Q2233" s="183"/>
      <c r="R2233" s="183"/>
      <c r="S2233" s="183"/>
    </row>
    <row r="2234" spans="1:38">
      <c r="A2234" s="182"/>
      <c r="Q2234" s="183"/>
      <c r="R2234" s="183"/>
      <c r="S2234" s="183"/>
    </row>
    <row r="2235" spans="1:38">
      <c r="A2235" s="182"/>
      <c r="Q2235" s="183"/>
      <c r="R2235" s="183"/>
      <c r="S2235" s="183"/>
    </row>
    <row r="2236" spans="1:38">
      <c r="A2236" s="182"/>
      <c r="Q2236" s="183"/>
      <c r="R2236" s="183"/>
      <c r="S2236" s="183"/>
    </row>
    <row r="2237" spans="1:38">
      <c r="A2237" s="182"/>
      <c r="Q2237" s="183"/>
      <c r="R2237" s="183"/>
      <c r="S2237" s="183"/>
      <c r="AK2237" s="183"/>
      <c r="AL2237" s="183"/>
    </row>
    <row r="2238" spans="1:38">
      <c r="A2238" s="182"/>
      <c r="Q2238" s="183"/>
      <c r="R2238" s="183"/>
      <c r="S2238" s="183"/>
      <c r="AJ2238" s="183"/>
      <c r="AK2238" s="183"/>
      <c r="AL2238" s="183"/>
    </row>
    <row r="2239" spans="1:38">
      <c r="A2239" s="182"/>
      <c r="Q2239" s="183"/>
      <c r="R2239" s="183"/>
      <c r="S2239" s="183"/>
      <c r="AJ2239" s="183"/>
      <c r="AK2239" s="183"/>
      <c r="AL2239" s="183"/>
    </row>
    <row r="2240" spans="1:38">
      <c r="A2240" s="182"/>
      <c r="Q2240" s="183"/>
      <c r="R2240" s="183"/>
      <c r="S2240" s="183"/>
      <c r="AJ2240" s="183"/>
      <c r="AK2240" s="183"/>
      <c r="AL2240" s="183"/>
    </row>
    <row r="2241" spans="1:36">
      <c r="A2241" s="182"/>
      <c r="Q2241" s="183"/>
      <c r="R2241" s="183"/>
      <c r="S2241" s="183"/>
      <c r="AJ2241" s="183"/>
    </row>
    <row r="2242" spans="1:36">
      <c r="A2242" s="182"/>
      <c r="Q2242" s="183"/>
      <c r="R2242" s="183"/>
      <c r="S2242" s="183"/>
    </row>
    <row r="2243" spans="1:36">
      <c r="A2243" s="182"/>
      <c r="Q2243" s="183"/>
      <c r="R2243" s="183"/>
      <c r="S2243" s="183"/>
    </row>
    <row r="2244" spans="1:36">
      <c r="A2244" s="182"/>
      <c r="Q2244" s="183"/>
      <c r="R2244" s="183"/>
      <c r="S2244" s="183"/>
    </row>
    <row r="2245" spans="1:36">
      <c r="A2245" s="182"/>
      <c r="Q2245" s="183"/>
      <c r="R2245" s="183"/>
      <c r="S2245" s="183"/>
    </row>
    <row r="2246" spans="1:36">
      <c r="A2246" s="182"/>
      <c r="Q2246" s="183"/>
      <c r="R2246" s="183"/>
      <c r="S2246" s="183"/>
    </row>
    <row r="2247" spans="1:36">
      <c r="A2247" s="182"/>
      <c r="Q2247" s="183"/>
      <c r="R2247" s="183"/>
      <c r="S2247" s="183"/>
    </row>
    <row r="2248" spans="1:36">
      <c r="A2248" s="182"/>
      <c r="Q2248" s="183"/>
      <c r="R2248" s="183"/>
      <c r="S2248" s="183"/>
    </row>
    <row r="2249" spans="1:36">
      <c r="A2249" s="182"/>
      <c r="Q2249" s="183"/>
      <c r="R2249" s="183"/>
      <c r="S2249" s="183"/>
    </row>
    <row r="2250" spans="1:36">
      <c r="A2250" s="182"/>
      <c r="Q2250" s="183"/>
      <c r="R2250" s="183"/>
      <c r="S2250" s="183"/>
    </row>
    <row r="2251" spans="1:36">
      <c r="A2251" s="182"/>
      <c r="Q2251" s="183"/>
      <c r="R2251" s="183"/>
      <c r="S2251" s="183"/>
    </row>
    <row r="2252" spans="1:36">
      <c r="A2252" s="182"/>
      <c r="Q2252" s="183"/>
      <c r="R2252" s="183"/>
      <c r="S2252" s="183"/>
    </row>
    <row r="2253" spans="1:36">
      <c r="A2253" s="182"/>
      <c r="Q2253" s="183"/>
      <c r="R2253" s="183"/>
      <c r="S2253" s="183"/>
    </row>
    <row r="2254" spans="1:36">
      <c r="A2254" s="182"/>
      <c r="Q2254" s="183"/>
      <c r="R2254" s="183"/>
      <c r="S2254" s="183"/>
    </row>
    <row r="2255" spans="1:36">
      <c r="A2255" s="182"/>
      <c r="Q2255" s="183"/>
      <c r="R2255" s="183"/>
      <c r="S2255" s="183"/>
    </row>
    <row r="2256" spans="1:36">
      <c r="A2256" s="182"/>
      <c r="Q2256" s="183"/>
      <c r="R2256" s="183"/>
      <c r="S2256" s="183"/>
    </row>
    <row r="2257" spans="1:17">
      <c r="A2257" s="182"/>
      <c r="Q2257" s="183"/>
    </row>
    <row r="2258" spans="1:17">
      <c r="A2258" s="182"/>
    </row>
    <row r="2259" spans="1:17">
      <c r="A2259" s="182"/>
    </row>
    <row r="2260" spans="1:17">
      <c r="A2260" s="182"/>
    </row>
    <row r="2261" spans="1:17">
      <c r="A2261" s="182"/>
    </row>
    <row r="2262" spans="1:17">
      <c r="A2262" s="182"/>
    </row>
    <row r="2263" spans="1:17">
      <c r="A2263" s="182"/>
    </row>
    <row r="2264" spans="1:17">
      <c r="A2264" s="182"/>
    </row>
    <row r="2265" spans="1:17">
      <c r="A2265" s="182"/>
    </row>
    <row r="2266" spans="1:17">
      <c r="A2266" s="182"/>
    </row>
    <row r="2267" spans="1:17">
      <c r="A2267" s="182"/>
    </row>
    <row r="2268" spans="1:17">
      <c r="A2268" s="182"/>
    </row>
    <row r="2269" spans="1:17">
      <c r="A2269" s="182"/>
    </row>
    <row r="2270" spans="1:17">
      <c r="A2270" s="182"/>
    </row>
    <row r="2271" spans="1:17">
      <c r="A2271" s="182"/>
    </row>
    <row r="2272" spans="1:17">
      <c r="A2272" s="182"/>
    </row>
    <row r="2273" spans="1:38">
      <c r="A2273" s="182"/>
    </row>
    <row r="2274" spans="1:38">
      <c r="A2274" s="182"/>
    </row>
    <row r="2275" spans="1:38">
      <c r="A2275" s="182"/>
    </row>
    <row r="2276" spans="1:38">
      <c r="A2276" s="182"/>
    </row>
    <row r="2277" spans="1:38">
      <c r="A2277" s="182"/>
      <c r="AK2277" s="183"/>
      <c r="AL2277" s="183"/>
    </row>
    <row r="2278" spans="1:38">
      <c r="A2278" s="182"/>
      <c r="AJ2278" s="183"/>
      <c r="AK2278" s="183"/>
      <c r="AL2278" s="183"/>
    </row>
    <row r="2279" spans="1:38">
      <c r="A2279" s="182"/>
      <c r="AJ2279" s="183"/>
      <c r="AK2279" s="183"/>
      <c r="AL2279" s="183"/>
    </row>
    <row r="2280" spans="1:38">
      <c r="A2280" s="182"/>
      <c r="AJ2280" s="183"/>
      <c r="AK2280" s="183"/>
      <c r="AL2280" s="183"/>
    </row>
    <row r="2281" spans="1:38">
      <c r="A2281" s="182"/>
      <c r="AJ2281" s="183"/>
    </row>
    <row r="2282" spans="1:38">
      <c r="A2282" s="182"/>
    </row>
    <row r="2283" spans="1:38">
      <c r="A2283" s="182"/>
    </row>
    <row r="2284" spans="1:38">
      <c r="A2284" s="182"/>
    </row>
    <row r="2285" spans="1:38">
      <c r="A2285" s="182"/>
    </row>
    <row r="2286" spans="1:38">
      <c r="A2286" s="182"/>
    </row>
    <row r="2287" spans="1:38">
      <c r="A2287" s="182"/>
    </row>
    <row r="2288" spans="1:38">
      <c r="A2288" s="182"/>
    </row>
    <row r="2289" spans="1:38">
      <c r="A2289" s="182"/>
    </row>
    <row r="2290" spans="1:38">
      <c r="A2290" s="182"/>
    </row>
    <row r="2291" spans="1:38">
      <c r="A2291" s="182"/>
    </row>
    <row r="2292" spans="1:38">
      <c r="A2292" s="182"/>
    </row>
    <row r="2293" spans="1:38">
      <c r="A2293" s="182"/>
    </row>
    <row r="2294" spans="1:38">
      <c r="A2294" s="182"/>
    </row>
    <row r="2295" spans="1:38">
      <c r="A2295" s="182"/>
    </row>
    <row r="2296" spans="1:38">
      <c r="A2296" s="182"/>
    </row>
    <row r="2297" spans="1:38">
      <c r="A2297" s="182"/>
      <c r="AK2297" s="183"/>
      <c r="AL2297" s="183"/>
    </row>
    <row r="2298" spans="1:38">
      <c r="A2298" s="182"/>
      <c r="AJ2298" s="183"/>
      <c r="AK2298" s="183"/>
      <c r="AL2298" s="183"/>
    </row>
    <row r="2299" spans="1:38">
      <c r="A2299" s="182"/>
      <c r="AJ2299" s="183"/>
      <c r="AK2299" s="183"/>
      <c r="AL2299" s="183"/>
    </row>
    <row r="2300" spans="1:38">
      <c r="A2300" s="182"/>
      <c r="AJ2300" s="183"/>
      <c r="AK2300" s="183"/>
      <c r="AL2300" s="183"/>
    </row>
    <row r="2301" spans="1:38">
      <c r="A2301" s="182"/>
      <c r="AJ2301" s="183"/>
    </row>
    <row r="2302" spans="1:38">
      <c r="A2302" s="182"/>
    </row>
    <row r="2303" spans="1:38">
      <c r="A2303" s="182"/>
    </row>
    <row r="2304" spans="1:38">
      <c r="A2304" s="182"/>
    </row>
    <row r="2305" spans="1:38">
      <c r="A2305" s="182"/>
      <c r="AK2305" s="183"/>
      <c r="AL2305" s="183"/>
    </row>
    <row r="2306" spans="1:38">
      <c r="A2306" s="182"/>
      <c r="AJ2306" s="183"/>
      <c r="AK2306" s="183"/>
      <c r="AL2306" s="183"/>
    </row>
    <row r="2307" spans="1:38">
      <c r="A2307" s="182"/>
      <c r="AJ2307" s="183"/>
      <c r="AK2307" s="183"/>
      <c r="AL2307" s="183"/>
    </row>
    <row r="2308" spans="1:38">
      <c r="A2308" s="182"/>
      <c r="AJ2308" s="183"/>
      <c r="AK2308" s="183"/>
      <c r="AL2308" s="183"/>
    </row>
    <row r="2309" spans="1:38">
      <c r="A2309" s="182"/>
      <c r="AJ2309" s="183"/>
    </row>
    <row r="2310" spans="1:38">
      <c r="A2310" s="182"/>
    </row>
    <row r="2311" spans="1:38">
      <c r="A2311" s="182"/>
    </row>
    <row r="2312" spans="1:38">
      <c r="A2312" s="182"/>
    </row>
    <row r="2313" spans="1:38">
      <c r="A2313" s="182"/>
    </row>
    <row r="2314" spans="1:38">
      <c r="A2314" s="182"/>
    </row>
    <row r="2315" spans="1:38">
      <c r="A2315" s="182"/>
    </row>
    <row r="2316" spans="1:38">
      <c r="A2316" s="182"/>
    </row>
    <row r="2317" spans="1:38">
      <c r="A2317" s="182"/>
    </row>
    <row r="2318" spans="1:38">
      <c r="A2318" s="182"/>
    </row>
    <row r="2319" spans="1:38">
      <c r="A2319" s="182"/>
    </row>
    <row r="2320" spans="1:38">
      <c r="A2320" s="182"/>
    </row>
    <row r="2321" spans="1:38">
      <c r="A2321" s="182"/>
      <c r="AK2321" s="183"/>
      <c r="AL2321" s="183"/>
    </row>
    <row r="2322" spans="1:38">
      <c r="A2322" s="182"/>
      <c r="AJ2322" s="183"/>
      <c r="AK2322" s="183"/>
      <c r="AL2322" s="183"/>
    </row>
    <row r="2323" spans="1:38">
      <c r="A2323" s="182"/>
      <c r="AJ2323" s="183"/>
      <c r="AK2323" s="183"/>
      <c r="AL2323" s="183"/>
    </row>
    <row r="2324" spans="1:38">
      <c r="A2324" s="182"/>
      <c r="AJ2324" s="183"/>
      <c r="AK2324" s="183"/>
      <c r="AL2324" s="183"/>
    </row>
    <row r="2325" spans="1:38">
      <c r="A2325" s="182"/>
      <c r="AJ2325" s="183"/>
    </row>
    <row r="2326" spans="1:38">
      <c r="A2326" s="182"/>
    </row>
    <row r="2327" spans="1:38">
      <c r="A2327" s="182"/>
    </row>
    <row r="2328" spans="1:38">
      <c r="A2328" s="182"/>
    </row>
    <row r="2329" spans="1:38">
      <c r="A2329" s="182"/>
      <c r="AK2329" s="183"/>
      <c r="AL2329" s="183"/>
    </row>
    <row r="2330" spans="1:38">
      <c r="A2330" s="182"/>
      <c r="AJ2330" s="183"/>
      <c r="AK2330" s="183"/>
      <c r="AL2330" s="183"/>
    </row>
    <row r="2331" spans="1:38">
      <c r="A2331" s="182"/>
      <c r="AJ2331" s="183"/>
      <c r="AK2331" s="183"/>
      <c r="AL2331" s="183"/>
    </row>
    <row r="2332" spans="1:38">
      <c r="A2332" s="182"/>
      <c r="AJ2332" s="183"/>
      <c r="AK2332" s="183"/>
      <c r="AL2332" s="183"/>
    </row>
    <row r="2333" spans="1:38">
      <c r="A2333" s="182"/>
      <c r="AJ2333" s="183"/>
      <c r="AK2333" s="183"/>
      <c r="AL2333" s="183"/>
    </row>
    <row r="2334" spans="1:38">
      <c r="A2334" s="182"/>
      <c r="AJ2334" s="183"/>
      <c r="AK2334" s="183"/>
      <c r="AL2334" s="183"/>
    </row>
    <row r="2335" spans="1:38">
      <c r="A2335" s="182"/>
      <c r="AJ2335" s="183"/>
      <c r="AK2335" s="183"/>
      <c r="AL2335" s="183"/>
    </row>
    <row r="2336" spans="1:38">
      <c r="A2336" s="182"/>
      <c r="AJ2336" s="183"/>
      <c r="AK2336" s="183"/>
      <c r="AL2336" s="183"/>
    </row>
    <row r="2337" spans="1:38">
      <c r="A2337" s="182"/>
      <c r="AJ2337" s="183"/>
      <c r="AK2337" s="183"/>
      <c r="AL2337" s="183"/>
    </row>
    <row r="2338" spans="1:38">
      <c r="A2338" s="182"/>
      <c r="AJ2338" s="183"/>
      <c r="AK2338" s="183"/>
      <c r="AL2338" s="183"/>
    </row>
    <row r="2339" spans="1:38">
      <c r="A2339" s="182"/>
      <c r="AJ2339" s="183"/>
      <c r="AK2339" s="183"/>
      <c r="AL2339" s="183"/>
    </row>
    <row r="2340" spans="1:38">
      <c r="A2340" s="182"/>
      <c r="AJ2340" s="183"/>
      <c r="AK2340" s="183"/>
      <c r="AL2340" s="183"/>
    </row>
    <row r="2341" spans="1:38">
      <c r="A2341" s="182"/>
      <c r="AJ2341" s="183"/>
    </row>
    <row r="2342" spans="1:38">
      <c r="A2342" s="182"/>
    </row>
    <row r="2343" spans="1:38">
      <c r="A2343" s="182"/>
    </row>
    <row r="2344" spans="1:38">
      <c r="A2344" s="182"/>
    </row>
    <row r="2345" spans="1:38">
      <c r="A2345" s="182"/>
    </row>
    <row r="2346" spans="1:38">
      <c r="A2346" s="182"/>
    </row>
    <row r="2347" spans="1:38">
      <c r="A2347" s="182"/>
    </row>
    <row r="2348" spans="1:38">
      <c r="A2348" s="182"/>
    </row>
    <row r="2349" spans="1:38">
      <c r="A2349" s="182"/>
    </row>
    <row r="2350" spans="1:38">
      <c r="A2350" s="182"/>
    </row>
    <row r="2351" spans="1:38">
      <c r="A2351" s="182"/>
    </row>
    <row r="2352" spans="1:38">
      <c r="A2352" s="182"/>
    </row>
    <row r="2353" spans="1:19">
      <c r="A2353" s="182"/>
    </row>
    <row r="2354" spans="1:19">
      <c r="A2354" s="182"/>
    </row>
    <row r="2355" spans="1:19">
      <c r="A2355" s="182"/>
    </row>
    <row r="2356" spans="1:19">
      <c r="A2356" s="182"/>
      <c r="R2356" s="183"/>
      <c r="S2356" s="183"/>
    </row>
    <row r="2357" spans="1:19">
      <c r="A2357" s="182"/>
      <c r="Q2357" s="183"/>
      <c r="R2357" s="183"/>
      <c r="S2357" s="183"/>
    </row>
    <row r="2358" spans="1:19">
      <c r="A2358" s="182"/>
      <c r="Q2358" s="183"/>
      <c r="R2358" s="183"/>
      <c r="S2358" s="183"/>
    </row>
    <row r="2359" spans="1:19">
      <c r="A2359" s="182"/>
      <c r="Q2359" s="183"/>
      <c r="R2359" s="183"/>
      <c r="S2359" s="183"/>
    </row>
    <row r="2360" spans="1:19">
      <c r="A2360" s="182"/>
      <c r="Q2360" s="183"/>
      <c r="R2360" s="183"/>
      <c r="S2360" s="183"/>
    </row>
    <row r="2361" spans="1:19">
      <c r="A2361" s="182"/>
      <c r="Q2361" s="183"/>
      <c r="R2361" s="183"/>
      <c r="S2361" s="183"/>
    </row>
    <row r="2362" spans="1:19">
      <c r="A2362" s="182"/>
      <c r="Q2362" s="183"/>
      <c r="R2362" s="183"/>
      <c r="S2362" s="183"/>
    </row>
    <row r="2363" spans="1:19">
      <c r="A2363" s="182"/>
      <c r="Q2363" s="183"/>
      <c r="R2363" s="183"/>
      <c r="S2363" s="183"/>
    </row>
    <row r="2364" spans="1:19">
      <c r="A2364" s="182"/>
      <c r="Q2364" s="183"/>
      <c r="R2364" s="183"/>
      <c r="S2364" s="183"/>
    </row>
    <row r="2365" spans="1:19">
      <c r="A2365" s="182"/>
      <c r="Q2365" s="183"/>
      <c r="R2365" s="183"/>
      <c r="S2365" s="183"/>
    </row>
    <row r="2366" spans="1:19">
      <c r="A2366" s="182"/>
      <c r="Q2366" s="183"/>
      <c r="R2366" s="183"/>
      <c r="S2366" s="183"/>
    </row>
    <row r="2367" spans="1:19">
      <c r="A2367" s="182"/>
      <c r="Q2367" s="183"/>
      <c r="R2367" s="183"/>
      <c r="S2367" s="183"/>
    </row>
    <row r="2368" spans="1:19">
      <c r="A2368" s="182"/>
      <c r="Q2368" s="183"/>
      <c r="R2368" s="183"/>
      <c r="S2368" s="183"/>
    </row>
    <row r="2369" spans="1:19">
      <c r="A2369" s="182"/>
      <c r="Q2369" s="183"/>
      <c r="R2369" s="183"/>
      <c r="S2369" s="183"/>
    </row>
    <row r="2370" spans="1:19">
      <c r="A2370" s="182"/>
      <c r="Q2370" s="183"/>
      <c r="R2370" s="183"/>
      <c r="S2370" s="183"/>
    </row>
    <row r="2371" spans="1:19">
      <c r="A2371" s="182"/>
      <c r="Q2371" s="183"/>
      <c r="R2371" s="183"/>
      <c r="S2371" s="183"/>
    </row>
    <row r="2372" spans="1:19">
      <c r="A2372" s="182"/>
      <c r="Q2372" s="183"/>
    </row>
    <row r="2373" spans="1:19">
      <c r="A2373" s="182"/>
    </row>
    <row r="2374" spans="1:19">
      <c r="A2374" s="182"/>
    </row>
    <row r="2375" spans="1:19">
      <c r="A2375" s="182"/>
    </row>
    <row r="2376" spans="1:19">
      <c r="A2376" s="182"/>
    </row>
    <row r="2377" spans="1:19">
      <c r="A2377" s="182"/>
    </row>
    <row r="2378" spans="1:19">
      <c r="A2378" s="182"/>
    </row>
    <row r="2379" spans="1:19">
      <c r="A2379" s="182"/>
    </row>
    <row r="2380" spans="1:19">
      <c r="A2380" s="182"/>
    </row>
    <row r="2381" spans="1:19">
      <c r="A2381" s="182"/>
    </row>
    <row r="2382" spans="1:19">
      <c r="A2382" s="182"/>
    </row>
    <row r="2383" spans="1:19">
      <c r="A2383" s="182"/>
    </row>
    <row r="2384" spans="1:19">
      <c r="A2384" s="182"/>
    </row>
    <row r="2385" spans="1:1">
      <c r="A2385" s="182"/>
    </row>
    <row r="2386" spans="1:1">
      <c r="A2386" s="182"/>
    </row>
    <row r="2387" spans="1:1">
      <c r="A2387" s="182"/>
    </row>
    <row r="2388" spans="1:1">
      <c r="A2388" s="182"/>
    </row>
    <row r="2389" spans="1:1">
      <c r="A2389" s="182"/>
    </row>
    <row r="2390" spans="1:1">
      <c r="A2390" s="182"/>
    </row>
    <row r="2391" spans="1:1">
      <c r="A2391" s="182"/>
    </row>
    <row r="2392" spans="1:1">
      <c r="A2392" s="182"/>
    </row>
    <row r="2393" spans="1:1">
      <c r="A2393" s="182"/>
    </row>
    <row r="2394" spans="1:1">
      <c r="A2394" s="182"/>
    </row>
    <row r="2395" spans="1:1">
      <c r="A2395" s="182"/>
    </row>
    <row r="2396" spans="1:1">
      <c r="A2396" s="182"/>
    </row>
    <row r="2397" spans="1:1">
      <c r="A2397" s="182"/>
    </row>
    <row r="2398" spans="1:1">
      <c r="A2398" s="182"/>
    </row>
    <row r="2399" spans="1:1">
      <c r="A2399" s="182"/>
    </row>
    <row r="2400" spans="1:1">
      <c r="A2400" s="182"/>
    </row>
    <row r="2401" spans="1:38">
      <c r="A2401" s="182"/>
    </row>
    <row r="2402" spans="1:38">
      <c r="A2402" s="182"/>
    </row>
    <row r="2403" spans="1:38">
      <c r="A2403" s="182"/>
    </row>
    <row r="2404" spans="1:38">
      <c r="A2404" s="182"/>
    </row>
    <row r="2405" spans="1:38">
      <c r="A2405" s="182"/>
    </row>
    <row r="2406" spans="1:38">
      <c r="A2406" s="182"/>
    </row>
    <row r="2407" spans="1:38">
      <c r="A2407" s="182"/>
    </row>
    <row r="2408" spans="1:38">
      <c r="A2408" s="182"/>
    </row>
    <row r="2409" spans="1:38">
      <c r="A2409" s="182"/>
      <c r="AK2409" s="183"/>
      <c r="AL2409" s="183"/>
    </row>
    <row r="2410" spans="1:38">
      <c r="A2410" s="182"/>
      <c r="AJ2410" s="183"/>
      <c r="AK2410" s="183"/>
      <c r="AL2410" s="183"/>
    </row>
    <row r="2411" spans="1:38">
      <c r="A2411" s="182"/>
      <c r="AJ2411" s="183"/>
      <c r="AK2411" s="183"/>
      <c r="AL2411" s="183"/>
    </row>
    <row r="2412" spans="1:38">
      <c r="A2412" s="182"/>
      <c r="AJ2412" s="183"/>
      <c r="AK2412" s="183"/>
      <c r="AL2412" s="183"/>
    </row>
    <row r="2413" spans="1:38">
      <c r="A2413" s="182"/>
      <c r="AJ2413" s="183"/>
      <c r="AK2413" s="183"/>
      <c r="AL2413" s="183"/>
    </row>
    <row r="2414" spans="1:38">
      <c r="A2414" s="182"/>
      <c r="AJ2414" s="183"/>
      <c r="AK2414" s="183"/>
      <c r="AL2414" s="183"/>
    </row>
    <row r="2415" spans="1:38">
      <c r="A2415" s="182"/>
      <c r="AJ2415" s="183"/>
      <c r="AK2415" s="183"/>
      <c r="AL2415" s="183"/>
    </row>
    <row r="2416" spans="1:38">
      <c r="A2416" s="182"/>
      <c r="AJ2416" s="183"/>
      <c r="AK2416" s="183"/>
      <c r="AL2416" s="183"/>
    </row>
    <row r="2417" spans="1:38">
      <c r="A2417" s="182"/>
      <c r="AJ2417" s="183"/>
    </row>
    <row r="2418" spans="1:38">
      <c r="A2418" s="182"/>
    </row>
    <row r="2419" spans="1:38">
      <c r="A2419" s="182"/>
    </row>
    <row r="2420" spans="1:38">
      <c r="A2420" s="182"/>
    </row>
    <row r="2421" spans="1:38">
      <c r="A2421" s="182"/>
    </row>
    <row r="2422" spans="1:38">
      <c r="A2422" s="182"/>
    </row>
    <row r="2423" spans="1:38">
      <c r="A2423" s="182"/>
    </row>
    <row r="2424" spans="1:38">
      <c r="A2424" s="182"/>
    </row>
    <row r="2425" spans="1:38">
      <c r="A2425" s="182"/>
      <c r="AK2425" s="183"/>
      <c r="AL2425" s="183"/>
    </row>
    <row r="2426" spans="1:38">
      <c r="A2426" s="182"/>
      <c r="AJ2426" s="183"/>
      <c r="AK2426" s="183"/>
      <c r="AL2426" s="183"/>
    </row>
    <row r="2427" spans="1:38">
      <c r="A2427" s="182"/>
      <c r="AJ2427" s="183"/>
      <c r="AK2427" s="183"/>
      <c r="AL2427" s="183"/>
    </row>
    <row r="2428" spans="1:38">
      <c r="A2428" s="182"/>
      <c r="AJ2428" s="183"/>
      <c r="AK2428" s="183"/>
      <c r="AL2428" s="183"/>
    </row>
    <row r="2429" spans="1:38">
      <c r="A2429" s="182"/>
      <c r="AJ2429" s="183"/>
      <c r="AK2429" s="183"/>
      <c r="AL2429" s="183"/>
    </row>
    <row r="2430" spans="1:38">
      <c r="A2430" s="182"/>
      <c r="AJ2430" s="183"/>
      <c r="AK2430" s="183"/>
      <c r="AL2430" s="183"/>
    </row>
    <row r="2431" spans="1:38">
      <c r="A2431" s="182"/>
      <c r="AJ2431" s="183"/>
      <c r="AK2431" s="183"/>
      <c r="AL2431" s="183"/>
    </row>
    <row r="2432" spans="1:38">
      <c r="A2432" s="182"/>
      <c r="AJ2432" s="183"/>
      <c r="AK2432" s="183"/>
      <c r="AL2432" s="183"/>
    </row>
    <row r="2433" spans="1:38">
      <c r="A2433" s="182"/>
      <c r="AJ2433" s="183"/>
      <c r="AK2433" s="183"/>
      <c r="AL2433" s="183"/>
    </row>
    <row r="2434" spans="1:38">
      <c r="A2434" s="182"/>
      <c r="AJ2434" s="183"/>
      <c r="AK2434" s="183"/>
      <c r="AL2434" s="183"/>
    </row>
    <row r="2435" spans="1:38">
      <c r="A2435" s="182"/>
      <c r="AJ2435" s="183"/>
      <c r="AK2435" s="183"/>
      <c r="AL2435" s="183"/>
    </row>
    <row r="2436" spans="1:38">
      <c r="A2436" s="182"/>
      <c r="AJ2436" s="183"/>
      <c r="AK2436" s="183"/>
      <c r="AL2436" s="183"/>
    </row>
    <row r="2437" spans="1:38">
      <c r="A2437" s="182"/>
      <c r="AJ2437" s="183"/>
      <c r="AK2437" s="183"/>
      <c r="AL2437" s="183"/>
    </row>
    <row r="2438" spans="1:38">
      <c r="A2438" s="182"/>
      <c r="AJ2438" s="183"/>
      <c r="AK2438" s="183"/>
      <c r="AL2438" s="183"/>
    </row>
    <row r="2439" spans="1:38">
      <c r="A2439" s="182"/>
      <c r="AJ2439" s="183"/>
      <c r="AK2439" s="183"/>
      <c r="AL2439" s="183"/>
    </row>
    <row r="2440" spans="1:38">
      <c r="A2440" s="182"/>
      <c r="AJ2440" s="183"/>
      <c r="AK2440" s="183"/>
      <c r="AL2440" s="183"/>
    </row>
    <row r="2441" spans="1:38">
      <c r="A2441" s="182"/>
      <c r="AJ2441" s="183"/>
      <c r="AK2441" s="183"/>
      <c r="AL2441" s="183"/>
    </row>
    <row r="2442" spans="1:38">
      <c r="A2442" s="182"/>
      <c r="AJ2442" s="183"/>
      <c r="AK2442" s="183"/>
      <c r="AL2442" s="183"/>
    </row>
    <row r="2443" spans="1:38">
      <c r="A2443" s="182"/>
      <c r="AJ2443" s="183"/>
      <c r="AK2443" s="183"/>
      <c r="AL2443" s="183"/>
    </row>
    <row r="2444" spans="1:38">
      <c r="A2444" s="182"/>
      <c r="AJ2444" s="183"/>
      <c r="AK2444" s="183"/>
      <c r="AL2444" s="183"/>
    </row>
    <row r="2445" spans="1:38">
      <c r="A2445" s="182"/>
      <c r="R2445" s="183"/>
      <c r="S2445" s="183"/>
      <c r="AJ2445" s="183"/>
    </row>
    <row r="2446" spans="1:38">
      <c r="A2446" s="182"/>
      <c r="Q2446" s="183"/>
      <c r="R2446" s="183"/>
      <c r="S2446" s="183"/>
    </row>
    <row r="2447" spans="1:38">
      <c r="A2447" s="182"/>
      <c r="Q2447" s="183"/>
      <c r="R2447" s="183"/>
      <c r="S2447" s="183"/>
    </row>
    <row r="2448" spans="1:38">
      <c r="A2448" s="182"/>
      <c r="Q2448" s="183"/>
      <c r="R2448" s="183"/>
      <c r="S2448" s="183"/>
    </row>
    <row r="2449" spans="1:19">
      <c r="A2449" s="182"/>
      <c r="Q2449" s="183"/>
      <c r="R2449" s="183"/>
      <c r="S2449" s="183"/>
    </row>
    <row r="2450" spans="1:19">
      <c r="A2450" s="182"/>
      <c r="Q2450" s="183"/>
      <c r="R2450" s="183"/>
      <c r="S2450" s="183"/>
    </row>
    <row r="2451" spans="1:19">
      <c r="A2451" s="182"/>
      <c r="Q2451" s="183"/>
      <c r="R2451" s="183"/>
      <c r="S2451" s="183"/>
    </row>
    <row r="2452" spans="1:19">
      <c r="A2452" s="182"/>
      <c r="Q2452" s="183"/>
      <c r="R2452" s="183"/>
      <c r="S2452" s="183"/>
    </row>
    <row r="2453" spans="1:19">
      <c r="A2453" s="182"/>
      <c r="Q2453" s="183"/>
      <c r="R2453" s="183"/>
      <c r="S2453" s="183"/>
    </row>
    <row r="2454" spans="1:19">
      <c r="A2454" s="182"/>
      <c r="Q2454" s="183"/>
      <c r="R2454" s="183"/>
      <c r="S2454" s="183"/>
    </row>
    <row r="2455" spans="1:19">
      <c r="A2455" s="182"/>
      <c r="Q2455" s="183"/>
      <c r="R2455" s="183"/>
      <c r="S2455" s="183"/>
    </row>
    <row r="2456" spans="1:19">
      <c r="A2456" s="182"/>
      <c r="Q2456" s="183"/>
    </row>
    <row r="2457" spans="1:19">
      <c r="A2457" s="182"/>
    </row>
    <row r="2458" spans="1:19">
      <c r="A2458" s="182"/>
      <c r="R2458" s="183"/>
      <c r="S2458" s="183"/>
    </row>
    <row r="2459" spans="1:19">
      <c r="A2459" s="182"/>
      <c r="Q2459" s="183"/>
      <c r="R2459" s="183"/>
      <c r="S2459" s="183"/>
    </row>
    <row r="2460" spans="1:19">
      <c r="A2460" s="182"/>
      <c r="Q2460" s="183"/>
      <c r="R2460" s="183"/>
      <c r="S2460" s="183"/>
    </row>
    <row r="2461" spans="1:19">
      <c r="A2461" s="182"/>
      <c r="Q2461" s="183"/>
      <c r="R2461" s="183"/>
      <c r="S2461" s="183"/>
    </row>
    <row r="2462" spans="1:19">
      <c r="A2462" s="182"/>
      <c r="Q2462" s="183"/>
      <c r="R2462" s="183"/>
      <c r="S2462" s="183"/>
    </row>
    <row r="2463" spans="1:19">
      <c r="A2463" s="182"/>
      <c r="Q2463" s="183"/>
      <c r="R2463" s="183"/>
      <c r="S2463" s="183"/>
    </row>
    <row r="2464" spans="1:19">
      <c r="A2464" s="182"/>
      <c r="Q2464" s="183"/>
      <c r="R2464" s="183"/>
      <c r="S2464" s="183"/>
    </row>
    <row r="2465" spans="1:38">
      <c r="A2465" s="182"/>
      <c r="Q2465" s="183"/>
      <c r="R2465" s="183"/>
      <c r="S2465" s="183"/>
    </row>
    <row r="2466" spans="1:38">
      <c r="A2466" s="182"/>
      <c r="Q2466" s="183"/>
      <c r="R2466" s="183"/>
      <c r="S2466" s="183"/>
    </row>
    <row r="2467" spans="1:38">
      <c r="A2467" s="182"/>
      <c r="Q2467" s="183"/>
    </row>
    <row r="2468" spans="1:38">
      <c r="A2468" s="182"/>
      <c r="R2468" s="183"/>
      <c r="S2468" s="183"/>
    </row>
    <row r="2469" spans="1:38">
      <c r="A2469" s="182"/>
      <c r="Q2469" s="183"/>
      <c r="AK2469" s="183"/>
      <c r="AL2469" s="183"/>
    </row>
    <row r="2470" spans="1:38">
      <c r="A2470" s="182"/>
      <c r="AJ2470" s="183"/>
      <c r="AK2470" s="183"/>
      <c r="AL2470" s="183"/>
    </row>
    <row r="2471" spans="1:38">
      <c r="A2471" s="182"/>
      <c r="AJ2471" s="183"/>
      <c r="AK2471" s="183"/>
      <c r="AL2471" s="183"/>
    </row>
    <row r="2472" spans="1:38">
      <c r="A2472" s="182"/>
      <c r="AJ2472" s="183"/>
      <c r="AK2472" s="183"/>
      <c r="AL2472" s="183"/>
    </row>
    <row r="2473" spans="1:38">
      <c r="A2473" s="182"/>
      <c r="AJ2473" s="183"/>
    </row>
    <row r="2474" spans="1:38">
      <c r="A2474" s="182"/>
    </row>
    <row r="2475" spans="1:38">
      <c r="A2475" s="182"/>
    </row>
    <row r="2476" spans="1:38">
      <c r="A2476" s="182"/>
    </row>
    <row r="2477" spans="1:38">
      <c r="A2477" s="182"/>
    </row>
    <row r="2478" spans="1:38">
      <c r="A2478" s="182"/>
    </row>
    <row r="2479" spans="1:38">
      <c r="A2479" s="182"/>
    </row>
    <row r="2480" spans="1:38">
      <c r="A2480" s="182"/>
    </row>
    <row r="2481" spans="1:38">
      <c r="A2481" s="182"/>
    </row>
    <row r="2482" spans="1:38">
      <c r="A2482" s="182"/>
    </row>
    <row r="2483" spans="1:38">
      <c r="A2483" s="182"/>
    </row>
    <row r="2484" spans="1:38">
      <c r="A2484" s="182"/>
    </row>
    <row r="2485" spans="1:38">
      <c r="A2485" s="182"/>
    </row>
    <row r="2486" spans="1:38">
      <c r="A2486" s="182"/>
    </row>
    <row r="2487" spans="1:38">
      <c r="A2487" s="182"/>
    </row>
    <row r="2488" spans="1:38">
      <c r="A2488" s="182"/>
    </row>
    <row r="2489" spans="1:38">
      <c r="A2489" s="182"/>
      <c r="AK2489" s="183"/>
      <c r="AL2489" s="183"/>
    </row>
    <row r="2490" spans="1:38">
      <c r="A2490" s="182"/>
      <c r="AJ2490" s="183"/>
      <c r="AK2490" s="183"/>
      <c r="AL2490" s="183"/>
    </row>
    <row r="2491" spans="1:38">
      <c r="A2491" s="182"/>
      <c r="AJ2491" s="183"/>
      <c r="AK2491" s="183"/>
      <c r="AL2491" s="183"/>
    </row>
    <row r="2492" spans="1:38">
      <c r="A2492" s="182"/>
      <c r="AJ2492" s="183"/>
      <c r="AK2492" s="183"/>
      <c r="AL2492" s="183"/>
    </row>
    <row r="2493" spans="1:38">
      <c r="A2493" s="182"/>
      <c r="AJ2493" s="183"/>
    </row>
    <row r="2494" spans="1:38">
      <c r="A2494" s="182"/>
    </row>
    <row r="2495" spans="1:38">
      <c r="A2495" s="182"/>
    </row>
    <row r="2496" spans="1:38">
      <c r="A2496" s="182"/>
    </row>
    <row r="2497" spans="1:38">
      <c r="A2497" s="182"/>
    </row>
    <row r="2498" spans="1:38">
      <c r="A2498" s="182"/>
    </row>
    <row r="2499" spans="1:38">
      <c r="A2499" s="182"/>
    </row>
    <row r="2500" spans="1:38">
      <c r="A2500" s="182"/>
    </row>
    <row r="2501" spans="1:38">
      <c r="A2501" s="182"/>
      <c r="AK2501" s="183"/>
      <c r="AL2501" s="183"/>
    </row>
    <row r="2502" spans="1:38">
      <c r="A2502" s="182"/>
      <c r="AJ2502" s="183"/>
      <c r="AK2502" s="183"/>
      <c r="AL2502" s="183"/>
    </row>
    <row r="2503" spans="1:38">
      <c r="A2503" s="182"/>
      <c r="AJ2503" s="183"/>
      <c r="AK2503" s="183"/>
      <c r="AL2503" s="183"/>
    </row>
    <row r="2504" spans="1:38">
      <c r="A2504" s="182"/>
      <c r="AJ2504" s="183"/>
      <c r="AK2504" s="183"/>
      <c r="AL2504" s="183"/>
    </row>
    <row r="2505" spans="1:38">
      <c r="A2505" s="182"/>
      <c r="AJ2505" s="183"/>
    </row>
    <row r="2506" spans="1:38">
      <c r="A2506" s="182"/>
    </row>
    <row r="2507" spans="1:38">
      <c r="A2507" s="182"/>
    </row>
    <row r="2508" spans="1:38">
      <c r="A2508" s="182"/>
    </row>
    <row r="2509" spans="1:38">
      <c r="A2509" s="182"/>
    </row>
    <row r="2510" spans="1:38">
      <c r="A2510" s="182"/>
    </row>
    <row r="2511" spans="1:38">
      <c r="A2511" s="182"/>
    </row>
    <row r="2512" spans="1:38">
      <c r="A2512" s="182"/>
    </row>
    <row r="2513" spans="1:38">
      <c r="A2513" s="182"/>
    </row>
    <row r="2514" spans="1:38">
      <c r="A2514" s="182"/>
    </row>
    <row r="2515" spans="1:38">
      <c r="A2515" s="182"/>
    </row>
    <row r="2516" spans="1:38">
      <c r="A2516" s="182"/>
    </row>
    <row r="2517" spans="1:38">
      <c r="A2517" s="182"/>
      <c r="AK2517" s="183"/>
      <c r="AL2517" s="183"/>
    </row>
    <row r="2518" spans="1:38">
      <c r="A2518" s="182"/>
      <c r="AJ2518" s="183"/>
      <c r="AK2518" s="183"/>
      <c r="AL2518" s="183"/>
    </row>
    <row r="2519" spans="1:38">
      <c r="A2519" s="182"/>
      <c r="AJ2519" s="183"/>
      <c r="AK2519" s="183"/>
      <c r="AL2519" s="183"/>
    </row>
    <row r="2520" spans="1:38">
      <c r="A2520" s="182"/>
      <c r="AJ2520" s="183"/>
      <c r="AK2520" s="183"/>
      <c r="AL2520" s="183"/>
    </row>
    <row r="2521" spans="1:38">
      <c r="A2521" s="182"/>
      <c r="AJ2521" s="183"/>
    </row>
    <row r="2522" spans="1:38">
      <c r="A2522" s="182"/>
    </row>
    <row r="2523" spans="1:38">
      <c r="A2523" s="182"/>
    </row>
    <row r="2524" spans="1:38">
      <c r="A2524" s="182"/>
    </row>
    <row r="2525" spans="1:38">
      <c r="A2525" s="182"/>
    </row>
    <row r="2526" spans="1:38">
      <c r="A2526" s="182"/>
    </row>
    <row r="2527" spans="1:38">
      <c r="A2527" s="182"/>
    </row>
    <row r="2528" spans="1:38">
      <c r="A2528" s="182"/>
    </row>
    <row r="2529" spans="1:38">
      <c r="A2529" s="182"/>
      <c r="AK2529" s="183"/>
      <c r="AL2529" s="183"/>
    </row>
    <row r="2530" spans="1:38">
      <c r="A2530" s="182"/>
      <c r="AJ2530" s="183"/>
      <c r="AK2530" s="183"/>
      <c r="AL2530" s="183"/>
    </row>
    <row r="2531" spans="1:38">
      <c r="A2531" s="182"/>
      <c r="AJ2531" s="183"/>
      <c r="AK2531" s="183"/>
      <c r="AL2531" s="183"/>
    </row>
    <row r="2532" spans="1:38">
      <c r="A2532" s="182"/>
      <c r="AJ2532" s="183"/>
      <c r="AK2532" s="183"/>
      <c r="AL2532" s="183"/>
    </row>
    <row r="2533" spans="1:38">
      <c r="A2533" s="182"/>
      <c r="AJ2533" s="183"/>
    </row>
    <row r="2534" spans="1:38">
      <c r="A2534" s="182"/>
    </row>
    <row r="2535" spans="1:38">
      <c r="A2535" s="182"/>
    </row>
    <row r="2536" spans="1:38">
      <c r="A2536" s="182"/>
    </row>
    <row r="2537" spans="1:38">
      <c r="A2537" s="182"/>
    </row>
    <row r="2538" spans="1:38">
      <c r="A2538" s="182"/>
    </row>
    <row r="2539" spans="1:38">
      <c r="A2539" s="182"/>
    </row>
    <row r="2540" spans="1:38">
      <c r="A2540" s="182"/>
    </row>
    <row r="2541" spans="1:38">
      <c r="A2541" s="182"/>
    </row>
    <row r="2542" spans="1:38">
      <c r="A2542" s="182"/>
    </row>
    <row r="2543" spans="1:38">
      <c r="A2543" s="182"/>
    </row>
    <row r="2544" spans="1:38">
      <c r="A2544" s="182"/>
      <c r="R2544" s="183"/>
      <c r="S2544" s="183"/>
    </row>
    <row r="2545" spans="1:17">
      <c r="A2545" s="182"/>
      <c r="Q2545" s="183"/>
    </row>
    <row r="2546" spans="1:17">
      <c r="A2546" s="182"/>
    </row>
    <row r="2547" spans="1:17">
      <c r="A2547" s="182"/>
    </row>
    <row r="2548" spans="1:17">
      <c r="A2548" s="182"/>
    </row>
    <row r="2549" spans="1:17">
      <c r="A2549" s="182"/>
    </row>
    <row r="2550" spans="1:17">
      <c r="A2550" s="182"/>
    </row>
    <row r="2551" spans="1:17">
      <c r="A2551" s="182"/>
    </row>
    <row r="2552" spans="1:17">
      <c r="A2552" s="182"/>
    </row>
    <row r="2553" spans="1:17">
      <c r="A2553" s="182"/>
    </row>
    <row r="2554" spans="1:17">
      <c r="A2554" s="182"/>
    </row>
    <row r="2555" spans="1:17">
      <c r="A2555" s="182"/>
    </row>
    <row r="2556" spans="1:17">
      <c r="A2556" s="182"/>
    </row>
    <row r="2557" spans="1:17">
      <c r="A2557" s="182"/>
    </row>
    <row r="2558" spans="1:17">
      <c r="A2558" s="182"/>
    </row>
    <row r="2559" spans="1:17">
      <c r="A2559" s="182"/>
    </row>
    <row r="2560" spans="1:17">
      <c r="A2560" s="182"/>
    </row>
    <row r="2561" spans="1:19">
      <c r="A2561" s="182"/>
    </row>
    <row r="2562" spans="1:19">
      <c r="A2562" s="182"/>
    </row>
    <row r="2563" spans="1:19">
      <c r="A2563" s="182"/>
    </row>
    <row r="2564" spans="1:19">
      <c r="A2564" s="182"/>
    </row>
    <row r="2565" spans="1:19">
      <c r="A2565" s="182"/>
    </row>
    <row r="2566" spans="1:19">
      <c r="A2566" s="182"/>
    </row>
    <row r="2567" spans="1:19">
      <c r="A2567" s="182"/>
    </row>
    <row r="2568" spans="1:19">
      <c r="A2568" s="182"/>
    </row>
    <row r="2569" spans="1:19">
      <c r="A2569" s="182"/>
    </row>
    <row r="2570" spans="1:19">
      <c r="A2570" s="182"/>
    </row>
    <row r="2571" spans="1:19">
      <c r="A2571" s="182"/>
    </row>
    <row r="2572" spans="1:19">
      <c r="A2572" s="182"/>
    </row>
    <row r="2573" spans="1:19">
      <c r="A2573" s="182"/>
    </row>
    <row r="2574" spans="1:19">
      <c r="A2574" s="182"/>
      <c r="R2574" s="183"/>
      <c r="S2574" s="183"/>
    </row>
    <row r="2575" spans="1:19">
      <c r="A2575" s="182"/>
      <c r="Q2575" s="183"/>
    </row>
    <row r="2576" spans="1:19">
      <c r="A2576" s="182"/>
    </row>
    <row r="2577" spans="1:1">
      <c r="A2577" s="182"/>
    </row>
    <row r="2578" spans="1:1">
      <c r="A2578" s="182"/>
    </row>
    <row r="2579" spans="1:1">
      <c r="A2579" s="182"/>
    </row>
    <row r="2580" spans="1:1">
      <c r="A2580" s="182"/>
    </row>
    <row r="2581" spans="1:1">
      <c r="A2581" s="182"/>
    </row>
    <row r="2582" spans="1:1">
      <c r="A2582" s="182"/>
    </row>
    <row r="2583" spans="1:1">
      <c r="A2583" s="182"/>
    </row>
    <row r="2584" spans="1:1">
      <c r="A2584" s="182"/>
    </row>
    <row r="2585" spans="1:1">
      <c r="A2585" s="182"/>
    </row>
    <row r="2586" spans="1:1">
      <c r="A2586" s="182"/>
    </row>
    <row r="2587" spans="1:1">
      <c r="A2587" s="182"/>
    </row>
    <row r="2588" spans="1:1">
      <c r="A2588" s="182"/>
    </row>
    <row r="2589" spans="1:1">
      <c r="A2589" s="182"/>
    </row>
    <row r="2590" spans="1:1">
      <c r="A2590" s="182"/>
    </row>
    <row r="2591" spans="1:1">
      <c r="A2591" s="182"/>
    </row>
    <row r="2592" spans="1:1">
      <c r="A2592" s="182"/>
    </row>
    <row r="2593" spans="1:38">
      <c r="A2593" s="182"/>
    </row>
    <row r="2594" spans="1:38">
      <c r="A2594" s="182"/>
    </row>
    <row r="2595" spans="1:38">
      <c r="A2595" s="182"/>
    </row>
    <row r="2596" spans="1:38">
      <c r="A2596" s="182"/>
    </row>
    <row r="2597" spans="1:38">
      <c r="A2597" s="182"/>
      <c r="AK2597" s="183"/>
      <c r="AL2597" s="183"/>
    </row>
    <row r="2598" spans="1:38">
      <c r="A2598" s="182"/>
      <c r="AJ2598" s="183"/>
      <c r="AK2598" s="183"/>
      <c r="AL2598" s="183"/>
    </row>
    <row r="2599" spans="1:38">
      <c r="A2599" s="182"/>
      <c r="AJ2599" s="183"/>
      <c r="AK2599" s="183"/>
      <c r="AL2599" s="183"/>
    </row>
    <row r="2600" spans="1:38">
      <c r="A2600" s="182"/>
      <c r="AJ2600" s="183"/>
      <c r="AK2600" s="183"/>
      <c r="AL2600" s="183"/>
    </row>
    <row r="2601" spans="1:38">
      <c r="A2601" s="182"/>
      <c r="AJ2601" s="183"/>
    </row>
    <row r="2602" spans="1:38">
      <c r="A2602" s="182"/>
    </row>
    <row r="2603" spans="1:38">
      <c r="A2603" s="182"/>
    </row>
    <row r="2604" spans="1:38">
      <c r="A2604" s="182"/>
    </row>
    <row r="2605" spans="1:38">
      <c r="A2605" s="182"/>
      <c r="AK2605" s="183"/>
      <c r="AL2605" s="183"/>
    </row>
    <row r="2606" spans="1:38">
      <c r="A2606" s="182"/>
      <c r="AJ2606" s="183"/>
      <c r="AK2606" s="183"/>
      <c r="AL2606" s="183"/>
    </row>
    <row r="2607" spans="1:38">
      <c r="A2607" s="182"/>
      <c r="AJ2607" s="183"/>
      <c r="AK2607" s="183"/>
      <c r="AL2607" s="183"/>
    </row>
    <row r="2608" spans="1:38">
      <c r="A2608" s="182"/>
      <c r="AJ2608" s="183"/>
      <c r="AK2608" s="183"/>
      <c r="AL2608" s="183"/>
    </row>
    <row r="2609" spans="1:38">
      <c r="A2609" s="182"/>
      <c r="AJ2609" s="183"/>
      <c r="AK2609" s="183"/>
      <c r="AL2609" s="183"/>
    </row>
    <row r="2610" spans="1:38">
      <c r="A2610" s="182"/>
      <c r="AJ2610" s="183"/>
      <c r="AK2610" s="183"/>
      <c r="AL2610" s="183"/>
    </row>
    <row r="2611" spans="1:38">
      <c r="A2611" s="182"/>
      <c r="AJ2611" s="183"/>
      <c r="AK2611" s="183"/>
      <c r="AL2611" s="183"/>
    </row>
    <row r="2612" spans="1:38">
      <c r="A2612" s="182"/>
      <c r="AJ2612" s="183"/>
      <c r="AK2612" s="183"/>
      <c r="AL2612" s="183"/>
    </row>
    <row r="2613" spans="1:38">
      <c r="A2613" s="182"/>
      <c r="AJ2613" s="183"/>
    </row>
    <row r="2614" spans="1:38">
      <c r="A2614" s="182"/>
    </row>
    <row r="2615" spans="1:38">
      <c r="A2615" s="182"/>
    </row>
    <row r="2616" spans="1:38">
      <c r="A2616" s="182"/>
    </row>
    <row r="2617" spans="1:38">
      <c r="A2617" s="182"/>
    </row>
    <row r="2618" spans="1:38">
      <c r="A2618" s="182"/>
    </row>
    <row r="2619" spans="1:38">
      <c r="A2619" s="182"/>
    </row>
    <row r="2620" spans="1:38">
      <c r="A2620" s="182"/>
    </row>
    <row r="2621" spans="1:38">
      <c r="A2621" s="182"/>
    </row>
    <row r="2622" spans="1:38">
      <c r="A2622" s="182"/>
    </row>
    <row r="2623" spans="1:38">
      <c r="A2623" s="182"/>
    </row>
    <row r="2624" spans="1:38">
      <c r="A2624" s="182"/>
    </row>
    <row r="2625" spans="1:38">
      <c r="A2625" s="182"/>
      <c r="AK2625" s="183"/>
      <c r="AL2625" s="183"/>
    </row>
    <row r="2626" spans="1:38">
      <c r="A2626" s="182"/>
      <c r="AJ2626" s="183"/>
      <c r="AK2626" s="183"/>
      <c r="AL2626" s="183"/>
    </row>
    <row r="2627" spans="1:38">
      <c r="A2627" s="182"/>
      <c r="AJ2627" s="183"/>
      <c r="AK2627" s="183"/>
      <c r="AL2627" s="183"/>
    </row>
    <row r="2628" spans="1:38">
      <c r="A2628" s="182"/>
      <c r="AJ2628" s="183"/>
      <c r="AK2628" s="183"/>
      <c r="AL2628" s="183"/>
    </row>
    <row r="2629" spans="1:38">
      <c r="A2629" s="182"/>
      <c r="AJ2629" s="183"/>
    </row>
    <row r="2630" spans="1:38">
      <c r="A2630" s="182"/>
    </row>
    <row r="2631" spans="1:38">
      <c r="A2631" s="182"/>
    </row>
    <row r="2632" spans="1:38">
      <c r="A2632" s="182"/>
    </row>
    <row r="2633" spans="1:38">
      <c r="A2633" s="182"/>
      <c r="AK2633" s="183"/>
      <c r="AL2633" s="183"/>
    </row>
    <row r="2634" spans="1:38">
      <c r="A2634" s="182"/>
      <c r="AJ2634" s="183"/>
      <c r="AK2634" s="183"/>
      <c r="AL2634" s="183"/>
    </row>
    <row r="2635" spans="1:38">
      <c r="A2635" s="182"/>
      <c r="AJ2635" s="183"/>
      <c r="AK2635" s="183"/>
      <c r="AL2635" s="183"/>
    </row>
    <row r="2636" spans="1:38">
      <c r="A2636" s="182"/>
      <c r="AJ2636" s="183"/>
      <c r="AK2636" s="183"/>
      <c r="AL2636" s="183"/>
    </row>
    <row r="2637" spans="1:38">
      <c r="A2637" s="182"/>
      <c r="AJ2637" s="183"/>
    </row>
    <row r="2638" spans="1:38">
      <c r="A2638" s="182"/>
    </row>
    <row r="2639" spans="1:38">
      <c r="A2639" s="182"/>
    </row>
    <row r="2640" spans="1:38">
      <c r="A2640" s="182"/>
    </row>
    <row r="2641" spans="1:38">
      <c r="A2641" s="182"/>
    </row>
    <row r="2642" spans="1:38">
      <c r="A2642" s="182"/>
    </row>
    <row r="2643" spans="1:38">
      <c r="A2643" s="182"/>
    </row>
    <row r="2644" spans="1:38">
      <c r="A2644" s="182"/>
    </row>
    <row r="2645" spans="1:38">
      <c r="A2645" s="182"/>
    </row>
    <row r="2646" spans="1:38">
      <c r="A2646" s="182"/>
    </row>
    <row r="2647" spans="1:38">
      <c r="A2647" s="182"/>
    </row>
    <row r="2648" spans="1:38">
      <c r="A2648" s="182"/>
    </row>
    <row r="2649" spans="1:38">
      <c r="A2649" s="182"/>
      <c r="AK2649" s="183"/>
      <c r="AL2649" s="183"/>
    </row>
    <row r="2650" spans="1:38">
      <c r="A2650" s="182"/>
      <c r="AJ2650" s="183"/>
      <c r="AK2650" s="183"/>
      <c r="AL2650" s="183"/>
    </row>
    <row r="2651" spans="1:38">
      <c r="A2651" s="182"/>
      <c r="AJ2651" s="183"/>
      <c r="AK2651" s="183"/>
      <c r="AL2651" s="183"/>
    </row>
    <row r="2652" spans="1:38">
      <c r="A2652" s="182"/>
      <c r="AJ2652" s="183"/>
      <c r="AK2652" s="183"/>
      <c r="AL2652" s="183"/>
    </row>
    <row r="2653" spans="1:38">
      <c r="A2653" s="182"/>
      <c r="AJ2653" s="183"/>
    </row>
    <row r="2654" spans="1:38">
      <c r="A2654" s="182"/>
    </row>
    <row r="2655" spans="1:38">
      <c r="A2655" s="182"/>
    </row>
    <row r="2656" spans="1:38">
      <c r="A2656" s="182"/>
    </row>
    <row r="2657" spans="1:38">
      <c r="A2657" s="182"/>
      <c r="AK2657" s="183"/>
      <c r="AL2657" s="183"/>
    </row>
    <row r="2658" spans="1:38">
      <c r="A2658" s="182"/>
      <c r="AJ2658" s="183"/>
      <c r="AK2658" s="183"/>
      <c r="AL2658" s="183"/>
    </row>
    <row r="2659" spans="1:38">
      <c r="A2659" s="182"/>
      <c r="AJ2659" s="183"/>
      <c r="AK2659" s="183"/>
      <c r="AL2659" s="183"/>
    </row>
    <row r="2660" spans="1:38">
      <c r="A2660" s="182"/>
      <c r="AJ2660" s="183"/>
      <c r="AK2660" s="183"/>
      <c r="AL2660" s="183"/>
    </row>
    <row r="2661" spans="1:38">
      <c r="A2661" s="182"/>
      <c r="AJ2661" s="183"/>
      <c r="AK2661" s="183"/>
      <c r="AL2661" s="183"/>
    </row>
    <row r="2662" spans="1:38">
      <c r="A2662" s="182"/>
      <c r="AJ2662" s="183"/>
      <c r="AK2662" s="183"/>
      <c r="AL2662" s="183"/>
    </row>
    <row r="2663" spans="1:38">
      <c r="A2663" s="182"/>
      <c r="AJ2663" s="183"/>
      <c r="AK2663" s="183"/>
      <c r="AL2663" s="183"/>
    </row>
    <row r="2664" spans="1:38">
      <c r="A2664" s="182"/>
      <c r="AJ2664" s="183"/>
      <c r="AK2664" s="183"/>
      <c r="AL2664" s="183"/>
    </row>
    <row r="2665" spans="1:38">
      <c r="A2665" s="182"/>
      <c r="AJ2665" s="183"/>
    </row>
    <row r="2666" spans="1:38">
      <c r="A2666" s="182"/>
    </row>
    <row r="2667" spans="1:38">
      <c r="A2667" s="182"/>
    </row>
    <row r="2668" spans="1:38">
      <c r="A2668" s="182"/>
    </row>
    <row r="2669" spans="1:38">
      <c r="A2669" s="182"/>
      <c r="AK2669" s="183"/>
      <c r="AL2669" s="183"/>
    </row>
    <row r="2670" spans="1:38">
      <c r="A2670" s="182"/>
      <c r="AJ2670" s="183"/>
      <c r="AK2670" s="183"/>
      <c r="AL2670" s="183"/>
    </row>
    <row r="2671" spans="1:38">
      <c r="A2671" s="182"/>
      <c r="AJ2671" s="183"/>
      <c r="AK2671" s="183"/>
      <c r="AL2671" s="183"/>
    </row>
    <row r="2672" spans="1:38">
      <c r="A2672" s="182"/>
      <c r="AJ2672" s="183"/>
      <c r="AK2672" s="183"/>
      <c r="AL2672" s="183"/>
    </row>
    <row r="2673" spans="1:38">
      <c r="A2673" s="182"/>
      <c r="AJ2673" s="183"/>
      <c r="AK2673" s="183"/>
      <c r="AL2673" s="183"/>
    </row>
    <row r="2674" spans="1:38">
      <c r="A2674" s="182"/>
      <c r="AJ2674" s="183"/>
      <c r="AK2674" s="183"/>
      <c r="AL2674" s="183"/>
    </row>
    <row r="2675" spans="1:38">
      <c r="A2675" s="182"/>
      <c r="AJ2675" s="183"/>
      <c r="AK2675" s="183"/>
      <c r="AL2675" s="183"/>
    </row>
    <row r="2676" spans="1:38">
      <c r="A2676" s="182"/>
      <c r="AJ2676" s="183"/>
      <c r="AK2676" s="183"/>
      <c r="AL2676" s="183"/>
    </row>
    <row r="2677" spans="1:38">
      <c r="A2677" s="182"/>
      <c r="AJ2677" s="183"/>
    </row>
    <row r="2678" spans="1:38">
      <c r="A2678" s="182"/>
    </row>
    <row r="2679" spans="1:38">
      <c r="A2679" s="182"/>
    </row>
    <row r="2680" spans="1:38">
      <c r="A2680" s="182"/>
    </row>
    <row r="2681" spans="1:38">
      <c r="A2681" s="182"/>
      <c r="AK2681" s="183"/>
      <c r="AL2681" s="183"/>
    </row>
    <row r="2682" spans="1:38">
      <c r="A2682" s="182"/>
      <c r="AJ2682" s="183"/>
      <c r="AK2682" s="183"/>
      <c r="AL2682" s="183"/>
    </row>
    <row r="2683" spans="1:38">
      <c r="A2683" s="182"/>
      <c r="AJ2683" s="183"/>
      <c r="AK2683" s="183"/>
      <c r="AL2683" s="183"/>
    </row>
    <row r="2684" spans="1:38">
      <c r="A2684" s="182"/>
      <c r="AJ2684" s="183"/>
      <c r="AK2684" s="183"/>
      <c r="AL2684" s="183"/>
    </row>
    <row r="2685" spans="1:38">
      <c r="A2685" s="182"/>
      <c r="AJ2685" s="183"/>
    </row>
    <row r="2686" spans="1:38">
      <c r="A2686" s="182"/>
    </row>
    <row r="2687" spans="1:38">
      <c r="A2687" s="182"/>
    </row>
    <row r="2688" spans="1:38">
      <c r="A2688" s="182"/>
    </row>
    <row r="2689" spans="1:38">
      <c r="A2689" s="182"/>
    </row>
    <row r="2690" spans="1:38">
      <c r="A2690" s="182"/>
    </row>
    <row r="2691" spans="1:38">
      <c r="A2691" s="182"/>
    </row>
    <row r="2692" spans="1:38">
      <c r="A2692" s="182"/>
    </row>
    <row r="2693" spans="1:38">
      <c r="A2693" s="182"/>
    </row>
    <row r="2694" spans="1:38">
      <c r="A2694" s="182"/>
    </row>
    <row r="2695" spans="1:38">
      <c r="A2695" s="182"/>
    </row>
    <row r="2696" spans="1:38">
      <c r="A2696" s="182"/>
    </row>
    <row r="2697" spans="1:38">
      <c r="A2697" s="182"/>
      <c r="AK2697" s="183"/>
      <c r="AL2697" s="183"/>
    </row>
    <row r="2698" spans="1:38">
      <c r="A2698" s="182"/>
      <c r="AJ2698" s="183"/>
      <c r="AK2698" s="183"/>
      <c r="AL2698" s="183"/>
    </row>
    <row r="2699" spans="1:38">
      <c r="A2699" s="182"/>
      <c r="AJ2699" s="183"/>
      <c r="AK2699" s="183"/>
      <c r="AL2699" s="183"/>
    </row>
    <row r="2700" spans="1:38">
      <c r="A2700" s="182"/>
      <c r="AJ2700" s="183"/>
      <c r="AK2700" s="183"/>
      <c r="AL2700" s="183"/>
    </row>
    <row r="2701" spans="1:38">
      <c r="A2701" s="182"/>
      <c r="AJ2701" s="183"/>
    </row>
    <row r="2702" spans="1:38">
      <c r="A2702" s="182"/>
    </row>
    <row r="2703" spans="1:38">
      <c r="A2703" s="182"/>
    </row>
    <row r="2704" spans="1:38">
      <c r="A2704" s="182"/>
    </row>
    <row r="2705" spans="1:38">
      <c r="A2705" s="182"/>
    </row>
    <row r="2706" spans="1:38">
      <c r="A2706" s="182"/>
    </row>
    <row r="2707" spans="1:38">
      <c r="A2707" s="182"/>
    </row>
    <row r="2708" spans="1:38">
      <c r="A2708" s="182"/>
    </row>
    <row r="2709" spans="1:38">
      <c r="A2709" s="182"/>
      <c r="AK2709" s="183"/>
      <c r="AL2709" s="183"/>
    </row>
    <row r="2710" spans="1:38">
      <c r="A2710" s="182"/>
      <c r="AJ2710" s="183"/>
      <c r="AK2710" s="183"/>
      <c r="AL2710" s="183"/>
    </row>
    <row r="2711" spans="1:38">
      <c r="A2711" s="182"/>
      <c r="AJ2711" s="183"/>
      <c r="AK2711" s="183"/>
      <c r="AL2711" s="183"/>
    </row>
    <row r="2712" spans="1:38">
      <c r="A2712" s="182"/>
      <c r="AJ2712" s="183"/>
      <c r="AK2712" s="183"/>
      <c r="AL2712" s="183"/>
    </row>
    <row r="2713" spans="1:38">
      <c r="A2713" s="182"/>
      <c r="AJ2713" s="183"/>
      <c r="AK2713" s="183"/>
      <c r="AL2713" s="183"/>
    </row>
    <row r="2714" spans="1:38">
      <c r="A2714" s="182"/>
      <c r="AJ2714" s="183"/>
      <c r="AK2714" s="183"/>
      <c r="AL2714" s="183"/>
    </row>
    <row r="2715" spans="1:38">
      <c r="A2715" s="182"/>
      <c r="AJ2715" s="183"/>
      <c r="AK2715" s="183"/>
      <c r="AL2715" s="183"/>
    </row>
    <row r="2716" spans="1:38">
      <c r="A2716" s="182"/>
      <c r="AJ2716" s="183"/>
      <c r="AK2716" s="183"/>
      <c r="AL2716" s="183"/>
    </row>
    <row r="2717" spans="1:38">
      <c r="A2717" s="182"/>
      <c r="AJ2717" s="183"/>
    </row>
    <row r="2718" spans="1:38">
      <c r="A2718" s="182"/>
    </row>
    <row r="2719" spans="1:38">
      <c r="A2719" s="182"/>
    </row>
    <row r="2720" spans="1:38">
      <c r="A2720" s="182"/>
    </row>
    <row r="2721" spans="1:38">
      <c r="A2721" s="182"/>
    </row>
    <row r="2722" spans="1:38">
      <c r="A2722" s="182"/>
    </row>
    <row r="2723" spans="1:38">
      <c r="A2723" s="182"/>
    </row>
    <row r="2724" spans="1:38">
      <c r="A2724" s="182"/>
    </row>
    <row r="2725" spans="1:38">
      <c r="A2725" s="182"/>
      <c r="AK2725" s="183"/>
      <c r="AL2725" s="183"/>
    </row>
    <row r="2726" spans="1:38">
      <c r="A2726" s="182"/>
      <c r="AJ2726" s="183"/>
      <c r="AK2726" s="183"/>
      <c r="AL2726" s="183"/>
    </row>
    <row r="2727" spans="1:38">
      <c r="A2727" s="182"/>
      <c r="AJ2727" s="183"/>
      <c r="AK2727" s="183"/>
      <c r="AL2727" s="183"/>
    </row>
    <row r="2728" spans="1:38">
      <c r="A2728" s="182"/>
      <c r="AJ2728" s="183"/>
      <c r="AK2728" s="183"/>
      <c r="AL2728" s="183"/>
    </row>
    <row r="2729" spans="1:38">
      <c r="A2729" s="182"/>
      <c r="AJ2729" s="183"/>
      <c r="AK2729" s="183"/>
      <c r="AL2729" s="183"/>
    </row>
    <row r="2730" spans="1:38">
      <c r="A2730" s="182"/>
      <c r="AJ2730" s="183"/>
      <c r="AK2730" s="183"/>
      <c r="AL2730" s="183"/>
    </row>
    <row r="2731" spans="1:38">
      <c r="A2731" s="182"/>
      <c r="AJ2731" s="183"/>
      <c r="AK2731" s="183"/>
      <c r="AL2731" s="183"/>
    </row>
    <row r="2732" spans="1:38">
      <c r="A2732" s="182"/>
      <c r="AJ2732" s="183"/>
      <c r="AK2732" s="183"/>
      <c r="AL2732" s="183"/>
    </row>
    <row r="2733" spans="1:38">
      <c r="A2733" s="182"/>
      <c r="AJ2733" s="183"/>
    </row>
    <row r="2734" spans="1:38">
      <c r="A2734" s="182"/>
    </row>
    <row r="2735" spans="1:38">
      <c r="A2735" s="182"/>
    </row>
    <row r="2736" spans="1:38">
      <c r="A2736" s="182"/>
    </row>
    <row r="2737" spans="1:38">
      <c r="A2737" s="182"/>
      <c r="AK2737" s="183"/>
      <c r="AL2737" s="183"/>
    </row>
    <row r="2738" spans="1:38">
      <c r="A2738" s="182"/>
      <c r="AJ2738" s="183"/>
      <c r="AK2738" s="183"/>
      <c r="AL2738" s="183"/>
    </row>
    <row r="2739" spans="1:38">
      <c r="A2739" s="182"/>
      <c r="AJ2739" s="183"/>
      <c r="AK2739" s="183"/>
      <c r="AL2739" s="183"/>
    </row>
    <row r="2740" spans="1:38">
      <c r="A2740" s="182"/>
      <c r="AJ2740" s="183"/>
      <c r="AK2740" s="183"/>
      <c r="AL2740" s="183"/>
    </row>
    <row r="2741" spans="1:38">
      <c r="A2741" s="182"/>
      <c r="AJ2741" s="183"/>
    </row>
    <row r="2742" spans="1:38">
      <c r="A2742" s="182"/>
    </row>
    <row r="2743" spans="1:38">
      <c r="A2743" s="182"/>
    </row>
    <row r="2744" spans="1:38">
      <c r="A2744" s="182"/>
    </row>
    <row r="2745" spans="1:38">
      <c r="A2745" s="182"/>
    </row>
    <row r="2746" spans="1:38">
      <c r="A2746" s="182"/>
    </row>
    <row r="2747" spans="1:38">
      <c r="A2747" s="182"/>
    </row>
    <row r="2748" spans="1:38">
      <c r="A2748" s="182"/>
    </row>
    <row r="2749" spans="1:38">
      <c r="A2749" s="182"/>
    </row>
    <row r="2750" spans="1:38">
      <c r="A2750" s="182"/>
    </row>
    <row r="2751" spans="1:38">
      <c r="A2751" s="182"/>
    </row>
    <row r="2752" spans="1:38">
      <c r="A2752" s="182"/>
    </row>
    <row r="2753" spans="1:38">
      <c r="A2753" s="182"/>
      <c r="AK2753" s="183"/>
      <c r="AL2753" s="183"/>
    </row>
    <row r="2754" spans="1:38">
      <c r="A2754" s="182"/>
      <c r="AJ2754" s="183"/>
      <c r="AK2754" s="183"/>
      <c r="AL2754" s="183"/>
    </row>
    <row r="2755" spans="1:38">
      <c r="A2755" s="182"/>
      <c r="AJ2755" s="183"/>
      <c r="AK2755" s="183"/>
      <c r="AL2755" s="183"/>
    </row>
    <row r="2756" spans="1:38">
      <c r="A2756" s="182"/>
      <c r="AJ2756" s="183"/>
      <c r="AK2756" s="183"/>
      <c r="AL2756" s="183"/>
    </row>
    <row r="2757" spans="1:38">
      <c r="A2757" s="182"/>
      <c r="AJ2757" s="183"/>
    </row>
    <row r="2758" spans="1:38">
      <c r="A2758" s="182"/>
    </row>
    <row r="2759" spans="1:38">
      <c r="A2759" s="182"/>
    </row>
    <row r="2760" spans="1:38">
      <c r="A2760" s="182"/>
    </row>
    <row r="2761" spans="1:38">
      <c r="A2761" s="182"/>
    </row>
    <row r="2762" spans="1:38">
      <c r="A2762" s="182"/>
    </row>
    <row r="2763" spans="1:38">
      <c r="A2763" s="182"/>
    </row>
    <row r="2764" spans="1:38">
      <c r="A2764" s="182"/>
    </row>
    <row r="2765" spans="1:38">
      <c r="A2765" s="182"/>
      <c r="AK2765" s="183"/>
      <c r="AL2765" s="183"/>
    </row>
    <row r="2766" spans="1:38">
      <c r="A2766" s="182"/>
      <c r="AJ2766" s="183"/>
      <c r="AK2766" s="183"/>
      <c r="AL2766" s="183"/>
    </row>
    <row r="2767" spans="1:38">
      <c r="A2767" s="182"/>
      <c r="AJ2767" s="183"/>
      <c r="AK2767" s="183"/>
      <c r="AL2767" s="183"/>
    </row>
    <row r="2768" spans="1:38">
      <c r="A2768" s="182"/>
      <c r="AJ2768" s="183"/>
      <c r="AK2768" s="183"/>
      <c r="AL2768" s="183"/>
    </row>
    <row r="2769" spans="1:38">
      <c r="A2769" s="182"/>
      <c r="AJ2769" s="183"/>
    </row>
    <row r="2770" spans="1:38">
      <c r="A2770" s="182"/>
    </row>
    <row r="2771" spans="1:38">
      <c r="A2771" s="182"/>
    </row>
    <row r="2772" spans="1:38">
      <c r="A2772" s="182"/>
    </row>
    <row r="2773" spans="1:38">
      <c r="A2773" s="182"/>
      <c r="AK2773" s="183"/>
      <c r="AL2773" s="183"/>
    </row>
    <row r="2774" spans="1:38">
      <c r="A2774" s="182"/>
      <c r="AJ2774" s="183"/>
      <c r="AK2774" s="183"/>
      <c r="AL2774" s="183"/>
    </row>
    <row r="2775" spans="1:38">
      <c r="A2775" s="182"/>
      <c r="AJ2775" s="183"/>
      <c r="AK2775" s="183"/>
      <c r="AL2775" s="183"/>
    </row>
    <row r="2776" spans="1:38">
      <c r="A2776" s="182"/>
      <c r="AJ2776" s="183"/>
      <c r="AK2776" s="183"/>
      <c r="AL2776" s="183"/>
    </row>
    <row r="2777" spans="1:38">
      <c r="A2777" s="182"/>
      <c r="AJ2777" s="183"/>
      <c r="AK2777" s="183"/>
      <c r="AL2777" s="183"/>
    </row>
    <row r="2778" spans="1:38">
      <c r="A2778" s="182"/>
      <c r="AJ2778" s="183"/>
      <c r="AK2778" s="183"/>
      <c r="AL2778" s="183"/>
    </row>
    <row r="2779" spans="1:38">
      <c r="A2779" s="182"/>
      <c r="AJ2779" s="183"/>
      <c r="AK2779" s="183"/>
      <c r="AL2779" s="183"/>
    </row>
    <row r="2780" spans="1:38">
      <c r="A2780" s="182"/>
      <c r="AJ2780" s="183"/>
      <c r="AK2780" s="183"/>
      <c r="AL2780" s="183"/>
    </row>
    <row r="2781" spans="1:38">
      <c r="A2781" s="182"/>
      <c r="AJ2781" s="183"/>
      <c r="AK2781" s="183"/>
      <c r="AL2781" s="183"/>
    </row>
    <row r="2782" spans="1:38">
      <c r="A2782" s="182"/>
      <c r="AJ2782" s="183"/>
      <c r="AK2782" s="183"/>
      <c r="AL2782" s="183"/>
    </row>
    <row r="2783" spans="1:38">
      <c r="A2783" s="182"/>
      <c r="AJ2783" s="183"/>
      <c r="AK2783" s="183"/>
      <c r="AL2783" s="183"/>
    </row>
    <row r="2784" spans="1:38">
      <c r="A2784" s="182"/>
      <c r="AJ2784" s="183"/>
      <c r="AK2784" s="183"/>
      <c r="AL2784" s="183"/>
    </row>
    <row r="2785" spans="1:38">
      <c r="A2785" s="182"/>
      <c r="AJ2785" s="183"/>
      <c r="AK2785" s="183"/>
      <c r="AL2785" s="183"/>
    </row>
    <row r="2786" spans="1:38">
      <c r="A2786" s="182"/>
      <c r="AJ2786" s="183"/>
      <c r="AK2786" s="183"/>
      <c r="AL2786" s="183"/>
    </row>
    <row r="2787" spans="1:38">
      <c r="A2787" s="182"/>
      <c r="AJ2787" s="183"/>
      <c r="AK2787" s="183"/>
      <c r="AL2787" s="183"/>
    </row>
    <row r="2788" spans="1:38">
      <c r="A2788" s="182"/>
      <c r="AJ2788" s="183"/>
      <c r="AK2788" s="183"/>
      <c r="AL2788" s="183"/>
    </row>
    <row r="2789" spans="1:38">
      <c r="A2789" s="182"/>
      <c r="AJ2789" s="183"/>
      <c r="AK2789" s="183"/>
      <c r="AL2789" s="183"/>
    </row>
    <row r="2790" spans="1:38">
      <c r="A2790" s="182"/>
      <c r="AJ2790" s="183"/>
      <c r="AK2790" s="183"/>
      <c r="AL2790" s="183"/>
    </row>
    <row r="2791" spans="1:38">
      <c r="A2791" s="182"/>
      <c r="AJ2791" s="183"/>
      <c r="AK2791" s="183"/>
      <c r="AL2791" s="183"/>
    </row>
    <row r="2792" spans="1:38">
      <c r="A2792" s="182"/>
      <c r="AJ2792" s="183"/>
      <c r="AK2792" s="183"/>
      <c r="AL2792" s="183"/>
    </row>
    <row r="2793" spans="1:38">
      <c r="A2793" s="182"/>
      <c r="AJ2793" s="183"/>
      <c r="AK2793" s="183"/>
      <c r="AL2793" s="183"/>
    </row>
    <row r="2794" spans="1:38">
      <c r="A2794" s="182"/>
      <c r="AJ2794" s="183"/>
      <c r="AK2794" s="183"/>
      <c r="AL2794" s="183"/>
    </row>
    <row r="2795" spans="1:38">
      <c r="A2795" s="182"/>
      <c r="AJ2795" s="183"/>
      <c r="AK2795" s="183"/>
      <c r="AL2795" s="183"/>
    </row>
    <row r="2796" spans="1:38">
      <c r="A2796" s="182"/>
      <c r="AJ2796" s="183"/>
      <c r="AK2796" s="183"/>
      <c r="AL2796" s="183"/>
    </row>
    <row r="2797" spans="1:38">
      <c r="A2797" s="182"/>
      <c r="AJ2797" s="183"/>
    </row>
    <row r="2798" spans="1:38">
      <c r="A2798" s="182"/>
    </row>
    <row r="2799" spans="1:38">
      <c r="A2799" s="182"/>
    </row>
    <row r="2800" spans="1:38">
      <c r="A2800" s="182"/>
    </row>
    <row r="2801" spans="1:38">
      <c r="A2801" s="182"/>
      <c r="AK2801" s="183"/>
      <c r="AL2801" s="183"/>
    </row>
    <row r="2802" spans="1:38">
      <c r="A2802" s="182"/>
      <c r="AJ2802" s="183"/>
      <c r="AK2802" s="183"/>
      <c r="AL2802" s="183"/>
    </row>
    <row r="2803" spans="1:38">
      <c r="A2803" s="182"/>
      <c r="AJ2803" s="183"/>
      <c r="AK2803" s="183"/>
      <c r="AL2803" s="183"/>
    </row>
    <row r="2804" spans="1:38">
      <c r="A2804" s="182"/>
      <c r="AJ2804" s="183"/>
      <c r="AK2804" s="183"/>
      <c r="AL2804" s="183"/>
    </row>
    <row r="2805" spans="1:38">
      <c r="A2805" s="182"/>
      <c r="AJ2805" s="183"/>
    </row>
    <row r="2806" spans="1:38">
      <c r="A2806" s="182"/>
    </row>
    <row r="2807" spans="1:38">
      <c r="A2807" s="182"/>
    </row>
    <row r="2808" spans="1:38">
      <c r="A2808" s="182"/>
    </row>
    <row r="2809" spans="1:38">
      <c r="A2809" s="182"/>
      <c r="AK2809" s="183"/>
      <c r="AL2809" s="183"/>
    </row>
    <row r="2810" spans="1:38">
      <c r="A2810" s="182"/>
      <c r="AJ2810" s="183"/>
      <c r="AK2810" s="183"/>
      <c r="AL2810" s="183"/>
    </row>
    <row r="2811" spans="1:38">
      <c r="A2811" s="182"/>
      <c r="AJ2811" s="183"/>
      <c r="AK2811" s="183"/>
      <c r="AL2811" s="183"/>
    </row>
    <row r="2812" spans="1:38">
      <c r="A2812" s="182"/>
      <c r="AJ2812" s="183"/>
      <c r="AK2812" s="183"/>
      <c r="AL2812" s="183"/>
    </row>
    <row r="2813" spans="1:38">
      <c r="A2813" s="182"/>
      <c r="AJ2813" s="183"/>
    </row>
    <row r="2814" spans="1:38">
      <c r="A2814" s="182"/>
    </row>
    <row r="2815" spans="1:38">
      <c r="A2815" s="182"/>
    </row>
    <row r="2816" spans="1:38">
      <c r="A2816" s="182"/>
    </row>
    <row r="2817" spans="1:38">
      <c r="A2817" s="182"/>
      <c r="AK2817" s="183"/>
      <c r="AL2817" s="183"/>
    </row>
    <row r="2818" spans="1:38">
      <c r="A2818" s="182"/>
      <c r="AJ2818" s="183"/>
      <c r="AK2818" s="183"/>
      <c r="AL2818" s="183"/>
    </row>
    <row r="2819" spans="1:38">
      <c r="A2819" s="182"/>
      <c r="AJ2819" s="183"/>
      <c r="AK2819" s="183"/>
      <c r="AL2819" s="183"/>
    </row>
    <row r="2820" spans="1:38">
      <c r="A2820" s="182"/>
      <c r="AJ2820" s="183"/>
      <c r="AK2820" s="183"/>
      <c r="AL2820" s="183"/>
    </row>
    <row r="2821" spans="1:38">
      <c r="A2821" s="182"/>
      <c r="AJ2821" s="183"/>
      <c r="AK2821" s="183"/>
      <c r="AL2821" s="183"/>
    </row>
    <row r="2822" spans="1:38">
      <c r="A2822" s="182"/>
      <c r="AJ2822" s="183"/>
      <c r="AK2822" s="183"/>
      <c r="AL2822" s="183"/>
    </row>
    <row r="2823" spans="1:38">
      <c r="A2823" s="182"/>
      <c r="AJ2823" s="183"/>
      <c r="AK2823" s="183"/>
      <c r="AL2823" s="183"/>
    </row>
    <row r="2824" spans="1:38">
      <c r="A2824" s="182"/>
      <c r="AJ2824" s="183"/>
      <c r="AK2824" s="183"/>
      <c r="AL2824" s="183"/>
    </row>
    <row r="2825" spans="1:38">
      <c r="A2825" s="182"/>
      <c r="AJ2825" s="183"/>
    </row>
    <row r="2826" spans="1:38">
      <c r="A2826" s="182"/>
    </row>
    <row r="2827" spans="1:38">
      <c r="A2827" s="182"/>
    </row>
    <row r="2828" spans="1:38">
      <c r="A2828" s="182"/>
    </row>
    <row r="2829" spans="1:38">
      <c r="A2829" s="182"/>
    </row>
    <row r="2830" spans="1:38">
      <c r="A2830" s="182"/>
    </row>
    <row r="2831" spans="1:38">
      <c r="A2831" s="182"/>
    </row>
    <row r="2832" spans="1:38">
      <c r="A2832" s="182"/>
    </row>
    <row r="2833" spans="1:1">
      <c r="A2833" s="182"/>
    </row>
    <row r="2834" spans="1:1">
      <c r="A2834" s="182"/>
    </row>
    <row r="2835" spans="1:1">
      <c r="A2835" s="182"/>
    </row>
    <row r="2836" spans="1:1">
      <c r="A2836" s="182"/>
    </row>
    <row r="2837" spans="1:1">
      <c r="A2837" s="182"/>
    </row>
    <row r="2838" spans="1:1">
      <c r="A2838" s="182"/>
    </row>
    <row r="2839" spans="1:1">
      <c r="A2839" s="182"/>
    </row>
    <row r="2840" spans="1:1">
      <c r="A2840" s="182"/>
    </row>
    <row r="2841" spans="1:1">
      <c r="A2841" s="182"/>
    </row>
    <row r="2842" spans="1:1">
      <c r="A2842" s="182"/>
    </row>
    <row r="2843" spans="1:1">
      <c r="A2843" s="182"/>
    </row>
    <row r="2844" spans="1:1">
      <c r="A2844" s="182"/>
    </row>
    <row r="2845" spans="1:1">
      <c r="A2845" s="182"/>
    </row>
    <row r="2846" spans="1:1">
      <c r="A2846" s="182"/>
    </row>
    <row r="2847" spans="1:1">
      <c r="A2847" s="182"/>
    </row>
    <row r="2848" spans="1:1">
      <c r="A2848" s="182"/>
    </row>
    <row r="2849" spans="1:38">
      <c r="A2849" s="182"/>
    </row>
    <row r="2850" spans="1:38">
      <c r="A2850" s="182"/>
    </row>
    <row r="2851" spans="1:38">
      <c r="A2851" s="182"/>
    </row>
    <row r="2852" spans="1:38">
      <c r="A2852" s="182"/>
    </row>
    <row r="2853" spans="1:38">
      <c r="A2853" s="182"/>
    </row>
    <row r="2854" spans="1:38">
      <c r="A2854" s="182"/>
    </row>
    <row r="2855" spans="1:38">
      <c r="A2855" s="182"/>
    </row>
    <row r="2856" spans="1:38">
      <c r="A2856" s="182"/>
    </row>
    <row r="2857" spans="1:38">
      <c r="A2857" s="182"/>
      <c r="AK2857" s="183"/>
      <c r="AL2857" s="183"/>
    </row>
    <row r="2858" spans="1:38">
      <c r="A2858" s="182"/>
      <c r="AJ2858" s="183"/>
      <c r="AK2858" s="183"/>
      <c r="AL2858" s="183"/>
    </row>
    <row r="2859" spans="1:38">
      <c r="A2859" s="182"/>
      <c r="AJ2859" s="183"/>
      <c r="AK2859" s="183"/>
      <c r="AL2859" s="183"/>
    </row>
    <row r="2860" spans="1:38">
      <c r="A2860" s="182"/>
      <c r="AJ2860" s="183"/>
      <c r="AK2860" s="183"/>
      <c r="AL2860" s="183"/>
    </row>
    <row r="2861" spans="1:38">
      <c r="A2861" s="182"/>
      <c r="AJ2861" s="183"/>
    </row>
    <row r="2862" spans="1:38">
      <c r="A2862" s="182"/>
    </row>
    <row r="2863" spans="1:38">
      <c r="A2863" s="182"/>
    </row>
    <row r="2864" spans="1:38">
      <c r="A2864" s="182"/>
    </row>
    <row r="2865" spans="1:38">
      <c r="A2865" s="182"/>
      <c r="AK2865" s="183"/>
      <c r="AL2865" s="183"/>
    </row>
    <row r="2866" spans="1:38">
      <c r="A2866" s="182"/>
      <c r="AJ2866" s="183"/>
      <c r="AK2866" s="183"/>
      <c r="AL2866" s="183"/>
    </row>
    <row r="2867" spans="1:38">
      <c r="A2867" s="182"/>
      <c r="AJ2867" s="183"/>
      <c r="AK2867" s="183"/>
      <c r="AL2867" s="183"/>
    </row>
    <row r="2868" spans="1:38">
      <c r="A2868" s="182"/>
      <c r="AJ2868" s="183"/>
      <c r="AK2868" s="183"/>
      <c r="AL2868" s="183"/>
    </row>
    <row r="2869" spans="1:38">
      <c r="A2869" s="182"/>
      <c r="AJ2869" s="183"/>
    </row>
    <row r="2870" spans="1:38">
      <c r="A2870" s="182"/>
    </row>
    <row r="2871" spans="1:38">
      <c r="A2871" s="182"/>
    </row>
    <row r="2872" spans="1:38">
      <c r="A2872" s="182"/>
    </row>
    <row r="2873" spans="1:38">
      <c r="A2873" s="182"/>
    </row>
    <row r="2874" spans="1:38">
      <c r="A2874" s="182"/>
    </row>
    <row r="2875" spans="1:38">
      <c r="A2875" s="182"/>
    </row>
    <row r="2876" spans="1:38">
      <c r="A2876" s="182"/>
    </row>
    <row r="2877" spans="1:38">
      <c r="A2877" s="182"/>
      <c r="AK2877" s="183"/>
      <c r="AL2877" s="183"/>
    </row>
    <row r="2878" spans="1:38">
      <c r="A2878" s="182"/>
      <c r="AJ2878" s="183"/>
      <c r="AK2878" s="183"/>
      <c r="AL2878" s="183"/>
    </row>
    <row r="2879" spans="1:38">
      <c r="A2879" s="182"/>
      <c r="AJ2879" s="183"/>
      <c r="AK2879" s="183"/>
      <c r="AL2879" s="183"/>
    </row>
    <row r="2880" spans="1:38">
      <c r="A2880" s="182"/>
      <c r="AJ2880" s="183"/>
      <c r="AK2880" s="183"/>
      <c r="AL2880" s="183"/>
    </row>
    <row r="2881" spans="1:38">
      <c r="A2881" s="182"/>
      <c r="AJ2881" s="183"/>
      <c r="AK2881" s="183"/>
      <c r="AL2881" s="183"/>
    </row>
    <row r="2882" spans="1:38">
      <c r="A2882" s="182"/>
      <c r="AJ2882" s="183"/>
      <c r="AK2882" s="183"/>
      <c r="AL2882" s="183"/>
    </row>
    <row r="2883" spans="1:38">
      <c r="A2883" s="182"/>
      <c r="AJ2883" s="183"/>
      <c r="AK2883" s="183"/>
      <c r="AL2883" s="183"/>
    </row>
    <row r="2884" spans="1:38">
      <c r="A2884" s="182"/>
      <c r="AJ2884" s="183"/>
      <c r="AK2884" s="183"/>
      <c r="AL2884" s="183"/>
    </row>
    <row r="2885" spans="1:38">
      <c r="A2885" s="182"/>
      <c r="AJ2885" s="183"/>
    </row>
    <row r="2886" spans="1:38">
      <c r="A2886" s="182"/>
    </row>
    <row r="2887" spans="1:38">
      <c r="A2887" s="182"/>
    </row>
    <row r="2888" spans="1:38">
      <c r="A2888" s="182"/>
    </row>
    <row r="2889" spans="1:38">
      <c r="A2889" s="182"/>
      <c r="AK2889" s="183"/>
      <c r="AL2889" s="183"/>
    </row>
    <row r="2890" spans="1:38">
      <c r="A2890" s="182"/>
      <c r="AJ2890" s="183"/>
      <c r="AK2890" s="183"/>
      <c r="AL2890" s="183"/>
    </row>
    <row r="2891" spans="1:38">
      <c r="A2891" s="182"/>
      <c r="AJ2891" s="183"/>
      <c r="AK2891" s="183"/>
      <c r="AL2891" s="183"/>
    </row>
    <row r="2892" spans="1:38">
      <c r="A2892" s="182"/>
      <c r="AJ2892" s="183"/>
      <c r="AK2892" s="183"/>
      <c r="AL2892" s="183"/>
    </row>
    <row r="2893" spans="1:38">
      <c r="A2893" s="182"/>
      <c r="AJ2893" s="183"/>
      <c r="AK2893" s="183"/>
      <c r="AL2893" s="183"/>
    </row>
    <row r="2894" spans="1:38">
      <c r="A2894" s="182"/>
      <c r="AJ2894" s="183"/>
      <c r="AK2894" s="183"/>
      <c r="AL2894" s="183"/>
    </row>
    <row r="2895" spans="1:38">
      <c r="A2895" s="182"/>
      <c r="AJ2895" s="183"/>
      <c r="AK2895" s="183"/>
      <c r="AL2895" s="183"/>
    </row>
    <row r="2896" spans="1:38">
      <c r="A2896" s="182"/>
      <c r="AJ2896" s="183"/>
      <c r="AK2896" s="183"/>
      <c r="AL2896" s="183"/>
    </row>
    <row r="2897" spans="1:38">
      <c r="A2897" s="182"/>
      <c r="AJ2897" s="183"/>
      <c r="AK2897" s="183"/>
      <c r="AL2897" s="183"/>
    </row>
    <row r="2898" spans="1:38">
      <c r="A2898" s="182"/>
      <c r="AJ2898" s="183"/>
      <c r="AK2898" s="183"/>
      <c r="AL2898" s="183"/>
    </row>
    <row r="2899" spans="1:38">
      <c r="A2899" s="182"/>
      <c r="AJ2899" s="183"/>
      <c r="AK2899" s="183"/>
      <c r="AL2899" s="183"/>
    </row>
    <row r="2900" spans="1:38">
      <c r="A2900" s="182"/>
      <c r="AJ2900" s="183"/>
      <c r="AK2900" s="183"/>
      <c r="AL2900" s="183"/>
    </row>
    <row r="2901" spans="1:38">
      <c r="A2901" s="182"/>
      <c r="AJ2901" s="183"/>
    </row>
    <row r="2902" spans="1:38">
      <c r="A2902" s="182"/>
    </row>
    <row r="2903" spans="1:38">
      <c r="A2903" s="182"/>
    </row>
    <row r="2904" spans="1:38">
      <c r="A2904" s="182"/>
    </row>
    <row r="2905" spans="1:38">
      <c r="A2905" s="182"/>
      <c r="AK2905" s="183"/>
      <c r="AL2905" s="183"/>
    </row>
    <row r="2906" spans="1:38">
      <c r="A2906" s="182"/>
      <c r="AJ2906" s="183"/>
      <c r="AK2906" s="183"/>
      <c r="AL2906" s="183"/>
    </row>
    <row r="2907" spans="1:38">
      <c r="A2907" s="182"/>
      <c r="AJ2907" s="183"/>
      <c r="AK2907" s="183"/>
      <c r="AL2907" s="183"/>
    </row>
    <row r="2908" spans="1:38">
      <c r="A2908" s="182"/>
      <c r="AJ2908" s="183"/>
      <c r="AK2908" s="183"/>
      <c r="AL2908" s="183"/>
    </row>
    <row r="2909" spans="1:38">
      <c r="A2909" s="182"/>
      <c r="AJ2909" s="183"/>
      <c r="AK2909" s="183"/>
      <c r="AL2909" s="183"/>
    </row>
    <row r="2910" spans="1:38">
      <c r="A2910" s="182"/>
      <c r="AJ2910" s="183"/>
      <c r="AK2910" s="183"/>
      <c r="AL2910" s="183"/>
    </row>
    <row r="2911" spans="1:38">
      <c r="A2911" s="182"/>
      <c r="AJ2911" s="183"/>
      <c r="AK2911" s="183"/>
      <c r="AL2911" s="183"/>
    </row>
    <row r="2912" spans="1:38">
      <c r="A2912" s="182"/>
      <c r="AJ2912" s="183"/>
      <c r="AK2912" s="183"/>
      <c r="AL2912" s="183"/>
    </row>
    <row r="2913" spans="1:38">
      <c r="A2913" s="182"/>
      <c r="AJ2913" s="183"/>
    </row>
    <row r="2914" spans="1:38">
      <c r="A2914" s="182"/>
    </row>
    <row r="2915" spans="1:38">
      <c r="A2915" s="182"/>
    </row>
    <row r="2916" spans="1:38">
      <c r="A2916" s="182"/>
    </row>
    <row r="2917" spans="1:38">
      <c r="A2917" s="182"/>
      <c r="AK2917" s="183"/>
      <c r="AL2917" s="183"/>
    </row>
    <row r="2918" spans="1:38">
      <c r="A2918" s="182"/>
      <c r="AJ2918" s="183"/>
      <c r="AK2918" s="183"/>
      <c r="AL2918" s="183"/>
    </row>
    <row r="2919" spans="1:38">
      <c r="A2919" s="182"/>
      <c r="AJ2919" s="183"/>
      <c r="AK2919" s="183"/>
      <c r="AL2919" s="183"/>
    </row>
    <row r="2920" spans="1:38">
      <c r="A2920" s="182"/>
      <c r="AJ2920" s="183"/>
      <c r="AK2920" s="183"/>
      <c r="AL2920" s="183"/>
    </row>
    <row r="2921" spans="1:38">
      <c r="A2921" s="182"/>
      <c r="AJ2921" s="183"/>
    </row>
    <row r="2922" spans="1:38">
      <c r="A2922" s="182"/>
    </row>
    <row r="2923" spans="1:38">
      <c r="A2923" s="182"/>
    </row>
    <row r="2924" spans="1:38">
      <c r="A2924" s="182"/>
    </row>
    <row r="2925" spans="1:38">
      <c r="A2925" s="182"/>
    </row>
    <row r="2926" spans="1:38">
      <c r="A2926" s="182"/>
    </row>
    <row r="2927" spans="1:38">
      <c r="A2927" s="182"/>
    </row>
    <row r="2928" spans="1:38">
      <c r="A2928" s="182"/>
    </row>
    <row r="2929" spans="1:1">
      <c r="A2929" s="182"/>
    </row>
    <row r="2930" spans="1:1">
      <c r="A2930" s="182"/>
    </row>
    <row r="2931" spans="1:1">
      <c r="A2931" s="182"/>
    </row>
    <row r="2932" spans="1:1">
      <c r="A2932" s="182"/>
    </row>
    <row r="2933" spans="1:1">
      <c r="A2933" s="182"/>
    </row>
    <row r="2934" spans="1:1">
      <c r="A2934" s="182"/>
    </row>
    <row r="2935" spans="1:1">
      <c r="A2935" s="182"/>
    </row>
    <row r="2936" spans="1:1">
      <c r="A2936" s="182"/>
    </row>
    <row r="2937" spans="1:1">
      <c r="A2937" s="182"/>
    </row>
    <row r="2938" spans="1:1">
      <c r="A2938" s="182"/>
    </row>
    <row r="2939" spans="1:1">
      <c r="A2939" s="182"/>
    </row>
    <row r="2940" spans="1:1">
      <c r="A2940" s="182"/>
    </row>
    <row r="2941" spans="1:1">
      <c r="A2941" s="182"/>
    </row>
    <row r="2942" spans="1:1">
      <c r="A2942" s="182"/>
    </row>
    <row r="2943" spans="1:1">
      <c r="A2943" s="182"/>
    </row>
    <row r="2944" spans="1:1">
      <c r="A2944" s="182"/>
    </row>
    <row r="2945" spans="1:38">
      <c r="A2945" s="182"/>
    </row>
    <row r="2946" spans="1:38">
      <c r="A2946" s="182"/>
    </row>
    <row r="2947" spans="1:38">
      <c r="A2947" s="182"/>
    </row>
    <row r="2948" spans="1:38">
      <c r="A2948" s="182"/>
    </row>
    <row r="2949" spans="1:38">
      <c r="A2949" s="182"/>
      <c r="AK2949" s="183"/>
      <c r="AL2949" s="183"/>
    </row>
    <row r="2950" spans="1:38">
      <c r="A2950" s="182"/>
      <c r="AJ2950" s="183"/>
      <c r="AK2950" s="183"/>
      <c r="AL2950" s="183"/>
    </row>
    <row r="2951" spans="1:38">
      <c r="A2951" s="182"/>
      <c r="AJ2951" s="183"/>
      <c r="AK2951" s="183"/>
      <c r="AL2951" s="183"/>
    </row>
    <row r="2952" spans="1:38">
      <c r="A2952" s="182"/>
      <c r="AJ2952" s="183"/>
      <c r="AK2952" s="183"/>
      <c r="AL2952" s="183"/>
    </row>
    <row r="2953" spans="1:38">
      <c r="A2953" s="182"/>
      <c r="AJ2953" s="183"/>
    </row>
    <row r="2954" spans="1:38">
      <c r="A2954" s="182"/>
    </row>
    <row r="2955" spans="1:38">
      <c r="A2955" s="182"/>
    </row>
    <row r="2956" spans="1:38">
      <c r="A2956" s="182"/>
    </row>
    <row r="2957" spans="1:38">
      <c r="A2957" s="182"/>
    </row>
    <row r="2958" spans="1:38">
      <c r="A2958" s="182"/>
    </row>
    <row r="2959" spans="1:38">
      <c r="A2959" s="182"/>
    </row>
    <row r="2960" spans="1:38">
      <c r="A2960" s="182"/>
    </row>
    <row r="2961" spans="1:1">
      <c r="A2961" s="182"/>
    </row>
    <row r="2962" spans="1:1">
      <c r="A2962" s="182"/>
    </row>
    <row r="2963" spans="1:1">
      <c r="A2963" s="182"/>
    </row>
    <row r="2964" spans="1:1">
      <c r="A2964" s="182"/>
    </row>
    <row r="2965" spans="1:1">
      <c r="A2965" s="182"/>
    </row>
    <row r="2966" spans="1:1">
      <c r="A2966" s="182"/>
    </row>
    <row r="2967" spans="1:1">
      <c r="A2967" s="182"/>
    </row>
    <row r="2968" spans="1:1">
      <c r="A2968" s="182"/>
    </row>
    <row r="2969" spans="1:1">
      <c r="A2969" s="182"/>
    </row>
    <row r="2970" spans="1:1">
      <c r="A2970" s="182"/>
    </row>
    <row r="2971" spans="1:1">
      <c r="A2971" s="182"/>
    </row>
    <row r="2972" spans="1:1">
      <c r="A2972" s="182"/>
    </row>
    <row r="2973" spans="1:1">
      <c r="A2973" s="182"/>
    </row>
    <row r="2974" spans="1:1">
      <c r="A2974" s="182"/>
    </row>
    <row r="2975" spans="1:1">
      <c r="A2975" s="182"/>
    </row>
    <row r="2976" spans="1:1">
      <c r="A2976" s="182"/>
    </row>
    <row r="2977" spans="1:1">
      <c r="A2977" s="182"/>
    </row>
    <row r="2978" spans="1:1">
      <c r="A2978" s="182"/>
    </row>
    <row r="2979" spans="1:1">
      <c r="A2979" s="182"/>
    </row>
    <row r="2980" spans="1:1">
      <c r="A2980" s="182"/>
    </row>
    <row r="2981" spans="1:1">
      <c r="A2981" s="182"/>
    </row>
    <row r="2982" spans="1:1">
      <c r="A2982" s="182"/>
    </row>
    <row r="2983" spans="1:1">
      <c r="A2983" s="182"/>
    </row>
    <row r="2984" spans="1:1">
      <c r="A2984" s="182"/>
    </row>
    <row r="2985" spans="1:1">
      <c r="A2985" s="182"/>
    </row>
    <row r="2986" spans="1:1">
      <c r="A2986" s="182"/>
    </row>
    <row r="2987" spans="1:1">
      <c r="A2987" s="182"/>
    </row>
    <row r="2988" spans="1:1">
      <c r="A2988" s="182"/>
    </row>
    <row r="2989" spans="1:1">
      <c r="A2989" s="182"/>
    </row>
    <row r="2990" spans="1:1">
      <c r="A2990" s="182"/>
    </row>
    <row r="2991" spans="1:1">
      <c r="A2991" s="182"/>
    </row>
    <row r="2992" spans="1:1">
      <c r="A2992" s="182"/>
    </row>
    <row r="2993" spans="1:38">
      <c r="A2993" s="182"/>
      <c r="AK2993" s="183"/>
      <c r="AL2993" s="183"/>
    </row>
    <row r="2994" spans="1:38">
      <c r="A2994" s="182"/>
      <c r="AJ2994" s="183"/>
      <c r="AK2994" s="183"/>
      <c r="AL2994" s="183"/>
    </row>
    <row r="2995" spans="1:38">
      <c r="A2995" s="182"/>
      <c r="AJ2995" s="183"/>
      <c r="AK2995" s="183"/>
      <c r="AL2995" s="183"/>
    </row>
    <row r="2996" spans="1:38">
      <c r="A2996" s="182"/>
      <c r="AJ2996" s="183"/>
      <c r="AK2996" s="183"/>
      <c r="AL2996" s="183"/>
    </row>
    <row r="2997" spans="1:38">
      <c r="A2997" s="182"/>
      <c r="AJ2997" s="183"/>
      <c r="AK2997" s="183"/>
      <c r="AL2997" s="183"/>
    </row>
    <row r="2998" spans="1:38">
      <c r="A2998" s="182"/>
      <c r="AJ2998" s="183"/>
      <c r="AK2998" s="183"/>
      <c r="AL2998" s="183"/>
    </row>
    <row r="2999" spans="1:38">
      <c r="A2999" s="182"/>
      <c r="AJ2999" s="183"/>
      <c r="AK2999" s="183"/>
      <c r="AL2999" s="183"/>
    </row>
    <row r="3000" spans="1:38">
      <c r="A3000" s="182"/>
      <c r="AJ3000" s="183"/>
      <c r="AK3000" s="183"/>
      <c r="AL3000" s="183"/>
    </row>
    <row r="3001" spans="1:38">
      <c r="A3001" s="182"/>
      <c r="AJ3001" s="183"/>
    </row>
    <row r="3002" spans="1:38">
      <c r="A3002" s="182"/>
    </row>
    <row r="3003" spans="1:38">
      <c r="A3003" s="182"/>
    </row>
    <row r="3004" spans="1:38">
      <c r="A3004" s="182"/>
    </row>
    <row r="3005" spans="1:38">
      <c r="A3005" s="182"/>
      <c r="AK3005" s="183"/>
      <c r="AL3005" s="183"/>
    </row>
    <row r="3006" spans="1:38">
      <c r="A3006" s="182"/>
      <c r="AJ3006" s="183"/>
      <c r="AK3006" s="183"/>
      <c r="AL3006" s="183"/>
    </row>
    <row r="3007" spans="1:38">
      <c r="A3007" s="182"/>
      <c r="AJ3007" s="183"/>
      <c r="AK3007" s="183"/>
      <c r="AL3007" s="183"/>
    </row>
    <row r="3008" spans="1:38">
      <c r="A3008" s="182"/>
      <c r="AJ3008" s="183"/>
      <c r="AK3008" s="183"/>
      <c r="AL3008" s="183"/>
    </row>
    <row r="3009" spans="1:36">
      <c r="A3009" s="182"/>
      <c r="AJ3009" s="183"/>
    </row>
    <row r="3010" spans="1:36">
      <c r="A3010" s="182"/>
    </row>
    <row r="3011" spans="1:36">
      <c r="A3011" s="182"/>
    </row>
    <row r="3012" spans="1:36">
      <c r="A3012" s="182"/>
    </row>
    <row r="3013" spans="1:36">
      <c r="A3013" s="182"/>
    </row>
    <row r="3014" spans="1:36">
      <c r="A3014" s="182"/>
    </row>
    <row r="3015" spans="1:36">
      <c r="A3015" s="182"/>
    </row>
    <row r="3016" spans="1:36">
      <c r="A3016" s="182"/>
    </row>
    <row r="3017" spans="1:36">
      <c r="A3017" s="182"/>
    </row>
    <row r="3018" spans="1:36">
      <c r="A3018" s="182"/>
    </row>
    <row r="3019" spans="1:36">
      <c r="A3019" s="182"/>
    </row>
    <row r="3020" spans="1:36">
      <c r="A3020" s="182"/>
    </row>
    <row r="3021" spans="1:36">
      <c r="A3021" s="182"/>
    </row>
    <row r="3022" spans="1:36">
      <c r="A3022" s="182"/>
    </row>
    <row r="3023" spans="1:36">
      <c r="A3023" s="182"/>
    </row>
    <row r="3024" spans="1:36">
      <c r="A3024" s="182"/>
    </row>
    <row r="3025" spans="1:1">
      <c r="A3025" s="182"/>
    </row>
    <row r="3026" spans="1:1">
      <c r="A3026" s="182"/>
    </row>
    <row r="3027" spans="1:1">
      <c r="A3027" s="182"/>
    </row>
    <row r="3028" spans="1:1">
      <c r="A3028" s="182"/>
    </row>
    <row r="3029" spans="1:1">
      <c r="A3029" s="182"/>
    </row>
    <row r="3030" spans="1:1">
      <c r="A3030" s="182"/>
    </row>
    <row r="3031" spans="1:1">
      <c r="A3031" s="182"/>
    </row>
    <row r="3032" spans="1:1">
      <c r="A3032" s="182"/>
    </row>
    <row r="3033" spans="1:1">
      <c r="A3033" s="182"/>
    </row>
    <row r="3034" spans="1:1">
      <c r="A3034" s="182"/>
    </row>
    <row r="3035" spans="1:1">
      <c r="A3035" s="182"/>
    </row>
    <row r="3036" spans="1:1">
      <c r="A3036" s="182"/>
    </row>
    <row r="3037" spans="1:1">
      <c r="A3037" s="182"/>
    </row>
    <row r="3038" spans="1:1">
      <c r="A3038" s="182"/>
    </row>
    <row r="3039" spans="1:1">
      <c r="A3039" s="182"/>
    </row>
    <row r="3040" spans="1:1">
      <c r="A3040" s="182"/>
    </row>
    <row r="3041" spans="1:38">
      <c r="A3041" s="182"/>
    </row>
    <row r="3042" spans="1:38">
      <c r="A3042" s="182"/>
    </row>
    <row r="3043" spans="1:38">
      <c r="A3043" s="182"/>
    </row>
    <row r="3044" spans="1:38">
      <c r="A3044" s="182"/>
    </row>
    <row r="3045" spans="1:38">
      <c r="A3045" s="182"/>
      <c r="AK3045" s="183"/>
      <c r="AL3045" s="183"/>
    </row>
    <row r="3046" spans="1:38">
      <c r="A3046" s="182"/>
      <c r="AJ3046" s="183"/>
      <c r="AK3046" s="183"/>
      <c r="AL3046" s="183"/>
    </row>
    <row r="3047" spans="1:38">
      <c r="A3047" s="182"/>
      <c r="AJ3047" s="183"/>
      <c r="AK3047" s="183"/>
      <c r="AL3047" s="183"/>
    </row>
    <row r="3048" spans="1:38">
      <c r="A3048" s="182"/>
      <c r="AJ3048" s="183"/>
      <c r="AK3048" s="183"/>
      <c r="AL3048" s="183"/>
    </row>
    <row r="3049" spans="1:38">
      <c r="A3049" s="182"/>
      <c r="AJ3049" s="183"/>
      <c r="AK3049" s="183"/>
      <c r="AL3049" s="183"/>
    </row>
    <row r="3050" spans="1:38">
      <c r="A3050" s="182"/>
      <c r="AJ3050" s="183"/>
      <c r="AK3050" s="183"/>
      <c r="AL3050" s="183"/>
    </row>
    <row r="3051" spans="1:38">
      <c r="A3051" s="182"/>
      <c r="AJ3051" s="183"/>
      <c r="AK3051" s="183"/>
      <c r="AL3051" s="183"/>
    </row>
    <row r="3052" spans="1:38">
      <c r="A3052" s="182"/>
      <c r="AJ3052" s="183"/>
      <c r="AK3052" s="183"/>
      <c r="AL3052" s="183"/>
    </row>
    <row r="3053" spans="1:38">
      <c r="A3053" s="182"/>
      <c r="AJ3053" s="183"/>
    </row>
    <row r="3054" spans="1:38">
      <c r="A3054" s="182"/>
    </row>
    <row r="3055" spans="1:38">
      <c r="A3055" s="182"/>
    </row>
    <row r="3056" spans="1:38">
      <c r="A3056" s="182"/>
    </row>
    <row r="3057" spans="1:38">
      <c r="A3057" s="182"/>
    </row>
    <row r="3058" spans="1:38">
      <c r="A3058" s="182"/>
    </row>
    <row r="3059" spans="1:38">
      <c r="A3059" s="182"/>
    </row>
    <row r="3060" spans="1:38">
      <c r="A3060" s="182"/>
    </row>
    <row r="3061" spans="1:38">
      <c r="A3061" s="182"/>
    </row>
    <row r="3062" spans="1:38">
      <c r="A3062" s="182"/>
    </row>
    <row r="3063" spans="1:38">
      <c r="A3063" s="182"/>
    </row>
    <row r="3064" spans="1:38">
      <c r="A3064" s="182"/>
    </row>
    <row r="3065" spans="1:38">
      <c r="A3065" s="182"/>
    </row>
    <row r="3066" spans="1:38">
      <c r="A3066" s="182"/>
    </row>
    <row r="3067" spans="1:38">
      <c r="A3067" s="182"/>
    </row>
    <row r="3068" spans="1:38">
      <c r="A3068" s="182"/>
    </row>
    <row r="3069" spans="1:38">
      <c r="A3069" s="182"/>
      <c r="AK3069" s="183"/>
      <c r="AL3069" s="183"/>
    </row>
    <row r="3070" spans="1:38">
      <c r="A3070" s="182"/>
      <c r="AJ3070" s="183"/>
      <c r="AK3070" s="183"/>
      <c r="AL3070" s="183"/>
    </row>
    <row r="3071" spans="1:38">
      <c r="A3071" s="182"/>
      <c r="AJ3071" s="183"/>
      <c r="AK3071" s="183"/>
      <c r="AL3071" s="183"/>
    </row>
    <row r="3072" spans="1:38">
      <c r="A3072" s="182"/>
      <c r="AJ3072" s="183"/>
      <c r="AK3072" s="183"/>
      <c r="AL3072" s="183"/>
    </row>
    <row r="3073" spans="1:38">
      <c r="A3073" s="182"/>
      <c r="AJ3073" s="183"/>
      <c r="AK3073" s="183"/>
      <c r="AL3073" s="183"/>
    </row>
    <row r="3074" spans="1:38">
      <c r="A3074" s="182"/>
      <c r="AJ3074" s="183"/>
      <c r="AK3074" s="183"/>
      <c r="AL3074" s="183"/>
    </row>
    <row r="3075" spans="1:38">
      <c r="A3075" s="182"/>
      <c r="AJ3075" s="183"/>
      <c r="AK3075" s="183"/>
      <c r="AL3075" s="183"/>
    </row>
    <row r="3076" spans="1:38">
      <c r="A3076" s="182"/>
      <c r="AJ3076" s="183"/>
      <c r="AK3076" s="183"/>
      <c r="AL3076" s="183"/>
    </row>
    <row r="3077" spans="1:38">
      <c r="A3077" s="182"/>
      <c r="AJ3077" s="183"/>
      <c r="AK3077" s="183"/>
      <c r="AL3077" s="183"/>
    </row>
    <row r="3078" spans="1:38">
      <c r="A3078" s="182"/>
      <c r="AJ3078" s="183"/>
      <c r="AK3078" s="183"/>
      <c r="AL3078" s="183"/>
    </row>
    <row r="3079" spans="1:38">
      <c r="A3079" s="182"/>
      <c r="AJ3079" s="183"/>
      <c r="AK3079" s="183"/>
      <c r="AL3079" s="183"/>
    </row>
    <row r="3080" spans="1:38">
      <c r="A3080" s="182"/>
      <c r="AJ3080" s="183"/>
      <c r="AK3080" s="183"/>
      <c r="AL3080" s="183"/>
    </row>
    <row r="3081" spans="1:38">
      <c r="A3081" s="182"/>
      <c r="AJ3081" s="183"/>
    </row>
    <row r="3082" spans="1:38">
      <c r="A3082" s="182"/>
    </row>
    <row r="3083" spans="1:38">
      <c r="A3083" s="182"/>
    </row>
    <row r="3084" spans="1:38">
      <c r="A3084" s="182"/>
    </row>
    <row r="3085" spans="1:38">
      <c r="A3085" s="182"/>
    </row>
    <row r="3086" spans="1:38">
      <c r="A3086" s="182"/>
    </row>
    <row r="3087" spans="1:38">
      <c r="A3087" s="182"/>
    </row>
    <row r="3088" spans="1:38">
      <c r="A3088" s="182"/>
    </row>
    <row r="3089" spans="1:38">
      <c r="A3089" s="182"/>
    </row>
    <row r="3090" spans="1:38">
      <c r="A3090" s="182"/>
    </row>
    <row r="3091" spans="1:38">
      <c r="A3091" s="182"/>
    </row>
    <row r="3092" spans="1:38">
      <c r="A3092" s="182"/>
    </row>
    <row r="3093" spans="1:38">
      <c r="A3093" s="182"/>
      <c r="AK3093" s="183"/>
      <c r="AL3093" s="183"/>
    </row>
    <row r="3094" spans="1:38">
      <c r="A3094" s="182"/>
      <c r="AJ3094" s="183"/>
      <c r="AK3094" s="183"/>
      <c r="AL3094" s="183"/>
    </row>
    <row r="3095" spans="1:38">
      <c r="A3095" s="182"/>
      <c r="AJ3095" s="183"/>
      <c r="AK3095" s="183"/>
      <c r="AL3095" s="183"/>
    </row>
    <row r="3096" spans="1:38">
      <c r="A3096" s="182"/>
      <c r="AJ3096" s="183"/>
      <c r="AK3096" s="183"/>
      <c r="AL3096" s="183"/>
    </row>
    <row r="3097" spans="1:38">
      <c r="A3097" s="182"/>
      <c r="AJ3097" s="183"/>
    </row>
    <row r="3098" spans="1:38">
      <c r="A3098" s="182"/>
    </row>
    <row r="3099" spans="1:38">
      <c r="A3099" s="182"/>
    </row>
    <row r="3100" spans="1:38">
      <c r="A3100" s="182"/>
    </row>
    <row r="3101" spans="1:38">
      <c r="A3101" s="182"/>
      <c r="AK3101" s="183"/>
      <c r="AL3101" s="183"/>
    </row>
    <row r="3102" spans="1:38">
      <c r="A3102" s="182"/>
      <c r="AJ3102" s="183"/>
      <c r="AK3102" s="183"/>
      <c r="AL3102" s="183"/>
    </row>
    <row r="3103" spans="1:38">
      <c r="A3103" s="182"/>
      <c r="AJ3103" s="183"/>
      <c r="AK3103" s="183"/>
      <c r="AL3103" s="183"/>
    </row>
    <row r="3104" spans="1:38">
      <c r="A3104" s="182"/>
      <c r="AJ3104" s="183"/>
      <c r="AK3104" s="183"/>
      <c r="AL3104" s="183"/>
    </row>
    <row r="3105" spans="1:36">
      <c r="A3105" s="182"/>
      <c r="AJ3105" s="183"/>
    </row>
    <row r="3106" spans="1:36">
      <c r="A3106" s="182"/>
    </row>
    <row r="3107" spans="1:36">
      <c r="A3107" s="182"/>
    </row>
    <row r="3108" spans="1:36">
      <c r="A3108" s="182"/>
    </row>
    <row r="3109" spans="1:36">
      <c r="A3109" s="182"/>
    </row>
    <row r="3110" spans="1:36">
      <c r="A3110" s="182"/>
    </row>
    <row r="3111" spans="1:36">
      <c r="A3111" s="182"/>
    </row>
    <row r="3112" spans="1:36">
      <c r="A3112" s="182"/>
    </row>
    <row r="3113" spans="1:36">
      <c r="A3113" s="182"/>
    </row>
    <row r="3114" spans="1:36">
      <c r="A3114" s="182"/>
    </row>
    <row r="3115" spans="1:36">
      <c r="A3115" s="182"/>
    </row>
    <row r="3116" spans="1:36">
      <c r="A3116" s="182"/>
    </row>
    <row r="3117" spans="1:36">
      <c r="A3117" s="182"/>
    </row>
    <row r="3118" spans="1:36">
      <c r="A3118" s="182"/>
    </row>
    <row r="3119" spans="1:36">
      <c r="A3119" s="182"/>
    </row>
    <row r="3120" spans="1:36">
      <c r="A3120" s="182"/>
    </row>
    <row r="3121" spans="1:1">
      <c r="A3121" s="182"/>
    </row>
    <row r="3122" spans="1:1">
      <c r="A3122" s="182"/>
    </row>
    <row r="3123" spans="1:1">
      <c r="A3123" s="182"/>
    </row>
    <row r="3124" spans="1:1">
      <c r="A3124" s="182"/>
    </row>
    <row r="3125" spans="1:1">
      <c r="A3125" s="182"/>
    </row>
    <row r="3126" spans="1:1">
      <c r="A3126" s="182"/>
    </row>
    <row r="3127" spans="1:1">
      <c r="A3127" s="182"/>
    </row>
    <row r="3128" spans="1:1">
      <c r="A3128" s="182"/>
    </row>
    <row r="3129" spans="1:1">
      <c r="A3129" s="182"/>
    </row>
    <row r="3130" spans="1:1">
      <c r="A3130" s="182"/>
    </row>
    <row r="3131" spans="1:1">
      <c r="A3131" s="182"/>
    </row>
    <row r="3132" spans="1:1">
      <c r="A3132" s="182"/>
    </row>
    <row r="3133" spans="1:1">
      <c r="A3133" s="182"/>
    </row>
    <row r="3134" spans="1:1">
      <c r="A3134" s="182"/>
    </row>
    <row r="3135" spans="1:1">
      <c r="A3135" s="182"/>
    </row>
    <row r="3136" spans="1:1">
      <c r="A3136" s="182"/>
    </row>
    <row r="3137" spans="1:38">
      <c r="A3137" s="182"/>
    </row>
    <row r="3138" spans="1:38">
      <c r="A3138" s="182"/>
    </row>
    <row r="3139" spans="1:38">
      <c r="A3139" s="182"/>
    </row>
    <row r="3140" spans="1:38">
      <c r="A3140" s="182"/>
    </row>
    <row r="3141" spans="1:38">
      <c r="A3141" s="182"/>
    </row>
    <row r="3142" spans="1:38">
      <c r="A3142" s="182"/>
    </row>
    <row r="3143" spans="1:38">
      <c r="A3143" s="182"/>
    </row>
    <row r="3144" spans="1:38">
      <c r="A3144" s="182"/>
    </row>
    <row r="3145" spans="1:38">
      <c r="A3145" s="182"/>
    </row>
    <row r="3146" spans="1:38">
      <c r="A3146" s="182"/>
    </row>
    <row r="3147" spans="1:38">
      <c r="A3147" s="182"/>
    </row>
    <row r="3148" spans="1:38">
      <c r="A3148" s="182"/>
    </row>
    <row r="3149" spans="1:38">
      <c r="A3149" s="182"/>
      <c r="AK3149" s="183"/>
      <c r="AL3149" s="183"/>
    </row>
    <row r="3150" spans="1:38">
      <c r="A3150" s="182"/>
      <c r="AJ3150" s="183"/>
      <c r="AK3150" s="183"/>
      <c r="AL3150" s="183"/>
    </row>
    <row r="3151" spans="1:38">
      <c r="A3151" s="182"/>
      <c r="AJ3151" s="183"/>
      <c r="AK3151" s="183"/>
      <c r="AL3151" s="183"/>
    </row>
    <row r="3152" spans="1:38">
      <c r="A3152" s="182"/>
      <c r="AJ3152" s="183"/>
      <c r="AK3152" s="183"/>
      <c r="AL3152" s="183"/>
    </row>
    <row r="3153" spans="1:36">
      <c r="A3153" s="182"/>
      <c r="AJ3153" s="183"/>
    </row>
    <row r="3154" spans="1:36">
      <c r="A3154" s="182"/>
    </row>
    <row r="3155" spans="1:36">
      <c r="A3155" s="182"/>
    </row>
    <row r="3156" spans="1:36">
      <c r="A3156" s="182"/>
    </row>
    <row r="3157" spans="1:36">
      <c r="A3157" s="182"/>
    </row>
    <row r="3158" spans="1:36">
      <c r="A3158" s="182"/>
    </row>
    <row r="3159" spans="1:36">
      <c r="A3159" s="182"/>
    </row>
    <row r="3160" spans="1:36">
      <c r="A3160" s="182"/>
    </row>
    <row r="3161" spans="1:36">
      <c r="A3161" s="182"/>
    </row>
    <row r="3162" spans="1:36">
      <c r="A3162" s="182"/>
    </row>
    <row r="3163" spans="1:36">
      <c r="A3163" s="182"/>
    </row>
    <row r="3164" spans="1:36">
      <c r="A3164" s="182"/>
    </row>
    <row r="3165" spans="1:36">
      <c r="A3165" s="182"/>
    </row>
    <row r="3166" spans="1:36">
      <c r="A3166" s="182"/>
    </row>
    <row r="3167" spans="1:36">
      <c r="A3167" s="182"/>
    </row>
    <row r="3168" spans="1:36">
      <c r="A3168" s="182"/>
    </row>
    <row r="3169" spans="1:38">
      <c r="A3169" s="182"/>
    </row>
    <row r="3170" spans="1:38">
      <c r="A3170" s="182"/>
    </row>
    <row r="3171" spans="1:38">
      <c r="A3171" s="182"/>
    </row>
    <row r="3172" spans="1:38">
      <c r="A3172" s="182"/>
    </row>
    <row r="3173" spans="1:38">
      <c r="A3173" s="182"/>
    </row>
    <row r="3174" spans="1:38">
      <c r="A3174" s="182"/>
    </row>
    <row r="3175" spans="1:38">
      <c r="A3175" s="182"/>
    </row>
    <row r="3176" spans="1:38">
      <c r="A3176" s="182"/>
    </row>
    <row r="3177" spans="1:38">
      <c r="A3177" s="182"/>
      <c r="AK3177" s="183"/>
      <c r="AL3177" s="183"/>
    </row>
    <row r="3178" spans="1:38">
      <c r="A3178" s="182"/>
      <c r="AJ3178" s="183"/>
      <c r="AK3178" s="183"/>
      <c r="AL3178" s="183"/>
    </row>
    <row r="3179" spans="1:38">
      <c r="A3179" s="182"/>
      <c r="AJ3179" s="183"/>
      <c r="AK3179" s="183"/>
      <c r="AL3179" s="183"/>
    </row>
    <row r="3180" spans="1:38">
      <c r="A3180" s="182"/>
      <c r="AJ3180" s="183"/>
      <c r="AK3180" s="183"/>
      <c r="AL3180" s="183"/>
    </row>
    <row r="3181" spans="1:38">
      <c r="A3181" s="182"/>
      <c r="AJ3181" s="183"/>
    </row>
    <row r="3182" spans="1:38">
      <c r="A3182" s="182"/>
    </row>
    <row r="3183" spans="1:38">
      <c r="A3183" s="182"/>
    </row>
    <row r="3184" spans="1:38">
      <c r="A3184" s="182"/>
    </row>
    <row r="3185" spans="1:38">
      <c r="A3185" s="182"/>
    </row>
    <row r="3186" spans="1:38">
      <c r="A3186" s="182"/>
    </row>
    <row r="3187" spans="1:38">
      <c r="A3187" s="182"/>
    </row>
    <row r="3188" spans="1:38">
      <c r="A3188" s="182"/>
    </row>
    <row r="3189" spans="1:38">
      <c r="A3189" s="182"/>
      <c r="AK3189" s="183"/>
      <c r="AL3189" s="183"/>
    </row>
    <row r="3190" spans="1:38">
      <c r="A3190" s="182"/>
      <c r="AJ3190" s="183"/>
      <c r="AK3190" s="183"/>
      <c r="AL3190" s="183"/>
    </row>
    <row r="3191" spans="1:38">
      <c r="A3191" s="182"/>
      <c r="AJ3191" s="183"/>
      <c r="AK3191" s="183"/>
      <c r="AL3191" s="183"/>
    </row>
    <row r="3192" spans="1:38">
      <c r="A3192" s="182"/>
      <c r="AJ3192" s="183"/>
      <c r="AK3192" s="183"/>
      <c r="AL3192" s="183"/>
    </row>
    <row r="3193" spans="1:38">
      <c r="A3193" s="182"/>
      <c r="AJ3193" s="183"/>
      <c r="AK3193" s="183"/>
      <c r="AL3193" s="183"/>
    </row>
    <row r="3194" spans="1:38">
      <c r="A3194" s="182"/>
      <c r="AJ3194" s="183"/>
      <c r="AK3194" s="183"/>
      <c r="AL3194" s="183"/>
    </row>
    <row r="3195" spans="1:38">
      <c r="A3195" s="182"/>
      <c r="AJ3195" s="183"/>
      <c r="AK3195" s="183"/>
      <c r="AL3195" s="183"/>
    </row>
    <row r="3196" spans="1:38">
      <c r="A3196" s="182"/>
      <c r="AJ3196" s="183"/>
      <c r="AK3196" s="183"/>
      <c r="AL3196" s="183"/>
    </row>
    <row r="3197" spans="1:38">
      <c r="A3197" s="182"/>
      <c r="AJ3197" s="183"/>
    </row>
    <row r="3198" spans="1:38">
      <c r="A3198" s="182"/>
    </row>
    <row r="3199" spans="1:38">
      <c r="A3199" s="182"/>
    </row>
    <row r="3200" spans="1:38">
      <c r="A3200" s="182"/>
    </row>
    <row r="3201" spans="1:1">
      <c r="A3201" s="182"/>
    </row>
    <row r="3202" spans="1:1">
      <c r="A3202" s="182"/>
    </row>
    <row r="3203" spans="1:1">
      <c r="A3203" s="182"/>
    </row>
    <row r="3204" spans="1:1">
      <c r="A3204" s="182"/>
    </row>
    <row r="3205" spans="1:1">
      <c r="A3205" s="182"/>
    </row>
    <row r="3206" spans="1:1">
      <c r="A3206" s="182"/>
    </row>
    <row r="3207" spans="1:1">
      <c r="A3207" s="182"/>
    </row>
    <row r="3208" spans="1:1">
      <c r="A3208" s="182"/>
    </row>
    <row r="3209" spans="1:1">
      <c r="A3209" s="182"/>
    </row>
    <row r="3210" spans="1:1">
      <c r="A3210" s="182"/>
    </row>
    <row r="3211" spans="1:1">
      <c r="A3211" s="182"/>
    </row>
    <row r="3212" spans="1:1">
      <c r="A3212" s="182"/>
    </row>
    <row r="3213" spans="1:1">
      <c r="A3213" s="182"/>
    </row>
    <row r="3214" spans="1:1">
      <c r="A3214" s="182"/>
    </row>
    <row r="3215" spans="1:1">
      <c r="A3215" s="182"/>
    </row>
    <row r="3216" spans="1:1">
      <c r="A3216" s="182"/>
    </row>
    <row r="3217" spans="1:38">
      <c r="A3217" s="182"/>
    </row>
    <row r="3218" spans="1:38">
      <c r="A3218" s="182"/>
    </row>
    <row r="3219" spans="1:38">
      <c r="A3219" s="182"/>
    </row>
    <row r="3220" spans="1:38">
      <c r="A3220" s="182"/>
    </row>
    <row r="3221" spans="1:38">
      <c r="A3221" s="182"/>
      <c r="AK3221" s="183"/>
      <c r="AL3221" s="183"/>
    </row>
    <row r="3222" spans="1:38">
      <c r="A3222" s="182"/>
      <c r="AJ3222" s="183"/>
      <c r="AK3222" s="183"/>
      <c r="AL3222" s="183"/>
    </row>
    <row r="3223" spans="1:38">
      <c r="A3223" s="182"/>
      <c r="AJ3223" s="183"/>
      <c r="AK3223" s="183"/>
      <c r="AL3223" s="183"/>
    </row>
    <row r="3224" spans="1:38">
      <c r="A3224" s="182"/>
      <c r="AJ3224" s="183"/>
      <c r="AK3224" s="183"/>
      <c r="AL3224" s="183"/>
    </row>
    <row r="3225" spans="1:38">
      <c r="A3225" s="182"/>
      <c r="AJ3225" s="183"/>
      <c r="AK3225" s="183"/>
      <c r="AL3225" s="183"/>
    </row>
    <row r="3226" spans="1:38">
      <c r="A3226" s="182"/>
      <c r="AJ3226" s="183"/>
      <c r="AK3226" s="183"/>
      <c r="AL3226" s="183"/>
    </row>
    <row r="3227" spans="1:38">
      <c r="A3227" s="182"/>
      <c r="AJ3227" s="183"/>
      <c r="AK3227" s="183"/>
      <c r="AL3227" s="183"/>
    </row>
    <row r="3228" spans="1:38">
      <c r="A3228" s="182"/>
      <c r="AJ3228" s="183"/>
      <c r="AK3228" s="183"/>
      <c r="AL3228" s="183"/>
    </row>
    <row r="3229" spans="1:38">
      <c r="A3229" s="182"/>
      <c r="AJ3229" s="183"/>
      <c r="AK3229" s="183"/>
      <c r="AL3229" s="183"/>
    </row>
    <row r="3230" spans="1:38">
      <c r="A3230" s="182"/>
      <c r="AJ3230" s="183"/>
      <c r="AK3230" s="183"/>
      <c r="AL3230" s="183"/>
    </row>
    <row r="3231" spans="1:38">
      <c r="A3231" s="182"/>
      <c r="AJ3231" s="183"/>
      <c r="AK3231" s="183"/>
      <c r="AL3231" s="183"/>
    </row>
    <row r="3232" spans="1:38">
      <c r="A3232" s="182"/>
      <c r="AJ3232" s="183"/>
      <c r="AK3232" s="183"/>
      <c r="AL3232" s="183"/>
    </row>
    <row r="3233" spans="1:38">
      <c r="A3233" s="182"/>
      <c r="AJ3233" s="183"/>
    </row>
    <row r="3234" spans="1:38">
      <c r="A3234" s="182"/>
    </row>
    <row r="3235" spans="1:38">
      <c r="A3235" s="182"/>
    </row>
    <row r="3236" spans="1:38">
      <c r="A3236" s="182"/>
    </row>
    <row r="3237" spans="1:38">
      <c r="A3237" s="182"/>
      <c r="AK3237" s="183"/>
      <c r="AL3237" s="183"/>
    </row>
    <row r="3238" spans="1:38">
      <c r="A3238" s="182"/>
      <c r="AJ3238" s="183"/>
      <c r="AK3238" s="183"/>
      <c r="AL3238" s="183"/>
    </row>
    <row r="3239" spans="1:38">
      <c r="A3239" s="182"/>
      <c r="AJ3239" s="183"/>
      <c r="AK3239" s="183"/>
      <c r="AL3239" s="183"/>
    </row>
    <row r="3240" spans="1:38">
      <c r="A3240" s="182"/>
      <c r="AJ3240" s="183"/>
      <c r="AK3240" s="183"/>
      <c r="AL3240" s="183"/>
    </row>
    <row r="3241" spans="1:38">
      <c r="A3241" s="182"/>
      <c r="AJ3241" s="183"/>
      <c r="AK3241" s="183"/>
      <c r="AL3241" s="183"/>
    </row>
    <row r="3242" spans="1:38">
      <c r="A3242" s="182"/>
      <c r="AJ3242" s="183"/>
      <c r="AK3242" s="183"/>
      <c r="AL3242" s="183"/>
    </row>
    <row r="3243" spans="1:38">
      <c r="A3243" s="182"/>
      <c r="AJ3243" s="183"/>
      <c r="AK3243" s="183"/>
      <c r="AL3243" s="183"/>
    </row>
    <row r="3244" spans="1:38">
      <c r="A3244" s="182"/>
      <c r="AJ3244" s="183"/>
      <c r="AK3244" s="183"/>
      <c r="AL3244" s="183"/>
    </row>
    <row r="3245" spans="1:38">
      <c r="A3245" s="182"/>
      <c r="AJ3245" s="183"/>
    </row>
    <row r="3246" spans="1:38">
      <c r="A3246" s="182"/>
    </row>
    <row r="3247" spans="1:38">
      <c r="A3247" s="182"/>
    </row>
    <row r="3248" spans="1:38">
      <c r="A3248" s="182"/>
    </row>
    <row r="3249" spans="1:38">
      <c r="A3249" s="182"/>
      <c r="AK3249" s="183"/>
      <c r="AL3249" s="183"/>
    </row>
    <row r="3250" spans="1:38">
      <c r="A3250" s="182"/>
      <c r="AJ3250" s="183"/>
      <c r="AK3250" s="183"/>
      <c r="AL3250" s="183"/>
    </row>
    <row r="3251" spans="1:38">
      <c r="A3251" s="182"/>
      <c r="AJ3251" s="183"/>
      <c r="AK3251" s="183"/>
      <c r="AL3251" s="183"/>
    </row>
    <row r="3252" spans="1:38">
      <c r="A3252" s="182"/>
      <c r="AJ3252" s="183"/>
      <c r="AK3252" s="183"/>
      <c r="AL3252" s="183"/>
    </row>
    <row r="3253" spans="1:38">
      <c r="A3253" s="182"/>
      <c r="AJ3253" s="183"/>
    </row>
    <row r="3254" spans="1:38">
      <c r="A3254" s="182"/>
    </row>
    <row r="3255" spans="1:38">
      <c r="A3255" s="182"/>
    </row>
    <row r="3256" spans="1:38">
      <c r="A3256" s="182"/>
    </row>
    <row r="3257" spans="1:38">
      <c r="A3257" s="182"/>
      <c r="AK3257" s="183"/>
      <c r="AL3257" s="183"/>
    </row>
    <row r="3258" spans="1:38">
      <c r="A3258" s="182"/>
      <c r="AJ3258" s="183"/>
      <c r="AK3258" s="183"/>
      <c r="AL3258" s="183"/>
    </row>
    <row r="3259" spans="1:38">
      <c r="A3259" s="182"/>
      <c r="AJ3259" s="183"/>
      <c r="AK3259" s="183"/>
      <c r="AL3259" s="183"/>
    </row>
    <row r="3260" spans="1:38">
      <c r="A3260" s="182"/>
      <c r="AJ3260" s="183"/>
      <c r="AK3260" s="183"/>
      <c r="AL3260" s="183"/>
    </row>
    <row r="3261" spans="1:38">
      <c r="A3261" s="182"/>
      <c r="AJ3261" s="183"/>
    </row>
    <row r="3262" spans="1:38">
      <c r="A3262" s="182"/>
    </row>
    <row r="3263" spans="1:38">
      <c r="A3263" s="182"/>
    </row>
    <row r="3264" spans="1:38">
      <c r="A3264" s="182"/>
    </row>
    <row r="3265" spans="1:1">
      <c r="A3265" s="182"/>
    </row>
    <row r="3266" spans="1:1">
      <c r="A3266" s="182"/>
    </row>
    <row r="3267" spans="1:1">
      <c r="A3267" s="182"/>
    </row>
    <row r="3268" spans="1:1">
      <c r="A3268" s="182"/>
    </row>
    <row r="3269" spans="1:1">
      <c r="A3269" s="182"/>
    </row>
    <row r="3270" spans="1:1">
      <c r="A3270" s="182"/>
    </row>
    <row r="3271" spans="1:1">
      <c r="A3271" s="182"/>
    </row>
    <row r="3272" spans="1:1">
      <c r="A3272" s="182"/>
    </row>
    <row r="3273" spans="1:1">
      <c r="A3273" s="182"/>
    </row>
    <row r="3274" spans="1:1">
      <c r="A3274" s="182"/>
    </row>
    <row r="3275" spans="1:1">
      <c r="A3275" s="182"/>
    </row>
    <row r="3276" spans="1:1">
      <c r="A3276" s="182"/>
    </row>
    <row r="3277" spans="1:1">
      <c r="A3277" s="182"/>
    </row>
    <row r="3278" spans="1:1">
      <c r="A3278" s="182"/>
    </row>
    <row r="3279" spans="1:1">
      <c r="A3279" s="182"/>
    </row>
    <row r="3280" spans="1:1">
      <c r="A3280" s="182"/>
    </row>
    <row r="3281" spans="1:1">
      <c r="A3281" s="182"/>
    </row>
    <row r="3282" spans="1:1">
      <c r="A3282" s="182"/>
    </row>
    <row r="3283" spans="1:1">
      <c r="A3283" s="182"/>
    </row>
    <row r="3284" spans="1:1">
      <c r="A3284" s="182"/>
    </row>
    <row r="3285" spans="1:1">
      <c r="A3285" s="182"/>
    </row>
    <row r="3286" spans="1:1">
      <c r="A3286" s="182"/>
    </row>
    <row r="3287" spans="1:1">
      <c r="A3287" s="182"/>
    </row>
    <row r="3288" spans="1:1">
      <c r="A3288" s="182"/>
    </row>
    <row r="3289" spans="1:1">
      <c r="A3289" s="182"/>
    </row>
    <row r="3290" spans="1:1">
      <c r="A3290" s="182"/>
    </row>
    <row r="3291" spans="1:1">
      <c r="A3291" s="182"/>
    </row>
    <row r="3292" spans="1:1">
      <c r="A3292" s="182"/>
    </row>
    <row r="3293" spans="1:1">
      <c r="A3293" s="182"/>
    </row>
    <row r="3294" spans="1:1">
      <c r="A3294" s="182"/>
    </row>
    <row r="3295" spans="1:1">
      <c r="A3295" s="182"/>
    </row>
    <row r="3296" spans="1:1">
      <c r="A3296" s="182"/>
    </row>
    <row r="3297" spans="1:38">
      <c r="A3297" s="182"/>
    </row>
    <row r="3298" spans="1:38">
      <c r="A3298" s="182"/>
    </row>
    <row r="3299" spans="1:38">
      <c r="A3299" s="182"/>
    </row>
    <row r="3300" spans="1:38">
      <c r="A3300" s="182"/>
    </row>
    <row r="3301" spans="1:38">
      <c r="A3301" s="182"/>
      <c r="AK3301" s="183"/>
      <c r="AL3301" s="183"/>
    </row>
    <row r="3302" spans="1:38">
      <c r="A3302" s="182"/>
      <c r="AJ3302" s="183"/>
      <c r="AK3302" s="183"/>
      <c r="AL3302" s="183"/>
    </row>
    <row r="3303" spans="1:38">
      <c r="A3303" s="182"/>
      <c r="AJ3303" s="183"/>
      <c r="AK3303" s="183"/>
      <c r="AL3303" s="183"/>
    </row>
    <row r="3304" spans="1:38">
      <c r="A3304" s="182"/>
      <c r="AJ3304" s="183"/>
      <c r="AK3304" s="183"/>
      <c r="AL3304" s="183"/>
    </row>
    <row r="3305" spans="1:38">
      <c r="A3305" s="182"/>
      <c r="AJ3305" s="183"/>
    </row>
    <row r="3306" spans="1:38">
      <c r="A3306" s="182"/>
    </row>
    <row r="3307" spans="1:38">
      <c r="A3307" s="182"/>
    </row>
    <row r="3308" spans="1:38">
      <c r="A3308" s="182"/>
    </row>
    <row r="3309" spans="1:38">
      <c r="A3309" s="182"/>
    </row>
    <row r="3310" spans="1:38">
      <c r="A3310" s="182"/>
    </row>
    <row r="3311" spans="1:38">
      <c r="A3311" s="182"/>
    </row>
    <row r="3312" spans="1:38">
      <c r="A3312" s="182"/>
    </row>
    <row r="3313" spans="1:1">
      <c r="A3313" s="182"/>
    </row>
    <row r="3314" spans="1:1">
      <c r="A3314" s="182"/>
    </row>
    <row r="3315" spans="1:1">
      <c r="A3315" s="182"/>
    </row>
    <row r="3316" spans="1:1">
      <c r="A3316" s="182"/>
    </row>
    <row r="3317" spans="1:1">
      <c r="A3317" s="182"/>
    </row>
    <row r="3318" spans="1:1">
      <c r="A3318" s="182"/>
    </row>
    <row r="3319" spans="1:1">
      <c r="A3319" s="182"/>
    </row>
    <row r="3320" spans="1:1">
      <c r="A3320" s="182"/>
    </row>
    <row r="3321" spans="1:1">
      <c r="A3321" s="182"/>
    </row>
    <row r="3322" spans="1:1">
      <c r="A3322" s="182"/>
    </row>
    <row r="3323" spans="1:1">
      <c r="A3323" s="182"/>
    </row>
    <row r="3324" spans="1:1">
      <c r="A3324" s="182"/>
    </row>
    <row r="3325" spans="1:1">
      <c r="A3325" s="182"/>
    </row>
    <row r="3326" spans="1:1">
      <c r="A3326" s="182"/>
    </row>
    <row r="3327" spans="1:1">
      <c r="A3327" s="182"/>
    </row>
    <row r="3328" spans="1:1">
      <c r="A3328" s="182"/>
    </row>
    <row r="3329" spans="1:38">
      <c r="A3329" s="182"/>
      <c r="AK3329" s="183"/>
      <c r="AL3329" s="183"/>
    </row>
    <row r="3330" spans="1:38">
      <c r="A3330" s="182"/>
      <c r="AJ3330" s="183"/>
      <c r="AK3330" s="183"/>
      <c r="AL3330" s="183"/>
    </row>
    <row r="3331" spans="1:38">
      <c r="A3331" s="182"/>
      <c r="AJ3331" s="183"/>
      <c r="AK3331" s="183"/>
      <c r="AL3331" s="183"/>
    </row>
    <row r="3332" spans="1:38">
      <c r="A3332" s="182"/>
      <c r="AJ3332" s="183"/>
      <c r="AK3332" s="183"/>
      <c r="AL3332" s="183"/>
    </row>
    <row r="3333" spans="1:38">
      <c r="A3333" s="182"/>
      <c r="AJ3333" s="183"/>
      <c r="AK3333" s="183"/>
      <c r="AL3333" s="183"/>
    </row>
    <row r="3334" spans="1:38">
      <c r="A3334" s="182"/>
      <c r="AJ3334" s="183"/>
      <c r="AK3334" s="183"/>
      <c r="AL3334" s="183"/>
    </row>
    <row r="3335" spans="1:38">
      <c r="A3335" s="182"/>
      <c r="AJ3335" s="183"/>
      <c r="AK3335" s="183"/>
      <c r="AL3335" s="183"/>
    </row>
    <row r="3336" spans="1:38">
      <c r="A3336" s="182"/>
      <c r="AJ3336" s="183"/>
      <c r="AK3336" s="183"/>
      <c r="AL3336" s="183"/>
    </row>
    <row r="3337" spans="1:38">
      <c r="A3337" s="182"/>
      <c r="AJ3337" s="183"/>
    </row>
    <row r="3338" spans="1:38">
      <c r="A3338" s="182"/>
    </row>
    <row r="3339" spans="1:38">
      <c r="A3339" s="182"/>
    </row>
    <row r="3340" spans="1:38">
      <c r="A3340" s="182"/>
    </row>
    <row r="3341" spans="1:38">
      <c r="A3341" s="182"/>
    </row>
    <row r="3342" spans="1:38">
      <c r="A3342" s="182"/>
    </row>
    <row r="3343" spans="1:38">
      <c r="A3343" s="182"/>
    </row>
    <row r="3344" spans="1:38">
      <c r="A3344" s="182"/>
    </row>
    <row r="3345" spans="1:38">
      <c r="A3345" s="182"/>
    </row>
    <row r="3346" spans="1:38">
      <c r="A3346" s="182"/>
    </row>
    <row r="3347" spans="1:38">
      <c r="A3347" s="182"/>
    </row>
    <row r="3348" spans="1:38">
      <c r="A3348" s="182"/>
    </row>
    <row r="3349" spans="1:38">
      <c r="A3349" s="182"/>
    </row>
    <row r="3350" spans="1:38">
      <c r="A3350" s="182"/>
    </row>
    <row r="3351" spans="1:38">
      <c r="A3351" s="182"/>
    </row>
    <row r="3352" spans="1:38">
      <c r="A3352" s="182"/>
    </row>
    <row r="3353" spans="1:38">
      <c r="A3353" s="182"/>
      <c r="AK3353" s="183"/>
      <c r="AL3353" s="183"/>
    </row>
    <row r="3354" spans="1:38">
      <c r="A3354" s="182"/>
      <c r="AJ3354" s="183"/>
      <c r="AK3354" s="183"/>
      <c r="AL3354" s="183"/>
    </row>
    <row r="3355" spans="1:38">
      <c r="A3355" s="182"/>
      <c r="AJ3355" s="183"/>
      <c r="AK3355" s="183"/>
      <c r="AL3355" s="183"/>
    </row>
    <row r="3356" spans="1:38">
      <c r="A3356" s="182"/>
      <c r="AJ3356" s="183"/>
      <c r="AK3356" s="183"/>
      <c r="AL3356" s="183"/>
    </row>
    <row r="3357" spans="1:38">
      <c r="A3357" s="182"/>
      <c r="AJ3357" s="183"/>
    </row>
    <row r="3358" spans="1:38">
      <c r="A3358" s="182"/>
    </row>
    <row r="3359" spans="1:38">
      <c r="A3359" s="182"/>
    </row>
    <row r="3360" spans="1:38">
      <c r="A3360" s="182"/>
    </row>
    <row r="3361" spans="1:38">
      <c r="A3361" s="182"/>
    </row>
    <row r="3362" spans="1:38">
      <c r="A3362" s="182"/>
    </row>
    <row r="3363" spans="1:38">
      <c r="A3363" s="182"/>
    </row>
    <row r="3364" spans="1:38">
      <c r="A3364" s="182"/>
    </row>
    <row r="3365" spans="1:38">
      <c r="A3365" s="182"/>
      <c r="AK3365" s="183"/>
      <c r="AL3365" s="183"/>
    </row>
    <row r="3366" spans="1:38">
      <c r="A3366" s="182"/>
      <c r="AJ3366" s="183"/>
      <c r="AK3366" s="183"/>
      <c r="AL3366" s="183"/>
    </row>
    <row r="3367" spans="1:38">
      <c r="A3367" s="182"/>
      <c r="AJ3367" s="183"/>
      <c r="AK3367" s="183"/>
      <c r="AL3367" s="183"/>
    </row>
    <row r="3368" spans="1:38">
      <c r="A3368" s="182"/>
      <c r="AJ3368" s="183"/>
      <c r="AK3368" s="183"/>
      <c r="AL3368" s="183"/>
    </row>
    <row r="3369" spans="1:38">
      <c r="A3369" s="182"/>
      <c r="AJ3369" s="183"/>
    </row>
    <row r="3370" spans="1:38">
      <c r="A3370" s="182"/>
    </row>
    <row r="3371" spans="1:38">
      <c r="A3371" s="182"/>
    </row>
    <row r="3372" spans="1:38">
      <c r="A3372" s="182"/>
    </row>
    <row r="3373" spans="1:38">
      <c r="A3373" s="182"/>
      <c r="AK3373" s="183"/>
      <c r="AL3373" s="183"/>
    </row>
    <row r="3374" spans="1:38">
      <c r="A3374" s="182"/>
      <c r="AJ3374" s="183"/>
      <c r="AK3374" s="183"/>
      <c r="AL3374" s="183"/>
    </row>
    <row r="3375" spans="1:38">
      <c r="A3375" s="182"/>
      <c r="AJ3375" s="183"/>
      <c r="AK3375" s="183"/>
      <c r="AL3375" s="183"/>
    </row>
    <row r="3376" spans="1:38">
      <c r="A3376" s="182"/>
      <c r="AJ3376" s="183"/>
      <c r="AK3376" s="183"/>
      <c r="AL3376" s="183"/>
    </row>
    <row r="3377" spans="1:38">
      <c r="A3377" s="182"/>
      <c r="AJ3377" s="183"/>
      <c r="AK3377" s="183"/>
      <c r="AL3377" s="183"/>
    </row>
    <row r="3378" spans="1:38">
      <c r="A3378" s="182"/>
      <c r="AJ3378" s="183"/>
      <c r="AK3378" s="183"/>
      <c r="AL3378" s="183"/>
    </row>
    <row r="3379" spans="1:38">
      <c r="A3379" s="182"/>
      <c r="AJ3379" s="183"/>
      <c r="AK3379" s="183"/>
      <c r="AL3379" s="183"/>
    </row>
    <row r="3380" spans="1:38">
      <c r="A3380" s="182"/>
      <c r="AJ3380" s="183"/>
      <c r="AK3380" s="183"/>
      <c r="AL3380" s="183"/>
    </row>
    <row r="3381" spans="1:38">
      <c r="A3381" s="182"/>
      <c r="AJ3381" s="183"/>
      <c r="AK3381" s="183"/>
      <c r="AL3381" s="183"/>
    </row>
    <row r="3382" spans="1:38">
      <c r="A3382" s="182"/>
      <c r="AJ3382" s="183"/>
      <c r="AK3382" s="183"/>
      <c r="AL3382" s="183"/>
    </row>
    <row r="3383" spans="1:38">
      <c r="A3383" s="182"/>
      <c r="AJ3383" s="183"/>
      <c r="AK3383" s="183"/>
      <c r="AL3383" s="183"/>
    </row>
    <row r="3384" spans="1:38">
      <c r="A3384" s="182"/>
      <c r="AJ3384" s="183"/>
      <c r="AK3384" s="183"/>
      <c r="AL3384" s="183"/>
    </row>
    <row r="3385" spans="1:38">
      <c r="A3385" s="182"/>
      <c r="AJ3385" s="183"/>
    </row>
    <row r="3386" spans="1:38">
      <c r="A3386" s="182"/>
    </row>
    <row r="3387" spans="1:38">
      <c r="A3387" s="182"/>
    </row>
    <row r="3388" spans="1:38">
      <c r="A3388" s="182"/>
    </row>
    <row r="3389" spans="1:38">
      <c r="A3389" s="182"/>
      <c r="AK3389" s="183"/>
      <c r="AL3389" s="183"/>
    </row>
    <row r="3390" spans="1:38">
      <c r="A3390" s="182"/>
      <c r="AJ3390" s="183"/>
      <c r="AK3390" s="183"/>
      <c r="AL3390" s="183"/>
    </row>
    <row r="3391" spans="1:38">
      <c r="A3391" s="182"/>
      <c r="AJ3391" s="183"/>
      <c r="AK3391" s="183"/>
      <c r="AL3391" s="183"/>
    </row>
    <row r="3392" spans="1:38">
      <c r="A3392" s="182"/>
      <c r="AJ3392" s="183"/>
      <c r="AK3392" s="183"/>
      <c r="AL3392" s="183"/>
    </row>
    <row r="3393" spans="1:36">
      <c r="A3393" s="182"/>
      <c r="AJ3393" s="183"/>
    </row>
    <row r="3394" spans="1:36">
      <c r="A3394" s="182"/>
    </row>
    <row r="3395" spans="1:36">
      <c r="A3395" s="182"/>
    </row>
    <row r="3396" spans="1:36">
      <c r="A3396" s="182"/>
    </row>
    <row r="3397" spans="1:36">
      <c r="A3397" s="182"/>
    </row>
    <row r="3398" spans="1:36">
      <c r="A3398" s="182"/>
    </row>
    <row r="3399" spans="1:36">
      <c r="A3399" s="182"/>
    </row>
    <row r="3400" spans="1:36">
      <c r="A3400" s="182"/>
    </row>
    <row r="3401" spans="1:36">
      <c r="A3401" s="182"/>
    </row>
    <row r="3402" spans="1:36">
      <c r="A3402" s="182"/>
    </row>
    <row r="3403" spans="1:36">
      <c r="A3403" s="182"/>
    </row>
    <row r="3404" spans="1:36">
      <c r="A3404" s="182"/>
    </row>
    <row r="3405" spans="1:36">
      <c r="A3405" s="182"/>
    </row>
    <row r="3406" spans="1:36">
      <c r="A3406" s="182"/>
    </row>
    <row r="3407" spans="1:36">
      <c r="A3407" s="182"/>
    </row>
    <row r="3408" spans="1:36">
      <c r="A3408" s="182"/>
    </row>
    <row r="3409" spans="1:1">
      <c r="A3409" s="182"/>
    </row>
    <row r="3410" spans="1:1">
      <c r="A3410" s="182"/>
    </row>
    <row r="3411" spans="1:1">
      <c r="A3411" s="182"/>
    </row>
    <row r="3412" spans="1:1">
      <c r="A3412" s="182"/>
    </row>
    <row r="3413" spans="1:1">
      <c r="A3413" s="182"/>
    </row>
    <row r="3414" spans="1:1">
      <c r="A3414" s="182"/>
    </row>
    <row r="3415" spans="1:1">
      <c r="A3415" s="182"/>
    </row>
    <row r="3416" spans="1:1">
      <c r="A3416" s="182"/>
    </row>
    <row r="3417" spans="1:1">
      <c r="A3417" s="182"/>
    </row>
    <row r="3418" spans="1:1">
      <c r="A3418" s="182"/>
    </row>
    <row r="3419" spans="1:1">
      <c r="A3419" s="182"/>
    </row>
    <row r="3420" spans="1:1">
      <c r="A3420" s="182"/>
    </row>
    <row r="3421" spans="1:1">
      <c r="A3421" s="182"/>
    </row>
    <row r="3422" spans="1:1">
      <c r="A3422" s="182"/>
    </row>
    <row r="3423" spans="1:1">
      <c r="A3423" s="182"/>
    </row>
    <row r="3424" spans="1:1">
      <c r="A3424" s="182"/>
    </row>
    <row r="3425" spans="1:38">
      <c r="A3425" s="182"/>
      <c r="AK3425" s="183"/>
      <c r="AL3425" s="183"/>
    </row>
    <row r="3426" spans="1:38">
      <c r="A3426" s="182"/>
      <c r="AJ3426" s="183"/>
      <c r="AK3426" s="183"/>
      <c r="AL3426" s="183"/>
    </row>
    <row r="3427" spans="1:38">
      <c r="A3427" s="182"/>
      <c r="AJ3427" s="183"/>
      <c r="AK3427" s="183"/>
      <c r="AL3427" s="183"/>
    </row>
    <row r="3428" spans="1:38">
      <c r="A3428" s="182"/>
      <c r="AJ3428" s="183"/>
      <c r="AK3428" s="183"/>
      <c r="AL3428" s="183"/>
    </row>
    <row r="3429" spans="1:38">
      <c r="A3429" s="182"/>
      <c r="AJ3429" s="183"/>
      <c r="AK3429" s="183"/>
      <c r="AL3429" s="183"/>
    </row>
    <row r="3430" spans="1:38">
      <c r="A3430" s="182"/>
      <c r="AJ3430" s="183"/>
      <c r="AK3430" s="183"/>
      <c r="AL3430" s="183"/>
    </row>
    <row r="3431" spans="1:38">
      <c r="A3431" s="182"/>
      <c r="AJ3431" s="183"/>
      <c r="AK3431" s="183"/>
      <c r="AL3431" s="183"/>
    </row>
    <row r="3432" spans="1:38">
      <c r="A3432" s="182"/>
      <c r="AJ3432" s="183"/>
      <c r="AK3432" s="183"/>
      <c r="AL3432" s="183"/>
    </row>
    <row r="3433" spans="1:38">
      <c r="A3433" s="182"/>
      <c r="AJ3433" s="183"/>
    </row>
    <row r="3434" spans="1:38">
      <c r="A3434" s="182"/>
    </row>
    <row r="3435" spans="1:38">
      <c r="A3435" s="182"/>
    </row>
    <row r="3436" spans="1:38">
      <c r="A3436" s="182"/>
    </row>
    <row r="3437" spans="1:38">
      <c r="A3437" s="182"/>
    </row>
    <row r="3438" spans="1:38">
      <c r="A3438" s="182"/>
    </row>
    <row r="3439" spans="1:38">
      <c r="A3439" s="182"/>
    </row>
    <row r="3440" spans="1:38">
      <c r="A3440" s="182"/>
    </row>
    <row r="3441" spans="1:1">
      <c r="A3441" s="182"/>
    </row>
    <row r="3442" spans="1:1">
      <c r="A3442" s="182"/>
    </row>
    <row r="3443" spans="1:1">
      <c r="A3443" s="182"/>
    </row>
    <row r="3444" spans="1:1">
      <c r="A3444" s="182"/>
    </row>
    <row r="3445" spans="1:1">
      <c r="A3445" s="182"/>
    </row>
    <row r="3446" spans="1:1">
      <c r="A3446" s="182"/>
    </row>
    <row r="3447" spans="1:1">
      <c r="A3447" s="182"/>
    </row>
    <row r="3448" spans="1:1">
      <c r="A3448" s="182"/>
    </row>
    <row r="3449" spans="1:1">
      <c r="A3449" s="182"/>
    </row>
    <row r="3450" spans="1:1">
      <c r="A3450" s="182"/>
    </row>
    <row r="3451" spans="1:1">
      <c r="A3451" s="182"/>
    </row>
    <row r="3452" spans="1:1">
      <c r="A3452" s="182"/>
    </row>
    <row r="3453" spans="1:1">
      <c r="A3453" s="182"/>
    </row>
    <row r="3454" spans="1:1">
      <c r="A3454" s="182"/>
    </row>
    <row r="3455" spans="1:1">
      <c r="A3455" s="182"/>
    </row>
    <row r="3456" spans="1:1">
      <c r="A3456" s="182"/>
    </row>
    <row r="3457" spans="1:38">
      <c r="A3457" s="182"/>
    </row>
    <row r="3458" spans="1:38">
      <c r="A3458" s="182"/>
    </row>
    <row r="3459" spans="1:38">
      <c r="A3459" s="182"/>
    </row>
    <row r="3460" spans="1:38">
      <c r="A3460" s="182"/>
    </row>
    <row r="3461" spans="1:38">
      <c r="A3461" s="182"/>
    </row>
    <row r="3462" spans="1:38">
      <c r="A3462" s="182"/>
    </row>
    <row r="3463" spans="1:38">
      <c r="A3463" s="182"/>
    </row>
    <row r="3464" spans="1:38">
      <c r="A3464" s="182"/>
    </row>
    <row r="3465" spans="1:38">
      <c r="A3465" s="182"/>
    </row>
    <row r="3466" spans="1:38">
      <c r="A3466" s="182"/>
    </row>
    <row r="3467" spans="1:38">
      <c r="A3467" s="182"/>
    </row>
    <row r="3468" spans="1:38">
      <c r="A3468" s="182"/>
    </row>
    <row r="3469" spans="1:38">
      <c r="A3469" s="182"/>
      <c r="AK3469" s="183"/>
      <c r="AL3469" s="183"/>
    </row>
    <row r="3470" spans="1:38">
      <c r="A3470" s="182"/>
      <c r="AJ3470" s="183"/>
      <c r="AK3470" s="183"/>
      <c r="AL3470" s="183"/>
    </row>
    <row r="3471" spans="1:38">
      <c r="A3471" s="182"/>
      <c r="AJ3471" s="183"/>
      <c r="AK3471" s="183"/>
      <c r="AL3471" s="183"/>
    </row>
    <row r="3472" spans="1:38">
      <c r="A3472" s="182"/>
      <c r="AJ3472" s="183"/>
      <c r="AK3472" s="183"/>
      <c r="AL3472" s="183"/>
    </row>
    <row r="3473" spans="1:38">
      <c r="A3473" s="182"/>
      <c r="AJ3473" s="183"/>
    </row>
    <row r="3474" spans="1:38">
      <c r="A3474" s="182"/>
    </row>
    <row r="3475" spans="1:38">
      <c r="A3475" s="182"/>
    </row>
    <row r="3476" spans="1:38">
      <c r="A3476" s="182"/>
    </row>
    <row r="3477" spans="1:38">
      <c r="A3477" s="182"/>
      <c r="AK3477" s="183"/>
      <c r="AL3477" s="183"/>
    </row>
    <row r="3478" spans="1:38">
      <c r="A3478" s="182"/>
      <c r="AJ3478" s="183"/>
      <c r="AK3478" s="183"/>
      <c r="AL3478" s="183"/>
    </row>
    <row r="3479" spans="1:38">
      <c r="A3479" s="182"/>
      <c r="AJ3479" s="183"/>
      <c r="AK3479" s="183"/>
      <c r="AL3479" s="183"/>
    </row>
    <row r="3480" spans="1:38">
      <c r="A3480" s="182"/>
      <c r="AJ3480" s="183"/>
      <c r="AK3480" s="183"/>
      <c r="AL3480" s="183"/>
    </row>
    <row r="3481" spans="1:38">
      <c r="A3481" s="182"/>
      <c r="AJ3481" s="183"/>
      <c r="AK3481" s="183"/>
      <c r="AL3481" s="183"/>
    </row>
    <row r="3482" spans="1:38">
      <c r="A3482" s="182"/>
      <c r="AJ3482" s="183"/>
      <c r="AK3482" s="183"/>
      <c r="AL3482" s="183"/>
    </row>
    <row r="3483" spans="1:38">
      <c r="A3483" s="182"/>
      <c r="AJ3483" s="183"/>
      <c r="AK3483" s="183"/>
      <c r="AL3483" s="183"/>
    </row>
    <row r="3484" spans="1:38">
      <c r="A3484" s="182"/>
      <c r="AJ3484" s="183"/>
      <c r="AK3484" s="183"/>
      <c r="AL3484" s="183"/>
    </row>
    <row r="3485" spans="1:38">
      <c r="A3485" s="182"/>
      <c r="AJ3485" s="183"/>
      <c r="AK3485" s="183"/>
      <c r="AL3485" s="183"/>
    </row>
    <row r="3486" spans="1:38">
      <c r="A3486" s="182"/>
      <c r="AJ3486" s="183"/>
      <c r="AK3486" s="183"/>
      <c r="AL3486" s="183"/>
    </row>
    <row r="3487" spans="1:38">
      <c r="A3487" s="182"/>
      <c r="AJ3487" s="183"/>
      <c r="AK3487" s="183"/>
      <c r="AL3487" s="183"/>
    </row>
    <row r="3488" spans="1:38">
      <c r="A3488" s="182"/>
      <c r="AJ3488" s="183"/>
      <c r="AK3488" s="183"/>
      <c r="AL3488" s="183"/>
    </row>
    <row r="3489" spans="1:36">
      <c r="A3489" s="182"/>
      <c r="AJ3489" s="183"/>
    </row>
    <row r="3490" spans="1:36">
      <c r="A3490" s="182"/>
    </row>
    <row r="3491" spans="1:36">
      <c r="A3491" s="182"/>
    </row>
    <row r="3492" spans="1:36">
      <c r="A3492" s="182"/>
    </row>
    <row r="3493" spans="1:36">
      <c r="A3493" s="182"/>
    </row>
    <row r="3494" spans="1:36">
      <c r="A3494" s="182"/>
    </row>
    <row r="3495" spans="1:36">
      <c r="A3495" s="182"/>
    </row>
    <row r="3496" spans="1:36">
      <c r="A3496" s="182"/>
    </row>
    <row r="3497" spans="1:36">
      <c r="A3497" s="182"/>
    </row>
    <row r="3498" spans="1:36">
      <c r="A3498" s="182"/>
    </row>
    <row r="3499" spans="1:36">
      <c r="A3499" s="182"/>
    </row>
    <row r="3500" spans="1:36">
      <c r="A3500" s="182"/>
    </row>
    <row r="3501" spans="1:36">
      <c r="A3501" s="182"/>
    </row>
    <row r="3502" spans="1:36">
      <c r="A3502" s="182"/>
    </row>
    <row r="3503" spans="1:36">
      <c r="A3503" s="182"/>
    </row>
    <row r="3504" spans="1:36">
      <c r="A3504" s="182"/>
    </row>
    <row r="3505" spans="1:1">
      <c r="A3505" s="182"/>
    </row>
    <row r="3506" spans="1:1">
      <c r="A3506" s="182"/>
    </row>
    <row r="3507" spans="1:1">
      <c r="A3507" s="182"/>
    </row>
    <row r="3508" spans="1:1">
      <c r="A3508" s="182"/>
    </row>
    <row r="3509" spans="1:1">
      <c r="A3509" s="182"/>
    </row>
    <row r="3510" spans="1:1">
      <c r="A3510" s="182"/>
    </row>
    <row r="3511" spans="1:1">
      <c r="A3511" s="182"/>
    </row>
    <row r="3512" spans="1:1">
      <c r="A3512" s="182"/>
    </row>
    <row r="3513" spans="1:1">
      <c r="A3513" s="182"/>
    </row>
    <row r="3514" spans="1:1">
      <c r="A3514" s="182"/>
    </row>
    <row r="3515" spans="1:1">
      <c r="A3515" s="182"/>
    </row>
    <row r="3516" spans="1:1">
      <c r="A3516" s="182"/>
    </row>
    <row r="3517" spans="1:1">
      <c r="A3517" s="182"/>
    </row>
    <row r="3518" spans="1:1">
      <c r="A3518" s="182"/>
    </row>
    <row r="3519" spans="1:1">
      <c r="A3519" s="182"/>
    </row>
    <row r="3520" spans="1:1">
      <c r="A3520" s="182"/>
    </row>
    <row r="3521" spans="1:38">
      <c r="A3521" s="182"/>
      <c r="AK3521" s="183"/>
      <c r="AL3521" s="183"/>
    </row>
    <row r="3522" spans="1:38">
      <c r="A3522" s="182"/>
      <c r="AJ3522" s="183"/>
      <c r="AK3522" s="183"/>
      <c r="AL3522" s="183"/>
    </row>
    <row r="3523" spans="1:38">
      <c r="A3523" s="182"/>
      <c r="AJ3523" s="183"/>
      <c r="AK3523" s="183"/>
      <c r="AL3523" s="183"/>
    </row>
    <row r="3524" spans="1:38">
      <c r="A3524" s="182"/>
      <c r="AJ3524" s="183"/>
      <c r="AK3524" s="183"/>
      <c r="AL3524" s="183"/>
    </row>
    <row r="3525" spans="1:38">
      <c r="A3525" s="182"/>
      <c r="AJ3525" s="183"/>
      <c r="AK3525" s="183"/>
      <c r="AL3525" s="183"/>
    </row>
    <row r="3526" spans="1:38">
      <c r="A3526" s="182"/>
      <c r="AJ3526" s="183"/>
      <c r="AK3526" s="183"/>
      <c r="AL3526" s="183"/>
    </row>
    <row r="3527" spans="1:38">
      <c r="A3527" s="182"/>
      <c r="AJ3527" s="183"/>
      <c r="AK3527" s="183"/>
      <c r="AL3527" s="183"/>
    </row>
    <row r="3528" spans="1:38">
      <c r="A3528" s="182"/>
      <c r="AJ3528" s="183"/>
      <c r="AK3528" s="183"/>
      <c r="AL3528" s="183"/>
    </row>
    <row r="3529" spans="1:38">
      <c r="A3529" s="182"/>
      <c r="AJ3529" s="183"/>
      <c r="AK3529" s="183"/>
      <c r="AL3529" s="183"/>
    </row>
    <row r="3530" spans="1:38">
      <c r="A3530" s="182"/>
      <c r="AJ3530" s="183"/>
      <c r="AK3530" s="183"/>
      <c r="AL3530" s="183"/>
    </row>
    <row r="3531" spans="1:38">
      <c r="A3531" s="182"/>
      <c r="AJ3531" s="183"/>
      <c r="AK3531" s="183"/>
      <c r="AL3531" s="183"/>
    </row>
    <row r="3532" spans="1:38">
      <c r="A3532" s="182"/>
      <c r="AJ3532" s="183"/>
      <c r="AK3532" s="183"/>
      <c r="AL3532" s="183"/>
    </row>
    <row r="3533" spans="1:38">
      <c r="A3533" s="182"/>
      <c r="AJ3533" s="183"/>
      <c r="AK3533" s="183"/>
      <c r="AL3533" s="183"/>
    </row>
    <row r="3534" spans="1:38">
      <c r="A3534" s="182"/>
      <c r="AJ3534" s="183"/>
      <c r="AK3534" s="183"/>
      <c r="AL3534" s="183"/>
    </row>
    <row r="3535" spans="1:38">
      <c r="A3535" s="182"/>
      <c r="AJ3535" s="183"/>
      <c r="AK3535" s="183"/>
      <c r="AL3535" s="183"/>
    </row>
    <row r="3536" spans="1:38">
      <c r="A3536" s="182"/>
      <c r="AJ3536" s="183"/>
      <c r="AK3536" s="183"/>
      <c r="AL3536" s="183"/>
    </row>
    <row r="3537" spans="1:38">
      <c r="A3537" s="182"/>
      <c r="AJ3537" s="183"/>
    </row>
    <row r="3538" spans="1:38">
      <c r="A3538" s="182"/>
    </row>
    <row r="3539" spans="1:38">
      <c r="A3539" s="182"/>
    </row>
    <row r="3540" spans="1:38">
      <c r="A3540" s="182"/>
    </row>
    <row r="3541" spans="1:38">
      <c r="A3541" s="182"/>
      <c r="AK3541" s="183"/>
      <c r="AL3541" s="183"/>
    </row>
    <row r="3542" spans="1:38">
      <c r="A3542" s="182"/>
      <c r="AJ3542" s="183"/>
      <c r="AK3542" s="183"/>
      <c r="AL3542" s="183"/>
    </row>
    <row r="3543" spans="1:38">
      <c r="A3543" s="182"/>
      <c r="AJ3543" s="183"/>
      <c r="AK3543" s="183"/>
      <c r="AL3543" s="183"/>
    </row>
    <row r="3544" spans="1:38">
      <c r="A3544" s="182"/>
      <c r="AJ3544" s="183"/>
      <c r="AK3544" s="183"/>
      <c r="AL3544" s="183"/>
    </row>
    <row r="3545" spans="1:38">
      <c r="A3545" s="182"/>
      <c r="AJ3545" s="183"/>
    </row>
    <row r="3546" spans="1:38">
      <c r="A3546" s="182"/>
    </row>
    <row r="3547" spans="1:38">
      <c r="A3547" s="182"/>
    </row>
    <row r="3548" spans="1:38">
      <c r="A3548" s="182"/>
    </row>
    <row r="3549" spans="1:38">
      <c r="A3549" s="182"/>
    </row>
    <row r="3550" spans="1:38">
      <c r="A3550" s="182"/>
    </row>
    <row r="3551" spans="1:38">
      <c r="A3551" s="182"/>
    </row>
    <row r="3552" spans="1:38">
      <c r="A3552" s="182"/>
    </row>
    <row r="3553" spans="1:38">
      <c r="A3553" s="182"/>
      <c r="AK3553" s="183"/>
      <c r="AL3553" s="183"/>
    </row>
    <row r="3554" spans="1:38">
      <c r="A3554" s="182"/>
      <c r="AJ3554" s="183"/>
      <c r="AK3554" s="183"/>
      <c r="AL3554" s="183"/>
    </row>
    <row r="3555" spans="1:38">
      <c r="A3555" s="182"/>
      <c r="AJ3555" s="183"/>
      <c r="AK3555" s="183"/>
      <c r="AL3555" s="183"/>
    </row>
    <row r="3556" spans="1:38">
      <c r="A3556" s="182"/>
      <c r="AJ3556" s="183"/>
      <c r="AK3556" s="183"/>
      <c r="AL3556" s="183"/>
    </row>
    <row r="3557" spans="1:38">
      <c r="A3557" s="182"/>
      <c r="AJ3557" s="183"/>
      <c r="AK3557" s="183"/>
      <c r="AL3557" s="183"/>
    </row>
    <row r="3558" spans="1:38">
      <c r="A3558" s="182"/>
      <c r="AJ3558" s="183"/>
      <c r="AK3558" s="183"/>
      <c r="AL3558" s="183"/>
    </row>
    <row r="3559" spans="1:38">
      <c r="A3559" s="182"/>
      <c r="AJ3559" s="183"/>
      <c r="AK3559" s="183"/>
      <c r="AL3559" s="183"/>
    </row>
    <row r="3560" spans="1:38">
      <c r="A3560" s="182"/>
      <c r="AJ3560" s="183"/>
      <c r="AK3560" s="183"/>
      <c r="AL3560" s="183"/>
    </row>
    <row r="3561" spans="1:38">
      <c r="A3561" s="182"/>
      <c r="AJ3561" s="183"/>
      <c r="AK3561" s="183"/>
      <c r="AL3561" s="183"/>
    </row>
    <row r="3562" spans="1:38">
      <c r="A3562" s="182"/>
      <c r="AJ3562" s="183"/>
      <c r="AK3562" s="183"/>
      <c r="AL3562" s="183"/>
    </row>
    <row r="3563" spans="1:38">
      <c r="A3563" s="182"/>
      <c r="AJ3563" s="183"/>
      <c r="AK3563" s="183"/>
      <c r="AL3563" s="183"/>
    </row>
    <row r="3564" spans="1:38">
      <c r="A3564" s="182"/>
      <c r="AJ3564" s="183"/>
      <c r="AK3564" s="183"/>
      <c r="AL3564" s="183"/>
    </row>
    <row r="3565" spans="1:38">
      <c r="A3565" s="182"/>
      <c r="AJ3565" s="183"/>
    </row>
    <row r="3566" spans="1:38">
      <c r="A3566" s="182"/>
    </row>
    <row r="3567" spans="1:38">
      <c r="A3567" s="182"/>
    </row>
    <row r="3568" spans="1:38">
      <c r="A3568" s="182"/>
    </row>
    <row r="3569" spans="1:38">
      <c r="A3569" s="182"/>
    </row>
    <row r="3570" spans="1:38">
      <c r="A3570" s="182"/>
    </row>
    <row r="3571" spans="1:38">
      <c r="A3571" s="182"/>
    </row>
    <row r="3572" spans="1:38">
      <c r="A3572" s="182"/>
    </row>
    <row r="3573" spans="1:38">
      <c r="A3573" s="182"/>
      <c r="AK3573" s="183"/>
      <c r="AL3573" s="183"/>
    </row>
    <row r="3574" spans="1:38">
      <c r="A3574" s="182"/>
      <c r="AJ3574" s="183"/>
      <c r="AK3574" s="183"/>
      <c r="AL3574" s="183"/>
    </row>
    <row r="3575" spans="1:38">
      <c r="A3575" s="182"/>
      <c r="AJ3575" s="183"/>
      <c r="AK3575" s="183"/>
      <c r="AL3575" s="183"/>
    </row>
    <row r="3576" spans="1:38">
      <c r="A3576" s="182"/>
      <c r="AJ3576" s="183"/>
      <c r="AK3576" s="183"/>
      <c r="AL3576" s="183"/>
    </row>
    <row r="3577" spans="1:38">
      <c r="A3577" s="182"/>
      <c r="AJ3577" s="183"/>
      <c r="AK3577" s="183"/>
      <c r="AL3577" s="183"/>
    </row>
    <row r="3578" spans="1:38">
      <c r="A3578" s="182"/>
      <c r="AJ3578" s="183"/>
      <c r="AK3578" s="183"/>
      <c r="AL3578" s="183"/>
    </row>
    <row r="3579" spans="1:38">
      <c r="A3579" s="182"/>
      <c r="AJ3579" s="183"/>
      <c r="AK3579" s="183"/>
      <c r="AL3579" s="183"/>
    </row>
    <row r="3580" spans="1:38">
      <c r="A3580" s="182"/>
      <c r="AJ3580" s="183"/>
      <c r="AK3580" s="183"/>
      <c r="AL3580" s="183"/>
    </row>
    <row r="3581" spans="1:38">
      <c r="A3581" s="182"/>
      <c r="AJ3581" s="183"/>
    </row>
    <row r="3582" spans="1:38">
      <c r="A3582" s="182"/>
    </row>
    <row r="3583" spans="1:38">
      <c r="A3583" s="182"/>
    </row>
    <row r="3584" spans="1:38">
      <c r="A3584" s="182"/>
    </row>
    <row r="3585" spans="1:38">
      <c r="A3585" s="182"/>
      <c r="AK3585" s="183"/>
      <c r="AL3585" s="183"/>
    </row>
    <row r="3586" spans="1:38">
      <c r="A3586" s="182"/>
      <c r="AJ3586" s="183"/>
      <c r="AK3586" s="183"/>
      <c r="AL3586" s="183"/>
    </row>
    <row r="3587" spans="1:38">
      <c r="A3587" s="182"/>
      <c r="AJ3587" s="183"/>
      <c r="AK3587" s="183"/>
      <c r="AL3587" s="183"/>
    </row>
    <row r="3588" spans="1:38">
      <c r="A3588" s="182"/>
      <c r="AJ3588" s="183"/>
      <c r="AK3588" s="183"/>
      <c r="AL3588" s="183"/>
    </row>
    <row r="3589" spans="1:38">
      <c r="A3589" s="182"/>
      <c r="AJ3589" s="183"/>
    </row>
    <row r="3590" spans="1:38">
      <c r="A3590" s="182"/>
    </row>
    <row r="3591" spans="1:38">
      <c r="A3591" s="182"/>
    </row>
    <row r="3592" spans="1:38">
      <c r="A3592" s="182"/>
    </row>
    <row r="3593" spans="1:38">
      <c r="A3593" s="182"/>
      <c r="AK3593" s="183"/>
      <c r="AL3593" s="183"/>
    </row>
    <row r="3594" spans="1:38">
      <c r="A3594" s="182"/>
      <c r="AJ3594" s="183"/>
      <c r="AK3594" s="183"/>
      <c r="AL3594" s="183"/>
    </row>
    <row r="3595" spans="1:38">
      <c r="A3595" s="182"/>
      <c r="AJ3595" s="183"/>
      <c r="AK3595" s="183"/>
      <c r="AL3595" s="183"/>
    </row>
    <row r="3596" spans="1:38">
      <c r="A3596" s="182"/>
      <c r="R3596" s="183"/>
      <c r="S3596" s="183"/>
      <c r="AJ3596" s="183"/>
      <c r="AK3596" s="183"/>
      <c r="AL3596" s="183"/>
    </row>
    <row r="3597" spans="1:38">
      <c r="A3597" s="182"/>
      <c r="Q3597" s="183"/>
      <c r="R3597" s="183"/>
      <c r="S3597" s="183"/>
      <c r="AJ3597" s="183"/>
    </row>
    <row r="3598" spans="1:38">
      <c r="A3598" s="182"/>
      <c r="Q3598" s="183"/>
      <c r="R3598" s="183"/>
      <c r="S3598" s="183"/>
    </row>
    <row r="3599" spans="1:38">
      <c r="A3599" s="182"/>
      <c r="Q3599" s="183"/>
    </row>
    <row r="3600" spans="1:38">
      <c r="A3600" s="182"/>
    </row>
    <row r="3601" spans="1:19">
      <c r="A3601" s="182"/>
      <c r="R3601" s="183"/>
      <c r="S3601" s="183"/>
    </row>
    <row r="3602" spans="1:19">
      <c r="A3602" s="182"/>
      <c r="Q3602" s="183"/>
      <c r="R3602" s="183"/>
      <c r="S3602" s="183"/>
    </row>
    <row r="3603" spans="1:19">
      <c r="A3603" s="182"/>
      <c r="Q3603" s="183"/>
    </row>
    <row r="3604" spans="1:19">
      <c r="A3604" s="182"/>
    </row>
    <row r="3605" spans="1:19">
      <c r="A3605" s="182"/>
    </row>
    <row r="3606" spans="1:19">
      <c r="A3606" s="182"/>
    </row>
    <row r="3607" spans="1:19">
      <c r="A3607" s="182"/>
    </row>
    <row r="3608" spans="1:19">
      <c r="A3608" s="182"/>
    </row>
    <row r="3609" spans="1:19">
      <c r="A3609" s="182"/>
    </row>
    <row r="3610" spans="1:19">
      <c r="A3610" s="182"/>
    </row>
    <row r="3611" spans="1:19">
      <c r="A3611" s="182"/>
      <c r="R3611" s="183"/>
      <c r="S3611" s="183"/>
    </row>
    <row r="3612" spans="1:19">
      <c r="A3612" s="182"/>
      <c r="Q3612" s="183"/>
      <c r="R3612" s="183"/>
      <c r="S3612" s="183"/>
    </row>
    <row r="3613" spans="1:19">
      <c r="A3613" s="182"/>
      <c r="Q3613" s="183"/>
      <c r="R3613" s="183"/>
      <c r="S3613" s="183"/>
    </row>
    <row r="3614" spans="1:19">
      <c r="A3614" s="182"/>
      <c r="Q3614" s="183"/>
    </row>
    <row r="3615" spans="1:19">
      <c r="A3615" s="182"/>
      <c r="R3615" s="183"/>
      <c r="S3615" s="183"/>
    </row>
    <row r="3616" spans="1:19">
      <c r="A3616" s="182"/>
      <c r="Q3616" s="183"/>
    </row>
    <row r="3617" spans="1:38">
      <c r="A3617" s="182"/>
      <c r="AK3617" s="183"/>
      <c r="AL3617" s="183"/>
    </row>
    <row r="3618" spans="1:38">
      <c r="A3618" s="182"/>
      <c r="R3618" s="183"/>
      <c r="S3618" s="183"/>
      <c r="AJ3618" s="183"/>
      <c r="AK3618" s="183"/>
      <c r="AL3618" s="183"/>
    </row>
    <row r="3619" spans="1:38">
      <c r="A3619" s="182"/>
      <c r="Q3619" s="183"/>
      <c r="AJ3619" s="183"/>
      <c r="AK3619" s="183"/>
      <c r="AL3619" s="183"/>
    </row>
    <row r="3620" spans="1:38">
      <c r="A3620" s="182"/>
      <c r="AJ3620" s="183"/>
      <c r="AK3620" s="183"/>
      <c r="AL3620" s="183"/>
    </row>
    <row r="3621" spans="1:38">
      <c r="A3621" s="182"/>
      <c r="AJ3621" s="183"/>
    </row>
    <row r="3622" spans="1:38">
      <c r="A3622" s="182"/>
    </row>
    <row r="3623" spans="1:38">
      <c r="A3623" s="182"/>
    </row>
    <row r="3624" spans="1:38">
      <c r="A3624" s="182"/>
    </row>
    <row r="3625" spans="1:38">
      <c r="A3625" s="182"/>
    </row>
    <row r="3626" spans="1:38">
      <c r="A3626" s="182"/>
    </row>
    <row r="3627" spans="1:38">
      <c r="A3627" s="182"/>
    </row>
    <row r="3628" spans="1:38">
      <c r="A3628" s="182"/>
      <c r="R3628" s="183"/>
      <c r="S3628" s="183"/>
    </row>
    <row r="3629" spans="1:38">
      <c r="A3629" s="182"/>
      <c r="Q3629" s="183"/>
      <c r="R3629" s="183"/>
      <c r="S3629" s="183"/>
    </row>
    <row r="3630" spans="1:38">
      <c r="A3630" s="182"/>
      <c r="Q3630" s="183"/>
    </row>
    <row r="3631" spans="1:38">
      <c r="A3631" s="182"/>
    </row>
    <row r="3632" spans="1:38">
      <c r="A3632" s="182"/>
    </row>
    <row r="3633" spans="1:38">
      <c r="A3633" s="182"/>
    </row>
    <row r="3634" spans="1:38">
      <c r="A3634" s="182"/>
    </row>
    <row r="3635" spans="1:38">
      <c r="A3635" s="182"/>
      <c r="R3635" s="183"/>
      <c r="S3635" s="183"/>
    </row>
    <row r="3636" spans="1:38">
      <c r="A3636" s="182"/>
      <c r="Q3636" s="183"/>
    </row>
    <row r="3637" spans="1:38">
      <c r="A3637" s="182"/>
    </row>
    <row r="3638" spans="1:38">
      <c r="A3638" s="182"/>
    </row>
    <row r="3639" spans="1:38">
      <c r="A3639" s="182"/>
    </row>
    <row r="3640" spans="1:38">
      <c r="A3640" s="182"/>
      <c r="R3640" s="183"/>
      <c r="S3640" s="183"/>
    </row>
    <row r="3641" spans="1:38">
      <c r="A3641" s="182"/>
      <c r="Q3641" s="183"/>
      <c r="AK3641" s="183"/>
      <c r="AL3641" s="183"/>
    </row>
    <row r="3642" spans="1:38">
      <c r="A3642" s="182"/>
      <c r="AJ3642" s="183"/>
      <c r="AK3642" s="183"/>
      <c r="AL3642" s="183"/>
    </row>
    <row r="3643" spans="1:38">
      <c r="A3643" s="182"/>
      <c r="AJ3643" s="183"/>
      <c r="AK3643" s="183"/>
      <c r="AL3643" s="183"/>
    </row>
    <row r="3644" spans="1:38">
      <c r="A3644" s="182"/>
      <c r="AJ3644" s="183"/>
      <c r="AK3644" s="183"/>
      <c r="AL3644" s="183"/>
    </row>
    <row r="3645" spans="1:38">
      <c r="A3645" s="182"/>
      <c r="AJ3645" s="183"/>
      <c r="AK3645" s="183"/>
      <c r="AL3645" s="183"/>
    </row>
    <row r="3646" spans="1:38">
      <c r="A3646" s="182"/>
      <c r="AJ3646" s="183"/>
      <c r="AK3646" s="183"/>
      <c r="AL3646" s="183"/>
    </row>
    <row r="3647" spans="1:38">
      <c r="A3647" s="182"/>
      <c r="R3647" s="183"/>
      <c r="S3647" s="183"/>
      <c r="AJ3647" s="183"/>
      <c r="AK3647" s="183"/>
      <c r="AL3647" s="183"/>
    </row>
    <row r="3648" spans="1:38">
      <c r="A3648" s="182"/>
      <c r="Q3648" s="183"/>
      <c r="R3648" s="183"/>
      <c r="S3648" s="183"/>
      <c r="AJ3648" s="183"/>
      <c r="AK3648" s="183"/>
      <c r="AL3648" s="183"/>
    </row>
    <row r="3649" spans="1:36">
      <c r="A3649" s="182"/>
      <c r="Q3649" s="183"/>
      <c r="R3649" s="183"/>
      <c r="S3649" s="183"/>
      <c r="AJ3649" s="183"/>
    </row>
    <row r="3650" spans="1:36">
      <c r="A3650" s="182"/>
      <c r="Q3650" s="183"/>
      <c r="R3650" s="183"/>
      <c r="S3650" s="183"/>
    </row>
    <row r="3651" spans="1:36">
      <c r="A3651" s="182"/>
      <c r="Q3651" s="183"/>
      <c r="R3651" s="183"/>
      <c r="S3651" s="183"/>
    </row>
    <row r="3652" spans="1:36">
      <c r="A3652" s="182"/>
      <c r="Q3652" s="183"/>
      <c r="R3652" s="183"/>
      <c r="S3652" s="183"/>
    </row>
    <row r="3653" spans="1:36">
      <c r="A3653" s="182"/>
      <c r="Q3653" s="183"/>
      <c r="R3653" s="183"/>
      <c r="S3653" s="183"/>
    </row>
    <row r="3654" spans="1:36">
      <c r="A3654" s="182"/>
      <c r="Q3654" s="183"/>
      <c r="R3654" s="183"/>
      <c r="S3654" s="183"/>
    </row>
    <row r="3655" spans="1:36">
      <c r="A3655" s="182"/>
      <c r="Q3655" s="183"/>
      <c r="R3655" s="183"/>
      <c r="S3655" s="183"/>
    </row>
    <row r="3656" spans="1:36">
      <c r="A3656" s="182"/>
      <c r="Q3656" s="183"/>
      <c r="R3656" s="183"/>
      <c r="S3656" s="183"/>
    </row>
    <row r="3657" spans="1:36">
      <c r="A3657" s="182"/>
      <c r="Q3657" s="183"/>
      <c r="R3657" s="183"/>
      <c r="S3657" s="183"/>
    </row>
    <row r="3658" spans="1:36">
      <c r="A3658" s="182"/>
      <c r="Q3658" s="183"/>
      <c r="R3658" s="183"/>
      <c r="S3658" s="183"/>
    </row>
    <row r="3659" spans="1:36">
      <c r="A3659" s="182"/>
      <c r="Q3659" s="183"/>
      <c r="R3659" s="183"/>
      <c r="S3659" s="183"/>
    </row>
    <row r="3660" spans="1:36">
      <c r="A3660" s="182"/>
      <c r="Q3660" s="183"/>
      <c r="R3660" s="183"/>
      <c r="S3660" s="183"/>
    </row>
    <row r="3661" spans="1:36">
      <c r="A3661" s="182"/>
      <c r="Q3661" s="183"/>
      <c r="R3661" s="183"/>
      <c r="S3661" s="183"/>
    </row>
    <row r="3662" spans="1:36">
      <c r="A3662" s="182"/>
      <c r="Q3662" s="183"/>
      <c r="R3662" s="183"/>
      <c r="S3662" s="183"/>
    </row>
    <row r="3663" spans="1:36">
      <c r="A3663" s="182"/>
      <c r="Q3663" s="183"/>
      <c r="R3663" s="183"/>
      <c r="S3663" s="183"/>
    </row>
    <row r="3664" spans="1:36">
      <c r="A3664" s="182"/>
      <c r="Q3664" s="183"/>
      <c r="R3664" s="183"/>
      <c r="S3664" s="183"/>
    </row>
    <row r="3665" spans="1:19">
      <c r="A3665" s="182"/>
      <c r="M3665" s="183"/>
      <c r="N3665" s="183"/>
      <c r="Q3665" s="183"/>
      <c r="R3665" s="183"/>
      <c r="S3665" s="183"/>
    </row>
    <row r="3666" spans="1:19">
      <c r="A3666" s="182"/>
      <c r="L3666" s="183"/>
      <c r="Q3666" s="183"/>
      <c r="R3666" s="183"/>
      <c r="S3666" s="183"/>
    </row>
    <row r="3667" spans="1:19">
      <c r="A3667" s="182"/>
      <c r="Q3667" s="183"/>
      <c r="R3667" s="183"/>
      <c r="S3667" s="183"/>
    </row>
    <row r="3668" spans="1:19">
      <c r="A3668" s="182"/>
      <c r="Q3668" s="183"/>
      <c r="R3668" s="183"/>
      <c r="S3668" s="183"/>
    </row>
    <row r="3669" spans="1:19">
      <c r="A3669" s="182"/>
      <c r="M3669" s="183"/>
      <c r="N3669" s="183"/>
      <c r="Q3669" s="183"/>
      <c r="R3669" s="183"/>
      <c r="S3669" s="183"/>
    </row>
    <row r="3670" spans="1:19">
      <c r="A3670" s="182"/>
      <c r="L3670" s="183"/>
      <c r="Q3670" s="183"/>
      <c r="R3670" s="183"/>
      <c r="S3670" s="183"/>
    </row>
    <row r="3671" spans="1:19">
      <c r="A3671" s="182"/>
      <c r="Q3671" s="183"/>
      <c r="R3671" s="183"/>
      <c r="S3671" s="183"/>
    </row>
    <row r="3672" spans="1:19">
      <c r="A3672" s="182"/>
      <c r="Q3672" s="183"/>
      <c r="R3672" s="183"/>
      <c r="S3672" s="183"/>
    </row>
    <row r="3673" spans="1:19">
      <c r="A3673" s="182"/>
      <c r="Q3673" s="183"/>
      <c r="R3673" s="183"/>
      <c r="S3673" s="183"/>
    </row>
    <row r="3674" spans="1:19">
      <c r="A3674" s="182"/>
      <c r="Q3674" s="183"/>
      <c r="R3674" s="183"/>
      <c r="S3674" s="183"/>
    </row>
    <row r="3675" spans="1:19">
      <c r="A3675" s="182"/>
      <c r="Q3675" s="183"/>
      <c r="R3675" s="183"/>
      <c r="S3675" s="183"/>
    </row>
    <row r="3676" spans="1:19">
      <c r="A3676" s="182"/>
      <c r="Q3676" s="183"/>
      <c r="R3676" s="183"/>
      <c r="S3676" s="183"/>
    </row>
    <row r="3677" spans="1:19">
      <c r="A3677" s="182"/>
      <c r="M3677" s="183"/>
      <c r="N3677" s="183"/>
      <c r="Q3677" s="183"/>
      <c r="R3677" s="183"/>
      <c r="S3677" s="183"/>
    </row>
    <row r="3678" spans="1:19">
      <c r="A3678" s="182"/>
      <c r="L3678" s="183"/>
      <c r="M3678" s="183"/>
      <c r="N3678" s="183"/>
      <c r="Q3678" s="183"/>
      <c r="R3678" s="183"/>
      <c r="S3678" s="183"/>
    </row>
    <row r="3679" spans="1:19">
      <c r="A3679" s="182"/>
      <c r="L3679" s="183"/>
      <c r="Q3679" s="183"/>
      <c r="R3679" s="183"/>
      <c r="S3679" s="183"/>
    </row>
    <row r="3680" spans="1:19">
      <c r="A3680" s="182"/>
      <c r="Q3680" s="183"/>
      <c r="R3680" s="183"/>
      <c r="S3680" s="183"/>
    </row>
    <row r="3681" spans="1:19">
      <c r="A3681" s="182"/>
      <c r="Q3681" s="183"/>
      <c r="R3681" s="183"/>
      <c r="S3681" s="183"/>
    </row>
    <row r="3682" spans="1:19">
      <c r="A3682" s="182"/>
      <c r="Q3682" s="183"/>
      <c r="R3682" s="183"/>
      <c r="S3682" s="183"/>
    </row>
    <row r="3683" spans="1:19">
      <c r="A3683" s="182"/>
      <c r="Q3683" s="183"/>
      <c r="R3683" s="183"/>
      <c r="S3683" s="183"/>
    </row>
    <row r="3684" spans="1:19">
      <c r="A3684" s="182"/>
      <c r="Q3684" s="183"/>
    </row>
    <row r="3685" spans="1:19">
      <c r="A3685" s="182"/>
    </row>
    <row r="3686" spans="1:19">
      <c r="A3686" s="182"/>
      <c r="R3686" s="183"/>
      <c r="S3686" s="183"/>
    </row>
    <row r="3687" spans="1:19">
      <c r="A3687" s="182"/>
      <c r="Q3687" s="183"/>
    </row>
    <row r="3688" spans="1:19">
      <c r="A3688" s="182"/>
      <c r="R3688" s="183"/>
      <c r="S3688" s="183"/>
    </row>
    <row r="3689" spans="1:19">
      <c r="A3689" s="182"/>
      <c r="Q3689" s="183"/>
      <c r="R3689" s="183"/>
      <c r="S3689" s="183"/>
    </row>
    <row r="3690" spans="1:19">
      <c r="A3690" s="182"/>
      <c r="Q3690" s="183"/>
      <c r="R3690" s="183"/>
      <c r="S3690" s="183"/>
    </row>
    <row r="3691" spans="1:19">
      <c r="A3691" s="182"/>
      <c r="Q3691" s="183"/>
      <c r="R3691" s="183"/>
      <c r="S3691" s="183"/>
    </row>
    <row r="3692" spans="1:19">
      <c r="A3692" s="182"/>
      <c r="Q3692" s="183"/>
      <c r="R3692" s="183"/>
      <c r="S3692" s="183"/>
    </row>
    <row r="3693" spans="1:19">
      <c r="A3693" s="182"/>
      <c r="Q3693" s="183"/>
      <c r="R3693" s="183"/>
      <c r="S3693" s="183"/>
    </row>
    <row r="3694" spans="1:19">
      <c r="A3694" s="182"/>
      <c r="Q3694" s="183"/>
      <c r="R3694" s="183"/>
      <c r="S3694" s="183"/>
    </row>
    <row r="3695" spans="1:19">
      <c r="A3695" s="182"/>
      <c r="Q3695" s="183"/>
    </row>
    <row r="3696" spans="1:19">
      <c r="A3696" s="182"/>
    </row>
    <row r="3697" spans="1:19">
      <c r="A3697" s="182"/>
    </row>
    <row r="3698" spans="1:19">
      <c r="A3698" s="182"/>
    </row>
    <row r="3699" spans="1:19">
      <c r="A3699" s="182"/>
    </row>
    <row r="3700" spans="1:19">
      <c r="A3700" s="182"/>
      <c r="R3700" s="183"/>
      <c r="S3700" s="183"/>
    </row>
    <row r="3701" spans="1:19">
      <c r="A3701" s="182"/>
      <c r="Q3701" s="183"/>
      <c r="R3701" s="183"/>
      <c r="S3701" s="183"/>
    </row>
    <row r="3702" spans="1:19">
      <c r="A3702" s="182"/>
      <c r="Q3702" s="183"/>
    </row>
    <row r="3703" spans="1:19">
      <c r="A3703" s="182"/>
      <c r="R3703" s="183"/>
      <c r="S3703" s="183"/>
    </row>
    <row r="3704" spans="1:19">
      <c r="A3704" s="182"/>
      <c r="Q3704" s="183"/>
      <c r="R3704" s="183"/>
      <c r="S3704" s="183"/>
    </row>
    <row r="3705" spans="1:19">
      <c r="A3705" s="182"/>
      <c r="Q3705" s="183"/>
      <c r="R3705" s="183"/>
      <c r="S3705" s="183"/>
    </row>
    <row r="3706" spans="1:19">
      <c r="A3706" s="182"/>
      <c r="Q3706" s="183"/>
    </row>
    <row r="3707" spans="1:19">
      <c r="A3707" s="182"/>
    </row>
    <row r="3708" spans="1:19">
      <c r="A3708" s="182"/>
      <c r="R3708" s="183"/>
      <c r="S3708" s="183"/>
    </row>
    <row r="3709" spans="1:19">
      <c r="A3709" s="182"/>
      <c r="Q3709" s="183"/>
    </row>
    <row r="3710" spans="1:19">
      <c r="A3710" s="182"/>
    </row>
    <row r="3711" spans="1:19">
      <c r="A3711" s="182"/>
      <c r="R3711" s="183"/>
      <c r="S3711" s="183"/>
    </row>
    <row r="3712" spans="1:19">
      <c r="A3712" s="182"/>
      <c r="Q3712" s="183"/>
    </row>
    <row r="3713" spans="1:19">
      <c r="A3713" s="182"/>
      <c r="R3713" s="183"/>
      <c r="S3713" s="183"/>
    </row>
    <row r="3714" spans="1:19">
      <c r="A3714" s="182"/>
      <c r="Q3714" s="183"/>
    </row>
    <row r="3715" spans="1:19">
      <c r="A3715" s="182"/>
    </row>
    <row r="3716" spans="1:19">
      <c r="A3716" s="182"/>
      <c r="R3716" s="183"/>
      <c r="S3716" s="183"/>
    </row>
    <row r="3717" spans="1:19">
      <c r="A3717" s="182"/>
      <c r="Q3717" s="183"/>
      <c r="R3717" s="183"/>
      <c r="S3717" s="183"/>
    </row>
    <row r="3718" spans="1:19">
      <c r="A3718" s="182"/>
      <c r="Q3718" s="183"/>
    </row>
    <row r="3719" spans="1:19">
      <c r="A3719" s="182"/>
    </row>
    <row r="3720" spans="1:19">
      <c r="A3720" s="182"/>
    </row>
    <row r="3721" spans="1:19">
      <c r="A3721" s="182"/>
    </row>
    <row r="3722" spans="1:19">
      <c r="A3722" s="182"/>
    </row>
    <row r="3723" spans="1:19">
      <c r="A3723" s="182"/>
    </row>
    <row r="3724" spans="1:19">
      <c r="A3724" s="182"/>
    </row>
    <row r="3725" spans="1:19">
      <c r="A3725" s="182"/>
    </row>
    <row r="3726" spans="1:19">
      <c r="A3726" s="182"/>
    </row>
    <row r="3727" spans="1:19">
      <c r="A3727" s="182"/>
    </row>
    <row r="3728" spans="1:19">
      <c r="A3728" s="182"/>
    </row>
    <row r="3729" spans="1:19">
      <c r="A3729" s="182"/>
    </row>
    <row r="3730" spans="1:19">
      <c r="A3730" s="182"/>
    </row>
    <row r="3731" spans="1:19">
      <c r="A3731" s="182"/>
    </row>
    <row r="3732" spans="1:19">
      <c r="A3732" s="182"/>
    </row>
    <row r="3733" spans="1:19">
      <c r="A3733" s="182"/>
    </row>
    <row r="3734" spans="1:19">
      <c r="A3734" s="182"/>
    </row>
    <row r="3735" spans="1:19">
      <c r="A3735" s="182"/>
    </row>
    <row r="3736" spans="1:19">
      <c r="A3736" s="182"/>
    </row>
    <row r="3737" spans="1:19">
      <c r="A3737" s="182"/>
      <c r="R3737" s="183"/>
      <c r="S3737" s="183"/>
    </row>
    <row r="3738" spans="1:19">
      <c r="A3738" s="182"/>
      <c r="Q3738" s="183"/>
      <c r="R3738" s="183"/>
      <c r="S3738" s="183"/>
    </row>
    <row r="3739" spans="1:19">
      <c r="A3739" s="182"/>
      <c r="Q3739" s="183"/>
    </row>
    <row r="3740" spans="1:19">
      <c r="A3740" s="182"/>
    </row>
    <row r="3741" spans="1:19">
      <c r="A3741" s="182"/>
      <c r="R3741" s="183"/>
      <c r="S3741" s="183"/>
    </row>
    <row r="3742" spans="1:19">
      <c r="A3742" s="182"/>
      <c r="Q3742" s="183"/>
    </row>
    <row r="3743" spans="1:19">
      <c r="A3743" s="182"/>
    </row>
    <row r="3744" spans="1:19">
      <c r="A3744" s="182"/>
    </row>
    <row r="3745" spans="1:38">
      <c r="A3745" s="182"/>
      <c r="R3745" s="183"/>
      <c r="S3745" s="183"/>
    </row>
    <row r="3746" spans="1:38">
      <c r="A3746" s="182"/>
      <c r="Q3746" s="183"/>
    </row>
    <row r="3747" spans="1:38">
      <c r="A3747" s="182"/>
    </row>
    <row r="3748" spans="1:38">
      <c r="A3748" s="182"/>
    </row>
    <row r="3749" spans="1:38">
      <c r="A3749" s="182"/>
    </row>
    <row r="3750" spans="1:38">
      <c r="A3750" s="182"/>
      <c r="R3750" s="183"/>
      <c r="S3750" s="183"/>
    </row>
    <row r="3751" spans="1:38">
      <c r="A3751" s="182"/>
      <c r="Q3751" s="183"/>
      <c r="R3751" s="183"/>
      <c r="S3751" s="183"/>
    </row>
    <row r="3752" spans="1:38">
      <c r="A3752" s="182"/>
      <c r="Q3752" s="183"/>
      <c r="R3752" s="183"/>
      <c r="S3752" s="183"/>
    </row>
    <row r="3753" spans="1:38">
      <c r="A3753" s="182"/>
      <c r="Q3753" s="183"/>
      <c r="R3753" s="183"/>
      <c r="S3753" s="183"/>
      <c r="AK3753" s="183"/>
      <c r="AL3753" s="183"/>
    </row>
    <row r="3754" spans="1:38">
      <c r="A3754" s="182"/>
      <c r="Q3754" s="183"/>
      <c r="AJ3754" s="183"/>
      <c r="AK3754" s="183"/>
      <c r="AL3754" s="183"/>
    </row>
    <row r="3755" spans="1:38">
      <c r="A3755" s="182"/>
      <c r="R3755" s="183"/>
      <c r="S3755" s="183"/>
      <c r="AJ3755" s="183"/>
      <c r="AK3755" s="183"/>
      <c r="AL3755" s="183"/>
    </row>
    <row r="3756" spans="1:38">
      <c r="A3756" s="182"/>
      <c r="Q3756" s="183"/>
      <c r="R3756" s="183"/>
      <c r="S3756" s="183"/>
      <c r="AJ3756" s="183"/>
      <c r="AK3756" s="183"/>
      <c r="AL3756" s="183"/>
    </row>
    <row r="3757" spans="1:38">
      <c r="A3757" s="182"/>
      <c r="Q3757" s="183"/>
      <c r="R3757" s="183"/>
      <c r="S3757" s="183"/>
      <c r="AJ3757" s="183"/>
    </row>
    <row r="3758" spans="1:38">
      <c r="A3758" s="182"/>
      <c r="Q3758" s="183"/>
    </row>
    <row r="3759" spans="1:38">
      <c r="A3759" s="182"/>
    </row>
    <row r="3760" spans="1:38">
      <c r="A3760" s="182"/>
    </row>
    <row r="3761" spans="1:38">
      <c r="A3761" s="182"/>
    </row>
    <row r="3762" spans="1:38">
      <c r="A3762" s="182"/>
    </row>
    <row r="3763" spans="1:38">
      <c r="A3763" s="182"/>
    </row>
    <row r="3764" spans="1:38">
      <c r="A3764" s="182"/>
      <c r="R3764" s="183"/>
      <c r="S3764" s="183"/>
    </row>
    <row r="3765" spans="1:38">
      <c r="A3765" s="182"/>
      <c r="Q3765" s="183"/>
      <c r="AK3765" s="183"/>
      <c r="AL3765" s="183"/>
    </row>
    <row r="3766" spans="1:38">
      <c r="A3766" s="182"/>
      <c r="AJ3766" s="183"/>
      <c r="AK3766" s="183"/>
      <c r="AL3766" s="183"/>
    </row>
    <row r="3767" spans="1:38">
      <c r="A3767" s="182"/>
      <c r="AJ3767" s="183"/>
      <c r="AK3767" s="183"/>
      <c r="AL3767" s="183"/>
    </row>
    <row r="3768" spans="1:38">
      <c r="A3768" s="182"/>
      <c r="AJ3768" s="183"/>
      <c r="AK3768" s="183"/>
      <c r="AL3768" s="183"/>
    </row>
    <row r="3769" spans="1:38">
      <c r="A3769" s="182"/>
      <c r="AJ3769" s="183"/>
    </row>
    <row r="3770" spans="1:38">
      <c r="A3770" s="182"/>
    </row>
    <row r="3771" spans="1:38">
      <c r="A3771" s="182"/>
    </row>
    <row r="3772" spans="1:38">
      <c r="A3772" s="182"/>
    </row>
    <row r="3773" spans="1:38">
      <c r="A3773" s="182"/>
      <c r="AK3773" s="183"/>
      <c r="AL3773" s="183"/>
    </row>
    <row r="3774" spans="1:38">
      <c r="A3774" s="182"/>
      <c r="AJ3774" s="183"/>
      <c r="AK3774" s="183"/>
      <c r="AL3774" s="183"/>
    </row>
    <row r="3775" spans="1:38">
      <c r="A3775" s="182"/>
      <c r="AJ3775" s="183"/>
      <c r="AK3775" s="183"/>
      <c r="AL3775" s="183"/>
    </row>
    <row r="3776" spans="1:38">
      <c r="A3776" s="182"/>
      <c r="AJ3776" s="183"/>
      <c r="AK3776" s="183"/>
      <c r="AL3776" s="183"/>
    </row>
    <row r="3777" spans="1:36">
      <c r="A3777" s="182"/>
      <c r="AJ3777" s="183"/>
    </row>
    <row r="3778" spans="1:36">
      <c r="A3778" s="182"/>
    </row>
    <row r="3779" spans="1:36">
      <c r="A3779" s="182"/>
      <c r="R3779" s="183"/>
      <c r="S3779" s="183"/>
    </row>
    <row r="3780" spans="1:36">
      <c r="A3780" s="182"/>
      <c r="Q3780" s="183"/>
      <c r="R3780" s="183"/>
      <c r="S3780" s="183"/>
    </row>
    <row r="3781" spans="1:36">
      <c r="A3781" s="182"/>
      <c r="Q3781" s="183"/>
      <c r="R3781" s="183"/>
      <c r="S3781" s="183"/>
    </row>
    <row r="3782" spans="1:36">
      <c r="A3782" s="182"/>
      <c r="Q3782" s="183"/>
    </row>
    <row r="3783" spans="1:36">
      <c r="A3783" s="182"/>
      <c r="R3783" s="183"/>
      <c r="S3783" s="183"/>
    </row>
    <row r="3784" spans="1:36">
      <c r="A3784" s="182"/>
      <c r="Q3784" s="183"/>
    </row>
    <row r="3785" spans="1:36">
      <c r="A3785" s="182"/>
    </row>
    <row r="3786" spans="1:36">
      <c r="A3786" s="182"/>
    </row>
    <row r="3787" spans="1:36">
      <c r="A3787" s="182"/>
    </row>
    <row r="3788" spans="1:36">
      <c r="A3788" s="182"/>
    </row>
    <row r="3789" spans="1:36">
      <c r="A3789" s="182"/>
    </row>
    <row r="3790" spans="1:36">
      <c r="A3790" s="182"/>
    </row>
    <row r="3791" spans="1:36">
      <c r="A3791" s="182"/>
    </row>
    <row r="3792" spans="1:36">
      <c r="A3792" s="182"/>
    </row>
    <row r="3793" spans="1:1">
      <c r="A3793" s="182"/>
    </row>
    <row r="3794" spans="1:1">
      <c r="A3794" s="182"/>
    </row>
    <row r="3795" spans="1:1">
      <c r="A3795" s="182"/>
    </row>
    <row r="3796" spans="1:1">
      <c r="A3796" s="182"/>
    </row>
    <row r="3797" spans="1:1">
      <c r="A3797" s="182"/>
    </row>
    <row r="3798" spans="1:1">
      <c r="A3798" s="182"/>
    </row>
    <row r="3799" spans="1:1">
      <c r="A3799" s="182"/>
    </row>
    <row r="3800" spans="1:1">
      <c r="A3800" s="182"/>
    </row>
    <row r="3801" spans="1:1">
      <c r="A3801" s="182"/>
    </row>
    <row r="3802" spans="1:1">
      <c r="A3802" s="182"/>
    </row>
    <row r="3803" spans="1:1">
      <c r="A3803" s="182"/>
    </row>
    <row r="3804" spans="1:1">
      <c r="A3804" s="182"/>
    </row>
    <row r="3805" spans="1:1">
      <c r="A3805" s="182"/>
    </row>
    <row r="3806" spans="1:1">
      <c r="A3806" s="182"/>
    </row>
    <row r="3807" spans="1:1">
      <c r="A3807" s="182"/>
    </row>
    <row r="3808" spans="1:1">
      <c r="A3808" s="182"/>
    </row>
    <row r="3809" spans="1:1">
      <c r="A3809" s="182"/>
    </row>
    <row r="3810" spans="1:1">
      <c r="A3810" s="182"/>
    </row>
    <row r="3811" spans="1:1">
      <c r="A3811" s="182"/>
    </row>
    <row r="3812" spans="1:1">
      <c r="A3812" s="182"/>
    </row>
    <row r="3813" spans="1:1">
      <c r="A3813" s="182"/>
    </row>
    <row r="3814" spans="1:1">
      <c r="A3814" s="182"/>
    </row>
    <row r="3815" spans="1:1">
      <c r="A3815" s="182"/>
    </row>
    <row r="3816" spans="1:1">
      <c r="A3816" s="182"/>
    </row>
    <row r="3817" spans="1:1">
      <c r="A3817" s="182"/>
    </row>
    <row r="3818" spans="1:1">
      <c r="A3818" s="182"/>
    </row>
    <row r="3819" spans="1:1">
      <c r="A3819" s="182"/>
    </row>
    <row r="3820" spans="1:1">
      <c r="A3820" s="182"/>
    </row>
    <row r="3821" spans="1:1">
      <c r="A3821" s="182"/>
    </row>
    <row r="3822" spans="1:1">
      <c r="A3822" s="182"/>
    </row>
    <row r="3823" spans="1:1">
      <c r="A3823" s="182"/>
    </row>
    <row r="3824" spans="1:1">
      <c r="A3824" s="182"/>
    </row>
    <row r="3825" spans="1:38">
      <c r="A3825" s="182"/>
      <c r="AK3825" s="183"/>
      <c r="AL3825" s="183"/>
    </row>
    <row r="3826" spans="1:38">
      <c r="A3826" s="182"/>
      <c r="AJ3826" s="183"/>
      <c r="AK3826" s="183"/>
      <c r="AL3826" s="183"/>
    </row>
    <row r="3827" spans="1:38">
      <c r="A3827" s="182"/>
      <c r="AJ3827" s="183"/>
      <c r="AK3827" s="183"/>
      <c r="AL3827" s="183"/>
    </row>
    <row r="3828" spans="1:38">
      <c r="A3828" s="182"/>
      <c r="AJ3828" s="183"/>
      <c r="AK3828" s="183"/>
      <c r="AL3828" s="183"/>
    </row>
    <row r="3829" spans="1:38">
      <c r="A3829" s="182"/>
      <c r="AJ3829" s="183"/>
    </row>
    <row r="3830" spans="1:38">
      <c r="A3830" s="182"/>
    </row>
    <row r="3831" spans="1:38">
      <c r="A3831" s="182"/>
    </row>
    <row r="3832" spans="1:38">
      <c r="A3832" s="182"/>
    </row>
    <row r="3833" spans="1:38">
      <c r="A3833" s="182"/>
    </row>
    <row r="3834" spans="1:38">
      <c r="A3834" s="182"/>
    </row>
    <row r="3835" spans="1:38">
      <c r="A3835" s="182"/>
    </row>
    <row r="3836" spans="1:38">
      <c r="A3836" s="182"/>
    </row>
    <row r="3837" spans="1:38">
      <c r="A3837" s="182"/>
      <c r="AK3837" s="183"/>
      <c r="AL3837" s="183"/>
    </row>
    <row r="3838" spans="1:38">
      <c r="A3838" s="182"/>
      <c r="AJ3838" s="183"/>
      <c r="AK3838" s="183"/>
      <c r="AL3838" s="183"/>
    </row>
    <row r="3839" spans="1:38">
      <c r="A3839" s="182"/>
      <c r="AJ3839" s="183"/>
      <c r="AK3839" s="183"/>
      <c r="AL3839" s="183"/>
    </row>
    <row r="3840" spans="1:38">
      <c r="A3840" s="182"/>
      <c r="AJ3840" s="183"/>
      <c r="AK3840" s="183"/>
      <c r="AL3840" s="183"/>
    </row>
    <row r="3841" spans="1:36">
      <c r="A3841" s="182"/>
      <c r="AJ3841" s="183"/>
    </row>
    <row r="3842" spans="1:36">
      <c r="A3842" s="182"/>
    </row>
    <row r="3843" spans="1:36">
      <c r="A3843" s="182"/>
    </row>
    <row r="3844" spans="1:36">
      <c r="A3844" s="182"/>
    </row>
    <row r="3845" spans="1:36">
      <c r="A3845" s="182"/>
    </row>
    <row r="3846" spans="1:36">
      <c r="A3846" s="182"/>
    </row>
    <row r="3847" spans="1:36">
      <c r="A3847" s="182"/>
    </row>
    <row r="3848" spans="1:36">
      <c r="A3848" s="182"/>
    </row>
    <row r="3849" spans="1:36">
      <c r="A3849" s="182"/>
    </row>
    <row r="3850" spans="1:36">
      <c r="A3850" s="182"/>
    </row>
    <row r="3851" spans="1:36">
      <c r="A3851" s="182"/>
    </row>
    <row r="3852" spans="1:36">
      <c r="A3852" s="182"/>
    </row>
    <row r="3853" spans="1:36">
      <c r="A3853" s="182"/>
    </row>
    <row r="3854" spans="1:36">
      <c r="A3854" s="182"/>
    </row>
    <row r="3855" spans="1:36">
      <c r="A3855" s="182"/>
    </row>
    <row r="3856" spans="1:36">
      <c r="A3856" s="182"/>
    </row>
    <row r="3857" spans="1:38">
      <c r="A3857" s="182"/>
      <c r="AK3857" s="183"/>
      <c r="AL3857" s="183"/>
    </row>
    <row r="3858" spans="1:38">
      <c r="A3858" s="182"/>
      <c r="AJ3858" s="183"/>
      <c r="AK3858" s="183"/>
      <c r="AL3858" s="183"/>
    </row>
    <row r="3859" spans="1:38">
      <c r="A3859" s="182"/>
      <c r="AJ3859" s="183"/>
      <c r="AK3859" s="183"/>
      <c r="AL3859" s="183"/>
    </row>
    <row r="3860" spans="1:38">
      <c r="A3860" s="182"/>
      <c r="AJ3860" s="183"/>
      <c r="AK3860" s="183"/>
      <c r="AL3860" s="183"/>
    </row>
    <row r="3861" spans="1:38">
      <c r="A3861" s="182"/>
      <c r="AJ3861" s="183"/>
      <c r="AK3861" s="183"/>
      <c r="AL3861" s="183"/>
    </row>
    <row r="3862" spans="1:38">
      <c r="A3862" s="182"/>
      <c r="AJ3862" s="183"/>
      <c r="AK3862" s="183"/>
      <c r="AL3862" s="183"/>
    </row>
    <row r="3863" spans="1:38">
      <c r="A3863" s="182"/>
      <c r="AJ3863" s="183"/>
      <c r="AK3863" s="183"/>
      <c r="AL3863" s="183"/>
    </row>
    <row r="3864" spans="1:38">
      <c r="A3864" s="182"/>
      <c r="AJ3864" s="183"/>
      <c r="AK3864" s="183"/>
      <c r="AL3864" s="183"/>
    </row>
    <row r="3865" spans="1:38">
      <c r="A3865" s="182"/>
      <c r="AJ3865" s="183"/>
    </row>
    <row r="3866" spans="1:38">
      <c r="A3866" s="182"/>
    </row>
    <row r="3867" spans="1:38">
      <c r="A3867" s="182"/>
    </row>
    <row r="3868" spans="1:38">
      <c r="A3868" s="182"/>
    </row>
    <row r="3869" spans="1:38">
      <c r="A3869" s="182"/>
      <c r="AK3869" s="183"/>
      <c r="AL3869" s="183"/>
    </row>
    <row r="3870" spans="1:38">
      <c r="A3870" s="182"/>
      <c r="AJ3870" s="183"/>
      <c r="AK3870" s="183"/>
      <c r="AL3870" s="183"/>
    </row>
    <row r="3871" spans="1:38">
      <c r="A3871" s="182"/>
      <c r="AJ3871" s="183"/>
      <c r="AK3871" s="183"/>
      <c r="AL3871" s="183"/>
    </row>
    <row r="3872" spans="1:38">
      <c r="A3872" s="182"/>
      <c r="AJ3872" s="183"/>
      <c r="AK3872" s="183"/>
      <c r="AL3872" s="183"/>
    </row>
    <row r="3873" spans="1:36">
      <c r="A3873" s="182"/>
      <c r="AJ3873" s="183"/>
    </row>
    <row r="3874" spans="1:36">
      <c r="A3874" s="182"/>
    </row>
    <row r="3875" spans="1:36">
      <c r="A3875" s="182"/>
    </row>
    <row r="3876" spans="1:36">
      <c r="A3876" s="182"/>
    </row>
    <row r="3877" spans="1:36">
      <c r="A3877" s="182"/>
    </row>
    <row r="3878" spans="1:36">
      <c r="A3878" s="182"/>
    </row>
    <row r="3879" spans="1:36">
      <c r="A3879" s="182"/>
    </row>
    <row r="3880" spans="1:36">
      <c r="A3880" s="182"/>
    </row>
    <row r="3881" spans="1:36">
      <c r="A3881" s="182"/>
    </row>
    <row r="3882" spans="1:36">
      <c r="A3882" s="182"/>
    </row>
    <row r="3883" spans="1:36">
      <c r="A3883" s="182"/>
    </row>
    <row r="3884" spans="1:36">
      <c r="A3884" s="182"/>
    </row>
    <row r="3885" spans="1:36">
      <c r="A3885" s="182"/>
    </row>
    <row r="3886" spans="1:36">
      <c r="A3886" s="182"/>
    </row>
    <row r="3887" spans="1:36">
      <c r="A3887" s="182"/>
    </row>
    <row r="3888" spans="1:36">
      <c r="A3888" s="182"/>
    </row>
    <row r="3889" spans="1:38">
      <c r="A3889" s="182"/>
    </row>
    <row r="3890" spans="1:38">
      <c r="A3890" s="182"/>
    </row>
    <row r="3891" spans="1:38">
      <c r="A3891" s="182"/>
    </row>
    <row r="3892" spans="1:38">
      <c r="A3892" s="182"/>
    </row>
    <row r="3893" spans="1:38">
      <c r="A3893" s="182"/>
    </row>
    <row r="3894" spans="1:38">
      <c r="A3894" s="182"/>
    </row>
    <row r="3895" spans="1:38">
      <c r="A3895" s="182"/>
    </row>
    <row r="3896" spans="1:38">
      <c r="A3896" s="182"/>
    </row>
    <row r="3897" spans="1:38">
      <c r="A3897" s="182"/>
    </row>
    <row r="3898" spans="1:38">
      <c r="A3898" s="182"/>
    </row>
    <row r="3899" spans="1:38">
      <c r="A3899" s="182"/>
    </row>
    <row r="3900" spans="1:38">
      <c r="A3900" s="182"/>
    </row>
    <row r="3901" spans="1:38">
      <c r="A3901" s="182"/>
      <c r="AK3901" s="183"/>
      <c r="AL3901" s="183"/>
    </row>
    <row r="3902" spans="1:38">
      <c r="A3902" s="182"/>
      <c r="AJ3902" s="183"/>
      <c r="AK3902" s="183"/>
      <c r="AL3902" s="183"/>
    </row>
    <row r="3903" spans="1:38">
      <c r="A3903" s="182"/>
      <c r="AJ3903" s="183"/>
      <c r="AK3903" s="183"/>
      <c r="AL3903" s="183"/>
    </row>
    <row r="3904" spans="1:38">
      <c r="A3904" s="182"/>
      <c r="AJ3904" s="183"/>
      <c r="AK3904" s="183"/>
      <c r="AL3904" s="183"/>
    </row>
    <row r="3905" spans="1:38">
      <c r="A3905" s="182"/>
      <c r="AJ3905" s="183"/>
      <c r="AK3905" s="183"/>
      <c r="AL3905" s="183"/>
    </row>
    <row r="3906" spans="1:38">
      <c r="A3906" s="182"/>
      <c r="AJ3906" s="183"/>
      <c r="AK3906" s="183"/>
      <c r="AL3906" s="183"/>
    </row>
    <row r="3907" spans="1:38">
      <c r="A3907" s="182"/>
      <c r="AJ3907" s="183"/>
      <c r="AK3907" s="183"/>
      <c r="AL3907" s="183"/>
    </row>
    <row r="3908" spans="1:38">
      <c r="A3908" s="182"/>
      <c r="AJ3908" s="183"/>
      <c r="AK3908" s="183"/>
      <c r="AL3908" s="183"/>
    </row>
    <row r="3909" spans="1:38">
      <c r="A3909" s="182"/>
      <c r="AJ3909" s="183"/>
    </row>
    <row r="3910" spans="1:38">
      <c r="A3910" s="182"/>
    </row>
    <row r="3911" spans="1:38">
      <c r="A3911" s="182"/>
    </row>
    <row r="3912" spans="1:38">
      <c r="A3912" s="182"/>
    </row>
    <row r="3913" spans="1:38">
      <c r="A3913" s="182"/>
      <c r="AK3913" s="183"/>
      <c r="AL3913" s="183"/>
    </row>
    <row r="3914" spans="1:38">
      <c r="A3914" s="182"/>
      <c r="AJ3914" s="183"/>
      <c r="AK3914" s="183"/>
      <c r="AL3914" s="183"/>
    </row>
    <row r="3915" spans="1:38">
      <c r="A3915" s="182"/>
      <c r="AJ3915" s="183"/>
      <c r="AK3915" s="183"/>
      <c r="AL3915" s="183"/>
    </row>
    <row r="3916" spans="1:38">
      <c r="A3916" s="182"/>
      <c r="AJ3916" s="183"/>
      <c r="AK3916" s="183"/>
      <c r="AL3916" s="183"/>
    </row>
    <row r="3917" spans="1:38">
      <c r="A3917" s="182"/>
      <c r="AJ3917" s="183"/>
    </row>
    <row r="3918" spans="1:38">
      <c r="A3918" s="182"/>
    </row>
    <row r="3919" spans="1:38">
      <c r="A3919" s="182"/>
    </row>
    <row r="3920" spans="1:38">
      <c r="A3920" s="182"/>
    </row>
    <row r="3921" spans="1:1">
      <c r="A3921" s="182"/>
    </row>
    <row r="3922" spans="1:1">
      <c r="A3922" s="182"/>
    </row>
    <row r="3923" spans="1:1">
      <c r="A3923" s="182"/>
    </row>
    <row r="3924" spans="1:1">
      <c r="A3924" s="182"/>
    </row>
    <row r="3925" spans="1:1">
      <c r="A3925" s="182"/>
    </row>
    <row r="3926" spans="1:1">
      <c r="A3926" s="182"/>
    </row>
    <row r="3927" spans="1:1">
      <c r="A3927" s="182"/>
    </row>
    <row r="3928" spans="1:1">
      <c r="A3928" s="182"/>
    </row>
    <row r="3929" spans="1:1">
      <c r="A3929" s="182"/>
    </row>
    <row r="3930" spans="1:1">
      <c r="A3930" s="182"/>
    </row>
    <row r="3931" spans="1:1">
      <c r="A3931" s="182"/>
    </row>
    <row r="3932" spans="1:1">
      <c r="A3932" s="182"/>
    </row>
    <row r="3933" spans="1:1">
      <c r="A3933" s="182"/>
    </row>
    <row r="3934" spans="1:1">
      <c r="A3934" s="182"/>
    </row>
    <row r="3935" spans="1:1">
      <c r="A3935" s="182"/>
    </row>
    <row r="3936" spans="1:1">
      <c r="A3936" s="182"/>
    </row>
    <row r="3937" spans="1:38">
      <c r="A3937" s="182"/>
    </row>
    <row r="3938" spans="1:38">
      <c r="A3938" s="182"/>
    </row>
    <row r="3939" spans="1:38">
      <c r="A3939" s="182"/>
    </row>
    <row r="3940" spans="1:38">
      <c r="A3940" s="182"/>
    </row>
    <row r="3941" spans="1:38">
      <c r="A3941" s="182"/>
      <c r="AK3941" s="183"/>
      <c r="AL3941" s="183"/>
    </row>
    <row r="3942" spans="1:38">
      <c r="A3942" s="182"/>
      <c r="AJ3942" s="183"/>
      <c r="AK3942" s="183"/>
      <c r="AL3942" s="183"/>
    </row>
    <row r="3943" spans="1:38">
      <c r="A3943" s="182"/>
      <c r="AJ3943" s="183"/>
      <c r="AK3943" s="183"/>
      <c r="AL3943" s="183"/>
    </row>
    <row r="3944" spans="1:38">
      <c r="A3944" s="182"/>
      <c r="AJ3944" s="183"/>
      <c r="AK3944" s="183"/>
      <c r="AL3944" s="183"/>
    </row>
    <row r="3945" spans="1:38">
      <c r="A3945" s="182"/>
      <c r="AJ3945" s="183"/>
    </row>
    <row r="3946" spans="1:38">
      <c r="A3946" s="182"/>
    </row>
    <row r="3947" spans="1:38">
      <c r="A3947" s="182"/>
    </row>
    <row r="3948" spans="1:38">
      <c r="A3948" s="182"/>
    </row>
    <row r="3949" spans="1:38">
      <c r="A3949" s="182"/>
    </row>
    <row r="3950" spans="1:38">
      <c r="A3950" s="182"/>
    </row>
    <row r="3951" spans="1:38">
      <c r="A3951" s="182"/>
    </row>
    <row r="3952" spans="1:38">
      <c r="A3952" s="182"/>
    </row>
    <row r="3953" spans="1:38">
      <c r="A3953" s="182"/>
      <c r="AK3953" s="183"/>
      <c r="AL3953" s="183"/>
    </row>
    <row r="3954" spans="1:38">
      <c r="A3954" s="182"/>
      <c r="AJ3954" s="183"/>
      <c r="AK3954" s="183"/>
      <c r="AL3954" s="183"/>
    </row>
    <row r="3955" spans="1:38">
      <c r="A3955" s="182"/>
      <c r="AJ3955" s="183"/>
      <c r="AK3955" s="183"/>
      <c r="AL3955" s="183"/>
    </row>
    <row r="3956" spans="1:38">
      <c r="A3956" s="182"/>
      <c r="AJ3956" s="183"/>
      <c r="AK3956" s="183"/>
      <c r="AL3956" s="183"/>
    </row>
    <row r="3957" spans="1:38">
      <c r="A3957" s="182"/>
      <c r="AJ3957" s="183"/>
      <c r="AK3957" s="183"/>
      <c r="AL3957" s="183"/>
    </row>
    <row r="3958" spans="1:38">
      <c r="A3958" s="182"/>
      <c r="AJ3958" s="183"/>
      <c r="AK3958" s="183"/>
      <c r="AL3958" s="183"/>
    </row>
    <row r="3959" spans="1:38">
      <c r="A3959" s="182"/>
      <c r="AJ3959" s="183"/>
      <c r="AK3959" s="183"/>
      <c r="AL3959" s="183"/>
    </row>
    <row r="3960" spans="1:38">
      <c r="A3960" s="182"/>
      <c r="AJ3960" s="183"/>
      <c r="AK3960" s="183"/>
      <c r="AL3960" s="183"/>
    </row>
    <row r="3961" spans="1:38">
      <c r="A3961" s="182"/>
      <c r="AJ3961" s="183"/>
    </row>
    <row r="3962" spans="1:38">
      <c r="A3962" s="182"/>
    </row>
    <row r="3963" spans="1:38">
      <c r="A3963" s="182"/>
    </row>
    <row r="3964" spans="1:38">
      <c r="A3964" s="182"/>
    </row>
    <row r="3965" spans="1:38">
      <c r="A3965" s="182"/>
      <c r="AK3965" s="183"/>
      <c r="AL3965" s="183"/>
    </row>
    <row r="3966" spans="1:38">
      <c r="A3966" s="182"/>
      <c r="AJ3966" s="183"/>
      <c r="AK3966" s="183"/>
      <c r="AL3966" s="183"/>
    </row>
    <row r="3967" spans="1:38">
      <c r="A3967" s="182"/>
      <c r="AJ3967" s="183"/>
      <c r="AK3967" s="183"/>
      <c r="AL3967" s="183"/>
    </row>
    <row r="3968" spans="1:38">
      <c r="A3968" s="182"/>
      <c r="AJ3968" s="183"/>
      <c r="AK3968" s="183"/>
      <c r="AL3968" s="183"/>
    </row>
    <row r="3969" spans="1:36">
      <c r="A3969" s="182"/>
      <c r="AJ3969" s="183"/>
    </row>
    <row r="3970" spans="1:36">
      <c r="A3970" s="182"/>
    </row>
    <row r="3971" spans="1:36">
      <c r="A3971" s="182"/>
    </row>
    <row r="3972" spans="1:36">
      <c r="A3972" s="182"/>
    </row>
    <row r="3973" spans="1:36">
      <c r="A3973" s="182"/>
    </row>
    <row r="3974" spans="1:36">
      <c r="A3974" s="182"/>
    </row>
    <row r="3975" spans="1:36">
      <c r="A3975" s="182"/>
    </row>
    <row r="3976" spans="1:36">
      <c r="A3976" s="182"/>
    </row>
    <row r="3977" spans="1:36">
      <c r="A3977" s="182"/>
    </row>
    <row r="3978" spans="1:36">
      <c r="A3978" s="182"/>
    </row>
    <row r="3979" spans="1:36">
      <c r="A3979" s="182"/>
    </row>
    <row r="3980" spans="1:36">
      <c r="A3980" s="182"/>
    </row>
    <row r="3981" spans="1:36">
      <c r="A3981" s="182"/>
    </row>
    <row r="3982" spans="1:36">
      <c r="A3982" s="182"/>
    </row>
    <row r="3983" spans="1:36">
      <c r="A3983" s="182"/>
    </row>
    <row r="3984" spans="1:36">
      <c r="A3984" s="182"/>
    </row>
    <row r="3985" spans="1:1">
      <c r="A3985" s="182"/>
    </row>
    <row r="3986" spans="1:1">
      <c r="A3986" s="182"/>
    </row>
    <row r="3987" spans="1:1">
      <c r="A3987" s="182"/>
    </row>
    <row r="3988" spans="1:1">
      <c r="A3988" s="182"/>
    </row>
    <row r="3989" spans="1:1">
      <c r="A3989" s="182"/>
    </row>
    <row r="3990" spans="1:1">
      <c r="A3990" s="182"/>
    </row>
    <row r="3991" spans="1:1">
      <c r="A3991" s="182"/>
    </row>
    <row r="3992" spans="1:1">
      <c r="A3992" s="182"/>
    </row>
    <row r="3993" spans="1:1">
      <c r="A3993" s="182"/>
    </row>
    <row r="3994" spans="1:1">
      <c r="A3994" s="182"/>
    </row>
    <row r="3995" spans="1:1">
      <c r="A3995" s="182"/>
    </row>
    <row r="3996" spans="1:1">
      <c r="A3996" s="182"/>
    </row>
    <row r="3997" spans="1:1">
      <c r="A3997" s="182"/>
    </row>
    <row r="3998" spans="1:1">
      <c r="A3998" s="182"/>
    </row>
    <row r="3999" spans="1:1">
      <c r="A3999" s="182"/>
    </row>
    <row r="4000" spans="1:1">
      <c r="A4000" s="182"/>
    </row>
    <row r="4001" spans="1:38">
      <c r="A4001" s="182"/>
    </row>
    <row r="4002" spans="1:38">
      <c r="A4002" s="182"/>
    </row>
    <row r="4003" spans="1:38">
      <c r="A4003" s="182"/>
    </row>
    <row r="4004" spans="1:38">
      <c r="A4004" s="182"/>
    </row>
    <row r="4005" spans="1:38">
      <c r="A4005" s="182"/>
      <c r="AK4005" s="183"/>
      <c r="AL4005" s="183"/>
    </row>
    <row r="4006" spans="1:38">
      <c r="A4006" s="182"/>
      <c r="AJ4006" s="183"/>
      <c r="AK4006" s="183"/>
      <c r="AL4006" s="183"/>
    </row>
    <row r="4007" spans="1:38">
      <c r="A4007" s="182"/>
      <c r="AJ4007" s="183"/>
      <c r="AK4007" s="183"/>
      <c r="AL4007" s="183"/>
    </row>
    <row r="4008" spans="1:38">
      <c r="A4008" s="182"/>
      <c r="AJ4008" s="183"/>
      <c r="AK4008" s="183"/>
      <c r="AL4008" s="183"/>
    </row>
    <row r="4009" spans="1:38">
      <c r="A4009" s="182"/>
      <c r="AJ4009" s="183"/>
    </row>
    <row r="4010" spans="1:38">
      <c r="A4010" s="182"/>
    </row>
    <row r="4011" spans="1:38">
      <c r="A4011" s="182"/>
    </row>
    <row r="4012" spans="1:38">
      <c r="A4012" s="182"/>
    </row>
    <row r="4013" spans="1:38">
      <c r="A4013" s="182"/>
    </row>
    <row r="4014" spans="1:38">
      <c r="A4014" s="182"/>
    </row>
    <row r="4015" spans="1:38">
      <c r="A4015" s="182"/>
    </row>
    <row r="4016" spans="1:38">
      <c r="A4016" s="182"/>
    </row>
    <row r="4017" spans="1:1">
      <c r="A4017" s="182"/>
    </row>
    <row r="4018" spans="1:1">
      <c r="A4018" s="182"/>
    </row>
    <row r="4019" spans="1:1">
      <c r="A4019" s="182"/>
    </row>
    <row r="4020" spans="1:1">
      <c r="A4020" s="182"/>
    </row>
    <row r="4021" spans="1:1">
      <c r="A4021" s="182"/>
    </row>
    <row r="4022" spans="1:1">
      <c r="A4022" s="182"/>
    </row>
    <row r="4023" spans="1:1">
      <c r="A4023" s="182"/>
    </row>
    <row r="4024" spans="1:1">
      <c r="A4024" s="182"/>
    </row>
    <row r="4025" spans="1:1">
      <c r="A4025" s="182"/>
    </row>
    <row r="4026" spans="1:1">
      <c r="A4026" s="182"/>
    </row>
    <row r="4027" spans="1:1">
      <c r="A4027" s="182"/>
    </row>
    <row r="4028" spans="1:1">
      <c r="A4028" s="182"/>
    </row>
    <row r="4029" spans="1:1">
      <c r="A4029" s="182"/>
    </row>
    <row r="4030" spans="1:1">
      <c r="A4030" s="182"/>
    </row>
    <row r="4031" spans="1:1">
      <c r="A4031" s="182"/>
    </row>
    <row r="4032" spans="1:1">
      <c r="A4032" s="182"/>
    </row>
    <row r="4033" spans="1:38">
      <c r="A4033" s="182"/>
      <c r="AK4033" s="183"/>
      <c r="AL4033" s="183"/>
    </row>
    <row r="4034" spans="1:38">
      <c r="A4034" s="182"/>
      <c r="AJ4034" s="183"/>
      <c r="AK4034" s="183"/>
      <c r="AL4034" s="183"/>
    </row>
    <row r="4035" spans="1:38">
      <c r="A4035" s="182"/>
      <c r="AJ4035" s="183"/>
      <c r="AK4035" s="183"/>
      <c r="AL4035" s="183"/>
    </row>
    <row r="4036" spans="1:38">
      <c r="A4036" s="182"/>
      <c r="AJ4036" s="183"/>
      <c r="AK4036" s="183"/>
      <c r="AL4036" s="183"/>
    </row>
    <row r="4037" spans="1:38">
      <c r="A4037" s="182"/>
      <c r="AJ4037" s="183"/>
      <c r="AK4037" s="183"/>
      <c r="AL4037" s="183"/>
    </row>
    <row r="4038" spans="1:38">
      <c r="A4038" s="182"/>
      <c r="AJ4038" s="183"/>
      <c r="AK4038" s="183"/>
      <c r="AL4038" s="183"/>
    </row>
    <row r="4039" spans="1:38">
      <c r="A4039" s="182"/>
      <c r="AJ4039" s="183"/>
      <c r="AK4039" s="183"/>
      <c r="AL4039" s="183"/>
    </row>
    <row r="4040" spans="1:38">
      <c r="A4040" s="182"/>
      <c r="AJ4040" s="183"/>
      <c r="AK4040" s="183"/>
      <c r="AL4040" s="183"/>
    </row>
    <row r="4041" spans="1:38">
      <c r="A4041" s="182"/>
      <c r="AJ4041" s="183"/>
    </row>
    <row r="4042" spans="1:38">
      <c r="A4042" s="182"/>
    </row>
    <row r="4043" spans="1:38">
      <c r="A4043" s="182"/>
    </row>
    <row r="4044" spans="1:38">
      <c r="A4044" s="182"/>
    </row>
    <row r="4045" spans="1:38">
      <c r="A4045" s="182"/>
    </row>
    <row r="4046" spans="1:38">
      <c r="A4046" s="182"/>
    </row>
    <row r="4047" spans="1:38">
      <c r="A4047" s="182"/>
    </row>
    <row r="4048" spans="1:38">
      <c r="A4048" s="182"/>
    </row>
    <row r="4049" spans="1:38">
      <c r="A4049" s="182"/>
      <c r="AK4049" s="183"/>
      <c r="AL4049" s="183"/>
    </row>
    <row r="4050" spans="1:38">
      <c r="A4050" s="182"/>
      <c r="AJ4050" s="183"/>
      <c r="AK4050" s="183"/>
      <c r="AL4050" s="183"/>
    </row>
    <row r="4051" spans="1:38">
      <c r="A4051" s="182"/>
      <c r="AJ4051" s="183"/>
      <c r="AK4051" s="183"/>
      <c r="AL4051" s="183"/>
    </row>
    <row r="4052" spans="1:38">
      <c r="A4052" s="182"/>
      <c r="AJ4052" s="183"/>
      <c r="AK4052" s="183"/>
      <c r="AL4052" s="183"/>
    </row>
    <row r="4053" spans="1:38">
      <c r="A4053" s="182"/>
      <c r="AJ4053" s="183"/>
    </row>
    <row r="4054" spans="1:38">
      <c r="A4054" s="182"/>
    </row>
    <row r="4055" spans="1:38">
      <c r="A4055" s="182"/>
    </row>
    <row r="4056" spans="1:38">
      <c r="A4056" s="182"/>
    </row>
    <row r="4057" spans="1:38">
      <c r="A4057" s="182"/>
    </row>
    <row r="4058" spans="1:38">
      <c r="A4058" s="182"/>
    </row>
    <row r="4059" spans="1:38">
      <c r="A4059" s="182"/>
    </row>
    <row r="4060" spans="1:38">
      <c r="A4060" s="182"/>
    </row>
    <row r="4061" spans="1:38">
      <c r="A4061" s="182"/>
      <c r="AK4061" s="183"/>
      <c r="AL4061" s="183"/>
    </row>
    <row r="4062" spans="1:38">
      <c r="A4062" s="182"/>
      <c r="M4062" s="183"/>
      <c r="N4062" s="183"/>
      <c r="O4062" s="183"/>
      <c r="AJ4062" s="183"/>
      <c r="AK4062" s="183"/>
      <c r="AL4062" s="183"/>
    </row>
    <row r="4063" spans="1:38">
      <c r="A4063" s="182"/>
      <c r="L4063" s="183"/>
      <c r="M4063" s="183"/>
      <c r="AJ4063" s="183"/>
      <c r="AK4063" s="183"/>
      <c r="AL4063" s="183"/>
    </row>
    <row r="4064" spans="1:38">
      <c r="A4064" s="182"/>
      <c r="AJ4064" s="183"/>
      <c r="AK4064" s="183"/>
      <c r="AL4064" s="183"/>
    </row>
    <row r="4065" spans="1:36">
      <c r="A4065" s="182"/>
      <c r="AJ4065" s="183"/>
    </row>
    <row r="4066" spans="1:36">
      <c r="A4066" s="182"/>
    </row>
    <row r="4067" spans="1:36">
      <c r="A4067" s="182"/>
    </row>
    <row r="4068" spans="1:36">
      <c r="A4068" s="182"/>
    </row>
    <row r="4069" spans="1:36">
      <c r="A4069" s="182"/>
    </row>
    <row r="4070" spans="1:36">
      <c r="A4070" s="182"/>
    </row>
    <row r="4071" spans="1:36">
      <c r="A4071" s="182"/>
    </row>
    <row r="4072" spans="1:36">
      <c r="A4072" s="182"/>
    </row>
    <row r="4073" spans="1:36">
      <c r="A4073" s="182"/>
    </row>
    <row r="4074" spans="1:36">
      <c r="A4074" s="182"/>
    </row>
    <row r="4075" spans="1:36">
      <c r="A4075" s="182"/>
    </row>
    <row r="4076" spans="1:36">
      <c r="A4076" s="182"/>
    </row>
    <row r="4077" spans="1:36">
      <c r="A4077" s="182"/>
    </row>
    <row r="4078" spans="1:36">
      <c r="A4078" s="182"/>
    </row>
    <row r="4079" spans="1:36">
      <c r="A4079" s="182"/>
    </row>
    <row r="4080" spans="1:36">
      <c r="A4080" s="182"/>
    </row>
    <row r="4081" spans="1:19">
      <c r="A4081" s="182"/>
    </row>
    <row r="4082" spans="1:19">
      <c r="A4082" s="182"/>
    </row>
    <row r="4083" spans="1:19">
      <c r="A4083" s="182"/>
    </row>
    <row r="4084" spans="1:19">
      <c r="A4084" s="182"/>
      <c r="R4084" s="183"/>
      <c r="S4084" s="183"/>
    </row>
    <row r="4085" spans="1:19">
      <c r="A4085" s="182"/>
      <c r="Q4085" s="183"/>
      <c r="R4085" s="183"/>
      <c r="S4085" s="183"/>
    </row>
    <row r="4086" spans="1:19">
      <c r="A4086" s="182"/>
      <c r="Q4086" s="183"/>
      <c r="R4086" s="183"/>
      <c r="S4086" s="183"/>
    </row>
    <row r="4087" spans="1:19">
      <c r="A4087" s="182"/>
      <c r="Q4087" s="183"/>
      <c r="R4087" s="183"/>
      <c r="S4087" s="183"/>
    </row>
    <row r="4088" spans="1:19">
      <c r="A4088" s="182"/>
      <c r="Q4088" s="183"/>
    </row>
    <row r="4089" spans="1:19">
      <c r="A4089" s="182"/>
    </row>
    <row r="4090" spans="1:19">
      <c r="A4090" s="182"/>
    </row>
    <row r="4091" spans="1:19">
      <c r="A4091" s="182"/>
    </row>
    <row r="4092" spans="1:19">
      <c r="A4092" s="182"/>
    </row>
    <row r="4093" spans="1:19">
      <c r="A4093" s="182"/>
    </row>
    <row r="4094" spans="1:19">
      <c r="A4094" s="182"/>
      <c r="R4094" s="183"/>
      <c r="S4094" s="183"/>
    </row>
    <row r="4095" spans="1:19">
      <c r="A4095" s="182"/>
      <c r="Q4095" s="183"/>
      <c r="R4095" s="183"/>
      <c r="S4095" s="183"/>
    </row>
    <row r="4096" spans="1:19">
      <c r="A4096" s="182"/>
      <c r="Q4096" s="183"/>
      <c r="R4096" s="183"/>
      <c r="S4096" s="183"/>
    </row>
    <row r="4097" spans="1:17">
      <c r="A4097" s="182"/>
      <c r="Q4097" s="183"/>
    </row>
    <row r="4098" spans="1:17">
      <c r="A4098" s="182"/>
    </row>
    <row r="4099" spans="1:17">
      <c r="A4099" s="182"/>
    </row>
    <row r="4100" spans="1:17">
      <c r="A4100" s="182"/>
    </row>
    <row r="4101" spans="1:17">
      <c r="A4101" s="182"/>
    </row>
    <row r="4102" spans="1:17">
      <c r="A4102" s="182"/>
    </row>
    <row r="4103" spans="1:17">
      <c r="A4103" s="182"/>
    </row>
    <row r="4104" spans="1:17">
      <c r="A4104" s="182"/>
    </row>
    <row r="4105" spans="1:17">
      <c r="A4105" s="182"/>
    </row>
    <row r="4106" spans="1:17">
      <c r="A4106" s="182"/>
    </row>
    <row r="4107" spans="1:17">
      <c r="A4107" s="182"/>
    </row>
    <row r="4108" spans="1:17">
      <c r="A4108" s="182"/>
    </row>
    <row r="4109" spans="1:17">
      <c r="A4109" s="182"/>
    </row>
    <row r="4110" spans="1:17">
      <c r="A4110" s="182"/>
    </row>
    <row r="4111" spans="1:17">
      <c r="A4111" s="182"/>
    </row>
    <row r="4112" spans="1:17">
      <c r="A4112" s="182"/>
    </row>
    <row r="4113" spans="1:1">
      <c r="A4113" s="182"/>
    </row>
    <row r="4114" spans="1:1">
      <c r="A4114" s="182"/>
    </row>
    <row r="4115" spans="1:1">
      <c r="A4115" s="182"/>
    </row>
    <row r="4116" spans="1:1">
      <c r="A4116" s="182"/>
    </row>
    <row r="4117" spans="1:1">
      <c r="A4117" s="182"/>
    </row>
    <row r="4118" spans="1:1">
      <c r="A4118" s="182"/>
    </row>
    <row r="4119" spans="1:1">
      <c r="A4119" s="182"/>
    </row>
    <row r="4120" spans="1:1">
      <c r="A4120" s="182"/>
    </row>
    <row r="4121" spans="1:1">
      <c r="A4121" s="182"/>
    </row>
    <row r="4122" spans="1:1">
      <c r="A4122" s="182"/>
    </row>
    <row r="4123" spans="1:1">
      <c r="A4123" s="182"/>
    </row>
    <row r="4124" spans="1:1">
      <c r="A4124" s="182"/>
    </row>
    <row r="4125" spans="1:1">
      <c r="A4125" s="182"/>
    </row>
    <row r="4126" spans="1:1">
      <c r="A4126" s="182"/>
    </row>
    <row r="4127" spans="1:1">
      <c r="A4127" s="182"/>
    </row>
    <row r="4128" spans="1:1">
      <c r="A4128" s="182"/>
    </row>
    <row r="4129" spans="1:38">
      <c r="A4129" s="182"/>
    </row>
    <row r="4130" spans="1:38">
      <c r="A4130" s="182"/>
    </row>
    <row r="4131" spans="1:38">
      <c r="A4131" s="182"/>
    </row>
    <row r="4132" spans="1:38">
      <c r="A4132" s="182"/>
    </row>
    <row r="4133" spans="1:38">
      <c r="A4133" s="182"/>
    </row>
    <row r="4134" spans="1:38">
      <c r="A4134" s="182"/>
    </row>
    <row r="4135" spans="1:38">
      <c r="A4135" s="182"/>
    </row>
    <row r="4136" spans="1:38">
      <c r="A4136" s="182"/>
    </row>
    <row r="4137" spans="1:38">
      <c r="A4137" s="182"/>
      <c r="AK4137" s="183"/>
      <c r="AL4137" s="183"/>
    </row>
    <row r="4138" spans="1:38">
      <c r="A4138" s="182"/>
      <c r="AJ4138" s="183"/>
      <c r="AK4138" s="183"/>
      <c r="AL4138" s="183"/>
    </row>
    <row r="4139" spans="1:38">
      <c r="A4139" s="182"/>
      <c r="AJ4139" s="183"/>
      <c r="AK4139" s="183"/>
      <c r="AL4139" s="183"/>
    </row>
    <row r="4140" spans="1:38">
      <c r="A4140" s="182"/>
      <c r="AJ4140" s="183"/>
      <c r="AK4140" s="183"/>
      <c r="AL4140" s="183"/>
    </row>
    <row r="4141" spans="1:38">
      <c r="A4141" s="182"/>
      <c r="AJ4141" s="183"/>
      <c r="AK4141" s="183"/>
      <c r="AL4141" s="183"/>
    </row>
    <row r="4142" spans="1:38">
      <c r="A4142" s="182"/>
      <c r="AJ4142" s="183"/>
      <c r="AK4142" s="183"/>
      <c r="AL4142" s="183"/>
    </row>
    <row r="4143" spans="1:38">
      <c r="A4143" s="182"/>
      <c r="AJ4143" s="183"/>
      <c r="AK4143" s="183"/>
      <c r="AL4143" s="183"/>
    </row>
    <row r="4144" spans="1:38">
      <c r="A4144" s="182"/>
      <c r="AJ4144" s="183"/>
      <c r="AK4144" s="183"/>
      <c r="AL4144" s="183"/>
    </row>
    <row r="4145" spans="1:38">
      <c r="A4145" s="182"/>
      <c r="AJ4145" s="183"/>
    </row>
    <row r="4146" spans="1:38">
      <c r="A4146" s="182"/>
    </row>
    <row r="4147" spans="1:38">
      <c r="A4147" s="182"/>
    </row>
    <row r="4148" spans="1:38">
      <c r="A4148" s="182"/>
    </row>
    <row r="4149" spans="1:38">
      <c r="A4149" s="182"/>
      <c r="AK4149" s="183"/>
      <c r="AL4149" s="183"/>
    </row>
    <row r="4150" spans="1:38">
      <c r="A4150" s="182"/>
      <c r="AJ4150" s="183"/>
      <c r="AK4150" s="183"/>
      <c r="AL4150" s="183"/>
    </row>
    <row r="4151" spans="1:38">
      <c r="A4151" s="182"/>
      <c r="AJ4151" s="183"/>
      <c r="AK4151" s="183"/>
      <c r="AL4151" s="183"/>
    </row>
    <row r="4152" spans="1:38">
      <c r="A4152" s="182"/>
      <c r="AJ4152" s="183"/>
      <c r="AK4152" s="183"/>
      <c r="AL4152" s="183"/>
    </row>
    <row r="4153" spans="1:38">
      <c r="A4153" s="182"/>
      <c r="AJ4153" s="183"/>
    </row>
    <row r="4154" spans="1:38">
      <c r="A4154" s="182"/>
    </row>
    <row r="4155" spans="1:38">
      <c r="A4155" s="182"/>
    </row>
    <row r="4156" spans="1:38">
      <c r="A4156" s="182"/>
    </row>
    <row r="4157" spans="1:38">
      <c r="A4157" s="182"/>
    </row>
    <row r="4158" spans="1:38">
      <c r="A4158" s="182"/>
    </row>
    <row r="4159" spans="1:38">
      <c r="A4159" s="182"/>
    </row>
    <row r="4160" spans="1:38">
      <c r="A4160" s="182"/>
    </row>
    <row r="4161" spans="1:38">
      <c r="A4161" s="182"/>
      <c r="AK4161" s="183"/>
      <c r="AL4161" s="183"/>
    </row>
    <row r="4162" spans="1:38">
      <c r="A4162" s="182"/>
      <c r="AJ4162" s="183"/>
      <c r="AK4162" s="183"/>
      <c r="AL4162" s="183"/>
    </row>
    <row r="4163" spans="1:38">
      <c r="A4163" s="182"/>
      <c r="AJ4163" s="183"/>
      <c r="AK4163" s="183"/>
      <c r="AL4163" s="183"/>
    </row>
    <row r="4164" spans="1:38">
      <c r="A4164" s="182"/>
      <c r="AJ4164" s="183"/>
      <c r="AK4164" s="183"/>
      <c r="AL4164" s="183"/>
    </row>
    <row r="4165" spans="1:38">
      <c r="A4165" s="182"/>
      <c r="AJ4165" s="183"/>
    </row>
    <row r="4166" spans="1:38">
      <c r="A4166" s="182"/>
    </row>
    <row r="4167" spans="1:38">
      <c r="A4167" s="182"/>
    </row>
    <row r="4168" spans="1:38">
      <c r="A4168" s="182"/>
    </row>
    <row r="4169" spans="1:38">
      <c r="A4169" s="182"/>
    </row>
    <row r="4170" spans="1:38">
      <c r="A4170" s="182"/>
    </row>
    <row r="4171" spans="1:38">
      <c r="A4171" s="182"/>
    </row>
    <row r="4172" spans="1:38">
      <c r="A4172" s="182"/>
    </row>
    <row r="4173" spans="1:38">
      <c r="A4173" s="182"/>
    </row>
    <row r="4174" spans="1:38">
      <c r="A4174" s="182"/>
    </row>
    <row r="4175" spans="1:38">
      <c r="A4175" s="182"/>
    </row>
    <row r="4176" spans="1:38">
      <c r="A4176" s="182"/>
    </row>
    <row r="4177" spans="1:1">
      <c r="A4177" s="182"/>
    </row>
    <row r="4178" spans="1:1">
      <c r="A4178" s="182"/>
    </row>
    <row r="4179" spans="1:1">
      <c r="A4179" s="182"/>
    </row>
    <row r="4180" spans="1:1">
      <c r="A4180" s="182"/>
    </row>
    <row r="4181" spans="1:1">
      <c r="A4181" s="182"/>
    </row>
    <row r="4182" spans="1:1">
      <c r="A4182" s="182"/>
    </row>
    <row r="4183" spans="1:1">
      <c r="A4183" s="182"/>
    </row>
    <row r="4184" spans="1:1">
      <c r="A4184" s="182"/>
    </row>
    <row r="4185" spans="1:1">
      <c r="A4185" s="182"/>
    </row>
    <row r="4186" spans="1:1">
      <c r="A4186" s="182"/>
    </row>
    <row r="4187" spans="1:1">
      <c r="A4187" s="182"/>
    </row>
    <row r="4188" spans="1:1">
      <c r="A4188" s="182"/>
    </row>
    <row r="4189" spans="1:1">
      <c r="A4189" s="182"/>
    </row>
    <row r="4190" spans="1:1">
      <c r="A4190" s="182"/>
    </row>
    <row r="4191" spans="1:1">
      <c r="A4191" s="182"/>
    </row>
    <row r="4192" spans="1:1">
      <c r="A4192" s="182"/>
    </row>
    <row r="4193" spans="1:1">
      <c r="A4193" s="182"/>
    </row>
    <row r="4194" spans="1:1">
      <c r="A4194" s="182"/>
    </row>
    <row r="4195" spans="1:1">
      <c r="A4195" s="182"/>
    </row>
    <row r="4196" spans="1:1">
      <c r="A4196" s="182"/>
    </row>
    <row r="4197" spans="1:1">
      <c r="A4197" s="182"/>
    </row>
    <row r="4198" spans="1:1">
      <c r="A4198" s="182"/>
    </row>
    <row r="4199" spans="1:1">
      <c r="A4199" s="182"/>
    </row>
    <row r="4200" spans="1:1">
      <c r="A4200" s="182"/>
    </row>
    <row r="4201" spans="1:1">
      <c r="A4201" s="182"/>
    </row>
    <row r="4202" spans="1:1">
      <c r="A4202" s="182"/>
    </row>
    <row r="4203" spans="1:1">
      <c r="A4203" s="182"/>
    </row>
    <row r="4204" spans="1:1">
      <c r="A4204" s="182"/>
    </row>
    <row r="4205" spans="1:1">
      <c r="A4205" s="182"/>
    </row>
    <row r="4206" spans="1:1">
      <c r="A4206" s="182"/>
    </row>
    <row r="4207" spans="1:1">
      <c r="A4207" s="182"/>
    </row>
    <row r="4208" spans="1:1">
      <c r="A4208" s="182"/>
    </row>
    <row r="4209" spans="1:15">
      <c r="A4209" s="182"/>
    </row>
    <row r="4210" spans="1:15">
      <c r="A4210" s="182"/>
    </row>
    <row r="4211" spans="1:15">
      <c r="A4211" s="182"/>
    </row>
    <row r="4212" spans="1:15">
      <c r="A4212" s="182"/>
      <c r="M4212" s="183"/>
      <c r="N4212" s="183"/>
    </row>
    <row r="4213" spans="1:15">
      <c r="A4213" s="182"/>
      <c r="L4213" s="183"/>
    </row>
    <row r="4214" spans="1:15">
      <c r="A4214" s="182"/>
    </row>
    <row r="4215" spans="1:15">
      <c r="A4215" s="182"/>
      <c r="M4215" s="183"/>
      <c r="N4215" s="183"/>
    </row>
    <row r="4216" spans="1:15">
      <c r="A4216" s="182"/>
      <c r="L4216" s="183"/>
      <c r="M4216" s="183"/>
      <c r="N4216" s="183"/>
    </row>
    <row r="4217" spans="1:15">
      <c r="A4217" s="182"/>
      <c r="L4217" s="183"/>
    </row>
    <row r="4218" spans="1:15">
      <c r="A4218" s="182"/>
    </row>
    <row r="4219" spans="1:15">
      <c r="A4219" s="182"/>
      <c r="M4219" s="183"/>
      <c r="N4219" s="183"/>
      <c r="O4219" s="183"/>
    </row>
    <row r="4220" spans="1:15">
      <c r="A4220" s="182"/>
      <c r="L4220" s="183"/>
      <c r="M4220" s="183"/>
    </row>
    <row r="4221" spans="1:15">
      <c r="A4221" s="182"/>
    </row>
    <row r="4222" spans="1:15">
      <c r="A4222" s="182"/>
    </row>
    <row r="4223" spans="1:15">
      <c r="A4223" s="182"/>
      <c r="M4223" s="183"/>
      <c r="N4223" s="183"/>
      <c r="O4223" s="183"/>
    </row>
    <row r="4224" spans="1:15">
      <c r="A4224" s="182"/>
      <c r="L4224" s="183"/>
      <c r="M4224" s="183"/>
    </row>
    <row r="4225" spans="1:38">
      <c r="A4225" s="182"/>
    </row>
    <row r="4226" spans="1:38">
      <c r="A4226" s="182"/>
    </row>
    <row r="4227" spans="1:38">
      <c r="A4227" s="182"/>
    </row>
    <row r="4228" spans="1:38">
      <c r="A4228" s="182"/>
    </row>
    <row r="4229" spans="1:38">
      <c r="A4229" s="182"/>
    </row>
    <row r="4230" spans="1:38">
      <c r="A4230" s="182"/>
    </row>
    <row r="4231" spans="1:38">
      <c r="A4231" s="182"/>
    </row>
    <row r="4232" spans="1:38">
      <c r="A4232" s="182"/>
    </row>
    <row r="4233" spans="1:38">
      <c r="A4233" s="182"/>
      <c r="AK4233" s="183"/>
      <c r="AL4233" s="183"/>
    </row>
    <row r="4234" spans="1:38">
      <c r="A4234" s="182"/>
      <c r="AJ4234" s="183"/>
      <c r="AK4234" s="183"/>
      <c r="AL4234" s="183"/>
    </row>
    <row r="4235" spans="1:38">
      <c r="A4235" s="182"/>
      <c r="AJ4235" s="183"/>
      <c r="AK4235" s="183"/>
      <c r="AL4235" s="183"/>
    </row>
    <row r="4236" spans="1:38">
      <c r="A4236" s="182"/>
      <c r="AJ4236" s="183"/>
      <c r="AK4236" s="183"/>
      <c r="AL4236" s="183"/>
    </row>
    <row r="4237" spans="1:38">
      <c r="A4237" s="182"/>
      <c r="AJ4237" s="183"/>
    </row>
    <row r="4238" spans="1:38">
      <c r="A4238" s="182"/>
    </row>
    <row r="4239" spans="1:38">
      <c r="A4239" s="182"/>
    </row>
    <row r="4240" spans="1:38">
      <c r="A4240" s="182"/>
    </row>
    <row r="4241" spans="1:38">
      <c r="A4241" s="182"/>
    </row>
    <row r="4242" spans="1:38">
      <c r="A4242" s="182"/>
    </row>
    <row r="4243" spans="1:38">
      <c r="A4243" s="182"/>
    </row>
    <row r="4244" spans="1:38">
      <c r="A4244" s="182"/>
    </row>
    <row r="4245" spans="1:38">
      <c r="A4245" s="182"/>
      <c r="AK4245" s="183"/>
      <c r="AL4245" s="183"/>
    </row>
    <row r="4246" spans="1:38">
      <c r="A4246" s="182"/>
      <c r="AJ4246" s="183"/>
      <c r="AK4246" s="183"/>
      <c r="AL4246" s="183"/>
    </row>
    <row r="4247" spans="1:38">
      <c r="A4247" s="182"/>
      <c r="AJ4247" s="183"/>
      <c r="AK4247" s="183"/>
      <c r="AL4247" s="183"/>
    </row>
    <row r="4248" spans="1:38">
      <c r="A4248" s="182"/>
      <c r="AJ4248" s="183"/>
      <c r="AK4248" s="183"/>
      <c r="AL4248" s="183"/>
    </row>
    <row r="4249" spans="1:38">
      <c r="A4249" s="182"/>
      <c r="AJ4249" s="183"/>
      <c r="AK4249" s="183"/>
      <c r="AL4249" s="183"/>
    </row>
    <row r="4250" spans="1:38">
      <c r="A4250" s="182"/>
      <c r="AJ4250" s="183"/>
      <c r="AK4250" s="183"/>
      <c r="AL4250" s="183"/>
    </row>
    <row r="4251" spans="1:38">
      <c r="A4251" s="182"/>
      <c r="AJ4251" s="183"/>
      <c r="AK4251" s="183"/>
      <c r="AL4251" s="183"/>
    </row>
    <row r="4252" spans="1:38">
      <c r="A4252" s="182"/>
      <c r="AJ4252" s="183"/>
      <c r="AK4252" s="183"/>
      <c r="AL4252" s="183"/>
    </row>
    <row r="4253" spans="1:38">
      <c r="A4253" s="182"/>
      <c r="AJ4253" s="183"/>
    </row>
    <row r="4254" spans="1:38">
      <c r="A4254" s="182"/>
    </row>
    <row r="4255" spans="1:38">
      <c r="A4255" s="182"/>
    </row>
    <row r="4256" spans="1:38">
      <c r="A4256" s="182"/>
    </row>
    <row r="4257" spans="1:38">
      <c r="A4257" s="182"/>
      <c r="AK4257" s="183"/>
      <c r="AL4257" s="183"/>
    </row>
    <row r="4258" spans="1:38">
      <c r="A4258" s="182"/>
      <c r="AJ4258" s="183"/>
      <c r="AK4258" s="183"/>
      <c r="AL4258" s="183"/>
    </row>
    <row r="4259" spans="1:38">
      <c r="A4259" s="182"/>
      <c r="AJ4259" s="183"/>
      <c r="AK4259" s="183"/>
      <c r="AL4259" s="183"/>
    </row>
    <row r="4260" spans="1:38">
      <c r="A4260" s="182"/>
      <c r="AJ4260" s="183"/>
      <c r="AK4260" s="183"/>
      <c r="AL4260" s="183"/>
    </row>
    <row r="4261" spans="1:38">
      <c r="A4261" s="182"/>
      <c r="AJ4261" s="183"/>
    </row>
    <row r="4262" spans="1:38">
      <c r="A4262" s="182"/>
    </row>
    <row r="4263" spans="1:38">
      <c r="A4263" s="182"/>
    </row>
    <row r="4264" spans="1:38">
      <c r="A4264" s="182"/>
    </row>
    <row r="4265" spans="1:38">
      <c r="A4265" s="182"/>
    </row>
    <row r="4266" spans="1:38">
      <c r="A4266" s="182"/>
    </row>
    <row r="4267" spans="1:38">
      <c r="A4267" s="182"/>
    </row>
    <row r="4268" spans="1:38">
      <c r="A4268" s="182"/>
    </row>
    <row r="4269" spans="1:38">
      <c r="A4269" s="182"/>
    </row>
    <row r="4270" spans="1:38">
      <c r="A4270" s="182"/>
    </row>
    <row r="4271" spans="1:38">
      <c r="A4271" s="182"/>
    </row>
    <row r="4272" spans="1:38">
      <c r="A4272" s="182"/>
    </row>
    <row r="4273" spans="1:1">
      <c r="A4273" s="182"/>
    </row>
    <row r="4274" spans="1:1">
      <c r="A4274" s="182"/>
    </row>
    <row r="4275" spans="1:1">
      <c r="A4275" s="182"/>
    </row>
    <row r="4276" spans="1:1">
      <c r="A4276" s="182"/>
    </row>
    <row r="4277" spans="1:1">
      <c r="A4277" s="182"/>
    </row>
    <row r="4278" spans="1:1">
      <c r="A4278" s="182"/>
    </row>
    <row r="4279" spans="1:1">
      <c r="A4279" s="182"/>
    </row>
    <row r="4280" spans="1:1">
      <c r="A4280" s="182"/>
    </row>
    <row r="4281" spans="1:1">
      <c r="A4281" s="182"/>
    </row>
    <row r="4282" spans="1:1">
      <c r="A4282" s="182"/>
    </row>
    <row r="4283" spans="1:1">
      <c r="A4283" s="182"/>
    </row>
    <row r="4284" spans="1:1">
      <c r="A4284" s="182"/>
    </row>
    <row r="4285" spans="1:1">
      <c r="A4285" s="182"/>
    </row>
    <row r="4286" spans="1:1">
      <c r="A4286" s="182"/>
    </row>
    <row r="4287" spans="1:1">
      <c r="A4287" s="182"/>
    </row>
    <row r="4288" spans="1:1">
      <c r="A4288" s="182"/>
    </row>
    <row r="4289" spans="1:38">
      <c r="A4289" s="182"/>
    </row>
    <row r="4290" spans="1:38">
      <c r="A4290" s="182"/>
    </row>
    <row r="4291" spans="1:38">
      <c r="A4291" s="182"/>
    </row>
    <row r="4292" spans="1:38">
      <c r="A4292" s="182"/>
    </row>
    <row r="4293" spans="1:38">
      <c r="A4293" s="182"/>
      <c r="AK4293" s="183"/>
      <c r="AL4293" s="183"/>
    </row>
    <row r="4294" spans="1:38">
      <c r="A4294" s="182"/>
      <c r="AJ4294" s="183"/>
      <c r="AK4294" s="183"/>
      <c r="AL4294" s="183"/>
    </row>
    <row r="4295" spans="1:38">
      <c r="A4295" s="182"/>
      <c r="AJ4295" s="183"/>
      <c r="AK4295" s="183"/>
      <c r="AL4295" s="183"/>
    </row>
    <row r="4296" spans="1:38">
      <c r="A4296" s="182"/>
      <c r="AJ4296" s="183"/>
      <c r="AK4296" s="183"/>
      <c r="AL4296" s="183"/>
    </row>
    <row r="4297" spans="1:38">
      <c r="A4297" s="182"/>
      <c r="AJ4297" s="183"/>
    </row>
    <row r="4298" spans="1:38">
      <c r="A4298" s="182"/>
    </row>
    <row r="4299" spans="1:38">
      <c r="A4299" s="182"/>
    </row>
    <row r="4300" spans="1:38">
      <c r="A4300" s="182"/>
    </row>
    <row r="4301" spans="1:38">
      <c r="A4301" s="182"/>
    </row>
    <row r="4302" spans="1:38">
      <c r="A4302" s="182"/>
    </row>
    <row r="4303" spans="1:38">
      <c r="A4303" s="182"/>
    </row>
    <row r="4304" spans="1:38">
      <c r="A4304" s="182"/>
    </row>
    <row r="4305" spans="1:1">
      <c r="A4305" s="182"/>
    </row>
    <row r="4306" spans="1:1">
      <c r="A4306" s="182"/>
    </row>
    <row r="4307" spans="1:1">
      <c r="A4307" s="182"/>
    </row>
    <row r="4308" spans="1:1">
      <c r="A4308" s="182"/>
    </row>
    <row r="4309" spans="1:1">
      <c r="A4309" s="182"/>
    </row>
    <row r="4310" spans="1:1">
      <c r="A4310" s="182"/>
    </row>
    <row r="4311" spans="1:1">
      <c r="A4311" s="182"/>
    </row>
    <row r="4312" spans="1:1">
      <c r="A4312" s="182"/>
    </row>
    <row r="4313" spans="1:1">
      <c r="A4313" s="182"/>
    </row>
    <row r="4314" spans="1:1">
      <c r="A4314" s="182"/>
    </row>
    <row r="4315" spans="1:1">
      <c r="A4315" s="182"/>
    </row>
    <row r="4316" spans="1:1">
      <c r="A4316" s="182"/>
    </row>
    <row r="4317" spans="1:1">
      <c r="A4317" s="182"/>
    </row>
    <row r="4318" spans="1:1">
      <c r="A4318" s="182"/>
    </row>
    <row r="4319" spans="1:1">
      <c r="A4319" s="182"/>
    </row>
    <row r="4320" spans="1:1">
      <c r="A4320" s="182"/>
    </row>
    <row r="4321" spans="1:1">
      <c r="A4321" s="182"/>
    </row>
    <row r="4322" spans="1:1">
      <c r="A4322" s="182"/>
    </row>
    <row r="4323" spans="1:1">
      <c r="A4323" s="182"/>
    </row>
    <row r="4324" spans="1:1">
      <c r="A4324" s="182"/>
    </row>
    <row r="4325" spans="1:1">
      <c r="A4325" s="182"/>
    </row>
    <row r="4326" spans="1:1">
      <c r="A4326" s="182"/>
    </row>
    <row r="4327" spans="1:1">
      <c r="A4327" s="182"/>
    </row>
    <row r="4328" spans="1:1">
      <c r="A4328" s="182"/>
    </row>
    <row r="4329" spans="1:1">
      <c r="A4329" s="182"/>
    </row>
    <row r="4330" spans="1:1">
      <c r="A4330" s="182"/>
    </row>
    <row r="4331" spans="1:1">
      <c r="A4331" s="182"/>
    </row>
    <row r="4332" spans="1:1">
      <c r="A4332" s="182"/>
    </row>
    <row r="4333" spans="1:1">
      <c r="A4333" s="182"/>
    </row>
    <row r="4334" spans="1:1">
      <c r="A4334" s="182"/>
    </row>
    <row r="4335" spans="1:1">
      <c r="A4335" s="182"/>
    </row>
    <row r="4336" spans="1:1">
      <c r="A4336" s="182"/>
    </row>
    <row r="4337" spans="1:38">
      <c r="A4337" s="182"/>
      <c r="AK4337" s="183"/>
      <c r="AL4337" s="183"/>
    </row>
    <row r="4338" spans="1:38">
      <c r="A4338" s="182"/>
      <c r="AJ4338" s="183"/>
      <c r="AK4338" s="183"/>
      <c r="AL4338" s="183"/>
    </row>
    <row r="4339" spans="1:38">
      <c r="A4339" s="182"/>
      <c r="AJ4339" s="183"/>
      <c r="AK4339" s="183"/>
      <c r="AL4339" s="183"/>
    </row>
    <row r="4340" spans="1:38">
      <c r="A4340" s="182"/>
      <c r="AJ4340" s="183"/>
      <c r="AK4340" s="183"/>
      <c r="AL4340" s="183"/>
    </row>
    <row r="4341" spans="1:38">
      <c r="A4341" s="182"/>
      <c r="AJ4341" s="183"/>
    </row>
    <row r="4342" spans="1:38">
      <c r="A4342" s="182"/>
    </row>
    <row r="4343" spans="1:38">
      <c r="A4343" s="182"/>
    </row>
    <row r="4344" spans="1:38">
      <c r="A4344" s="182"/>
    </row>
    <row r="4345" spans="1:38">
      <c r="A4345" s="182"/>
    </row>
    <row r="4346" spans="1:38">
      <c r="A4346" s="182"/>
    </row>
    <row r="4347" spans="1:38">
      <c r="A4347" s="182"/>
    </row>
    <row r="4348" spans="1:38">
      <c r="A4348" s="182"/>
    </row>
    <row r="4349" spans="1:38">
      <c r="A4349" s="182"/>
      <c r="AK4349" s="183"/>
      <c r="AL4349" s="183"/>
    </row>
    <row r="4350" spans="1:38">
      <c r="A4350" s="182"/>
      <c r="AJ4350" s="183"/>
      <c r="AK4350" s="183"/>
      <c r="AL4350" s="183"/>
    </row>
    <row r="4351" spans="1:38">
      <c r="A4351" s="182"/>
      <c r="AJ4351" s="183"/>
      <c r="AK4351" s="183"/>
      <c r="AL4351" s="183"/>
    </row>
    <row r="4352" spans="1:38">
      <c r="A4352" s="182"/>
      <c r="AJ4352" s="183"/>
      <c r="AK4352" s="183"/>
      <c r="AL4352" s="183"/>
    </row>
    <row r="4353" spans="1:38">
      <c r="A4353" s="182"/>
      <c r="AJ4353" s="183"/>
      <c r="AK4353" s="183"/>
      <c r="AL4353" s="183"/>
    </row>
    <row r="4354" spans="1:38">
      <c r="A4354" s="182"/>
      <c r="AJ4354" s="183"/>
      <c r="AK4354" s="183"/>
      <c r="AL4354" s="183"/>
    </row>
    <row r="4355" spans="1:38">
      <c r="A4355" s="182"/>
      <c r="AJ4355" s="183"/>
      <c r="AK4355" s="183"/>
      <c r="AL4355" s="183"/>
    </row>
    <row r="4356" spans="1:38">
      <c r="A4356" s="182"/>
      <c r="AJ4356" s="183"/>
      <c r="AK4356" s="183"/>
      <c r="AL4356" s="183"/>
    </row>
    <row r="4357" spans="1:38">
      <c r="A4357" s="182"/>
      <c r="AJ4357" s="183"/>
    </row>
    <row r="4358" spans="1:38">
      <c r="A4358" s="182"/>
    </row>
    <row r="4359" spans="1:38">
      <c r="A4359" s="182"/>
    </row>
    <row r="4360" spans="1:38">
      <c r="A4360" s="182"/>
    </row>
    <row r="4361" spans="1:38">
      <c r="A4361" s="182"/>
    </row>
    <row r="4362" spans="1:38">
      <c r="A4362" s="182"/>
    </row>
    <row r="4363" spans="1:38">
      <c r="A4363" s="182"/>
    </row>
    <row r="4364" spans="1:38">
      <c r="A4364" s="182"/>
    </row>
    <row r="4365" spans="1:38">
      <c r="A4365" s="182"/>
    </row>
    <row r="4366" spans="1:38">
      <c r="A4366" s="182"/>
    </row>
    <row r="4367" spans="1:38">
      <c r="A4367" s="182"/>
    </row>
    <row r="4368" spans="1:38">
      <c r="A4368" s="182"/>
    </row>
    <row r="4369" spans="1:1">
      <c r="A4369" s="182"/>
    </row>
    <row r="4370" spans="1:1">
      <c r="A4370" s="182"/>
    </row>
    <row r="4371" spans="1:1">
      <c r="A4371" s="182"/>
    </row>
    <row r="4372" spans="1:1">
      <c r="A4372" s="182"/>
    </row>
    <row r="4373" spans="1:1">
      <c r="A4373" s="182"/>
    </row>
    <row r="4374" spans="1:1">
      <c r="A4374" s="182"/>
    </row>
    <row r="4375" spans="1:1">
      <c r="A4375" s="182"/>
    </row>
    <row r="4376" spans="1:1">
      <c r="A4376" s="182"/>
    </row>
    <row r="4377" spans="1:1">
      <c r="A4377" s="182"/>
    </row>
    <row r="4378" spans="1:1">
      <c r="A4378" s="182"/>
    </row>
    <row r="4379" spans="1:1">
      <c r="A4379" s="182"/>
    </row>
    <row r="4380" spans="1:1">
      <c r="A4380" s="182"/>
    </row>
    <row r="4381" spans="1:1">
      <c r="A4381" s="182"/>
    </row>
    <row r="4382" spans="1:1">
      <c r="A4382" s="182"/>
    </row>
    <row r="4383" spans="1:1">
      <c r="A4383" s="182"/>
    </row>
    <row r="4384" spans="1:1">
      <c r="A4384" s="182"/>
    </row>
    <row r="4385" spans="1:19">
      <c r="A4385" s="182"/>
    </row>
    <row r="4386" spans="1:19">
      <c r="A4386" s="182"/>
    </row>
    <row r="4387" spans="1:19">
      <c r="A4387" s="182"/>
    </row>
    <row r="4388" spans="1:19">
      <c r="A4388" s="182"/>
      <c r="R4388" s="183"/>
      <c r="S4388" s="183"/>
    </row>
    <row r="4389" spans="1:19">
      <c r="A4389" s="182"/>
      <c r="Q4389" s="183"/>
      <c r="R4389" s="183"/>
      <c r="S4389" s="183"/>
    </row>
    <row r="4390" spans="1:19">
      <c r="A4390" s="182"/>
      <c r="Q4390" s="183"/>
      <c r="R4390" s="183"/>
      <c r="S4390" s="183"/>
    </row>
    <row r="4391" spans="1:19">
      <c r="A4391" s="182"/>
      <c r="Q4391" s="183"/>
      <c r="R4391" s="183"/>
      <c r="S4391" s="183"/>
    </row>
    <row r="4392" spans="1:19">
      <c r="A4392" s="182"/>
      <c r="Q4392" s="183"/>
      <c r="R4392" s="183"/>
      <c r="S4392" s="183"/>
    </row>
    <row r="4393" spans="1:19">
      <c r="A4393" s="182"/>
      <c r="Q4393" s="183"/>
      <c r="R4393" s="183"/>
      <c r="S4393" s="183"/>
    </row>
    <row r="4394" spans="1:19">
      <c r="A4394" s="182"/>
      <c r="Q4394" s="183"/>
      <c r="R4394" s="183"/>
      <c r="S4394" s="183"/>
    </row>
    <row r="4395" spans="1:19">
      <c r="A4395" s="182"/>
      <c r="Q4395" s="183"/>
      <c r="R4395" s="183"/>
      <c r="S4395" s="183"/>
    </row>
    <row r="4396" spans="1:19">
      <c r="A4396" s="182"/>
      <c r="Q4396" s="183"/>
      <c r="R4396" s="183"/>
      <c r="S4396" s="183"/>
    </row>
    <row r="4397" spans="1:19">
      <c r="A4397" s="182"/>
      <c r="Q4397" s="183"/>
      <c r="R4397" s="183"/>
      <c r="S4397" s="183"/>
    </row>
    <row r="4398" spans="1:19">
      <c r="A4398" s="182"/>
      <c r="Q4398" s="183"/>
      <c r="R4398" s="183"/>
      <c r="S4398" s="183"/>
    </row>
    <row r="4399" spans="1:19">
      <c r="A4399" s="182"/>
      <c r="Q4399" s="183"/>
      <c r="R4399" s="183"/>
      <c r="S4399" s="183"/>
    </row>
    <row r="4400" spans="1:19">
      <c r="A4400" s="182"/>
      <c r="Q4400" s="183"/>
    </row>
    <row r="4401" spans="1:19">
      <c r="A4401" s="182"/>
      <c r="R4401" s="183"/>
      <c r="S4401" s="183"/>
    </row>
    <row r="4402" spans="1:19">
      <c r="A4402" s="182"/>
      <c r="Q4402" s="183"/>
      <c r="R4402" s="183"/>
      <c r="S4402" s="183"/>
    </row>
    <row r="4403" spans="1:19">
      <c r="A4403" s="182"/>
      <c r="Q4403" s="183"/>
    </row>
    <row r="4404" spans="1:19">
      <c r="A4404" s="182"/>
    </row>
    <row r="4405" spans="1:19">
      <c r="A4405" s="182"/>
    </row>
    <row r="4406" spans="1:19">
      <c r="A4406" s="182"/>
    </row>
    <row r="4407" spans="1:19">
      <c r="A4407" s="182"/>
    </row>
    <row r="4408" spans="1:19">
      <c r="A4408" s="182"/>
    </row>
    <row r="4409" spans="1:19">
      <c r="A4409" s="182"/>
    </row>
    <row r="4410" spans="1:19">
      <c r="A4410" s="182"/>
      <c r="R4410" s="183"/>
      <c r="S4410" s="183"/>
    </row>
    <row r="4411" spans="1:19">
      <c r="A4411" s="182"/>
      <c r="Q4411" s="183"/>
    </row>
    <row r="4412" spans="1:19">
      <c r="A4412" s="182"/>
    </row>
    <row r="4413" spans="1:19">
      <c r="A4413" s="182"/>
    </row>
    <row r="4414" spans="1:19">
      <c r="A4414" s="182"/>
    </row>
    <row r="4415" spans="1:19">
      <c r="A4415" s="182"/>
    </row>
    <row r="4416" spans="1:19">
      <c r="A4416" s="182"/>
    </row>
    <row r="4417" spans="1:38">
      <c r="A4417" s="182"/>
      <c r="AK4417" s="183"/>
      <c r="AL4417" s="183"/>
    </row>
    <row r="4418" spans="1:38">
      <c r="A4418" s="182"/>
      <c r="AJ4418" s="183"/>
      <c r="AK4418" s="183"/>
      <c r="AL4418" s="183"/>
    </row>
    <row r="4419" spans="1:38">
      <c r="A4419" s="182"/>
      <c r="AJ4419" s="183"/>
      <c r="AK4419" s="183"/>
      <c r="AL4419" s="183"/>
    </row>
    <row r="4420" spans="1:38">
      <c r="A4420" s="182"/>
      <c r="AJ4420" s="183"/>
      <c r="AK4420" s="183"/>
      <c r="AL4420" s="183"/>
    </row>
    <row r="4421" spans="1:38">
      <c r="A4421" s="182"/>
      <c r="AJ4421" s="183"/>
      <c r="AK4421" s="183"/>
      <c r="AL4421" s="183"/>
    </row>
    <row r="4422" spans="1:38">
      <c r="A4422" s="182"/>
      <c r="AJ4422" s="183"/>
      <c r="AK4422" s="183"/>
      <c r="AL4422" s="183"/>
    </row>
    <row r="4423" spans="1:38">
      <c r="A4423" s="182"/>
      <c r="AJ4423" s="183"/>
      <c r="AK4423" s="183"/>
      <c r="AL4423" s="183"/>
    </row>
    <row r="4424" spans="1:38">
      <c r="A4424" s="182"/>
      <c r="AJ4424" s="183"/>
      <c r="AK4424" s="183"/>
      <c r="AL4424" s="183"/>
    </row>
    <row r="4425" spans="1:38">
      <c r="A4425" s="182"/>
      <c r="AJ4425" s="183"/>
    </row>
    <row r="4426" spans="1:38">
      <c r="A4426" s="182"/>
    </row>
    <row r="4427" spans="1:38">
      <c r="A4427" s="182"/>
    </row>
    <row r="4428" spans="1:38">
      <c r="A4428" s="182"/>
    </row>
    <row r="4429" spans="1:38">
      <c r="A4429" s="182"/>
    </row>
    <row r="4430" spans="1:38">
      <c r="A4430" s="182"/>
    </row>
    <row r="4431" spans="1:38">
      <c r="A4431" s="182"/>
    </row>
    <row r="4432" spans="1:38">
      <c r="A4432" s="182"/>
    </row>
    <row r="4433" spans="1:38">
      <c r="A4433" s="182"/>
    </row>
    <row r="4434" spans="1:38">
      <c r="A4434" s="182"/>
    </row>
    <row r="4435" spans="1:38">
      <c r="A4435" s="182"/>
    </row>
    <row r="4436" spans="1:38">
      <c r="A4436" s="182"/>
    </row>
    <row r="4437" spans="1:38">
      <c r="A4437" s="182"/>
      <c r="R4437" s="183"/>
      <c r="S4437" s="183"/>
      <c r="AK4437" s="183"/>
      <c r="AL4437" s="183"/>
    </row>
    <row r="4438" spans="1:38">
      <c r="A4438" s="182"/>
      <c r="Q4438" s="183"/>
      <c r="R4438" s="183"/>
      <c r="S4438" s="183"/>
      <c r="AJ4438" s="183"/>
      <c r="AK4438" s="183"/>
      <c r="AL4438" s="183"/>
    </row>
    <row r="4439" spans="1:38">
      <c r="A4439" s="182"/>
      <c r="Q4439" s="183"/>
      <c r="R4439" s="183"/>
      <c r="S4439" s="183"/>
      <c r="AJ4439" s="183"/>
      <c r="AK4439" s="183"/>
      <c r="AL4439" s="183"/>
    </row>
    <row r="4440" spans="1:38">
      <c r="A4440" s="182"/>
      <c r="Q4440" s="183"/>
      <c r="AJ4440" s="183"/>
      <c r="AK4440" s="183"/>
      <c r="AL4440" s="183"/>
    </row>
    <row r="4441" spans="1:38">
      <c r="A4441" s="182"/>
      <c r="R4441" s="183"/>
      <c r="S4441" s="183"/>
      <c r="AJ4441" s="183"/>
    </row>
    <row r="4442" spans="1:38">
      <c r="A4442" s="182"/>
      <c r="Q4442" s="183"/>
      <c r="R4442" s="183"/>
      <c r="S4442" s="183"/>
    </row>
    <row r="4443" spans="1:38">
      <c r="A4443" s="182"/>
      <c r="Q4443" s="183"/>
      <c r="R4443" s="183"/>
      <c r="S4443" s="183"/>
    </row>
    <row r="4444" spans="1:38">
      <c r="A4444" s="182"/>
      <c r="Q4444" s="183"/>
      <c r="R4444" s="183"/>
      <c r="S4444" s="183"/>
    </row>
    <row r="4445" spans="1:38">
      <c r="A4445" s="182"/>
      <c r="Q4445" s="183"/>
      <c r="R4445" s="183"/>
      <c r="S4445" s="183"/>
    </row>
    <row r="4446" spans="1:38">
      <c r="A4446" s="182"/>
      <c r="Q4446" s="183"/>
      <c r="R4446" s="183"/>
      <c r="S4446" s="183"/>
    </row>
    <row r="4447" spans="1:38">
      <c r="A4447" s="182"/>
      <c r="Q4447" s="183"/>
      <c r="R4447" s="183"/>
      <c r="S4447" s="183"/>
    </row>
    <row r="4448" spans="1:38">
      <c r="A4448" s="182"/>
      <c r="Q4448" s="183"/>
      <c r="R4448" s="183"/>
      <c r="S4448" s="183"/>
    </row>
    <row r="4449" spans="1:19">
      <c r="A4449" s="182"/>
      <c r="Q4449" s="183"/>
      <c r="R4449" s="183"/>
      <c r="S4449" s="183"/>
    </row>
    <row r="4450" spans="1:19">
      <c r="A4450" s="182"/>
      <c r="Q4450" s="183"/>
      <c r="R4450" s="183"/>
      <c r="S4450" s="183"/>
    </row>
    <row r="4451" spans="1:19">
      <c r="A4451" s="182"/>
      <c r="Q4451" s="183"/>
    </row>
    <row r="4452" spans="1:19">
      <c r="A4452" s="182"/>
    </row>
    <row r="4453" spans="1:19">
      <c r="A4453" s="182"/>
    </row>
    <row r="4454" spans="1:19">
      <c r="A4454" s="182"/>
    </row>
    <row r="4455" spans="1:19">
      <c r="A4455" s="182"/>
    </row>
    <row r="4456" spans="1:19">
      <c r="A4456" s="182"/>
    </row>
    <row r="4457" spans="1:19">
      <c r="A4457" s="182"/>
    </row>
    <row r="4458" spans="1:19">
      <c r="A4458" s="182"/>
      <c r="R4458" s="183"/>
      <c r="S4458" s="183"/>
    </row>
    <row r="4459" spans="1:19">
      <c r="A4459" s="182"/>
      <c r="Q4459" s="183"/>
      <c r="R4459" s="183"/>
      <c r="S4459" s="183"/>
    </row>
    <row r="4460" spans="1:19">
      <c r="A4460" s="182"/>
      <c r="Q4460" s="183"/>
      <c r="R4460" s="183"/>
      <c r="S4460" s="183"/>
    </row>
    <row r="4461" spans="1:19">
      <c r="A4461" s="182"/>
      <c r="Q4461" s="183"/>
      <c r="R4461" s="183"/>
      <c r="S4461" s="183"/>
    </row>
    <row r="4462" spans="1:19">
      <c r="A4462" s="182"/>
      <c r="Q4462" s="183"/>
      <c r="R4462" s="183"/>
      <c r="S4462" s="183"/>
    </row>
    <row r="4463" spans="1:19">
      <c r="A4463" s="182"/>
      <c r="Q4463" s="183"/>
      <c r="R4463" s="183"/>
      <c r="S4463" s="183"/>
    </row>
    <row r="4464" spans="1:19">
      <c r="A4464" s="182"/>
      <c r="Q4464" s="183"/>
      <c r="R4464" s="183"/>
      <c r="S4464" s="183"/>
    </row>
    <row r="4465" spans="1:19">
      <c r="A4465" s="182"/>
      <c r="Q4465" s="183"/>
      <c r="R4465" s="183"/>
      <c r="S4465" s="183"/>
    </row>
    <row r="4466" spans="1:19">
      <c r="A4466" s="182"/>
      <c r="Q4466" s="183"/>
      <c r="R4466" s="183"/>
      <c r="S4466" s="183"/>
    </row>
    <row r="4467" spans="1:19">
      <c r="A4467" s="182"/>
      <c r="Q4467" s="183"/>
      <c r="R4467" s="183"/>
      <c r="S4467" s="183"/>
    </row>
    <row r="4468" spans="1:19">
      <c r="A4468" s="182"/>
      <c r="Q4468" s="183"/>
      <c r="R4468" s="183"/>
      <c r="S4468" s="183"/>
    </row>
    <row r="4469" spans="1:19">
      <c r="A4469" s="182"/>
      <c r="Q4469" s="183"/>
      <c r="R4469" s="183"/>
      <c r="S4469" s="183"/>
    </row>
    <row r="4470" spans="1:19">
      <c r="A4470" s="182"/>
      <c r="Q4470" s="183"/>
      <c r="R4470" s="183"/>
      <c r="S4470" s="183"/>
    </row>
    <row r="4471" spans="1:19">
      <c r="A4471" s="182"/>
      <c r="Q4471" s="183"/>
      <c r="R4471" s="183"/>
      <c r="S4471" s="183"/>
    </row>
    <row r="4472" spans="1:19">
      <c r="A4472" s="182"/>
      <c r="Q4472" s="183"/>
      <c r="R4472" s="183"/>
      <c r="S4472" s="183"/>
    </row>
    <row r="4473" spans="1:19">
      <c r="A4473" s="182"/>
      <c r="Q4473" s="183"/>
      <c r="R4473" s="183"/>
      <c r="S4473" s="183"/>
    </row>
    <row r="4474" spans="1:19">
      <c r="A4474" s="182"/>
      <c r="Q4474" s="183"/>
      <c r="R4474" s="183"/>
      <c r="S4474" s="183"/>
    </row>
    <row r="4475" spans="1:19">
      <c r="A4475" s="182"/>
      <c r="Q4475" s="183"/>
      <c r="R4475" s="183"/>
      <c r="S4475" s="183"/>
    </row>
    <row r="4476" spans="1:19">
      <c r="A4476" s="182"/>
      <c r="Q4476" s="183"/>
      <c r="R4476" s="183"/>
      <c r="S4476" s="183"/>
    </row>
    <row r="4477" spans="1:19">
      <c r="A4477" s="182"/>
      <c r="Q4477" s="183"/>
      <c r="R4477" s="183"/>
      <c r="S4477" s="183"/>
    </row>
    <row r="4478" spans="1:19">
      <c r="A4478" s="182"/>
      <c r="Q4478" s="183"/>
      <c r="R4478" s="183"/>
      <c r="S4478" s="183"/>
    </row>
    <row r="4479" spans="1:19">
      <c r="A4479" s="182"/>
      <c r="Q4479" s="183"/>
      <c r="R4479" s="183"/>
      <c r="S4479" s="183"/>
    </row>
    <row r="4480" spans="1:19">
      <c r="A4480" s="182"/>
      <c r="Q4480" s="183"/>
      <c r="R4480" s="183"/>
      <c r="S4480" s="183"/>
    </row>
    <row r="4481" spans="1:38">
      <c r="A4481" s="182"/>
      <c r="Q4481" s="183"/>
      <c r="R4481" s="183"/>
      <c r="S4481" s="183"/>
      <c r="AK4481" s="183"/>
      <c r="AL4481" s="183"/>
    </row>
    <row r="4482" spans="1:38">
      <c r="A4482" s="182"/>
      <c r="Q4482" s="183"/>
      <c r="R4482" s="183"/>
      <c r="S4482" s="183"/>
      <c r="AJ4482" s="183"/>
      <c r="AK4482" s="183"/>
      <c r="AL4482" s="183"/>
    </row>
    <row r="4483" spans="1:38">
      <c r="A4483" s="182"/>
      <c r="Q4483" s="183"/>
      <c r="R4483" s="183"/>
      <c r="S4483" s="183"/>
      <c r="AJ4483" s="183"/>
      <c r="AK4483" s="183"/>
      <c r="AL4483" s="183"/>
    </row>
    <row r="4484" spans="1:38">
      <c r="A4484" s="182"/>
      <c r="Q4484" s="183"/>
      <c r="R4484" s="183"/>
      <c r="S4484" s="183"/>
      <c r="AJ4484" s="183"/>
      <c r="AK4484" s="183"/>
      <c r="AL4484" s="183"/>
    </row>
    <row r="4485" spans="1:38">
      <c r="A4485" s="182"/>
      <c r="Q4485" s="183"/>
      <c r="R4485" s="183"/>
      <c r="S4485" s="183"/>
      <c r="AJ4485" s="183"/>
    </row>
    <row r="4486" spans="1:38">
      <c r="A4486" s="182"/>
      <c r="Q4486" s="183"/>
      <c r="R4486" s="183"/>
      <c r="S4486" s="183"/>
    </row>
    <row r="4487" spans="1:38">
      <c r="A4487" s="182"/>
      <c r="Q4487" s="183"/>
      <c r="R4487" s="183"/>
      <c r="S4487" s="183"/>
    </row>
    <row r="4488" spans="1:38">
      <c r="A4488" s="182"/>
      <c r="Q4488" s="183"/>
      <c r="R4488" s="183"/>
      <c r="S4488" s="183"/>
    </row>
    <row r="4489" spans="1:38">
      <c r="A4489" s="182"/>
      <c r="Q4489" s="183"/>
      <c r="R4489" s="183"/>
      <c r="S4489" s="183"/>
    </row>
    <row r="4490" spans="1:38">
      <c r="A4490" s="182"/>
      <c r="Q4490" s="183"/>
      <c r="R4490" s="183"/>
      <c r="S4490" s="183"/>
    </row>
    <row r="4491" spans="1:38">
      <c r="A4491" s="182"/>
      <c r="Q4491" s="183"/>
      <c r="R4491" s="183"/>
      <c r="S4491" s="183"/>
    </row>
    <row r="4492" spans="1:38">
      <c r="A4492" s="182"/>
      <c r="Q4492" s="183"/>
      <c r="R4492" s="183"/>
      <c r="S4492" s="183"/>
    </row>
    <row r="4493" spans="1:38">
      <c r="A4493" s="182"/>
      <c r="Q4493" s="183"/>
      <c r="R4493" s="183"/>
      <c r="S4493" s="183"/>
    </row>
    <row r="4494" spans="1:38">
      <c r="A4494" s="182"/>
      <c r="Q4494" s="183"/>
      <c r="R4494" s="183"/>
      <c r="S4494" s="183"/>
    </row>
    <row r="4495" spans="1:38">
      <c r="A4495" s="182"/>
      <c r="Q4495" s="183"/>
      <c r="R4495" s="183"/>
      <c r="S4495" s="183"/>
    </row>
    <row r="4496" spans="1:38">
      <c r="A4496" s="182"/>
      <c r="Q4496" s="183"/>
      <c r="R4496" s="183"/>
      <c r="S4496" s="183"/>
    </row>
    <row r="4497" spans="1:19">
      <c r="A4497" s="182"/>
      <c r="Q4497" s="183"/>
      <c r="R4497" s="183"/>
      <c r="S4497" s="183"/>
    </row>
    <row r="4498" spans="1:19">
      <c r="A4498" s="182"/>
      <c r="Q4498" s="183"/>
      <c r="R4498" s="183"/>
      <c r="S4498" s="183"/>
    </row>
    <row r="4499" spans="1:19">
      <c r="A4499" s="182"/>
      <c r="Q4499" s="183"/>
      <c r="R4499" s="183"/>
      <c r="S4499" s="183"/>
    </row>
    <row r="4500" spans="1:19">
      <c r="A4500" s="182"/>
      <c r="Q4500" s="183"/>
      <c r="R4500" s="183"/>
      <c r="S4500" s="183"/>
    </row>
    <row r="4501" spans="1:19">
      <c r="A4501" s="182"/>
      <c r="Q4501" s="183"/>
      <c r="R4501" s="183"/>
      <c r="S4501" s="183"/>
    </row>
    <row r="4502" spans="1:19">
      <c r="A4502" s="182"/>
      <c r="Q4502" s="183"/>
      <c r="R4502" s="183"/>
      <c r="S4502" s="183"/>
    </row>
    <row r="4503" spans="1:19">
      <c r="A4503" s="182"/>
      <c r="Q4503" s="183"/>
      <c r="R4503" s="183"/>
      <c r="S4503" s="183"/>
    </row>
    <row r="4504" spans="1:19">
      <c r="A4504" s="182"/>
      <c r="Q4504" s="183"/>
      <c r="R4504" s="183"/>
      <c r="S4504" s="183"/>
    </row>
    <row r="4505" spans="1:19">
      <c r="A4505" s="182"/>
      <c r="Q4505" s="183"/>
      <c r="R4505" s="183"/>
      <c r="S4505" s="183"/>
    </row>
    <row r="4506" spans="1:19">
      <c r="A4506" s="182"/>
      <c r="Q4506" s="183"/>
      <c r="R4506" s="183"/>
      <c r="S4506" s="183"/>
    </row>
    <row r="4507" spans="1:19">
      <c r="A4507" s="182"/>
      <c r="Q4507" s="183"/>
      <c r="R4507" s="183"/>
      <c r="S4507" s="183"/>
    </row>
    <row r="4508" spans="1:19">
      <c r="A4508" s="182"/>
      <c r="Q4508" s="183"/>
      <c r="R4508" s="183"/>
      <c r="S4508" s="183"/>
    </row>
    <row r="4509" spans="1:19">
      <c r="A4509" s="182"/>
      <c r="Q4509" s="183"/>
      <c r="R4509" s="183"/>
      <c r="S4509" s="183"/>
    </row>
    <row r="4510" spans="1:19">
      <c r="A4510" s="182"/>
      <c r="Q4510" s="183"/>
      <c r="R4510" s="183"/>
      <c r="S4510" s="183"/>
    </row>
    <row r="4511" spans="1:19">
      <c r="A4511" s="182"/>
      <c r="Q4511" s="183"/>
      <c r="R4511" s="183"/>
      <c r="S4511" s="183"/>
    </row>
    <row r="4512" spans="1:19">
      <c r="A4512" s="182"/>
      <c r="Q4512" s="183"/>
      <c r="R4512" s="183"/>
      <c r="S4512" s="183"/>
    </row>
    <row r="4513" spans="1:19">
      <c r="A4513" s="182"/>
      <c r="Q4513" s="183"/>
      <c r="R4513" s="183"/>
      <c r="S4513" s="183"/>
    </row>
    <row r="4514" spans="1:19">
      <c r="A4514" s="182"/>
      <c r="Q4514" s="183"/>
      <c r="R4514" s="183"/>
      <c r="S4514" s="183"/>
    </row>
    <row r="4515" spans="1:19">
      <c r="A4515" s="182"/>
      <c r="Q4515" s="183"/>
      <c r="R4515" s="183"/>
      <c r="S4515" s="183"/>
    </row>
    <row r="4516" spans="1:19">
      <c r="A4516" s="182"/>
      <c r="Q4516" s="183"/>
      <c r="R4516" s="183"/>
      <c r="S4516" s="183"/>
    </row>
    <row r="4517" spans="1:19">
      <c r="A4517" s="182"/>
      <c r="Q4517" s="183"/>
      <c r="R4517" s="183"/>
      <c r="S4517" s="183"/>
    </row>
    <row r="4518" spans="1:19">
      <c r="A4518" s="182"/>
      <c r="Q4518" s="183"/>
      <c r="R4518" s="183"/>
      <c r="S4518" s="183"/>
    </row>
    <row r="4519" spans="1:19">
      <c r="A4519" s="182"/>
      <c r="Q4519" s="183"/>
      <c r="R4519" s="183"/>
      <c r="S4519" s="183"/>
    </row>
    <row r="4520" spans="1:19">
      <c r="A4520" s="182"/>
      <c r="Q4520" s="183"/>
      <c r="R4520" s="183"/>
      <c r="S4520" s="183"/>
    </row>
    <row r="4521" spans="1:19">
      <c r="A4521" s="182"/>
      <c r="Q4521" s="183"/>
      <c r="R4521" s="183"/>
      <c r="S4521" s="183"/>
    </row>
    <row r="4522" spans="1:19">
      <c r="A4522" s="182"/>
      <c r="Q4522" s="183"/>
      <c r="R4522" s="183"/>
      <c r="S4522" s="183"/>
    </row>
    <row r="4523" spans="1:19">
      <c r="A4523" s="182"/>
      <c r="Q4523" s="183"/>
      <c r="R4523" s="183"/>
      <c r="S4523" s="183"/>
    </row>
    <row r="4524" spans="1:19">
      <c r="A4524" s="182"/>
      <c r="Q4524" s="183"/>
      <c r="R4524" s="183"/>
      <c r="S4524" s="183"/>
    </row>
    <row r="4525" spans="1:19">
      <c r="A4525" s="182"/>
      <c r="Q4525" s="183"/>
      <c r="R4525" s="183"/>
      <c r="S4525" s="183"/>
    </row>
    <row r="4526" spans="1:19">
      <c r="A4526" s="182"/>
      <c r="Q4526" s="183"/>
      <c r="R4526" s="183"/>
      <c r="S4526" s="183"/>
    </row>
    <row r="4527" spans="1:19">
      <c r="A4527" s="182"/>
      <c r="Q4527" s="183"/>
      <c r="R4527" s="183"/>
      <c r="S4527" s="183"/>
    </row>
    <row r="4528" spans="1:19">
      <c r="A4528" s="182"/>
      <c r="Q4528" s="183"/>
      <c r="R4528" s="183"/>
      <c r="S4528" s="183"/>
    </row>
    <row r="4529" spans="1:38">
      <c r="A4529" s="182"/>
      <c r="Q4529" s="183"/>
      <c r="R4529" s="183"/>
      <c r="S4529" s="183"/>
    </row>
    <row r="4530" spans="1:38">
      <c r="A4530" s="182"/>
      <c r="Q4530" s="183"/>
      <c r="R4530" s="183"/>
      <c r="S4530" s="183"/>
    </row>
    <row r="4531" spans="1:38">
      <c r="A4531" s="182"/>
      <c r="Q4531" s="183"/>
      <c r="R4531" s="183"/>
      <c r="S4531" s="183"/>
    </row>
    <row r="4532" spans="1:38">
      <c r="A4532" s="182"/>
      <c r="Q4532" s="183"/>
      <c r="R4532" s="183"/>
      <c r="S4532" s="183"/>
    </row>
    <row r="4533" spans="1:38">
      <c r="A4533" s="182"/>
      <c r="Q4533" s="183"/>
      <c r="R4533" s="183"/>
      <c r="S4533" s="183"/>
      <c r="AK4533" s="183"/>
      <c r="AL4533" s="183"/>
    </row>
    <row r="4534" spans="1:38">
      <c r="A4534" s="182"/>
      <c r="Q4534" s="183"/>
      <c r="R4534" s="183"/>
      <c r="S4534" s="183"/>
      <c r="AJ4534" s="183"/>
      <c r="AK4534" s="183"/>
      <c r="AL4534" s="183"/>
    </row>
    <row r="4535" spans="1:38">
      <c r="A4535" s="182"/>
      <c r="Q4535" s="183"/>
      <c r="R4535" s="183"/>
      <c r="S4535" s="183"/>
      <c r="AJ4535" s="183"/>
      <c r="AK4535" s="183"/>
      <c r="AL4535" s="183"/>
    </row>
    <row r="4536" spans="1:38">
      <c r="A4536" s="182"/>
      <c r="Q4536" s="183"/>
      <c r="R4536" s="183"/>
      <c r="S4536" s="183"/>
      <c r="AJ4536" s="183"/>
      <c r="AK4536" s="183"/>
      <c r="AL4536" s="183"/>
    </row>
    <row r="4537" spans="1:38">
      <c r="A4537" s="182"/>
      <c r="Q4537" s="183"/>
      <c r="R4537" s="183"/>
      <c r="S4537" s="183"/>
      <c r="AJ4537" s="183"/>
    </row>
    <row r="4538" spans="1:38">
      <c r="A4538" s="182"/>
      <c r="Q4538" s="183"/>
      <c r="R4538" s="183"/>
      <c r="S4538" s="183"/>
    </row>
    <row r="4539" spans="1:38">
      <c r="A4539" s="182"/>
      <c r="Q4539" s="183"/>
      <c r="R4539" s="183"/>
      <c r="S4539" s="183"/>
    </row>
    <row r="4540" spans="1:38">
      <c r="A4540" s="182"/>
      <c r="Q4540" s="183"/>
      <c r="R4540" s="183"/>
      <c r="S4540" s="183"/>
    </row>
    <row r="4541" spans="1:38">
      <c r="A4541" s="182"/>
      <c r="Q4541" s="183"/>
      <c r="R4541" s="183"/>
      <c r="S4541" s="183"/>
      <c r="AK4541" s="183"/>
      <c r="AL4541" s="183"/>
    </row>
    <row r="4542" spans="1:38">
      <c r="A4542" s="182"/>
      <c r="Q4542" s="183"/>
      <c r="R4542" s="183"/>
      <c r="S4542" s="183"/>
      <c r="AJ4542" s="183"/>
      <c r="AK4542" s="183"/>
      <c r="AL4542" s="183"/>
    </row>
    <row r="4543" spans="1:38">
      <c r="A4543" s="182"/>
      <c r="Q4543" s="183"/>
      <c r="R4543" s="183"/>
      <c r="S4543" s="183"/>
      <c r="AJ4543" s="183"/>
      <c r="AK4543" s="183"/>
      <c r="AL4543" s="183"/>
    </row>
    <row r="4544" spans="1:38">
      <c r="A4544" s="182"/>
      <c r="Q4544" s="183"/>
      <c r="R4544" s="183"/>
      <c r="S4544" s="183"/>
      <c r="AJ4544" s="183"/>
      <c r="AK4544" s="183"/>
      <c r="AL4544" s="183"/>
    </row>
    <row r="4545" spans="1:36">
      <c r="A4545" s="182"/>
      <c r="Q4545" s="183"/>
      <c r="R4545" s="183"/>
      <c r="S4545" s="183"/>
      <c r="AJ4545" s="183"/>
    </row>
    <row r="4546" spans="1:36">
      <c r="A4546" s="182"/>
      <c r="Q4546" s="183"/>
      <c r="R4546" s="183"/>
      <c r="S4546" s="183"/>
    </row>
    <row r="4547" spans="1:36">
      <c r="A4547" s="182"/>
      <c r="Q4547" s="183"/>
      <c r="R4547" s="183"/>
      <c r="S4547" s="183"/>
    </row>
    <row r="4548" spans="1:36">
      <c r="A4548" s="182"/>
      <c r="Q4548" s="183"/>
      <c r="R4548" s="183"/>
      <c r="S4548" s="183"/>
    </row>
    <row r="4549" spans="1:36">
      <c r="A4549" s="182"/>
      <c r="Q4549" s="183"/>
      <c r="R4549" s="183"/>
      <c r="S4549" s="183"/>
    </row>
    <row r="4550" spans="1:36">
      <c r="A4550" s="182"/>
      <c r="Q4550" s="183"/>
      <c r="R4550" s="183"/>
      <c r="S4550" s="183"/>
    </row>
    <row r="4551" spans="1:36">
      <c r="A4551" s="182"/>
      <c r="Q4551" s="183"/>
      <c r="R4551" s="183"/>
      <c r="S4551" s="183"/>
    </row>
    <row r="4552" spans="1:36">
      <c r="A4552" s="182"/>
      <c r="Q4552" s="183"/>
      <c r="R4552" s="183"/>
      <c r="S4552" s="183"/>
    </row>
    <row r="4553" spans="1:36">
      <c r="A4553" s="182"/>
      <c r="Q4553" s="183"/>
      <c r="R4553" s="183"/>
      <c r="S4553" s="183"/>
    </row>
    <row r="4554" spans="1:36">
      <c r="A4554" s="182"/>
      <c r="Q4554" s="183"/>
      <c r="R4554" s="183"/>
      <c r="S4554" s="183"/>
    </row>
    <row r="4555" spans="1:36">
      <c r="A4555" s="182"/>
      <c r="Q4555" s="183"/>
      <c r="R4555" s="183"/>
      <c r="S4555" s="183"/>
    </row>
    <row r="4556" spans="1:36">
      <c r="A4556" s="182"/>
      <c r="Q4556" s="183"/>
      <c r="R4556" s="183"/>
      <c r="S4556" s="183"/>
    </row>
    <row r="4557" spans="1:36">
      <c r="A4557" s="182"/>
      <c r="Q4557" s="183"/>
      <c r="R4557" s="183"/>
      <c r="S4557" s="183"/>
    </row>
    <row r="4558" spans="1:36">
      <c r="A4558" s="182"/>
      <c r="Q4558" s="183"/>
      <c r="R4558" s="183"/>
      <c r="S4558" s="183"/>
    </row>
    <row r="4559" spans="1:36">
      <c r="A4559" s="182"/>
      <c r="Q4559" s="183"/>
      <c r="R4559" s="183"/>
      <c r="S4559" s="183"/>
    </row>
    <row r="4560" spans="1:36">
      <c r="A4560" s="182"/>
      <c r="Q4560" s="183"/>
      <c r="R4560" s="183"/>
      <c r="S4560" s="183"/>
    </row>
    <row r="4561" spans="1:19">
      <c r="A4561" s="182"/>
      <c r="Q4561" s="183"/>
      <c r="R4561" s="183"/>
      <c r="S4561" s="183"/>
    </row>
    <row r="4562" spans="1:19">
      <c r="A4562" s="182"/>
      <c r="Q4562" s="183"/>
      <c r="R4562" s="183"/>
      <c r="S4562" s="183"/>
    </row>
    <row r="4563" spans="1:19">
      <c r="A4563" s="182"/>
      <c r="Q4563" s="183"/>
      <c r="R4563" s="183"/>
      <c r="S4563" s="183"/>
    </row>
    <row r="4564" spans="1:19">
      <c r="A4564" s="182"/>
      <c r="Q4564" s="183"/>
      <c r="R4564" s="183"/>
      <c r="S4564" s="183"/>
    </row>
    <row r="4565" spans="1:19">
      <c r="A4565" s="182"/>
      <c r="Q4565" s="183"/>
      <c r="R4565" s="183"/>
      <c r="S4565" s="183"/>
    </row>
    <row r="4566" spans="1:19">
      <c r="A4566" s="182"/>
      <c r="Q4566" s="183"/>
      <c r="R4566" s="183"/>
      <c r="S4566" s="183"/>
    </row>
    <row r="4567" spans="1:19">
      <c r="A4567" s="182"/>
      <c r="Q4567" s="183"/>
      <c r="R4567" s="183"/>
      <c r="S4567" s="183"/>
    </row>
    <row r="4568" spans="1:19">
      <c r="A4568" s="182"/>
      <c r="Q4568" s="183"/>
      <c r="R4568" s="183"/>
      <c r="S4568" s="183"/>
    </row>
    <row r="4569" spans="1:19">
      <c r="A4569" s="182"/>
      <c r="Q4569" s="183"/>
      <c r="R4569" s="183"/>
      <c r="S4569" s="183"/>
    </row>
    <row r="4570" spans="1:19">
      <c r="A4570" s="182"/>
      <c r="Q4570" s="183"/>
      <c r="R4570" s="183"/>
      <c r="S4570" s="183"/>
    </row>
    <row r="4571" spans="1:19">
      <c r="A4571" s="182"/>
      <c r="Q4571" s="183"/>
      <c r="R4571" s="183"/>
      <c r="S4571" s="183"/>
    </row>
    <row r="4572" spans="1:19">
      <c r="A4572" s="182"/>
      <c r="Q4572" s="183"/>
      <c r="R4572" s="183"/>
      <c r="S4572" s="183"/>
    </row>
    <row r="4573" spans="1:19">
      <c r="A4573" s="182"/>
      <c r="Q4573" s="183"/>
      <c r="R4573" s="183"/>
      <c r="S4573" s="183"/>
    </row>
    <row r="4574" spans="1:19">
      <c r="A4574" s="182"/>
      <c r="Q4574" s="183"/>
      <c r="R4574" s="183"/>
      <c r="S4574" s="183"/>
    </row>
    <row r="4575" spans="1:19">
      <c r="A4575" s="182"/>
      <c r="Q4575" s="183"/>
      <c r="R4575" s="183"/>
      <c r="S4575" s="183"/>
    </row>
    <row r="4576" spans="1:19">
      <c r="A4576" s="182"/>
      <c r="Q4576" s="183"/>
      <c r="R4576" s="183"/>
      <c r="S4576" s="183"/>
    </row>
    <row r="4577" spans="1:19">
      <c r="A4577" s="182"/>
      <c r="Q4577" s="183"/>
      <c r="R4577" s="183"/>
      <c r="S4577" s="183"/>
    </row>
    <row r="4578" spans="1:19">
      <c r="A4578" s="182"/>
      <c r="Q4578" s="183"/>
      <c r="R4578" s="183"/>
      <c r="S4578" s="183"/>
    </row>
    <row r="4579" spans="1:19">
      <c r="A4579" s="182"/>
      <c r="Q4579" s="183"/>
      <c r="R4579" s="183"/>
      <c r="S4579" s="183"/>
    </row>
    <row r="4580" spans="1:19">
      <c r="A4580" s="182"/>
      <c r="Q4580" s="183"/>
      <c r="R4580" s="183"/>
      <c r="S4580" s="183"/>
    </row>
    <row r="4581" spans="1:19">
      <c r="A4581" s="182"/>
      <c r="Q4581" s="183"/>
      <c r="R4581" s="183"/>
      <c r="S4581" s="183"/>
    </row>
    <row r="4582" spans="1:19">
      <c r="A4582" s="182"/>
      <c r="Q4582" s="183"/>
      <c r="R4582" s="183"/>
      <c r="S4582" s="183"/>
    </row>
    <row r="4583" spans="1:19">
      <c r="A4583" s="182"/>
      <c r="Q4583" s="183"/>
      <c r="R4583" s="183"/>
      <c r="S4583" s="183"/>
    </row>
    <row r="4584" spans="1:19">
      <c r="A4584" s="182"/>
      <c r="Q4584" s="183"/>
      <c r="R4584" s="183"/>
      <c r="S4584" s="183"/>
    </row>
    <row r="4585" spans="1:19">
      <c r="A4585" s="182"/>
      <c r="Q4585" s="183"/>
      <c r="R4585" s="183"/>
      <c r="S4585" s="183"/>
    </row>
    <row r="4586" spans="1:19">
      <c r="A4586" s="182"/>
      <c r="Q4586" s="183"/>
      <c r="R4586" s="183"/>
      <c r="S4586" s="183"/>
    </row>
    <row r="4587" spans="1:19">
      <c r="A4587" s="182"/>
      <c r="Q4587" s="183"/>
      <c r="R4587" s="183"/>
      <c r="S4587" s="183"/>
    </row>
    <row r="4588" spans="1:19">
      <c r="A4588" s="182"/>
      <c r="Q4588" s="183"/>
      <c r="R4588" s="183"/>
      <c r="S4588" s="183"/>
    </row>
    <row r="4589" spans="1:19">
      <c r="A4589" s="182"/>
      <c r="Q4589" s="183"/>
      <c r="R4589" s="183"/>
      <c r="S4589" s="183"/>
    </row>
    <row r="4590" spans="1:19">
      <c r="A4590" s="182"/>
      <c r="Q4590" s="183"/>
      <c r="R4590" s="183"/>
      <c r="S4590" s="183"/>
    </row>
    <row r="4591" spans="1:19">
      <c r="A4591" s="182"/>
      <c r="Q4591" s="183"/>
      <c r="R4591" s="183"/>
      <c r="S4591" s="183"/>
    </row>
    <row r="4592" spans="1:19">
      <c r="A4592" s="182"/>
      <c r="Q4592" s="183"/>
      <c r="R4592" s="183"/>
      <c r="S4592" s="183"/>
    </row>
    <row r="4593" spans="1:19">
      <c r="A4593" s="182"/>
      <c r="Q4593" s="183"/>
      <c r="R4593" s="183"/>
      <c r="S4593" s="183"/>
    </row>
    <row r="4594" spans="1:19">
      <c r="A4594" s="182"/>
      <c r="Q4594" s="183"/>
      <c r="R4594" s="183"/>
      <c r="S4594" s="183"/>
    </row>
    <row r="4595" spans="1:19">
      <c r="A4595" s="182"/>
      <c r="Q4595" s="183"/>
      <c r="R4595" s="183"/>
      <c r="S4595" s="183"/>
    </row>
    <row r="4596" spans="1:19">
      <c r="A4596" s="182"/>
      <c r="Q4596" s="183"/>
      <c r="R4596" s="183"/>
      <c r="S4596" s="183"/>
    </row>
    <row r="4597" spans="1:19">
      <c r="A4597" s="182"/>
      <c r="Q4597" s="183"/>
      <c r="R4597" s="183"/>
      <c r="S4597" s="183"/>
    </row>
    <row r="4598" spans="1:19">
      <c r="A4598" s="182"/>
      <c r="Q4598" s="183"/>
      <c r="R4598" s="183"/>
      <c r="S4598" s="183"/>
    </row>
    <row r="4599" spans="1:19">
      <c r="A4599" s="182"/>
      <c r="Q4599" s="183"/>
      <c r="R4599" s="183"/>
      <c r="S4599" s="183"/>
    </row>
    <row r="4600" spans="1:19">
      <c r="A4600" s="182"/>
      <c r="Q4600" s="183"/>
      <c r="R4600" s="183"/>
      <c r="S4600" s="183"/>
    </row>
    <row r="4601" spans="1:19">
      <c r="A4601" s="182"/>
      <c r="Q4601" s="183"/>
      <c r="R4601" s="183"/>
      <c r="S4601" s="183"/>
    </row>
    <row r="4602" spans="1:19">
      <c r="A4602" s="182"/>
      <c r="Q4602" s="183"/>
      <c r="R4602" s="183"/>
      <c r="S4602" s="183"/>
    </row>
    <row r="4603" spans="1:19">
      <c r="A4603" s="182"/>
      <c r="Q4603" s="183"/>
      <c r="R4603" s="183"/>
      <c r="S4603" s="183"/>
    </row>
    <row r="4604" spans="1:19">
      <c r="A4604" s="182"/>
      <c r="Q4604" s="183"/>
      <c r="R4604" s="183"/>
      <c r="S4604" s="183"/>
    </row>
    <row r="4605" spans="1:19">
      <c r="A4605" s="182"/>
      <c r="Q4605" s="183"/>
      <c r="R4605" s="183"/>
      <c r="S4605" s="183"/>
    </row>
    <row r="4606" spans="1:19">
      <c r="A4606" s="182"/>
      <c r="Q4606" s="183"/>
      <c r="R4606" s="183"/>
      <c r="S4606" s="183"/>
    </row>
    <row r="4607" spans="1:19">
      <c r="A4607" s="182"/>
      <c r="Q4607" s="183"/>
      <c r="R4607" s="183"/>
      <c r="S4607" s="183"/>
    </row>
    <row r="4608" spans="1:19">
      <c r="A4608" s="182"/>
      <c r="Q4608" s="183"/>
      <c r="R4608" s="183"/>
      <c r="S4608" s="183"/>
    </row>
    <row r="4609" spans="1:38">
      <c r="A4609" s="182"/>
      <c r="Q4609" s="183"/>
      <c r="R4609" s="183"/>
      <c r="S4609" s="183"/>
    </row>
    <row r="4610" spans="1:38">
      <c r="A4610" s="182"/>
      <c r="Q4610" s="183"/>
      <c r="R4610" s="183"/>
      <c r="S4610" s="183"/>
    </row>
    <row r="4611" spans="1:38">
      <c r="A4611" s="182"/>
      <c r="Q4611" s="183"/>
      <c r="R4611" s="183"/>
      <c r="S4611" s="183"/>
    </row>
    <row r="4612" spans="1:38">
      <c r="A4612" s="182"/>
      <c r="Q4612" s="183"/>
      <c r="R4612" s="183"/>
      <c r="S4612" s="183"/>
    </row>
    <row r="4613" spans="1:38">
      <c r="A4613" s="182"/>
      <c r="Q4613" s="183"/>
      <c r="R4613" s="183"/>
      <c r="S4613" s="183"/>
      <c r="AK4613" s="183"/>
      <c r="AL4613" s="183"/>
    </row>
    <row r="4614" spans="1:38">
      <c r="A4614" s="182"/>
      <c r="Q4614" s="183"/>
      <c r="R4614" s="183"/>
      <c r="S4614" s="183"/>
      <c r="AJ4614" s="183"/>
      <c r="AK4614" s="183"/>
      <c r="AL4614" s="183"/>
    </row>
    <row r="4615" spans="1:38">
      <c r="A4615" s="182"/>
      <c r="Q4615" s="183"/>
      <c r="R4615" s="183"/>
      <c r="S4615" s="183"/>
      <c r="AJ4615" s="183"/>
      <c r="AK4615" s="183"/>
      <c r="AL4615" s="183"/>
    </row>
    <row r="4616" spans="1:38">
      <c r="A4616" s="182"/>
      <c r="Q4616" s="183"/>
      <c r="R4616" s="183"/>
      <c r="S4616" s="183"/>
      <c r="AJ4616" s="183"/>
      <c r="AK4616" s="183"/>
      <c r="AL4616" s="183"/>
    </row>
    <row r="4617" spans="1:38">
      <c r="A4617" s="182"/>
      <c r="Q4617" s="183"/>
      <c r="R4617" s="183"/>
      <c r="S4617" s="183"/>
      <c r="AJ4617" s="183"/>
    </row>
    <row r="4618" spans="1:38">
      <c r="A4618" s="182"/>
      <c r="Q4618" s="183"/>
      <c r="R4618" s="183"/>
      <c r="S4618" s="183"/>
    </row>
    <row r="4619" spans="1:38">
      <c r="A4619" s="182"/>
      <c r="Q4619" s="183"/>
      <c r="R4619" s="183"/>
      <c r="S4619" s="183"/>
    </row>
    <row r="4620" spans="1:38">
      <c r="A4620" s="182"/>
      <c r="Q4620" s="183"/>
      <c r="R4620" s="183"/>
      <c r="S4620" s="183"/>
    </row>
    <row r="4621" spans="1:38">
      <c r="A4621" s="182"/>
      <c r="Q4621" s="183"/>
      <c r="R4621" s="183"/>
      <c r="S4621" s="183"/>
    </row>
    <row r="4622" spans="1:38">
      <c r="A4622" s="182"/>
      <c r="Q4622" s="183"/>
      <c r="R4622" s="183"/>
      <c r="S4622" s="183"/>
    </row>
    <row r="4623" spans="1:38">
      <c r="A4623" s="182"/>
      <c r="Q4623" s="183"/>
      <c r="R4623" s="183"/>
      <c r="S4623" s="183"/>
    </row>
    <row r="4624" spans="1:38">
      <c r="A4624" s="182"/>
      <c r="Q4624" s="183"/>
      <c r="R4624" s="183"/>
      <c r="S4624" s="183"/>
    </row>
    <row r="4625" spans="1:38">
      <c r="A4625" s="182"/>
      <c r="Q4625" s="183"/>
      <c r="R4625" s="183"/>
      <c r="S4625" s="183"/>
      <c r="AK4625" s="183"/>
      <c r="AL4625" s="183"/>
    </row>
    <row r="4626" spans="1:38">
      <c r="A4626" s="182"/>
      <c r="Q4626" s="183"/>
      <c r="R4626" s="183"/>
      <c r="S4626" s="183"/>
      <c r="AJ4626" s="183"/>
      <c r="AK4626" s="183"/>
      <c r="AL4626" s="183"/>
    </row>
    <row r="4627" spans="1:38">
      <c r="A4627" s="182"/>
      <c r="Q4627" s="183"/>
      <c r="R4627" s="183"/>
      <c r="S4627" s="183"/>
      <c r="AJ4627" s="183"/>
      <c r="AK4627" s="183"/>
      <c r="AL4627" s="183"/>
    </row>
    <row r="4628" spans="1:38">
      <c r="A4628" s="182"/>
      <c r="Q4628" s="183"/>
      <c r="R4628" s="183"/>
      <c r="S4628" s="183"/>
      <c r="AJ4628" s="183"/>
      <c r="AK4628" s="183"/>
      <c r="AL4628" s="183"/>
    </row>
    <row r="4629" spans="1:38">
      <c r="A4629" s="182"/>
      <c r="Q4629" s="183"/>
      <c r="R4629" s="183"/>
      <c r="S4629" s="183"/>
      <c r="AJ4629" s="183"/>
    </row>
    <row r="4630" spans="1:38">
      <c r="A4630" s="182"/>
      <c r="Q4630" s="183"/>
      <c r="R4630" s="183"/>
      <c r="S4630" s="183"/>
    </row>
    <row r="4631" spans="1:38">
      <c r="A4631" s="182"/>
      <c r="Q4631" s="183"/>
      <c r="R4631" s="183"/>
      <c r="S4631" s="183"/>
    </row>
    <row r="4632" spans="1:38">
      <c r="A4632" s="182"/>
      <c r="Q4632" s="183"/>
      <c r="R4632" s="183"/>
      <c r="S4632" s="183"/>
    </row>
    <row r="4633" spans="1:38">
      <c r="A4633" s="182"/>
      <c r="Q4633" s="183"/>
      <c r="R4633" s="183"/>
      <c r="S4633" s="183"/>
    </row>
    <row r="4634" spans="1:38">
      <c r="A4634" s="182"/>
      <c r="Q4634" s="183"/>
      <c r="R4634" s="183"/>
      <c r="S4634" s="183"/>
    </row>
    <row r="4635" spans="1:38">
      <c r="A4635" s="182"/>
      <c r="Q4635" s="183"/>
      <c r="R4635" s="183"/>
      <c r="S4635" s="183"/>
    </row>
    <row r="4636" spans="1:38">
      <c r="A4636" s="182"/>
      <c r="Q4636" s="183"/>
      <c r="R4636" s="183"/>
      <c r="S4636" s="183"/>
    </row>
    <row r="4637" spans="1:38">
      <c r="A4637" s="182"/>
      <c r="Q4637" s="183"/>
      <c r="R4637" s="183"/>
      <c r="S4637" s="183"/>
      <c r="AK4637" s="183"/>
      <c r="AL4637" s="183"/>
    </row>
    <row r="4638" spans="1:38">
      <c r="A4638" s="182"/>
      <c r="Q4638" s="183"/>
      <c r="R4638" s="183"/>
      <c r="S4638" s="183"/>
      <c r="AJ4638" s="183"/>
      <c r="AK4638" s="183"/>
      <c r="AL4638" s="183"/>
    </row>
    <row r="4639" spans="1:38">
      <c r="A4639" s="182"/>
      <c r="Q4639" s="183"/>
      <c r="R4639" s="183"/>
      <c r="S4639" s="183"/>
      <c r="AJ4639" s="183"/>
      <c r="AK4639" s="183"/>
      <c r="AL4639" s="183"/>
    </row>
    <row r="4640" spans="1:38">
      <c r="A4640" s="182"/>
      <c r="Q4640" s="183"/>
      <c r="R4640" s="183"/>
      <c r="S4640" s="183"/>
      <c r="AJ4640" s="183"/>
      <c r="AK4640" s="183"/>
      <c r="AL4640" s="183"/>
    </row>
    <row r="4641" spans="1:38">
      <c r="A4641" s="182"/>
      <c r="Q4641" s="183"/>
      <c r="R4641" s="183"/>
      <c r="S4641" s="183"/>
      <c r="AJ4641" s="183"/>
      <c r="AK4641" s="183"/>
      <c r="AL4641" s="183"/>
    </row>
    <row r="4642" spans="1:38">
      <c r="A4642" s="182"/>
      <c r="Q4642" s="183"/>
      <c r="R4642" s="183"/>
      <c r="S4642" s="183"/>
      <c r="AJ4642" s="183"/>
      <c r="AK4642" s="183"/>
      <c r="AL4642" s="183"/>
    </row>
    <row r="4643" spans="1:38">
      <c r="A4643" s="182"/>
      <c r="Q4643" s="183"/>
      <c r="R4643" s="183"/>
      <c r="S4643" s="183"/>
      <c r="AJ4643" s="183"/>
      <c r="AK4643" s="183"/>
      <c r="AL4643" s="183"/>
    </row>
    <row r="4644" spans="1:38">
      <c r="A4644" s="182"/>
      <c r="Q4644" s="183"/>
      <c r="R4644" s="183"/>
      <c r="S4644" s="183"/>
      <c r="AJ4644" s="183"/>
      <c r="AK4644" s="183"/>
      <c r="AL4644" s="183"/>
    </row>
    <row r="4645" spans="1:38">
      <c r="A4645" s="182"/>
      <c r="Q4645" s="183"/>
      <c r="R4645" s="183"/>
      <c r="S4645" s="183"/>
      <c r="AJ4645" s="183"/>
    </row>
    <row r="4646" spans="1:38">
      <c r="A4646" s="182"/>
      <c r="Q4646" s="183"/>
      <c r="R4646" s="183"/>
      <c r="S4646" s="183"/>
    </row>
    <row r="4647" spans="1:38">
      <c r="A4647" s="182"/>
      <c r="Q4647" s="183"/>
      <c r="R4647" s="183"/>
      <c r="S4647" s="183"/>
    </row>
    <row r="4648" spans="1:38">
      <c r="A4648" s="182"/>
      <c r="Q4648" s="183"/>
      <c r="R4648" s="183"/>
      <c r="S4648" s="183"/>
    </row>
    <row r="4649" spans="1:38">
      <c r="A4649" s="182"/>
      <c r="Q4649" s="183"/>
      <c r="R4649" s="183"/>
      <c r="S4649" s="183"/>
    </row>
    <row r="4650" spans="1:38">
      <c r="A4650" s="182"/>
      <c r="Q4650" s="183"/>
      <c r="R4650" s="183"/>
      <c r="S4650" s="183"/>
    </row>
    <row r="4651" spans="1:38">
      <c r="A4651" s="182"/>
      <c r="Q4651" s="183"/>
    </row>
    <row r="4652" spans="1:38">
      <c r="A4652" s="182"/>
      <c r="R4652" s="183"/>
      <c r="S4652" s="183"/>
    </row>
    <row r="4653" spans="1:38">
      <c r="A4653" s="182"/>
      <c r="Q4653" s="183"/>
      <c r="R4653" s="183"/>
      <c r="S4653" s="183"/>
    </row>
    <row r="4654" spans="1:38">
      <c r="A4654" s="182"/>
      <c r="Q4654" s="183"/>
      <c r="R4654" s="183"/>
      <c r="S4654" s="183"/>
    </row>
    <row r="4655" spans="1:38">
      <c r="A4655" s="182"/>
      <c r="Q4655" s="183"/>
      <c r="R4655" s="183"/>
      <c r="S4655" s="183"/>
    </row>
    <row r="4656" spans="1:38">
      <c r="A4656" s="182"/>
      <c r="Q4656" s="183"/>
      <c r="R4656" s="183"/>
      <c r="S4656" s="183"/>
    </row>
    <row r="4657" spans="1:19">
      <c r="A4657" s="182"/>
      <c r="Q4657" s="183"/>
      <c r="R4657" s="183"/>
      <c r="S4657" s="183"/>
    </row>
    <row r="4658" spans="1:19">
      <c r="A4658" s="182"/>
      <c r="Q4658" s="183"/>
      <c r="R4658" s="183"/>
      <c r="S4658" s="183"/>
    </row>
    <row r="4659" spans="1:19">
      <c r="A4659" s="182"/>
      <c r="Q4659" s="183"/>
      <c r="R4659" s="183"/>
      <c r="S4659" s="183"/>
    </row>
    <row r="4660" spans="1:19">
      <c r="A4660" s="182"/>
      <c r="Q4660" s="183"/>
      <c r="R4660" s="183"/>
      <c r="S4660" s="183"/>
    </row>
    <row r="4661" spans="1:19">
      <c r="A4661" s="182"/>
      <c r="Q4661" s="183"/>
      <c r="R4661" s="183"/>
      <c r="S4661" s="183"/>
    </row>
    <row r="4662" spans="1:19">
      <c r="A4662" s="182"/>
      <c r="Q4662" s="183"/>
      <c r="R4662" s="183"/>
      <c r="S4662" s="183"/>
    </row>
    <row r="4663" spans="1:19">
      <c r="A4663" s="182"/>
      <c r="Q4663" s="183"/>
      <c r="R4663" s="183"/>
      <c r="S4663" s="183"/>
    </row>
    <row r="4664" spans="1:19">
      <c r="A4664" s="182"/>
      <c r="Q4664" s="183"/>
      <c r="R4664" s="183"/>
      <c r="S4664" s="183"/>
    </row>
    <row r="4665" spans="1:19">
      <c r="A4665" s="182"/>
      <c r="Q4665" s="183"/>
      <c r="R4665" s="183"/>
      <c r="S4665" s="183"/>
    </row>
    <row r="4666" spans="1:19">
      <c r="A4666" s="182"/>
      <c r="Q4666" s="183"/>
      <c r="R4666" s="183"/>
      <c r="S4666" s="183"/>
    </row>
    <row r="4667" spans="1:19">
      <c r="A4667" s="182"/>
      <c r="Q4667" s="183"/>
      <c r="R4667" s="183"/>
      <c r="S4667" s="183"/>
    </row>
    <row r="4668" spans="1:19">
      <c r="A4668" s="182"/>
      <c r="Q4668" s="183"/>
      <c r="R4668" s="183"/>
      <c r="S4668" s="183"/>
    </row>
    <row r="4669" spans="1:19">
      <c r="A4669" s="182"/>
      <c r="Q4669" s="183"/>
      <c r="R4669" s="183"/>
      <c r="S4669" s="183"/>
    </row>
    <row r="4670" spans="1:19">
      <c r="A4670" s="182"/>
      <c r="Q4670" s="183"/>
      <c r="R4670" s="183"/>
      <c r="S4670" s="183"/>
    </row>
    <row r="4671" spans="1:19">
      <c r="A4671" s="182"/>
      <c r="Q4671" s="183"/>
      <c r="R4671" s="183"/>
      <c r="S4671" s="183"/>
    </row>
    <row r="4672" spans="1:19">
      <c r="A4672" s="182"/>
      <c r="Q4672" s="183"/>
      <c r="R4672" s="183"/>
      <c r="S4672" s="183"/>
    </row>
    <row r="4673" spans="1:19">
      <c r="A4673" s="182"/>
      <c r="Q4673" s="183"/>
      <c r="R4673" s="183"/>
      <c r="S4673" s="183"/>
    </row>
    <row r="4674" spans="1:19">
      <c r="A4674" s="182"/>
      <c r="Q4674" s="183"/>
      <c r="R4674" s="183"/>
      <c r="S4674" s="183"/>
    </row>
    <row r="4675" spans="1:19">
      <c r="A4675" s="182"/>
      <c r="Q4675" s="183"/>
      <c r="R4675" s="183"/>
      <c r="S4675" s="183"/>
    </row>
    <row r="4676" spans="1:19">
      <c r="A4676" s="182"/>
      <c r="Q4676" s="183"/>
      <c r="R4676" s="183"/>
      <c r="S4676" s="183"/>
    </row>
    <row r="4677" spans="1:19">
      <c r="A4677" s="182"/>
      <c r="Q4677" s="183"/>
      <c r="R4677" s="183"/>
      <c r="S4677" s="183"/>
    </row>
    <row r="4678" spans="1:19">
      <c r="A4678" s="182"/>
      <c r="Q4678" s="183"/>
      <c r="R4678" s="183"/>
      <c r="S4678" s="183"/>
    </row>
    <row r="4679" spans="1:19">
      <c r="A4679" s="182"/>
      <c r="Q4679" s="183"/>
      <c r="R4679" s="183"/>
      <c r="S4679" s="183"/>
    </row>
    <row r="4680" spans="1:19">
      <c r="A4680" s="182"/>
      <c r="Q4680" s="183"/>
      <c r="R4680" s="183"/>
      <c r="S4680" s="183"/>
    </row>
    <row r="4681" spans="1:19">
      <c r="A4681" s="182"/>
      <c r="Q4681" s="183"/>
      <c r="R4681" s="183"/>
      <c r="S4681" s="183"/>
    </row>
    <row r="4682" spans="1:19">
      <c r="A4682" s="182"/>
      <c r="Q4682" s="183"/>
      <c r="R4682" s="183"/>
      <c r="S4682" s="183"/>
    </row>
    <row r="4683" spans="1:19">
      <c r="A4683" s="182"/>
      <c r="Q4683" s="183"/>
      <c r="R4683" s="183"/>
      <c r="S4683" s="183"/>
    </row>
    <row r="4684" spans="1:19">
      <c r="A4684" s="182"/>
      <c r="Q4684" s="183"/>
      <c r="R4684" s="183"/>
      <c r="S4684" s="183"/>
    </row>
    <row r="4685" spans="1:19">
      <c r="A4685" s="182"/>
      <c r="Q4685" s="183"/>
      <c r="R4685" s="183"/>
      <c r="S4685" s="183"/>
    </row>
    <row r="4686" spans="1:19">
      <c r="A4686" s="182"/>
      <c r="Q4686" s="183"/>
      <c r="R4686" s="183"/>
      <c r="S4686" s="183"/>
    </row>
    <row r="4687" spans="1:19">
      <c r="A4687" s="182"/>
      <c r="Q4687" s="183"/>
      <c r="R4687" s="183"/>
      <c r="S4687" s="183"/>
    </row>
    <row r="4688" spans="1:19">
      <c r="A4688" s="182"/>
      <c r="Q4688" s="183"/>
      <c r="R4688" s="183"/>
      <c r="S4688" s="183"/>
    </row>
    <row r="4689" spans="1:19">
      <c r="A4689" s="182"/>
      <c r="Q4689" s="183"/>
      <c r="R4689" s="183"/>
      <c r="S4689" s="183"/>
    </row>
    <row r="4690" spans="1:19">
      <c r="A4690" s="182"/>
      <c r="Q4690" s="183"/>
      <c r="R4690" s="183"/>
      <c r="S4690" s="183"/>
    </row>
    <row r="4691" spans="1:19">
      <c r="A4691" s="182"/>
      <c r="Q4691" s="183"/>
      <c r="R4691" s="183"/>
      <c r="S4691" s="183"/>
    </row>
    <row r="4692" spans="1:19">
      <c r="A4692" s="182"/>
      <c r="Q4692" s="183"/>
      <c r="R4692" s="183"/>
      <c r="S4692" s="183"/>
    </row>
    <row r="4693" spans="1:19">
      <c r="A4693" s="182"/>
      <c r="Q4693" s="183"/>
      <c r="R4693" s="183"/>
      <c r="S4693" s="183"/>
    </row>
    <row r="4694" spans="1:19">
      <c r="A4694" s="182"/>
      <c r="Q4694" s="183"/>
      <c r="R4694" s="183"/>
      <c r="S4694" s="183"/>
    </row>
    <row r="4695" spans="1:19">
      <c r="A4695" s="182"/>
      <c r="Q4695" s="183"/>
      <c r="R4695" s="183"/>
      <c r="S4695" s="183"/>
    </row>
    <row r="4696" spans="1:19">
      <c r="A4696" s="182"/>
      <c r="Q4696" s="183"/>
      <c r="R4696" s="183"/>
      <c r="S4696" s="183"/>
    </row>
    <row r="4697" spans="1:19">
      <c r="A4697" s="182"/>
      <c r="Q4697" s="183"/>
      <c r="R4697" s="183"/>
      <c r="S4697" s="183"/>
    </row>
    <row r="4698" spans="1:19">
      <c r="A4698" s="182"/>
      <c r="Q4698" s="183"/>
      <c r="R4698" s="183"/>
      <c r="S4698" s="183"/>
    </row>
    <row r="4699" spans="1:19">
      <c r="A4699" s="182"/>
      <c r="Q4699" s="183"/>
      <c r="R4699" s="183"/>
      <c r="S4699" s="183"/>
    </row>
    <row r="4700" spans="1:19">
      <c r="A4700" s="182"/>
      <c r="Q4700" s="183"/>
      <c r="R4700" s="183"/>
      <c r="S4700" s="183"/>
    </row>
    <row r="4701" spans="1:19">
      <c r="A4701" s="182"/>
      <c r="Q4701" s="183"/>
      <c r="R4701" s="183"/>
      <c r="S4701" s="183"/>
    </row>
    <row r="4702" spans="1:19">
      <c r="A4702" s="182"/>
      <c r="Q4702" s="183"/>
      <c r="R4702" s="183"/>
      <c r="S4702" s="183"/>
    </row>
    <row r="4703" spans="1:19">
      <c r="A4703" s="182"/>
      <c r="Q4703" s="183"/>
      <c r="R4703" s="183"/>
      <c r="S4703" s="183"/>
    </row>
    <row r="4704" spans="1:19">
      <c r="A4704" s="182"/>
      <c r="Q4704" s="183"/>
      <c r="R4704" s="183"/>
      <c r="S4704" s="183"/>
    </row>
    <row r="4705" spans="1:38">
      <c r="A4705" s="182"/>
      <c r="Q4705" s="183"/>
      <c r="R4705" s="183"/>
      <c r="S4705" s="183"/>
    </row>
    <row r="4706" spans="1:38">
      <c r="A4706" s="182"/>
      <c r="Q4706" s="183"/>
      <c r="R4706" s="183"/>
      <c r="S4706" s="183"/>
    </row>
    <row r="4707" spans="1:38">
      <c r="A4707" s="182"/>
      <c r="Q4707" s="183"/>
      <c r="R4707" s="183"/>
      <c r="S4707" s="183"/>
    </row>
    <row r="4708" spans="1:38">
      <c r="A4708" s="182"/>
      <c r="Q4708" s="183"/>
      <c r="R4708" s="183"/>
      <c r="S4708" s="183"/>
    </row>
    <row r="4709" spans="1:38">
      <c r="A4709" s="182"/>
      <c r="Q4709" s="183"/>
      <c r="R4709" s="183"/>
      <c r="S4709" s="183"/>
      <c r="AK4709" s="183"/>
      <c r="AL4709" s="183"/>
    </row>
    <row r="4710" spans="1:38">
      <c r="A4710" s="182"/>
      <c r="Q4710" s="183"/>
      <c r="R4710" s="183"/>
      <c r="S4710" s="183"/>
      <c r="AJ4710" s="183"/>
      <c r="AK4710" s="183"/>
      <c r="AL4710" s="183"/>
    </row>
    <row r="4711" spans="1:38">
      <c r="A4711" s="182"/>
      <c r="Q4711" s="183"/>
      <c r="R4711" s="183"/>
      <c r="S4711" s="183"/>
      <c r="AJ4711" s="183"/>
      <c r="AK4711" s="183"/>
      <c r="AL4711" s="183"/>
    </row>
    <row r="4712" spans="1:38">
      <c r="A4712" s="182"/>
      <c r="Q4712" s="183"/>
      <c r="R4712" s="183"/>
      <c r="S4712" s="183"/>
      <c r="AJ4712" s="183"/>
      <c r="AK4712" s="183"/>
      <c r="AL4712" s="183"/>
    </row>
    <row r="4713" spans="1:38">
      <c r="A4713" s="182"/>
      <c r="Q4713" s="183"/>
      <c r="R4713" s="183"/>
      <c r="S4713" s="183"/>
      <c r="AJ4713" s="183"/>
    </row>
    <row r="4714" spans="1:38">
      <c r="A4714" s="182"/>
      <c r="Q4714" s="183"/>
      <c r="R4714" s="183"/>
      <c r="S4714" s="183"/>
    </row>
    <row r="4715" spans="1:38">
      <c r="A4715" s="182"/>
      <c r="Q4715" s="183"/>
      <c r="R4715" s="183"/>
      <c r="S4715" s="183"/>
    </row>
    <row r="4716" spans="1:38">
      <c r="A4716" s="182"/>
      <c r="Q4716" s="183"/>
      <c r="R4716" s="183"/>
      <c r="S4716" s="183"/>
    </row>
    <row r="4717" spans="1:38">
      <c r="A4717" s="182"/>
      <c r="Q4717" s="183"/>
      <c r="R4717" s="183"/>
      <c r="S4717" s="183"/>
      <c r="AK4717" s="183"/>
      <c r="AL4717" s="183"/>
    </row>
    <row r="4718" spans="1:38">
      <c r="A4718" s="182"/>
      <c r="Q4718" s="183"/>
      <c r="R4718" s="183"/>
      <c r="S4718" s="183"/>
      <c r="AJ4718" s="183"/>
      <c r="AK4718" s="183"/>
      <c r="AL4718" s="183"/>
    </row>
    <row r="4719" spans="1:38">
      <c r="A4719" s="182"/>
      <c r="Q4719" s="183"/>
      <c r="R4719" s="183"/>
      <c r="S4719" s="183"/>
      <c r="AJ4719" s="183"/>
      <c r="AK4719" s="183"/>
      <c r="AL4719" s="183"/>
    </row>
    <row r="4720" spans="1:38">
      <c r="A4720" s="182"/>
      <c r="Q4720" s="183"/>
      <c r="R4720" s="183"/>
      <c r="S4720" s="183"/>
      <c r="AJ4720" s="183"/>
      <c r="AK4720" s="183"/>
      <c r="AL4720" s="183"/>
    </row>
    <row r="4721" spans="1:38">
      <c r="A4721" s="182"/>
      <c r="Q4721" s="183"/>
      <c r="R4721" s="183"/>
      <c r="S4721" s="183"/>
      <c r="AJ4721" s="183"/>
      <c r="AK4721" s="183"/>
      <c r="AL4721" s="183"/>
    </row>
    <row r="4722" spans="1:38">
      <c r="A4722" s="182"/>
      <c r="Q4722" s="183"/>
      <c r="R4722" s="183"/>
      <c r="S4722" s="183"/>
      <c r="AJ4722" s="183"/>
      <c r="AK4722" s="183"/>
      <c r="AL4722" s="183"/>
    </row>
    <row r="4723" spans="1:38">
      <c r="A4723" s="182"/>
      <c r="Q4723" s="183"/>
      <c r="R4723" s="183"/>
      <c r="S4723" s="183"/>
      <c r="AJ4723" s="183"/>
      <c r="AK4723" s="183"/>
      <c r="AL4723" s="183"/>
    </row>
    <row r="4724" spans="1:38">
      <c r="A4724" s="182"/>
      <c r="Q4724" s="183"/>
      <c r="R4724" s="183"/>
      <c r="S4724" s="183"/>
      <c r="AJ4724" s="183"/>
      <c r="AK4724" s="183"/>
      <c r="AL4724" s="183"/>
    </row>
    <row r="4725" spans="1:38">
      <c r="A4725" s="182"/>
      <c r="Q4725" s="183"/>
      <c r="R4725" s="183"/>
      <c r="S4725" s="183"/>
      <c r="AJ4725" s="183"/>
    </row>
    <row r="4726" spans="1:38">
      <c r="A4726" s="182"/>
      <c r="Q4726" s="183"/>
      <c r="R4726" s="183"/>
      <c r="S4726" s="183"/>
    </row>
    <row r="4727" spans="1:38">
      <c r="A4727" s="182"/>
      <c r="Q4727" s="183"/>
      <c r="R4727" s="183"/>
      <c r="S4727" s="183"/>
    </row>
    <row r="4728" spans="1:38">
      <c r="A4728" s="182"/>
      <c r="Q4728" s="183"/>
      <c r="R4728" s="183"/>
      <c r="S4728" s="183"/>
    </row>
    <row r="4729" spans="1:38">
      <c r="A4729" s="182"/>
      <c r="Q4729" s="183"/>
      <c r="R4729" s="183"/>
      <c r="S4729" s="183"/>
      <c r="AK4729" s="183"/>
      <c r="AL4729" s="183"/>
    </row>
    <row r="4730" spans="1:38">
      <c r="A4730" s="182"/>
      <c r="Q4730" s="183"/>
      <c r="R4730" s="183"/>
      <c r="S4730" s="183"/>
      <c r="AJ4730" s="183"/>
      <c r="AK4730" s="183"/>
      <c r="AL4730" s="183"/>
    </row>
    <row r="4731" spans="1:38">
      <c r="A4731" s="182"/>
      <c r="Q4731" s="183"/>
      <c r="R4731" s="183"/>
      <c r="S4731" s="183"/>
      <c r="AJ4731" s="183"/>
      <c r="AK4731" s="183"/>
      <c r="AL4731" s="183"/>
    </row>
    <row r="4732" spans="1:38">
      <c r="A4732" s="182"/>
      <c r="Q4732" s="183"/>
      <c r="R4732" s="183"/>
      <c r="S4732" s="183"/>
      <c r="AJ4732" s="183"/>
      <c r="AK4732" s="183"/>
      <c r="AL4732" s="183"/>
    </row>
    <row r="4733" spans="1:38">
      <c r="A4733" s="182"/>
      <c r="Q4733" s="183"/>
      <c r="R4733" s="183"/>
      <c r="S4733" s="183"/>
      <c r="AJ4733" s="183"/>
      <c r="AK4733" s="183"/>
      <c r="AL4733" s="183"/>
    </row>
    <row r="4734" spans="1:38">
      <c r="A4734" s="182"/>
      <c r="Q4734" s="183"/>
      <c r="R4734" s="183"/>
      <c r="S4734" s="183"/>
      <c r="AJ4734" s="183"/>
      <c r="AK4734" s="183"/>
      <c r="AL4734" s="183"/>
    </row>
    <row r="4735" spans="1:38">
      <c r="A4735" s="182"/>
      <c r="Q4735" s="183"/>
      <c r="R4735" s="183"/>
      <c r="S4735" s="183"/>
      <c r="AJ4735" s="183"/>
      <c r="AK4735" s="183"/>
      <c r="AL4735" s="183"/>
    </row>
    <row r="4736" spans="1:38">
      <c r="A4736" s="182"/>
      <c r="Q4736" s="183"/>
      <c r="R4736" s="183"/>
      <c r="S4736" s="183"/>
      <c r="AJ4736" s="183"/>
      <c r="AK4736" s="183"/>
      <c r="AL4736" s="183"/>
    </row>
    <row r="4737" spans="1:36">
      <c r="A4737" s="182"/>
      <c r="Q4737" s="183"/>
      <c r="R4737" s="183"/>
      <c r="S4737" s="183"/>
      <c r="AJ4737" s="183"/>
    </row>
    <row r="4738" spans="1:36">
      <c r="A4738" s="182"/>
      <c r="Q4738" s="183"/>
      <c r="R4738" s="183"/>
      <c r="S4738" s="183"/>
    </row>
    <row r="4739" spans="1:36">
      <c r="A4739" s="182"/>
      <c r="Q4739" s="183"/>
      <c r="R4739" s="183"/>
      <c r="S4739" s="183"/>
    </row>
    <row r="4740" spans="1:36">
      <c r="A4740" s="182"/>
      <c r="Q4740" s="183"/>
      <c r="R4740" s="183"/>
      <c r="S4740" s="183"/>
    </row>
    <row r="4741" spans="1:36">
      <c r="A4741" s="182"/>
      <c r="Q4741" s="183"/>
      <c r="R4741" s="183"/>
      <c r="S4741" s="183"/>
    </row>
    <row r="4742" spans="1:36">
      <c r="A4742" s="182"/>
      <c r="Q4742" s="183"/>
      <c r="R4742" s="183"/>
      <c r="S4742" s="183"/>
    </row>
    <row r="4743" spans="1:36">
      <c r="A4743" s="182"/>
      <c r="Q4743" s="183"/>
      <c r="R4743" s="183"/>
      <c r="S4743" s="183"/>
    </row>
    <row r="4744" spans="1:36">
      <c r="A4744" s="182"/>
      <c r="Q4744" s="183"/>
      <c r="R4744" s="183"/>
      <c r="S4744" s="183"/>
    </row>
    <row r="4745" spans="1:36">
      <c r="A4745" s="182"/>
      <c r="Q4745" s="183"/>
      <c r="R4745" s="183"/>
      <c r="S4745" s="183"/>
    </row>
    <row r="4746" spans="1:36">
      <c r="A4746" s="182"/>
      <c r="Q4746" s="183"/>
      <c r="R4746" s="183"/>
      <c r="S4746" s="183"/>
    </row>
    <row r="4747" spans="1:36">
      <c r="A4747" s="182"/>
      <c r="Q4747" s="183"/>
      <c r="R4747" s="183"/>
      <c r="S4747" s="183"/>
    </row>
    <row r="4748" spans="1:36">
      <c r="A4748" s="182"/>
      <c r="Q4748" s="183"/>
      <c r="R4748" s="183"/>
      <c r="S4748" s="183"/>
    </row>
    <row r="4749" spans="1:36">
      <c r="A4749" s="182"/>
      <c r="Q4749" s="183"/>
      <c r="R4749" s="183"/>
      <c r="S4749" s="183"/>
    </row>
    <row r="4750" spans="1:36">
      <c r="A4750" s="182"/>
      <c r="Q4750" s="183"/>
      <c r="R4750" s="183"/>
      <c r="S4750" s="183"/>
    </row>
    <row r="4751" spans="1:36">
      <c r="A4751" s="182"/>
      <c r="Q4751" s="183"/>
      <c r="R4751" s="183"/>
      <c r="S4751" s="183"/>
    </row>
    <row r="4752" spans="1:36">
      <c r="A4752" s="182"/>
      <c r="Q4752" s="183"/>
      <c r="R4752" s="183"/>
      <c r="S4752" s="183"/>
    </row>
    <row r="4753" spans="1:19">
      <c r="A4753" s="182"/>
      <c r="Q4753" s="183"/>
      <c r="R4753" s="183"/>
      <c r="S4753" s="183"/>
    </row>
    <row r="4754" spans="1:19">
      <c r="A4754" s="182"/>
      <c r="Q4754" s="183"/>
      <c r="R4754" s="183"/>
      <c r="S4754" s="183"/>
    </row>
    <row r="4755" spans="1:19">
      <c r="A4755" s="182"/>
      <c r="Q4755" s="183"/>
      <c r="R4755" s="183"/>
      <c r="S4755" s="183"/>
    </row>
    <row r="4756" spans="1:19">
      <c r="A4756" s="182"/>
      <c r="Q4756" s="183"/>
      <c r="R4756" s="183"/>
      <c r="S4756" s="183"/>
    </row>
    <row r="4757" spans="1:19">
      <c r="A4757" s="182"/>
      <c r="Q4757" s="183"/>
      <c r="R4757" s="183"/>
      <c r="S4757" s="183"/>
    </row>
    <row r="4758" spans="1:19">
      <c r="A4758" s="182"/>
      <c r="Q4758" s="183"/>
      <c r="R4758" s="183"/>
      <c r="S4758" s="183"/>
    </row>
    <row r="4759" spans="1:19">
      <c r="A4759" s="182"/>
      <c r="Q4759" s="183"/>
      <c r="R4759" s="183"/>
      <c r="S4759" s="183"/>
    </row>
    <row r="4760" spans="1:19">
      <c r="A4760" s="182"/>
      <c r="Q4760" s="183"/>
      <c r="R4760" s="183"/>
      <c r="S4760" s="183"/>
    </row>
    <row r="4761" spans="1:19">
      <c r="A4761" s="182"/>
      <c r="Q4761" s="183"/>
      <c r="R4761" s="183"/>
      <c r="S4761" s="183"/>
    </row>
    <row r="4762" spans="1:19">
      <c r="A4762" s="182"/>
      <c r="Q4762" s="183"/>
      <c r="R4762" s="183"/>
      <c r="S4762" s="183"/>
    </row>
    <row r="4763" spans="1:19">
      <c r="A4763" s="182"/>
      <c r="Q4763" s="183"/>
      <c r="R4763" s="183"/>
      <c r="S4763" s="183"/>
    </row>
    <row r="4764" spans="1:19">
      <c r="A4764" s="182"/>
      <c r="Q4764" s="183"/>
      <c r="R4764" s="183"/>
      <c r="S4764" s="183"/>
    </row>
    <row r="4765" spans="1:19">
      <c r="A4765" s="182"/>
      <c r="Q4765" s="183"/>
      <c r="R4765" s="183"/>
      <c r="S4765" s="183"/>
    </row>
    <row r="4766" spans="1:19">
      <c r="A4766" s="182"/>
      <c r="Q4766" s="183"/>
      <c r="R4766" s="183"/>
      <c r="S4766" s="183"/>
    </row>
    <row r="4767" spans="1:19">
      <c r="A4767" s="182"/>
      <c r="Q4767" s="183"/>
      <c r="R4767" s="183"/>
      <c r="S4767" s="183"/>
    </row>
    <row r="4768" spans="1:19">
      <c r="A4768" s="182"/>
      <c r="Q4768" s="183"/>
      <c r="R4768" s="183"/>
      <c r="S4768" s="183"/>
    </row>
    <row r="4769" spans="1:19">
      <c r="A4769" s="182"/>
      <c r="Q4769" s="183"/>
      <c r="R4769" s="183"/>
      <c r="S4769" s="183"/>
    </row>
    <row r="4770" spans="1:19">
      <c r="A4770" s="182"/>
      <c r="Q4770" s="183"/>
      <c r="R4770" s="183"/>
      <c r="S4770" s="183"/>
    </row>
    <row r="4771" spans="1:19">
      <c r="A4771" s="182"/>
      <c r="Q4771" s="183"/>
      <c r="R4771" s="183"/>
      <c r="S4771" s="183"/>
    </row>
    <row r="4772" spans="1:19">
      <c r="A4772" s="182"/>
      <c r="Q4772" s="183"/>
      <c r="R4772" s="183"/>
      <c r="S4772" s="183"/>
    </row>
    <row r="4773" spans="1:19">
      <c r="A4773" s="182"/>
      <c r="Q4773" s="183"/>
      <c r="R4773" s="183"/>
      <c r="S4773" s="183"/>
    </row>
    <row r="4774" spans="1:19">
      <c r="A4774" s="182"/>
      <c r="Q4774" s="183"/>
      <c r="R4774" s="183"/>
      <c r="S4774" s="183"/>
    </row>
    <row r="4775" spans="1:19">
      <c r="A4775" s="182"/>
      <c r="Q4775" s="183"/>
      <c r="R4775" s="183"/>
      <c r="S4775" s="183"/>
    </row>
    <row r="4776" spans="1:19">
      <c r="A4776" s="182"/>
      <c r="Q4776" s="183"/>
      <c r="R4776" s="183"/>
      <c r="S4776" s="183"/>
    </row>
    <row r="4777" spans="1:19">
      <c r="A4777" s="182"/>
      <c r="Q4777" s="183"/>
      <c r="R4777" s="183"/>
      <c r="S4777" s="183"/>
    </row>
    <row r="4778" spans="1:19">
      <c r="A4778" s="182"/>
      <c r="Q4778" s="183"/>
      <c r="R4778" s="183"/>
      <c r="S4778" s="183"/>
    </row>
    <row r="4779" spans="1:19">
      <c r="A4779" s="182"/>
      <c r="Q4779" s="183"/>
      <c r="R4779" s="183"/>
      <c r="S4779" s="183"/>
    </row>
    <row r="4780" spans="1:19">
      <c r="A4780" s="182"/>
      <c r="Q4780" s="183"/>
      <c r="R4780" s="183"/>
      <c r="S4780" s="183"/>
    </row>
    <row r="4781" spans="1:19">
      <c r="A4781" s="182"/>
      <c r="Q4781" s="183"/>
      <c r="R4781" s="183"/>
      <c r="S4781" s="183"/>
    </row>
    <row r="4782" spans="1:19">
      <c r="A4782" s="182"/>
      <c r="Q4782" s="183"/>
      <c r="R4782" s="183"/>
      <c r="S4782" s="183"/>
    </row>
    <row r="4783" spans="1:19">
      <c r="A4783" s="182"/>
      <c r="Q4783" s="183"/>
      <c r="R4783" s="183"/>
      <c r="S4783" s="183"/>
    </row>
    <row r="4784" spans="1:19">
      <c r="A4784" s="182"/>
      <c r="Q4784" s="183"/>
      <c r="R4784" s="183"/>
      <c r="S4784" s="183"/>
    </row>
    <row r="4785" spans="1:38">
      <c r="A4785" s="182"/>
      <c r="Q4785" s="183"/>
      <c r="R4785" s="183"/>
      <c r="S4785" s="183"/>
    </row>
    <row r="4786" spans="1:38">
      <c r="A4786" s="182"/>
      <c r="Q4786" s="183"/>
      <c r="R4786" s="183"/>
      <c r="S4786" s="183"/>
    </row>
    <row r="4787" spans="1:38">
      <c r="A4787" s="182"/>
      <c r="Q4787" s="183"/>
      <c r="R4787" s="183"/>
      <c r="S4787" s="183"/>
    </row>
    <row r="4788" spans="1:38">
      <c r="A4788" s="182"/>
      <c r="Q4788" s="183"/>
      <c r="R4788" s="183"/>
      <c r="S4788" s="183"/>
    </row>
    <row r="4789" spans="1:38">
      <c r="A4789" s="182"/>
      <c r="Q4789" s="183"/>
      <c r="R4789" s="183"/>
      <c r="S4789" s="183"/>
    </row>
    <row r="4790" spans="1:38">
      <c r="A4790" s="182"/>
      <c r="Q4790" s="183"/>
      <c r="R4790" s="183"/>
      <c r="S4790" s="183"/>
    </row>
    <row r="4791" spans="1:38">
      <c r="A4791" s="182"/>
      <c r="Q4791" s="183"/>
      <c r="R4791" s="183"/>
      <c r="S4791" s="183"/>
    </row>
    <row r="4792" spans="1:38">
      <c r="A4792" s="182"/>
      <c r="Q4792" s="183"/>
      <c r="R4792" s="183"/>
      <c r="S4792" s="183"/>
    </row>
    <row r="4793" spans="1:38">
      <c r="A4793" s="182"/>
      <c r="Q4793" s="183"/>
      <c r="R4793" s="183"/>
      <c r="S4793" s="183"/>
    </row>
    <row r="4794" spans="1:38">
      <c r="A4794" s="182"/>
      <c r="Q4794" s="183"/>
      <c r="R4794" s="183"/>
      <c r="S4794" s="183"/>
    </row>
    <row r="4795" spans="1:38">
      <c r="A4795" s="182"/>
      <c r="Q4795" s="183"/>
      <c r="R4795" s="183"/>
      <c r="S4795" s="183"/>
    </row>
    <row r="4796" spans="1:38">
      <c r="A4796" s="182"/>
      <c r="Q4796" s="183"/>
      <c r="R4796" s="183"/>
      <c r="S4796" s="183"/>
    </row>
    <row r="4797" spans="1:38">
      <c r="A4797" s="182"/>
      <c r="Q4797" s="183"/>
      <c r="R4797" s="183"/>
      <c r="S4797" s="183"/>
      <c r="AK4797" s="183"/>
      <c r="AL4797" s="183"/>
    </row>
    <row r="4798" spans="1:38">
      <c r="A4798" s="182"/>
      <c r="Q4798" s="183"/>
      <c r="R4798" s="183"/>
      <c r="S4798" s="183"/>
      <c r="AJ4798" s="183"/>
      <c r="AK4798" s="183"/>
      <c r="AL4798" s="183"/>
    </row>
    <row r="4799" spans="1:38">
      <c r="A4799" s="182"/>
      <c r="Q4799" s="183"/>
      <c r="R4799" s="183"/>
      <c r="S4799" s="183"/>
      <c r="AJ4799" s="183"/>
      <c r="AK4799" s="183"/>
      <c r="AL4799" s="183"/>
    </row>
    <row r="4800" spans="1:38">
      <c r="A4800" s="182"/>
      <c r="Q4800" s="183"/>
      <c r="R4800" s="183"/>
      <c r="S4800" s="183"/>
      <c r="AJ4800" s="183"/>
      <c r="AK4800" s="183"/>
      <c r="AL4800" s="183"/>
    </row>
    <row r="4801" spans="1:38">
      <c r="A4801" s="182"/>
      <c r="Q4801" s="183"/>
      <c r="R4801" s="183"/>
      <c r="S4801" s="183"/>
      <c r="AJ4801" s="183"/>
    </row>
    <row r="4802" spans="1:38">
      <c r="A4802" s="182"/>
      <c r="Q4802" s="183"/>
      <c r="R4802" s="183"/>
      <c r="S4802" s="183"/>
    </row>
    <row r="4803" spans="1:38">
      <c r="A4803" s="182"/>
      <c r="Q4803" s="183"/>
      <c r="R4803" s="183"/>
      <c r="S4803" s="183"/>
    </row>
    <row r="4804" spans="1:38">
      <c r="A4804" s="182"/>
      <c r="Q4804" s="183"/>
      <c r="R4804" s="183"/>
      <c r="S4804" s="183"/>
    </row>
    <row r="4805" spans="1:38">
      <c r="A4805" s="182"/>
      <c r="Q4805" s="183"/>
      <c r="R4805" s="183"/>
      <c r="S4805" s="183"/>
      <c r="AK4805" s="183"/>
      <c r="AL4805" s="183"/>
    </row>
    <row r="4806" spans="1:38">
      <c r="A4806" s="182"/>
      <c r="Q4806" s="183"/>
      <c r="R4806" s="183"/>
      <c r="S4806" s="183"/>
      <c r="AJ4806" s="183"/>
      <c r="AK4806" s="183"/>
      <c r="AL4806" s="183"/>
    </row>
    <row r="4807" spans="1:38">
      <c r="A4807" s="182"/>
      <c r="Q4807" s="183"/>
      <c r="R4807" s="183"/>
      <c r="S4807" s="183"/>
      <c r="AJ4807" s="183"/>
      <c r="AK4807" s="183"/>
      <c r="AL4807" s="183"/>
    </row>
    <row r="4808" spans="1:38">
      <c r="A4808" s="182"/>
      <c r="Q4808" s="183"/>
      <c r="R4808" s="183"/>
      <c r="S4808" s="183"/>
      <c r="AJ4808" s="183"/>
      <c r="AK4808" s="183"/>
      <c r="AL4808" s="183"/>
    </row>
    <row r="4809" spans="1:38">
      <c r="A4809" s="182"/>
      <c r="Q4809" s="183"/>
      <c r="R4809" s="183"/>
      <c r="S4809" s="183"/>
      <c r="AJ4809" s="183"/>
      <c r="AK4809" s="183"/>
      <c r="AL4809" s="183"/>
    </row>
    <row r="4810" spans="1:38">
      <c r="A4810" s="182"/>
      <c r="Q4810" s="183"/>
      <c r="R4810" s="183"/>
      <c r="S4810" s="183"/>
      <c r="AJ4810" s="183"/>
      <c r="AK4810" s="183"/>
      <c r="AL4810" s="183"/>
    </row>
    <row r="4811" spans="1:38">
      <c r="A4811" s="182"/>
      <c r="Q4811" s="183"/>
      <c r="R4811" s="183"/>
      <c r="S4811" s="183"/>
      <c r="AJ4811" s="183"/>
      <c r="AK4811" s="183"/>
      <c r="AL4811" s="183"/>
    </row>
    <row r="4812" spans="1:38">
      <c r="A4812" s="182"/>
      <c r="Q4812" s="183"/>
      <c r="R4812" s="183"/>
      <c r="S4812" s="183"/>
      <c r="AJ4812" s="183"/>
      <c r="AK4812" s="183"/>
      <c r="AL4812" s="183"/>
    </row>
    <row r="4813" spans="1:38">
      <c r="A4813" s="182"/>
      <c r="Q4813" s="183"/>
      <c r="R4813" s="183"/>
      <c r="S4813" s="183"/>
      <c r="AJ4813" s="183"/>
      <c r="AK4813" s="183"/>
      <c r="AL4813" s="183"/>
    </row>
    <row r="4814" spans="1:38">
      <c r="A4814" s="182"/>
      <c r="Q4814" s="183"/>
      <c r="R4814" s="183"/>
      <c r="S4814" s="183"/>
      <c r="AJ4814" s="183"/>
      <c r="AK4814" s="183"/>
      <c r="AL4814" s="183"/>
    </row>
    <row r="4815" spans="1:38">
      <c r="A4815" s="182"/>
      <c r="Q4815" s="183"/>
      <c r="R4815" s="183"/>
      <c r="S4815" s="183"/>
      <c r="AJ4815" s="183"/>
      <c r="AK4815" s="183"/>
      <c r="AL4815" s="183"/>
    </row>
    <row r="4816" spans="1:38">
      <c r="A4816" s="182"/>
      <c r="Q4816" s="183"/>
      <c r="R4816" s="183"/>
      <c r="S4816" s="183"/>
      <c r="AJ4816" s="183"/>
      <c r="AK4816" s="183"/>
      <c r="AL4816" s="183"/>
    </row>
    <row r="4817" spans="1:38">
      <c r="A4817" s="182"/>
      <c r="Q4817" s="183"/>
      <c r="R4817" s="183"/>
      <c r="S4817" s="183"/>
      <c r="AJ4817" s="183"/>
      <c r="AK4817" s="183"/>
      <c r="AL4817" s="183"/>
    </row>
    <row r="4818" spans="1:38">
      <c r="A4818" s="182"/>
      <c r="Q4818" s="183"/>
      <c r="R4818" s="183"/>
      <c r="S4818" s="183"/>
      <c r="AJ4818" s="183"/>
      <c r="AK4818" s="183"/>
      <c r="AL4818" s="183"/>
    </row>
    <row r="4819" spans="1:38">
      <c r="A4819" s="182"/>
      <c r="Q4819" s="183"/>
      <c r="R4819" s="183"/>
      <c r="S4819" s="183"/>
      <c r="AJ4819" s="183"/>
      <c r="AK4819" s="183"/>
      <c r="AL4819" s="183"/>
    </row>
    <row r="4820" spans="1:38">
      <c r="A4820" s="182"/>
      <c r="Q4820" s="183"/>
      <c r="R4820" s="183"/>
      <c r="S4820" s="183"/>
      <c r="AJ4820" s="183"/>
      <c r="AK4820" s="183"/>
      <c r="AL4820" s="183"/>
    </row>
    <row r="4821" spans="1:38">
      <c r="A4821" s="182"/>
      <c r="Q4821" s="183"/>
      <c r="R4821" s="183"/>
      <c r="S4821" s="183"/>
      <c r="AJ4821" s="183"/>
    </row>
    <row r="4822" spans="1:38">
      <c r="A4822" s="182"/>
      <c r="Q4822" s="183"/>
      <c r="R4822" s="183"/>
      <c r="S4822" s="183"/>
    </row>
    <row r="4823" spans="1:38">
      <c r="A4823" s="182"/>
      <c r="Q4823" s="183"/>
      <c r="R4823" s="183"/>
      <c r="S4823" s="183"/>
    </row>
    <row r="4824" spans="1:38">
      <c r="A4824" s="182"/>
      <c r="Q4824" s="183"/>
      <c r="R4824" s="183"/>
      <c r="S4824" s="183"/>
    </row>
    <row r="4825" spans="1:38">
      <c r="A4825" s="182"/>
      <c r="Q4825" s="183"/>
      <c r="R4825" s="183"/>
      <c r="S4825" s="183"/>
      <c r="AK4825" s="183"/>
      <c r="AL4825" s="183"/>
    </row>
    <row r="4826" spans="1:38">
      <c r="A4826" s="182"/>
      <c r="Q4826" s="183"/>
      <c r="R4826" s="183"/>
      <c r="S4826" s="183"/>
      <c r="AJ4826" s="183"/>
      <c r="AK4826" s="183"/>
      <c r="AL4826" s="183"/>
    </row>
    <row r="4827" spans="1:38">
      <c r="A4827" s="182"/>
      <c r="Q4827" s="183"/>
      <c r="R4827" s="183"/>
      <c r="S4827" s="183"/>
      <c r="AJ4827" s="183"/>
      <c r="AK4827" s="183"/>
      <c r="AL4827" s="183"/>
    </row>
    <row r="4828" spans="1:38">
      <c r="A4828" s="182"/>
      <c r="Q4828" s="183"/>
      <c r="R4828" s="183"/>
      <c r="S4828" s="183"/>
      <c r="AJ4828" s="183"/>
      <c r="AK4828" s="183"/>
      <c r="AL4828" s="183"/>
    </row>
    <row r="4829" spans="1:38">
      <c r="A4829" s="182"/>
      <c r="Q4829" s="183"/>
      <c r="R4829" s="183"/>
      <c r="S4829" s="183"/>
      <c r="AJ4829" s="183"/>
    </row>
    <row r="4830" spans="1:38">
      <c r="A4830" s="182"/>
      <c r="Q4830" s="183"/>
      <c r="R4830" s="183"/>
      <c r="S4830" s="183"/>
    </row>
    <row r="4831" spans="1:38">
      <c r="A4831" s="182"/>
      <c r="Q4831" s="183"/>
      <c r="R4831" s="183"/>
      <c r="S4831" s="183"/>
    </row>
    <row r="4832" spans="1:38">
      <c r="A4832" s="182"/>
      <c r="Q4832" s="183"/>
      <c r="R4832" s="183"/>
      <c r="S4832" s="183"/>
    </row>
    <row r="4833" spans="1:38">
      <c r="A4833" s="182"/>
      <c r="Q4833" s="183"/>
      <c r="R4833" s="183"/>
      <c r="S4833" s="183"/>
    </row>
    <row r="4834" spans="1:38">
      <c r="A4834" s="182"/>
      <c r="Q4834" s="183"/>
      <c r="R4834" s="183"/>
      <c r="S4834" s="183"/>
    </row>
    <row r="4835" spans="1:38">
      <c r="A4835" s="182"/>
      <c r="Q4835" s="183"/>
      <c r="R4835" s="183"/>
      <c r="S4835" s="183"/>
    </row>
    <row r="4836" spans="1:38">
      <c r="A4836" s="182"/>
      <c r="Q4836" s="183"/>
      <c r="R4836" s="183"/>
      <c r="S4836" s="183"/>
    </row>
    <row r="4837" spans="1:38">
      <c r="A4837" s="182"/>
      <c r="Q4837" s="183"/>
      <c r="R4837" s="183"/>
      <c r="S4837" s="183"/>
      <c r="AK4837" s="183"/>
      <c r="AL4837" s="183"/>
    </row>
    <row r="4838" spans="1:38">
      <c r="A4838" s="182"/>
      <c r="Q4838" s="183"/>
      <c r="R4838" s="183"/>
      <c r="S4838" s="183"/>
      <c r="AJ4838" s="183"/>
      <c r="AK4838" s="183"/>
      <c r="AL4838" s="183"/>
    </row>
    <row r="4839" spans="1:38">
      <c r="A4839" s="182"/>
      <c r="Q4839" s="183"/>
      <c r="R4839" s="183"/>
      <c r="S4839" s="183"/>
      <c r="AJ4839" s="183"/>
      <c r="AK4839" s="183"/>
      <c r="AL4839" s="183"/>
    </row>
    <row r="4840" spans="1:38">
      <c r="A4840" s="182"/>
      <c r="Q4840" s="183"/>
      <c r="R4840" s="183"/>
      <c r="S4840" s="183"/>
      <c r="AJ4840" s="183"/>
      <c r="AK4840" s="183"/>
      <c r="AL4840" s="183"/>
    </row>
    <row r="4841" spans="1:38">
      <c r="A4841" s="182"/>
      <c r="Q4841" s="183"/>
      <c r="R4841" s="183"/>
      <c r="S4841" s="183"/>
      <c r="AJ4841" s="183"/>
    </row>
    <row r="4842" spans="1:38">
      <c r="A4842" s="182"/>
      <c r="Q4842" s="183"/>
      <c r="R4842" s="183"/>
      <c r="S4842" s="183"/>
    </row>
    <row r="4843" spans="1:38">
      <c r="A4843" s="182"/>
      <c r="Q4843" s="183"/>
      <c r="R4843" s="183"/>
      <c r="S4843" s="183"/>
    </row>
    <row r="4844" spans="1:38">
      <c r="A4844" s="182"/>
      <c r="Q4844" s="183"/>
      <c r="R4844" s="183"/>
      <c r="S4844" s="183"/>
    </row>
    <row r="4845" spans="1:38">
      <c r="A4845" s="182"/>
      <c r="Q4845" s="183"/>
      <c r="R4845" s="183"/>
      <c r="S4845" s="183"/>
    </row>
    <row r="4846" spans="1:38">
      <c r="A4846" s="182"/>
      <c r="Q4846" s="183"/>
      <c r="R4846" s="183"/>
      <c r="S4846" s="183"/>
    </row>
    <row r="4847" spans="1:38">
      <c r="A4847" s="182"/>
      <c r="Q4847" s="183"/>
      <c r="R4847" s="183"/>
      <c r="S4847" s="183"/>
    </row>
    <row r="4848" spans="1:38">
      <c r="A4848" s="182"/>
      <c r="Q4848" s="183"/>
      <c r="R4848" s="183"/>
      <c r="S4848" s="183"/>
    </row>
    <row r="4849" spans="1:38">
      <c r="A4849" s="182"/>
      <c r="Q4849" s="183"/>
      <c r="R4849" s="183"/>
      <c r="S4849" s="183"/>
    </row>
    <row r="4850" spans="1:38">
      <c r="A4850" s="182"/>
      <c r="Q4850" s="183"/>
      <c r="R4850" s="183"/>
      <c r="S4850" s="183"/>
    </row>
    <row r="4851" spans="1:38">
      <c r="A4851" s="182"/>
      <c r="Q4851" s="183"/>
      <c r="R4851" s="183"/>
      <c r="S4851" s="183"/>
    </row>
    <row r="4852" spans="1:38">
      <c r="A4852" s="182"/>
      <c r="Q4852" s="183"/>
      <c r="R4852" s="183"/>
      <c r="S4852" s="183"/>
    </row>
    <row r="4853" spans="1:38">
      <c r="A4853" s="182"/>
      <c r="Q4853" s="183"/>
      <c r="R4853" s="183"/>
      <c r="S4853" s="183"/>
      <c r="AK4853" s="183"/>
      <c r="AL4853" s="183"/>
    </row>
    <row r="4854" spans="1:38">
      <c r="A4854" s="182"/>
      <c r="Q4854" s="183"/>
      <c r="R4854" s="183"/>
      <c r="S4854" s="183"/>
      <c r="AJ4854" s="183"/>
      <c r="AK4854" s="183"/>
      <c r="AL4854" s="183"/>
    </row>
    <row r="4855" spans="1:38">
      <c r="A4855" s="182"/>
      <c r="Q4855" s="183"/>
      <c r="R4855" s="183"/>
      <c r="S4855" s="183"/>
      <c r="AJ4855" s="183"/>
      <c r="AK4855" s="183"/>
      <c r="AL4855" s="183"/>
    </row>
    <row r="4856" spans="1:38">
      <c r="A4856" s="182"/>
      <c r="Q4856" s="183"/>
      <c r="R4856" s="183"/>
      <c r="S4856" s="183"/>
      <c r="AJ4856" s="183"/>
      <c r="AK4856" s="183"/>
      <c r="AL4856" s="183"/>
    </row>
    <row r="4857" spans="1:38">
      <c r="A4857" s="182"/>
      <c r="Q4857" s="183"/>
      <c r="R4857" s="183"/>
      <c r="S4857" s="183"/>
      <c r="AJ4857" s="183"/>
    </row>
    <row r="4858" spans="1:38">
      <c r="A4858" s="182"/>
      <c r="Q4858" s="183"/>
      <c r="R4858" s="183"/>
      <c r="S4858" s="183"/>
    </row>
    <row r="4859" spans="1:38">
      <c r="A4859" s="182"/>
      <c r="Q4859" s="183"/>
      <c r="R4859" s="183"/>
      <c r="S4859" s="183"/>
    </row>
    <row r="4860" spans="1:38">
      <c r="A4860" s="182"/>
      <c r="Q4860" s="183"/>
      <c r="R4860" s="183"/>
      <c r="S4860" s="183"/>
    </row>
    <row r="4861" spans="1:38">
      <c r="A4861" s="182"/>
      <c r="Q4861" s="183"/>
      <c r="R4861" s="183"/>
      <c r="S4861" s="183"/>
    </row>
    <row r="4862" spans="1:38">
      <c r="A4862" s="182"/>
      <c r="Q4862" s="183"/>
      <c r="R4862" s="183"/>
      <c r="S4862" s="183"/>
    </row>
    <row r="4863" spans="1:38">
      <c r="A4863" s="182"/>
      <c r="Q4863" s="183"/>
      <c r="R4863" s="183"/>
      <c r="S4863" s="183"/>
    </row>
    <row r="4864" spans="1:38">
      <c r="A4864" s="182"/>
      <c r="Q4864" s="183"/>
      <c r="R4864" s="183"/>
      <c r="S4864" s="183"/>
    </row>
    <row r="4865" spans="1:38">
      <c r="A4865" s="182"/>
      <c r="Q4865" s="183"/>
      <c r="R4865" s="183"/>
      <c r="S4865" s="183"/>
    </row>
    <row r="4866" spans="1:38">
      <c r="A4866" s="182"/>
      <c r="Q4866" s="183"/>
      <c r="R4866" s="183"/>
      <c r="S4866" s="183"/>
    </row>
    <row r="4867" spans="1:38">
      <c r="A4867" s="182"/>
      <c r="Q4867" s="183"/>
      <c r="R4867" s="183"/>
      <c r="S4867" s="183"/>
    </row>
    <row r="4868" spans="1:38">
      <c r="A4868" s="182"/>
      <c r="Q4868" s="183"/>
      <c r="R4868" s="183"/>
      <c r="S4868" s="183"/>
    </row>
    <row r="4869" spans="1:38">
      <c r="A4869" s="182"/>
      <c r="Q4869" s="183"/>
      <c r="R4869" s="183"/>
      <c r="S4869" s="183"/>
      <c r="AK4869" s="183"/>
      <c r="AL4869" s="183"/>
    </row>
    <row r="4870" spans="1:38">
      <c r="A4870" s="182"/>
      <c r="Q4870" s="183"/>
      <c r="R4870" s="183"/>
      <c r="S4870" s="183"/>
      <c r="AJ4870" s="183"/>
      <c r="AK4870" s="183"/>
      <c r="AL4870" s="183"/>
    </row>
    <row r="4871" spans="1:38">
      <c r="A4871" s="182"/>
      <c r="Q4871" s="183"/>
      <c r="R4871" s="183"/>
      <c r="S4871" s="183"/>
      <c r="AJ4871" s="183"/>
      <c r="AK4871" s="183"/>
      <c r="AL4871" s="183"/>
    </row>
    <row r="4872" spans="1:38">
      <c r="A4872" s="182"/>
      <c r="Q4872" s="183"/>
      <c r="R4872" s="183"/>
      <c r="S4872" s="183"/>
      <c r="AJ4872" s="183"/>
      <c r="AK4872" s="183"/>
      <c r="AL4872" s="183"/>
    </row>
    <row r="4873" spans="1:38">
      <c r="A4873" s="182"/>
      <c r="Q4873" s="183"/>
      <c r="R4873" s="183"/>
      <c r="S4873" s="183"/>
      <c r="AJ4873" s="183"/>
      <c r="AK4873" s="183"/>
      <c r="AL4873" s="183"/>
    </row>
    <row r="4874" spans="1:38">
      <c r="A4874" s="182"/>
      <c r="Q4874" s="183"/>
      <c r="R4874" s="183"/>
      <c r="S4874" s="183"/>
      <c r="AJ4874" s="183"/>
      <c r="AK4874" s="183"/>
      <c r="AL4874" s="183"/>
    </row>
    <row r="4875" spans="1:38">
      <c r="A4875" s="182"/>
      <c r="Q4875" s="183"/>
      <c r="R4875" s="183"/>
      <c r="S4875" s="183"/>
      <c r="AJ4875" s="183"/>
      <c r="AK4875" s="183"/>
      <c r="AL4875" s="183"/>
    </row>
    <row r="4876" spans="1:38">
      <c r="A4876" s="182"/>
      <c r="Q4876" s="183"/>
      <c r="R4876" s="183"/>
      <c r="S4876" s="183"/>
      <c r="AJ4876" s="183"/>
      <c r="AK4876" s="183"/>
      <c r="AL4876" s="183"/>
    </row>
    <row r="4877" spans="1:38">
      <c r="A4877" s="182"/>
      <c r="Q4877" s="183"/>
      <c r="R4877" s="183"/>
      <c r="S4877" s="183"/>
      <c r="AJ4877" s="183"/>
    </row>
    <row r="4878" spans="1:38">
      <c r="A4878" s="182"/>
      <c r="Q4878" s="183"/>
      <c r="R4878" s="183"/>
      <c r="S4878" s="183"/>
    </row>
    <row r="4879" spans="1:38">
      <c r="A4879" s="182"/>
      <c r="Q4879" s="183"/>
      <c r="R4879" s="183"/>
      <c r="S4879" s="183"/>
    </row>
    <row r="4880" spans="1:38">
      <c r="A4880" s="182"/>
      <c r="Q4880" s="183"/>
      <c r="R4880" s="183"/>
      <c r="S4880" s="183"/>
    </row>
    <row r="4881" spans="1:38">
      <c r="A4881" s="182"/>
      <c r="Q4881" s="183"/>
      <c r="R4881" s="183"/>
      <c r="S4881" s="183"/>
    </row>
    <row r="4882" spans="1:38">
      <c r="A4882" s="182"/>
      <c r="Q4882" s="183"/>
      <c r="R4882" s="183"/>
      <c r="S4882" s="183"/>
    </row>
    <row r="4883" spans="1:38">
      <c r="A4883" s="182"/>
      <c r="Q4883" s="183"/>
      <c r="R4883" s="183"/>
      <c r="S4883" s="183"/>
    </row>
    <row r="4884" spans="1:38">
      <c r="A4884" s="182"/>
      <c r="Q4884" s="183"/>
      <c r="R4884" s="183"/>
      <c r="S4884" s="183"/>
    </row>
    <row r="4885" spans="1:38">
      <c r="A4885" s="182"/>
      <c r="Q4885" s="183"/>
      <c r="R4885" s="183"/>
      <c r="S4885" s="183"/>
    </row>
    <row r="4886" spans="1:38">
      <c r="A4886" s="182"/>
      <c r="Q4886" s="183"/>
      <c r="R4886" s="183"/>
      <c r="S4886" s="183"/>
    </row>
    <row r="4887" spans="1:38">
      <c r="A4887" s="182"/>
      <c r="Q4887" s="183"/>
      <c r="R4887" s="183"/>
      <c r="S4887" s="183"/>
    </row>
    <row r="4888" spans="1:38">
      <c r="A4888" s="182"/>
      <c r="Q4888" s="183"/>
      <c r="R4888" s="183"/>
      <c r="S4888" s="183"/>
    </row>
    <row r="4889" spans="1:38">
      <c r="A4889" s="182"/>
      <c r="Q4889" s="183"/>
      <c r="R4889" s="183"/>
      <c r="S4889" s="183"/>
      <c r="AK4889" s="183"/>
      <c r="AL4889" s="183"/>
    </row>
    <row r="4890" spans="1:38">
      <c r="A4890" s="182"/>
      <c r="Q4890" s="183"/>
      <c r="R4890" s="183"/>
      <c r="S4890" s="183"/>
      <c r="AJ4890" s="183"/>
      <c r="AK4890" s="183"/>
      <c r="AL4890" s="183"/>
    </row>
    <row r="4891" spans="1:38">
      <c r="A4891" s="182"/>
      <c r="Q4891" s="183"/>
      <c r="R4891" s="183"/>
      <c r="S4891" s="183"/>
      <c r="AJ4891" s="183"/>
      <c r="AK4891" s="183"/>
      <c r="AL4891" s="183"/>
    </row>
    <row r="4892" spans="1:38">
      <c r="A4892" s="182"/>
      <c r="Q4892" s="183"/>
      <c r="R4892" s="183"/>
      <c r="S4892" s="183"/>
      <c r="AJ4892" s="183"/>
      <c r="AK4892" s="183"/>
      <c r="AL4892" s="183"/>
    </row>
    <row r="4893" spans="1:38">
      <c r="A4893" s="182"/>
      <c r="Q4893" s="183"/>
      <c r="R4893" s="183"/>
      <c r="S4893" s="183"/>
      <c r="AJ4893" s="183"/>
    </row>
    <row r="4894" spans="1:38">
      <c r="A4894" s="182"/>
      <c r="Q4894" s="183"/>
      <c r="R4894" s="183"/>
      <c r="S4894" s="183"/>
    </row>
    <row r="4895" spans="1:38">
      <c r="A4895" s="182"/>
      <c r="Q4895" s="183"/>
      <c r="R4895" s="183"/>
      <c r="S4895" s="183"/>
    </row>
    <row r="4896" spans="1:38">
      <c r="A4896" s="182"/>
      <c r="Q4896" s="183"/>
      <c r="R4896" s="183"/>
      <c r="S4896" s="183"/>
    </row>
    <row r="4897" spans="1:38">
      <c r="A4897" s="182"/>
      <c r="Q4897" s="183"/>
      <c r="R4897" s="183"/>
      <c r="S4897" s="183"/>
      <c r="AK4897" s="183"/>
      <c r="AL4897" s="183"/>
    </row>
    <row r="4898" spans="1:38">
      <c r="A4898" s="182"/>
      <c r="Q4898" s="183"/>
      <c r="R4898" s="183"/>
      <c r="S4898" s="183"/>
      <c r="AJ4898" s="183"/>
      <c r="AK4898" s="183"/>
      <c r="AL4898" s="183"/>
    </row>
    <row r="4899" spans="1:38">
      <c r="A4899" s="182"/>
      <c r="Q4899" s="183"/>
      <c r="R4899" s="183"/>
      <c r="S4899" s="183"/>
      <c r="AJ4899" s="183"/>
      <c r="AK4899" s="183"/>
      <c r="AL4899" s="183"/>
    </row>
    <row r="4900" spans="1:38">
      <c r="A4900" s="182"/>
      <c r="Q4900" s="183"/>
      <c r="R4900" s="183"/>
      <c r="S4900" s="183"/>
      <c r="AJ4900" s="183"/>
      <c r="AK4900" s="183"/>
      <c r="AL4900" s="183"/>
    </row>
    <row r="4901" spans="1:38">
      <c r="A4901" s="182"/>
      <c r="Q4901" s="183"/>
      <c r="R4901" s="183"/>
      <c r="S4901" s="183"/>
      <c r="AJ4901" s="183"/>
      <c r="AK4901" s="183"/>
      <c r="AL4901" s="183"/>
    </row>
    <row r="4902" spans="1:38">
      <c r="A4902" s="182"/>
      <c r="Q4902" s="183"/>
      <c r="R4902" s="183"/>
      <c r="S4902" s="183"/>
      <c r="AJ4902" s="183"/>
      <c r="AK4902" s="183"/>
      <c r="AL4902" s="183"/>
    </row>
    <row r="4903" spans="1:38">
      <c r="A4903" s="182"/>
      <c r="Q4903" s="183"/>
      <c r="R4903" s="183"/>
      <c r="S4903" s="183"/>
      <c r="AJ4903" s="183"/>
      <c r="AK4903" s="183"/>
      <c r="AL4903" s="183"/>
    </row>
    <row r="4904" spans="1:38">
      <c r="A4904" s="182"/>
      <c r="Q4904" s="183"/>
      <c r="R4904" s="183"/>
      <c r="S4904" s="183"/>
      <c r="AJ4904" s="183"/>
      <c r="AK4904" s="183"/>
      <c r="AL4904" s="183"/>
    </row>
    <row r="4905" spans="1:38">
      <c r="A4905" s="182"/>
      <c r="Q4905" s="183"/>
      <c r="R4905" s="183"/>
      <c r="S4905" s="183"/>
      <c r="AJ4905" s="183"/>
      <c r="AK4905" s="183"/>
      <c r="AL4905" s="183"/>
    </row>
    <row r="4906" spans="1:38">
      <c r="A4906" s="182"/>
      <c r="Q4906" s="183"/>
      <c r="R4906" s="183"/>
      <c r="S4906" s="183"/>
      <c r="AJ4906" s="183"/>
      <c r="AK4906" s="183"/>
      <c r="AL4906" s="183"/>
    </row>
    <row r="4907" spans="1:38">
      <c r="A4907" s="182"/>
      <c r="Q4907" s="183"/>
      <c r="R4907" s="183"/>
      <c r="S4907" s="183"/>
      <c r="AJ4907" s="183"/>
      <c r="AK4907" s="183"/>
      <c r="AL4907" s="183"/>
    </row>
    <row r="4908" spans="1:38">
      <c r="A4908" s="182"/>
      <c r="Q4908" s="183"/>
      <c r="R4908" s="183"/>
      <c r="S4908" s="183"/>
      <c r="AJ4908" s="183"/>
      <c r="AK4908" s="183"/>
      <c r="AL4908" s="183"/>
    </row>
    <row r="4909" spans="1:38">
      <c r="A4909" s="182"/>
      <c r="Q4909" s="183"/>
      <c r="R4909" s="183"/>
      <c r="S4909" s="183"/>
      <c r="AJ4909" s="183"/>
      <c r="AK4909" s="183"/>
      <c r="AL4909" s="183"/>
    </row>
    <row r="4910" spans="1:38">
      <c r="A4910" s="182"/>
      <c r="Q4910" s="183"/>
      <c r="R4910" s="183"/>
      <c r="S4910" s="183"/>
      <c r="AJ4910" s="183"/>
      <c r="AK4910" s="183"/>
      <c r="AL4910" s="183"/>
    </row>
    <row r="4911" spans="1:38">
      <c r="A4911" s="182"/>
      <c r="Q4911" s="183"/>
      <c r="R4911" s="183"/>
      <c r="S4911" s="183"/>
      <c r="AJ4911" s="183"/>
      <c r="AK4911" s="183"/>
      <c r="AL4911" s="183"/>
    </row>
    <row r="4912" spans="1:38">
      <c r="A4912" s="182"/>
      <c r="Q4912" s="183"/>
      <c r="R4912" s="183"/>
      <c r="S4912" s="183"/>
      <c r="AJ4912" s="183"/>
      <c r="AK4912" s="183"/>
      <c r="AL4912" s="183"/>
    </row>
    <row r="4913" spans="1:38">
      <c r="A4913" s="182"/>
      <c r="Q4913" s="183"/>
      <c r="R4913" s="183"/>
      <c r="S4913" s="183"/>
      <c r="AJ4913" s="183"/>
    </row>
    <row r="4914" spans="1:38">
      <c r="A4914" s="182"/>
      <c r="Q4914" s="183"/>
      <c r="R4914" s="183"/>
      <c r="S4914" s="183"/>
    </row>
    <row r="4915" spans="1:38">
      <c r="A4915" s="182"/>
      <c r="Q4915" s="183"/>
      <c r="R4915" s="183"/>
      <c r="S4915" s="183"/>
    </row>
    <row r="4916" spans="1:38">
      <c r="A4916" s="182"/>
      <c r="Q4916" s="183"/>
      <c r="R4916" s="183"/>
      <c r="S4916" s="183"/>
    </row>
    <row r="4917" spans="1:38">
      <c r="A4917" s="182"/>
      <c r="Q4917" s="183"/>
      <c r="R4917" s="183"/>
      <c r="S4917" s="183"/>
    </row>
    <row r="4918" spans="1:38">
      <c r="A4918" s="182"/>
      <c r="Q4918" s="183"/>
      <c r="R4918" s="183"/>
      <c r="S4918" s="183"/>
    </row>
    <row r="4919" spans="1:38">
      <c r="A4919" s="182"/>
      <c r="Q4919" s="183"/>
      <c r="R4919" s="183"/>
      <c r="S4919" s="183"/>
    </row>
    <row r="4920" spans="1:38">
      <c r="A4920" s="182"/>
      <c r="Q4920" s="183"/>
      <c r="R4920" s="183"/>
      <c r="S4920" s="183"/>
    </row>
    <row r="4921" spans="1:38">
      <c r="A4921" s="182"/>
      <c r="Q4921" s="183"/>
      <c r="R4921" s="183"/>
      <c r="S4921" s="183"/>
      <c r="AK4921" s="183"/>
      <c r="AL4921" s="183"/>
    </row>
    <row r="4922" spans="1:38">
      <c r="A4922" s="182"/>
      <c r="Q4922" s="183"/>
      <c r="R4922" s="183"/>
      <c r="S4922" s="183"/>
      <c r="AJ4922" s="183"/>
      <c r="AK4922" s="183"/>
      <c r="AL4922" s="183"/>
    </row>
    <row r="4923" spans="1:38">
      <c r="A4923" s="182"/>
      <c r="Q4923" s="183"/>
      <c r="R4923" s="183"/>
      <c r="S4923" s="183"/>
      <c r="AJ4923" s="183"/>
      <c r="AK4923" s="183"/>
      <c r="AL4923" s="183"/>
    </row>
    <row r="4924" spans="1:38">
      <c r="A4924" s="182"/>
      <c r="Q4924" s="183"/>
      <c r="R4924" s="183"/>
      <c r="S4924" s="183"/>
      <c r="AJ4924" s="183"/>
      <c r="AK4924" s="183"/>
      <c r="AL4924" s="183"/>
    </row>
    <row r="4925" spans="1:38">
      <c r="A4925" s="182"/>
      <c r="Q4925" s="183"/>
      <c r="R4925" s="183"/>
      <c r="S4925" s="183"/>
      <c r="AJ4925" s="183"/>
      <c r="AK4925" s="183"/>
      <c r="AL4925" s="183"/>
    </row>
    <row r="4926" spans="1:38">
      <c r="A4926" s="182"/>
      <c r="Q4926" s="183"/>
      <c r="R4926" s="183"/>
      <c r="S4926" s="183"/>
      <c r="AJ4926" s="183"/>
      <c r="AK4926" s="183"/>
      <c r="AL4926" s="183"/>
    </row>
    <row r="4927" spans="1:38">
      <c r="A4927" s="182"/>
      <c r="Q4927" s="183"/>
      <c r="R4927" s="183"/>
      <c r="S4927" s="183"/>
      <c r="AJ4927" s="183"/>
      <c r="AK4927" s="183"/>
      <c r="AL4927" s="183"/>
    </row>
    <row r="4928" spans="1:38">
      <c r="A4928" s="182"/>
      <c r="Q4928" s="183"/>
      <c r="R4928" s="183"/>
      <c r="S4928" s="183"/>
      <c r="AJ4928" s="183"/>
      <c r="AK4928" s="183"/>
      <c r="AL4928" s="183"/>
    </row>
    <row r="4929" spans="1:38">
      <c r="A4929" s="182"/>
      <c r="Q4929" s="183"/>
      <c r="R4929" s="183"/>
      <c r="S4929" s="183"/>
      <c r="AJ4929" s="183"/>
      <c r="AK4929" s="183"/>
      <c r="AL4929" s="183"/>
    </row>
    <row r="4930" spans="1:38">
      <c r="A4930" s="182"/>
      <c r="Q4930" s="183"/>
      <c r="R4930" s="183"/>
      <c r="S4930" s="183"/>
      <c r="AJ4930" s="183"/>
      <c r="AK4930" s="183"/>
      <c r="AL4930" s="183"/>
    </row>
    <row r="4931" spans="1:38">
      <c r="A4931" s="182"/>
      <c r="Q4931" s="183"/>
      <c r="R4931" s="183"/>
      <c r="S4931" s="183"/>
      <c r="AJ4931" s="183"/>
      <c r="AK4931" s="183"/>
      <c r="AL4931" s="183"/>
    </row>
    <row r="4932" spans="1:38">
      <c r="A4932" s="182"/>
      <c r="Q4932" s="183"/>
      <c r="R4932" s="183"/>
      <c r="S4932" s="183"/>
      <c r="AJ4932" s="183"/>
      <c r="AK4932" s="183"/>
      <c r="AL4932" s="183"/>
    </row>
    <row r="4933" spans="1:38">
      <c r="A4933" s="182"/>
      <c r="Q4933" s="183"/>
      <c r="R4933" s="183"/>
      <c r="S4933" s="183"/>
      <c r="AJ4933" s="183"/>
    </row>
    <row r="4934" spans="1:38">
      <c r="A4934" s="182"/>
      <c r="Q4934" s="183"/>
      <c r="R4934" s="183"/>
      <c r="S4934" s="183"/>
    </row>
    <row r="4935" spans="1:38">
      <c r="A4935" s="182"/>
      <c r="Q4935" s="183"/>
      <c r="R4935" s="183"/>
      <c r="S4935" s="183"/>
    </row>
    <row r="4936" spans="1:38">
      <c r="A4936" s="182"/>
      <c r="Q4936" s="183"/>
      <c r="R4936" s="183"/>
      <c r="S4936" s="183"/>
    </row>
    <row r="4937" spans="1:38">
      <c r="A4937" s="182"/>
      <c r="Q4937" s="183"/>
      <c r="R4937" s="183"/>
      <c r="S4937" s="183"/>
      <c r="AK4937" s="183"/>
      <c r="AL4937" s="183"/>
    </row>
    <row r="4938" spans="1:38">
      <c r="A4938" s="182"/>
      <c r="Q4938" s="183"/>
      <c r="R4938" s="183"/>
      <c r="S4938" s="183"/>
      <c r="AJ4938" s="183"/>
      <c r="AK4938" s="183"/>
      <c r="AL4938" s="183"/>
    </row>
    <row r="4939" spans="1:38">
      <c r="A4939" s="182"/>
      <c r="Q4939" s="183"/>
      <c r="R4939" s="183"/>
      <c r="S4939" s="183"/>
      <c r="AJ4939" s="183"/>
      <c r="AK4939" s="183"/>
      <c r="AL4939" s="183"/>
    </row>
    <row r="4940" spans="1:38">
      <c r="A4940" s="182"/>
      <c r="Q4940" s="183"/>
      <c r="R4940" s="183"/>
      <c r="S4940" s="183"/>
      <c r="AJ4940" s="183"/>
      <c r="AK4940" s="183"/>
      <c r="AL4940" s="183"/>
    </row>
    <row r="4941" spans="1:38">
      <c r="A4941" s="182"/>
      <c r="Q4941" s="183"/>
      <c r="R4941" s="183"/>
      <c r="S4941" s="183"/>
      <c r="AJ4941" s="183"/>
    </row>
    <row r="4942" spans="1:38">
      <c r="A4942" s="182"/>
      <c r="Q4942" s="183"/>
      <c r="R4942" s="183"/>
      <c r="S4942" s="183"/>
    </row>
    <row r="4943" spans="1:38">
      <c r="A4943" s="182"/>
      <c r="Q4943" s="183"/>
      <c r="R4943" s="183"/>
      <c r="S4943" s="183"/>
    </row>
    <row r="4944" spans="1:38">
      <c r="A4944" s="182"/>
      <c r="Q4944" s="183"/>
      <c r="R4944" s="183"/>
      <c r="S4944" s="183"/>
    </row>
    <row r="4945" spans="1:19">
      <c r="A4945" s="182"/>
      <c r="Q4945" s="183"/>
      <c r="R4945" s="183"/>
      <c r="S4945" s="183"/>
    </row>
    <row r="4946" spans="1:19">
      <c r="A4946" s="182"/>
      <c r="Q4946" s="183"/>
      <c r="R4946" s="183"/>
      <c r="S4946" s="183"/>
    </row>
    <row r="4947" spans="1:19">
      <c r="A4947" s="182"/>
      <c r="Q4947" s="183"/>
      <c r="R4947" s="183"/>
      <c r="S4947" s="183"/>
    </row>
    <row r="4948" spans="1:19">
      <c r="A4948" s="182"/>
      <c r="Q4948" s="183"/>
      <c r="R4948" s="183"/>
      <c r="S4948" s="183"/>
    </row>
    <row r="4949" spans="1:19">
      <c r="A4949" s="182"/>
      <c r="Q4949" s="183"/>
      <c r="R4949" s="183"/>
      <c r="S4949" s="183"/>
    </row>
    <row r="4950" spans="1:19">
      <c r="A4950" s="182"/>
      <c r="Q4950" s="183"/>
      <c r="R4950" s="183"/>
      <c r="S4950" s="183"/>
    </row>
    <row r="4951" spans="1:19">
      <c r="A4951" s="182"/>
      <c r="Q4951" s="183"/>
      <c r="R4951" s="183"/>
      <c r="S4951" s="183"/>
    </row>
    <row r="4952" spans="1:19">
      <c r="A4952" s="182"/>
      <c r="Q4952" s="183"/>
      <c r="R4952" s="183"/>
      <c r="S4952" s="183"/>
    </row>
    <row r="4953" spans="1:19">
      <c r="A4953" s="182"/>
      <c r="Q4953" s="183"/>
      <c r="R4953" s="183"/>
      <c r="S4953" s="183"/>
    </row>
    <row r="4954" spans="1:19">
      <c r="A4954" s="182"/>
      <c r="Q4954" s="183"/>
      <c r="R4954" s="183"/>
      <c r="S4954" s="183"/>
    </row>
    <row r="4955" spans="1:19">
      <c r="A4955" s="182"/>
      <c r="Q4955" s="183"/>
      <c r="R4955" s="183"/>
      <c r="S4955" s="183"/>
    </row>
    <row r="4956" spans="1:19">
      <c r="A4956" s="182"/>
      <c r="Q4956" s="183"/>
      <c r="R4956" s="183"/>
      <c r="S4956" s="183"/>
    </row>
    <row r="4957" spans="1:19">
      <c r="A4957" s="182"/>
      <c r="Q4957" s="183"/>
      <c r="R4957" s="183"/>
      <c r="S4957" s="183"/>
    </row>
    <row r="4958" spans="1:19">
      <c r="A4958" s="182"/>
      <c r="Q4958" s="183"/>
      <c r="R4958" s="183"/>
      <c r="S4958" s="183"/>
    </row>
    <row r="4959" spans="1:19">
      <c r="A4959" s="182"/>
      <c r="Q4959" s="183"/>
      <c r="R4959" s="183"/>
      <c r="S4959" s="183"/>
    </row>
    <row r="4960" spans="1:19">
      <c r="A4960" s="182"/>
      <c r="Q4960" s="183"/>
      <c r="R4960" s="183"/>
      <c r="S4960" s="183"/>
    </row>
    <row r="4961" spans="1:19">
      <c r="A4961" s="182"/>
      <c r="Q4961" s="183"/>
      <c r="R4961" s="183"/>
      <c r="S4961" s="183"/>
    </row>
    <row r="4962" spans="1:19">
      <c r="A4962" s="182"/>
      <c r="Q4962" s="183"/>
      <c r="R4962" s="183"/>
      <c r="S4962" s="183"/>
    </row>
    <row r="4963" spans="1:19">
      <c r="A4963" s="182"/>
      <c r="Q4963" s="183"/>
      <c r="R4963" s="183"/>
      <c r="S4963" s="183"/>
    </row>
    <row r="4964" spans="1:19">
      <c r="A4964" s="182"/>
      <c r="Q4964" s="183"/>
      <c r="R4964" s="183"/>
      <c r="S4964" s="183"/>
    </row>
    <row r="4965" spans="1:19">
      <c r="A4965" s="182"/>
      <c r="Q4965" s="183"/>
      <c r="R4965" s="183"/>
      <c r="S4965" s="183"/>
    </row>
    <row r="4966" spans="1:19">
      <c r="A4966" s="182"/>
      <c r="Q4966" s="183"/>
      <c r="R4966" s="183"/>
      <c r="S4966" s="183"/>
    </row>
    <row r="4967" spans="1:19">
      <c r="A4967" s="182"/>
      <c r="Q4967" s="183"/>
      <c r="R4967" s="183"/>
      <c r="S4967" s="183"/>
    </row>
    <row r="4968" spans="1:19">
      <c r="A4968" s="182"/>
      <c r="Q4968" s="183"/>
      <c r="R4968" s="183"/>
      <c r="S4968" s="183"/>
    </row>
    <row r="4969" spans="1:19">
      <c r="A4969" s="182"/>
      <c r="Q4969" s="183"/>
      <c r="R4969" s="183"/>
      <c r="S4969" s="183"/>
    </row>
    <row r="4970" spans="1:19">
      <c r="A4970" s="182"/>
      <c r="Q4970" s="183"/>
      <c r="R4970" s="183"/>
      <c r="S4970" s="183"/>
    </row>
    <row r="4971" spans="1:19">
      <c r="A4971" s="182"/>
      <c r="Q4971" s="183"/>
      <c r="R4971" s="183"/>
      <c r="S4971" s="183"/>
    </row>
    <row r="4972" spans="1:19">
      <c r="A4972" s="182"/>
      <c r="Q4972" s="183"/>
      <c r="R4972" s="183"/>
      <c r="S4972" s="183"/>
    </row>
    <row r="4973" spans="1:19">
      <c r="A4973" s="182"/>
      <c r="Q4973" s="183"/>
      <c r="R4973" s="183"/>
      <c r="S4973" s="183"/>
    </row>
    <row r="4974" spans="1:19">
      <c r="A4974" s="182"/>
      <c r="Q4974" s="183"/>
      <c r="R4974" s="183"/>
      <c r="S4974" s="183"/>
    </row>
    <row r="4975" spans="1:19">
      <c r="A4975" s="182"/>
      <c r="Q4975" s="183"/>
      <c r="R4975" s="183"/>
      <c r="S4975" s="183"/>
    </row>
    <row r="4976" spans="1:19">
      <c r="A4976" s="182"/>
      <c r="Q4976" s="183"/>
      <c r="R4976" s="183"/>
      <c r="S4976" s="183"/>
    </row>
    <row r="4977" spans="1:38">
      <c r="A4977" s="182"/>
      <c r="Q4977" s="183"/>
      <c r="R4977" s="183"/>
      <c r="S4977" s="183"/>
      <c r="AK4977" s="183"/>
      <c r="AL4977" s="183"/>
    </row>
    <row r="4978" spans="1:38">
      <c r="A4978" s="182"/>
      <c r="Q4978" s="183"/>
      <c r="R4978" s="183"/>
      <c r="S4978" s="183"/>
      <c r="AJ4978" s="183"/>
      <c r="AK4978" s="183"/>
      <c r="AL4978" s="183"/>
    </row>
    <row r="4979" spans="1:38">
      <c r="A4979" s="182"/>
      <c r="Q4979" s="183"/>
      <c r="R4979" s="183"/>
      <c r="S4979" s="183"/>
      <c r="AJ4979" s="183"/>
      <c r="AK4979" s="183"/>
      <c r="AL4979" s="183"/>
    </row>
    <row r="4980" spans="1:38">
      <c r="A4980" s="182"/>
      <c r="Q4980" s="183"/>
      <c r="R4980" s="183"/>
      <c r="S4980" s="183"/>
      <c r="AJ4980" s="183"/>
      <c r="AK4980" s="183"/>
      <c r="AL4980" s="183"/>
    </row>
    <row r="4981" spans="1:38">
      <c r="A4981" s="182"/>
      <c r="Q4981" s="183"/>
      <c r="R4981" s="183"/>
      <c r="S4981" s="183"/>
      <c r="AJ4981" s="183"/>
    </row>
    <row r="4982" spans="1:38">
      <c r="A4982" s="182"/>
      <c r="Q4982" s="183"/>
      <c r="R4982" s="183"/>
      <c r="S4982" s="183"/>
    </row>
    <row r="4983" spans="1:38">
      <c r="A4983" s="182"/>
      <c r="Q4983" s="183"/>
      <c r="R4983" s="183"/>
      <c r="S4983" s="183"/>
    </row>
    <row r="4984" spans="1:38">
      <c r="A4984" s="182"/>
      <c r="Q4984" s="183"/>
      <c r="R4984" s="183"/>
      <c r="S4984" s="183"/>
    </row>
    <row r="4985" spans="1:38">
      <c r="A4985" s="182"/>
      <c r="Q4985" s="183"/>
      <c r="R4985" s="183"/>
      <c r="S4985" s="183"/>
    </row>
    <row r="4986" spans="1:38">
      <c r="A4986" s="182"/>
      <c r="Q4986" s="183"/>
      <c r="R4986" s="183"/>
      <c r="S4986" s="183"/>
    </row>
    <row r="4987" spans="1:38">
      <c r="A4987" s="182"/>
      <c r="Q4987" s="183"/>
      <c r="R4987" s="183"/>
      <c r="S4987" s="183"/>
    </row>
    <row r="4988" spans="1:38">
      <c r="A4988" s="182"/>
      <c r="Q4988" s="183"/>
      <c r="R4988" s="183"/>
      <c r="S4988" s="183"/>
    </row>
    <row r="4989" spans="1:38">
      <c r="A4989" s="182"/>
      <c r="Q4989" s="183"/>
      <c r="R4989" s="183"/>
      <c r="S4989" s="183"/>
    </row>
    <row r="4990" spans="1:38">
      <c r="A4990" s="182"/>
      <c r="Q4990" s="183"/>
      <c r="R4990" s="183"/>
      <c r="S4990" s="183"/>
    </row>
    <row r="4991" spans="1:38">
      <c r="A4991" s="182"/>
      <c r="Q4991" s="183"/>
      <c r="R4991" s="183"/>
      <c r="S4991" s="183"/>
    </row>
    <row r="4992" spans="1:38">
      <c r="A4992" s="182"/>
      <c r="Q4992" s="183"/>
      <c r="R4992" s="183"/>
      <c r="S4992" s="183"/>
    </row>
    <row r="4993" spans="1:19">
      <c r="A4993" s="182"/>
      <c r="Q4993" s="183"/>
      <c r="R4993" s="183"/>
      <c r="S4993" s="183"/>
    </row>
    <row r="4994" spans="1:19">
      <c r="A4994" s="182"/>
      <c r="Q4994" s="183"/>
      <c r="R4994" s="183"/>
      <c r="S4994" s="183"/>
    </row>
    <row r="4995" spans="1:19">
      <c r="A4995" s="182"/>
      <c r="Q4995" s="183"/>
      <c r="R4995" s="183"/>
      <c r="S4995" s="183"/>
    </row>
    <row r="4996" spans="1:19">
      <c r="A4996" s="182"/>
      <c r="Q4996" s="183"/>
      <c r="R4996" s="183"/>
      <c r="S4996" s="183"/>
    </row>
    <row r="4997" spans="1:19">
      <c r="A4997" s="182"/>
      <c r="Q4997" s="183"/>
      <c r="R4997" s="183"/>
      <c r="S4997" s="183"/>
    </row>
    <row r="4998" spans="1:19">
      <c r="A4998" s="182"/>
      <c r="Q4998" s="183"/>
      <c r="R4998" s="183"/>
      <c r="S4998" s="183"/>
    </row>
    <row r="4999" spans="1:19">
      <c r="A4999" s="182"/>
      <c r="Q4999" s="183"/>
      <c r="R4999" s="183"/>
      <c r="S4999" s="183"/>
    </row>
    <row r="5000" spans="1:19">
      <c r="A5000" s="182"/>
      <c r="Q5000" s="183"/>
      <c r="R5000" s="183"/>
      <c r="S5000" s="183"/>
    </row>
    <row r="5001" spans="1:19">
      <c r="A5001" s="182"/>
      <c r="Q5001" s="183"/>
      <c r="R5001" s="183"/>
      <c r="S5001" s="183"/>
    </row>
    <row r="5002" spans="1:19">
      <c r="A5002" s="182"/>
      <c r="Q5002" s="183"/>
      <c r="R5002" s="183"/>
      <c r="S5002" s="183"/>
    </row>
    <row r="5003" spans="1:19">
      <c r="A5003" s="182"/>
      <c r="Q5003" s="183"/>
      <c r="R5003" s="183"/>
      <c r="S5003" s="183"/>
    </row>
    <row r="5004" spans="1:19">
      <c r="A5004" s="182"/>
      <c r="Q5004" s="183"/>
      <c r="R5004" s="183"/>
      <c r="S5004" s="183"/>
    </row>
    <row r="5005" spans="1:19">
      <c r="A5005" s="182"/>
      <c r="Q5005" s="183"/>
      <c r="R5005" s="183"/>
      <c r="S5005" s="183"/>
    </row>
    <row r="5006" spans="1:19">
      <c r="A5006" s="182"/>
      <c r="Q5006" s="183"/>
      <c r="R5006" s="183"/>
      <c r="S5006" s="183"/>
    </row>
    <row r="5007" spans="1:19">
      <c r="A5007" s="182"/>
      <c r="Q5007" s="183"/>
      <c r="R5007" s="183"/>
      <c r="S5007" s="183"/>
    </row>
    <row r="5008" spans="1:19">
      <c r="A5008" s="182"/>
      <c r="Q5008" s="183"/>
      <c r="R5008" s="183"/>
      <c r="S5008" s="183"/>
    </row>
    <row r="5009" spans="1:19">
      <c r="A5009" s="182"/>
      <c r="Q5009" s="183"/>
      <c r="R5009" s="183"/>
      <c r="S5009" s="183"/>
    </row>
    <row r="5010" spans="1:19">
      <c r="A5010" s="182"/>
      <c r="Q5010" s="183"/>
      <c r="R5010" s="183"/>
      <c r="S5010" s="183"/>
    </row>
    <row r="5011" spans="1:19">
      <c r="A5011" s="182"/>
      <c r="Q5011" s="183"/>
      <c r="R5011" s="183"/>
      <c r="S5011" s="183"/>
    </row>
    <row r="5012" spans="1:19">
      <c r="A5012" s="182"/>
      <c r="Q5012" s="183"/>
      <c r="R5012" s="183"/>
      <c r="S5012" s="183"/>
    </row>
    <row r="5013" spans="1:19">
      <c r="A5013" s="182"/>
      <c r="Q5013" s="183"/>
      <c r="R5013" s="183"/>
      <c r="S5013" s="183"/>
    </row>
    <row r="5014" spans="1:19">
      <c r="A5014" s="182"/>
      <c r="Q5014" s="183"/>
      <c r="R5014" s="183"/>
      <c r="S5014" s="183"/>
    </row>
    <row r="5015" spans="1:19">
      <c r="A5015" s="182"/>
      <c r="Q5015" s="183"/>
      <c r="R5015" s="183"/>
      <c r="S5015" s="183"/>
    </row>
    <row r="5016" spans="1:19">
      <c r="A5016" s="182"/>
      <c r="Q5016" s="183"/>
      <c r="R5016" s="183"/>
      <c r="S5016" s="183"/>
    </row>
    <row r="5017" spans="1:19">
      <c r="A5017" s="182"/>
      <c r="Q5017" s="183"/>
      <c r="R5017" s="183"/>
      <c r="S5017" s="183"/>
    </row>
    <row r="5018" spans="1:19">
      <c r="A5018" s="182"/>
      <c r="Q5018" s="183"/>
      <c r="R5018" s="183"/>
      <c r="S5018" s="183"/>
    </row>
    <row r="5019" spans="1:19">
      <c r="A5019" s="182"/>
      <c r="Q5019" s="183"/>
      <c r="R5019" s="183"/>
      <c r="S5019" s="183"/>
    </row>
    <row r="5020" spans="1:19">
      <c r="A5020" s="182"/>
      <c r="Q5020" s="183"/>
      <c r="R5020" s="183"/>
      <c r="S5020" s="183"/>
    </row>
    <row r="5021" spans="1:19">
      <c r="A5021" s="182"/>
      <c r="Q5021" s="183"/>
      <c r="R5021" s="183"/>
      <c r="S5021" s="183"/>
    </row>
    <row r="5022" spans="1:19">
      <c r="A5022" s="182"/>
      <c r="Q5022" s="183"/>
      <c r="R5022" s="183"/>
      <c r="S5022" s="183"/>
    </row>
    <row r="5023" spans="1:19">
      <c r="A5023" s="182"/>
      <c r="Q5023" s="183"/>
      <c r="R5023" s="183"/>
      <c r="S5023" s="183"/>
    </row>
    <row r="5024" spans="1:19">
      <c r="A5024" s="182"/>
      <c r="Q5024" s="183"/>
      <c r="R5024" s="183"/>
      <c r="S5024" s="183"/>
    </row>
    <row r="5025" spans="1:19">
      <c r="A5025" s="182"/>
      <c r="Q5025" s="183"/>
      <c r="R5025" s="183"/>
      <c r="S5025" s="183"/>
    </row>
    <row r="5026" spans="1:19">
      <c r="A5026" s="182"/>
      <c r="Q5026" s="183"/>
      <c r="R5026" s="183"/>
      <c r="S5026" s="183"/>
    </row>
    <row r="5027" spans="1:19">
      <c r="A5027" s="182"/>
      <c r="Q5027" s="183"/>
      <c r="R5027" s="183"/>
      <c r="S5027" s="183"/>
    </row>
    <row r="5028" spans="1:19">
      <c r="A5028" s="182"/>
      <c r="Q5028" s="183"/>
      <c r="R5028" s="183"/>
      <c r="S5028" s="183"/>
    </row>
    <row r="5029" spans="1:19">
      <c r="A5029" s="182"/>
      <c r="Q5029" s="183"/>
      <c r="R5029" s="183"/>
      <c r="S5029" s="183"/>
    </row>
    <row r="5030" spans="1:19">
      <c r="A5030" s="182"/>
      <c r="Q5030" s="183"/>
      <c r="R5030" s="183"/>
      <c r="S5030" s="183"/>
    </row>
    <row r="5031" spans="1:19">
      <c r="A5031" s="182"/>
      <c r="Q5031" s="183"/>
      <c r="R5031" s="183"/>
      <c r="S5031" s="183"/>
    </row>
    <row r="5032" spans="1:19">
      <c r="A5032" s="182"/>
      <c r="Q5032" s="183"/>
      <c r="R5032" s="183"/>
      <c r="S5032" s="183"/>
    </row>
    <row r="5033" spans="1:19">
      <c r="A5033" s="182"/>
      <c r="Q5033" s="183"/>
      <c r="R5033" s="183"/>
      <c r="S5033" s="183"/>
    </row>
    <row r="5034" spans="1:19">
      <c r="A5034" s="182"/>
      <c r="Q5034" s="183"/>
      <c r="R5034" s="183"/>
      <c r="S5034" s="183"/>
    </row>
    <row r="5035" spans="1:19">
      <c r="A5035" s="182"/>
      <c r="Q5035" s="183"/>
      <c r="R5035" s="183"/>
      <c r="S5035" s="183"/>
    </row>
    <row r="5036" spans="1:19">
      <c r="A5036" s="182"/>
      <c r="Q5036" s="183"/>
      <c r="R5036" s="183"/>
      <c r="S5036" s="183"/>
    </row>
    <row r="5037" spans="1:19">
      <c r="A5037" s="182"/>
      <c r="Q5037" s="183"/>
      <c r="R5037" s="183"/>
      <c r="S5037" s="183"/>
    </row>
    <row r="5038" spans="1:19">
      <c r="A5038" s="182"/>
      <c r="Q5038" s="183"/>
      <c r="R5038" s="183"/>
      <c r="S5038" s="183"/>
    </row>
    <row r="5039" spans="1:19">
      <c r="A5039" s="182"/>
      <c r="Q5039" s="183"/>
      <c r="R5039" s="183"/>
      <c r="S5039" s="183"/>
    </row>
    <row r="5040" spans="1:19">
      <c r="A5040" s="182"/>
      <c r="Q5040" s="183"/>
      <c r="R5040" s="183"/>
      <c r="S5040" s="183"/>
    </row>
    <row r="5041" spans="1:38">
      <c r="A5041" s="182"/>
      <c r="Q5041" s="183"/>
      <c r="R5041" s="183"/>
      <c r="S5041" s="183"/>
    </row>
    <row r="5042" spans="1:38">
      <c r="A5042" s="182"/>
      <c r="Q5042" s="183"/>
      <c r="R5042" s="183"/>
      <c r="S5042" s="183"/>
    </row>
    <row r="5043" spans="1:38">
      <c r="A5043" s="182"/>
      <c r="Q5043" s="183"/>
      <c r="R5043" s="183"/>
      <c r="S5043" s="183"/>
    </row>
    <row r="5044" spans="1:38">
      <c r="A5044" s="182"/>
      <c r="Q5044" s="183"/>
      <c r="R5044" s="183"/>
      <c r="S5044" s="183"/>
    </row>
    <row r="5045" spans="1:38">
      <c r="A5045" s="182"/>
      <c r="Q5045" s="183"/>
      <c r="R5045" s="183"/>
      <c r="S5045" s="183"/>
    </row>
    <row r="5046" spans="1:38">
      <c r="A5046" s="182"/>
      <c r="Q5046" s="183"/>
      <c r="R5046" s="183"/>
      <c r="S5046" s="183"/>
    </row>
    <row r="5047" spans="1:38">
      <c r="A5047" s="182"/>
      <c r="Q5047" s="183"/>
      <c r="R5047" s="183"/>
      <c r="S5047" s="183"/>
    </row>
    <row r="5048" spans="1:38">
      <c r="A5048" s="182"/>
      <c r="Q5048" s="183"/>
      <c r="R5048" s="183"/>
      <c r="S5048" s="183"/>
    </row>
    <row r="5049" spans="1:38">
      <c r="A5049" s="182"/>
      <c r="Q5049" s="183"/>
      <c r="R5049" s="183"/>
      <c r="S5049" s="183"/>
    </row>
    <row r="5050" spans="1:38">
      <c r="A5050" s="182"/>
      <c r="Q5050" s="183"/>
      <c r="R5050" s="183"/>
      <c r="S5050" s="183"/>
    </row>
    <row r="5051" spans="1:38">
      <c r="A5051" s="182"/>
      <c r="Q5051" s="183"/>
      <c r="R5051" s="183"/>
      <c r="S5051" s="183"/>
    </row>
    <row r="5052" spans="1:38">
      <c r="A5052" s="182"/>
      <c r="Q5052" s="183"/>
      <c r="R5052" s="183"/>
      <c r="S5052" s="183"/>
    </row>
    <row r="5053" spans="1:38">
      <c r="A5053" s="182"/>
      <c r="Q5053" s="183"/>
      <c r="R5053" s="183"/>
      <c r="S5053" s="183"/>
      <c r="AK5053" s="183"/>
      <c r="AL5053" s="183"/>
    </row>
    <row r="5054" spans="1:38">
      <c r="A5054" s="182"/>
      <c r="Q5054" s="183"/>
      <c r="R5054" s="183"/>
      <c r="S5054" s="183"/>
      <c r="AJ5054" s="183"/>
      <c r="AK5054" s="183"/>
      <c r="AL5054" s="183"/>
    </row>
    <row r="5055" spans="1:38">
      <c r="A5055" s="182"/>
      <c r="Q5055" s="183"/>
      <c r="R5055" s="183"/>
      <c r="S5055" s="183"/>
      <c r="AJ5055" s="183"/>
      <c r="AK5055" s="183"/>
      <c r="AL5055" s="183"/>
    </row>
    <row r="5056" spans="1:38">
      <c r="A5056" s="182"/>
      <c r="Q5056" s="183"/>
      <c r="R5056" s="183"/>
      <c r="S5056" s="183"/>
      <c r="AJ5056" s="183"/>
      <c r="AK5056" s="183"/>
      <c r="AL5056" s="183"/>
    </row>
    <row r="5057" spans="1:36">
      <c r="A5057" s="182"/>
      <c r="Q5057" s="183"/>
      <c r="R5057" s="183"/>
      <c r="S5057" s="183"/>
      <c r="AJ5057" s="183"/>
    </row>
    <row r="5058" spans="1:36">
      <c r="A5058" s="182"/>
      <c r="Q5058" s="183"/>
      <c r="R5058" s="183"/>
      <c r="S5058" s="183"/>
    </row>
    <row r="5059" spans="1:36">
      <c r="A5059" s="182"/>
      <c r="Q5059" s="183"/>
      <c r="R5059" s="183"/>
      <c r="S5059" s="183"/>
    </row>
    <row r="5060" spans="1:36">
      <c r="A5060" s="182"/>
      <c r="Q5060" s="183"/>
      <c r="R5060" s="183"/>
      <c r="S5060" s="183"/>
    </row>
    <row r="5061" spans="1:36">
      <c r="A5061" s="182"/>
      <c r="Q5061" s="183"/>
      <c r="R5061" s="183"/>
      <c r="S5061" s="183"/>
    </row>
    <row r="5062" spans="1:36">
      <c r="A5062" s="182"/>
      <c r="Q5062" s="183"/>
      <c r="R5062" s="183"/>
      <c r="S5062" s="183"/>
    </row>
    <row r="5063" spans="1:36">
      <c r="A5063" s="182"/>
      <c r="Q5063" s="183"/>
      <c r="R5063" s="183"/>
      <c r="S5063" s="183"/>
    </row>
    <row r="5064" spans="1:36">
      <c r="A5064" s="182"/>
      <c r="Q5064" s="183"/>
      <c r="R5064" s="183"/>
      <c r="S5064" s="183"/>
    </row>
    <row r="5065" spans="1:36">
      <c r="A5065" s="182"/>
      <c r="Q5065" s="183"/>
      <c r="R5065" s="183"/>
      <c r="S5065" s="183"/>
    </row>
    <row r="5066" spans="1:36">
      <c r="A5066" s="182"/>
      <c r="Q5066" s="183"/>
      <c r="R5066" s="183"/>
      <c r="S5066" s="183"/>
    </row>
    <row r="5067" spans="1:36">
      <c r="A5067" s="182"/>
      <c r="Q5067" s="183"/>
      <c r="R5067" s="183"/>
      <c r="S5067" s="183"/>
    </row>
    <row r="5068" spans="1:36">
      <c r="A5068" s="182"/>
      <c r="Q5068" s="183"/>
      <c r="R5068" s="183"/>
      <c r="S5068" s="183"/>
    </row>
    <row r="5069" spans="1:36">
      <c r="A5069" s="182"/>
      <c r="Q5069" s="183"/>
      <c r="R5069" s="183"/>
      <c r="S5069" s="183"/>
    </row>
    <row r="5070" spans="1:36">
      <c r="A5070" s="182"/>
      <c r="Q5070" s="183"/>
      <c r="R5070" s="183"/>
      <c r="S5070" s="183"/>
    </row>
    <row r="5071" spans="1:36">
      <c r="A5071" s="182"/>
      <c r="Q5071" s="183"/>
      <c r="R5071" s="183"/>
      <c r="S5071" s="183"/>
    </row>
    <row r="5072" spans="1:36">
      <c r="A5072" s="182"/>
      <c r="Q5072" s="183"/>
      <c r="R5072" s="183"/>
      <c r="S5072" s="183"/>
    </row>
    <row r="5073" spans="1:19">
      <c r="A5073" s="182"/>
      <c r="Q5073" s="183"/>
      <c r="R5073" s="183"/>
      <c r="S5073" s="183"/>
    </row>
    <row r="5074" spans="1:19">
      <c r="A5074" s="182"/>
      <c r="Q5074" s="183"/>
      <c r="R5074" s="183"/>
      <c r="S5074" s="183"/>
    </row>
    <row r="5075" spans="1:19">
      <c r="A5075" s="182"/>
      <c r="Q5075" s="183"/>
      <c r="R5075" s="183"/>
      <c r="S5075" s="183"/>
    </row>
    <row r="5076" spans="1:19">
      <c r="A5076" s="182"/>
      <c r="Q5076" s="183"/>
      <c r="R5076" s="183"/>
      <c r="S5076" s="183"/>
    </row>
    <row r="5077" spans="1:19">
      <c r="A5077" s="182"/>
      <c r="Q5077" s="183"/>
      <c r="R5077" s="183"/>
      <c r="S5077" s="183"/>
    </row>
    <row r="5078" spans="1:19">
      <c r="A5078" s="182"/>
      <c r="Q5078" s="183"/>
      <c r="R5078" s="183"/>
      <c r="S5078" s="183"/>
    </row>
    <row r="5079" spans="1:19">
      <c r="A5079" s="182"/>
      <c r="Q5079" s="183"/>
      <c r="R5079" s="183"/>
      <c r="S5079" s="183"/>
    </row>
    <row r="5080" spans="1:19">
      <c r="A5080" s="182"/>
      <c r="Q5080" s="183"/>
      <c r="R5080" s="183"/>
      <c r="S5080" s="183"/>
    </row>
    <row r="5081" spans="1:19">
      <c r="A5081" s="182"/>
      <c r="Q5081" s="183"/>
      <c r="R5081" s="183"/>
      <c r="S5081" s="183"/>
    </row>
    <row r="5082" spans="1:19">
      <c r="A5082" s="182"/>
      <c r="Q5082" s="183"/>
      <c r="R5082" s="183"/>
      <c r="S5082" s="183"/>
    </row>
    <row r="5083" spans="1:19">
      <c r="A5083" s="182"/>
      <c r="Q5083" s="183"/>
      <c r="R5083" s="183"/>
      <c r="S5083" s="183"/>
    </row>
    <row r="5084" spans="1:19">
      <c r="A5084" s="182"/>
      <c r="Q5084" s="183"/>
      <c r="R5084" s="183"/>
      <c r="S5084" s="183"/>
    </row>
    <row r="5085" spans="1:19">
      <c r="A5085" s="182"/>
      <c r="Q5085" s="183"/>
      <c r="R5085" s="183"/>
      <c r="S5085" s="183"/>
    </row>
    <row r="5086" spans="1:19">
      <c r="A5086" s="182"/>
      <c r="Q5086" s="183"/>
      <c r="R5086" s="183"/>
      <c r="S5086" s="183"/>
    </row>
    <row r="5087" spans="1:19">
      <c r="A5087" s="182"/>
      <c r="Q5087" s="183"/>
      <c r="R5087" s="183"/>
      <c r="S5087" s="183"/>
    </row>
    <row r="5088" spans="1:19">
      <c r="A5088" s="182"/>
      <c r="Q5088" s="183"/>
      <c r="R5088" s="183"/>
      <c r="S5088" s="183"/>
    </row>
    <row r="5089" spans="1:38">
      <c r="A5089" s="182"/>
      <c r="Q5089" s="183"/>
      <c r="R5089" s="183"/>
      <c r="S5089" s="183"/>
    </row>
    <row r="5090" spans="1:38">
      <c r="A5090" s="182"/>
      <c r="Q5090" s="183"/>
    </row>
    <row r="5091" spans="1:38">
      <c r="A5091" s="182"/>
    </row>
    <row r="5092" spans="1:38">
      <c r="A5092" s="182"/>
    </row>
    <row r="5093" spans="1:38">
      <c r="A5093" s="182"/>
      <c r="AK5093" s="183"/>
      <c r="AL5093" s="183"/>
    </row>
    <row r="5094" spans="1:38">
      <c r="A5094" s="182"/>
      <c r="AJ5094" s="183"/>
      <c r="AK5094" s="183"/>
      <c r="AL5094" s="183"/>
    </row>
    <row r="5095" spans="1:38">
      <c r="A5095" s="182"/>
      <c r="AJ5095" s="183"/>
      <c r="AK5095" s="183"/>
      <c r="AL5095" s="183"/>
    </row>
    <row r="5096" spans="1:38">
      <c r="A5096" s="182"/>
      <c r="AJ5096" s="183"/>
      <c r="AK5096" s="183"/>
      <c r="AL5096" s="183"/>
    </row>
    <row r="5097" spans="1:38">
      <c r="A5097" s="182"/>
      <c r="AJ5097" s="183"/>
    </row>
    <row r="5098" spans="1:38">
      <c r="A5098" s="182"/>
    </row>
    <row r="5099" spans="1:38">
      <c r="A5099" s="182"/>
    </row>
    <row r="5100" spans="1:38">
      <c r="A5100" s="182"/>
    </row>
    <row r="5101" spans="1:38">
      <c r="A5101" s="182"/>
    </row>
    <row r="5102" spans="1:38">
      <c r="A5102" s="182"/>
    </row>
    <row r="5103" spans="1:38">
      <c r="A5103" s="182"/>
    </row>
    <row r="5104" spans="1:38">
      <c r="A5104" s="182"/>
    </row>
    <row r="5105" spans="1:38">
      <c r="A5105" s="182"/>
      <c r="AK5105" s="183"/>
      <c r="AL5105" s="183"/>
    </row>
    <row r="5106" spans="1:38">
      <c r="A5106" s="182"/>
      <c r="AJ5106" s="183"/>
      <c r="AK5106" s="183"/>
      <c r="AL5106" s="183"/>
    </row>
    <row r="5107" spans="1:38">
      <c r="A5107" s="182"/>
      <c r="AJ5107" s="183"/>
      <c r="AK5107" s="183"/>
      <c r="AL5107" s="183"/>
    </row>
    <row r="5108" spans="1:38">
      <c r="A5108" s="182"/>
      <c r="AJ5108" s="183"/>
      <c r="AK5108" s="183"/>
      <c r="AL5108" s="183"/>
    </row>
    <row r="5109" spans="1:38">
      <c r="A5109" s="182"/>
      <c r="AJ5109" s="183"/>
      <c r="AK5109" s="183"/>
      <c r="AL5109" s="183"/>
    </row>
    <row r="5110" spans="1:38">
      <c r="A5110" s="182"/>
      <c r="AJ5110" s="183"/>
      <c r="AK5110" s="183"/>
      <c r="AL5110" s="183"/>
    </row>
    <row r="5111" spans="1:38">
      <c r="A5111" s="182"/>
      <c r="AJ5111" s="183"/>
      <c r="AK5111" s="183"/>
      <c r="AL5111" s="183"/>
    </row>
    <row r="5112" spans="1:38">
      <c r="A5112" s="182"/>
      <c r="AJ5112" s="183"/>
      <c r="AK5112" s="183"/>
      <c r="AL5112" s="183"/>
    </row>
    <row r="5113" spans="1:38">
      <c r="A5113" s="182"/>
      <c r="AJ5113" s="183"/>
    </row>
    <row r="5114" spans="1:38">
      <c r="A5114" s="182"/>
    </row>
    <row r="5115" spans="1:38">
      <c r="A5115" s="182"/>
    </row>
    <row r="5116" spans="1:38">
      <c r="A5116" s="182"/>
    </row>
    <row r="5117" spans="1:38">
      <c r="A5117" s="182"/>
      <c r="AK5117" s="183"/>
      <c r="AL5117" s="183"/>
    </row>
    <row r="5118" spans="1:38">
      <c r="A5118" s="182"/>
      <c r="AJ5118" s="183"/>
      <c r="AK5118" s="183"/>
      <c r="AL5118" s="183"/>
    </row>
    <row r="5119" spans="1:38">
      <c r="A5119" s="182"/>
      <c r="AJ5119" s="183"/>
      <c r="AK5119" s="183"/>
      <c r="AL5119" s="183"/>
    </row>
    <row r="5120" spans="1:38">
      <c r="A5120" s="182"/>
      <c r="AJ5120" s="183"/>
      <c r="AK5120" s="183"/>
      <c r="AL5120" s="183"/>
    </row>
    <row r="5121" spans="1:36">
      <c r="A5121" s="182"/>
      <c r="AJ5121" s="183"/>
    </row>
    <row r="5122" spans="1:36">
      <c r="A5122" s="182"/>
    </row>
    <row r="5123" spans="1:36">
      <c r="A5123" s="182"/>
    </row>
    <row r="5124" spans="1:36">
      <c r="A5124" s="182"/>
    </row>
    <row r="5125" spans="1:36">
      <c r="A5125" s="182"/>
    </row>
    <row r="5126" spans="1:36">
      <c r="A5126" s="182"/>
    </row>
    <row r="5127" spans="1:36">
      <c r="A5127" s="182"/>
    </row>
    <row r="5128" spans="1:36">
      <c r="A5128" s="182"/>
    </row>
    <row r="5129" spans="1:36">
      <c r="A5129" s="182"/>
    </row>
    <row r="5130" spans="1:36">
      <c r="A5130" s="182"/>
    </row>
    <row r="5131" spans="1:36">
      <c r="A5131" s="182"/>
    </row>
    <row r="5132" spans="1:36">
      <c r="A5132" s="182"/>
    </row>
    <row r="5133" spans="1:36">
      <c r="A5133" s="182"/>
    </row>
    <row r="5134" spans="1:36">
      <c r="A5134" s="182"/>
    </row>
    <row r="5135" spans="1:36">
      <c r="A5135" s="182"/>
    </row>
    <row r="5136" spans="1:36">
      <c r="A5136" s="182"/>
    </row>
    <row r="5137" spans="1:1">
      <c r="A5137" s="182"/>
    </row>
    <row r="5138" spans="1:1">
      <c r="A5138" s="182"/>
    </row>
    <row r="5139" spans="1:1">
      <c r="A5139" s="182"/>
    </row>
    <row r="5140" spans="1:1">
      <c r="A5140" s="182"/>
    </row>
    <row r="5141" spans="1:1">
      <c r="A5141" s="182"/>
    </row>
    <row r="5142" spans="1:1">
      <c r="A5142" s="182"/>
    </row>
    <row r="5143" spans="1:1">
      <c r="A5143" s="182"/>
    </row>
    <row r="5144" spans="1:1">
      <c r="A5144" s="182"/>
    </row>
    <row r="5145" spans="1:1">
      <c r="A5145" s="182"/>
    </row>
    <row r="5146" spans="1:1">
      <c r="A5146" s="182"/>
    </row>
    <row r="5147" spans="1:1">
      <c r="A5147" s="182"/>
    </row>
    <row r="5148" spans="1:1">
      <c r="A5148" s="182"/>
    </row>
    <row r="5149" spans="1:1">
      <c r="A5149" s="182"/>
    </row>
    <row r="5150" spans="1:1">
      <c r="A5150" s="182"/>
    </row>
    <row r="5151" spans="1:1">
      <c r="A5151" s="182"/>
    </row>
    <row r="5152" spans="1:1">
      <c r="A5152" s="182"/>
    </row>
    <row r="5153" spans="1:38">
      <c r="A5153" s="182"/>
    </row>
    <row r="5154" spans="1:38">
      <c r="A5154" s="182"/>
    </row>
    <row r="5155" spans="1:38">
      <c r="A5155" s="182"/>
    </row>
    <row r="5156" spans="1:38">
      <c r="A5156" s="182"/>
    </row>
    <row r="5157" spans="1:38">
      <c r="A5157" s="182"/>
      <c r="AK5157" s="183"/>
      <c r="AL5157" s="183"/>
    </row>
    <row r="5158" spans="1:38">
      <c r="A5158" s="182"/>
      <c r="AJ5158" s="183"/>
      <c r="AK5158" s="183"/>
      <c r="AL5158" s="183"/>
    </row>
    <row r="5159" spans="1:38">
      <c r="A5159" s="182"/>
      <c r="AJ5159" s="183"/>
      <c r="AK5159" s="183"/>
      <c r="AL5159" s="183"/>
    </row>
    <row r="5160" spans="1:38">
      <c r="A5160" s="182"/>
      <c r="AJ5160" s="183"/>
      <c r="AK5160" s="183"/>
      <c r="AL5160" s="183"/>
    </row>
    <row r="5161" spans="1:38">
      <c r="A5161" s="182"/>
      <c r="AJ5161" s="183"/>
    </row>
    <row r="5162" spans="1:38">
      <c r="A5162" s="182"/>
    </row>
    <row r="5163" spans="1:38">
      <c r="A5163" s="182"/>
    </row>
    <row r="5164" spans="1:38">
      <c r="A5164" s="182"/>
    </row>
    <row r="5165" spans="1:38">
      <c r="A5165" s="182"/>
    </row>
    <row r="5166" spans="1:38">
      <c r="A5166" s="182"/>
    </row>
    <row r="5167" spans="1:38">
      <c r="A5167" s="182"/>
    </row>
    <row r="5168" spans="1:38">
      <c r="A5168" s="182"/>
    </row>
    <row r="5169" spans="1:1">
      <c r="A5169" s="182"/>
    </row>
    <row r="5170" spans="1:1">
      <c r="A5170" s="182"/>
    </row>
    <row r="5171" spans="1:1">
      <c r="A5171" s="182"/>
    </row>
    <row r="5172" spans="1:1">
      <c r="A5172" s="182"/>
    </row>
    <row r="5173" spans="1:1">
      <c r="A5173" s="182"/>
    </row>
    <row r="5174" spans="1:1">
      <c r="A5174" s="182"/>
    </row>
    <row r="5175" spans="1:1">
      <c r="A5175" s="182"/>
    </row>
    <row r="5176" spans="1:1">
      <c r="A5176" s="182"/>
    </row>
    <row r="5177" spans="1:1">
      <c r="A5177" s="182"/>
    </row>
    <row r="5178" spans="1:1">
      <c r="A5178" s="182"/>
    </row>
    <row r="5179" spans="1:1">
      <c r="A5179" s="182"/>
    </row>
    <row r="5180" spans="1:1">
      <c r="A5180" s="182"/>
    </row>
    <row r="5181" spans="1:1">
      <c r="A5181" s="182"/>
    </row>
    <row r="5182" spans="1:1">
      <c r="A5182" s="182"/>
    </row>
    <row r="5183" spans="1:1">
      <c r="A5183" s="182"/>
    </row>
    <row r="5184" spans="1:1">
      <c r="A5184" s="182"/>
    </row>
    <row r="5185" spans="1:38">
      <c r="A5185" s="182"/>
      <c r="AK5185" s="183"/>
      <c r="AL5185" s="183"/>
    </row>
    <row r="5186" spans="1:38">
      <c r="A5186" s="182"/>
      <c r="AJ5186" s="183"/>
      <c r="AK5186" s="183"/>
      <c r="AL5186" s="183"/>
    </row>
    <row r="5187" spans="1:38">
      <c r="A5187" s="182"/>
      <c r="AJ5187" s="183"/>
      <c r="AK5187" s="183"/>
      <c r="AL5187" s="183"/>
    </row>
    <row r="5188" spans="1:38">
      <c r="A5188" s="182"/>
      <c r="AJ5188" s="183"/>
      <c r="AK5188" s="183"/>
      <c r="AL5188" s="183"/>
    </row>
    <row r="5189" spans="1:38">
      <c r="A5189" s="182"/>
      <c r="AJ5189" s="183"/>
      <c r="AK5189" s="183"/>
      <c r="AL5189" s="183"/>
    </row>
    <row r="5190" spans="1:38">
      <c r="A5190" s="182"/>
      <c r="AJ5190" s="183"/>
      <c r="AK5190" s="183"/>
      <c r="AL5190" s="183"/>
    </row>
    <row r="5191" spans="1:38">
      <c r="A5191" s="182"/>
      <c r="AJ5191" s="183"/>
      <c r="AK5191" s="183"/>
      <c r="AL5191" s="183"/>
    </row>
    <row r="5192" spans="1:38">
      <c r="A5192" s="182"/>
      <c r="AJ5192" s="183"/>
      <c r="AK5192" s="183"/>
      <c r="AL5192" s="183"/>
    </row>
    <row r="5193" spans="1:38">
      <c r="A5193" s="182"/>
      <c r="AJ5193" s="183"/>
    </row>
    <row r="5194" spans="1:38">
      <c r="A5194" s="182"/>
    </row>
    <row r="5195" spans="1:38">
      <c r="A5195" s="182"/>
    </row>
    <row r="5196" spans="1:38">
      <c r="A5196" s="182"/>
    </row>
    <row r="5197" spans="1:38">
      <c r="A5197" s="182"/>
    </row>
    <row r="5198" spans="1:38">
      <c r="A5198" s="182"/>
    </row>
    <row r="5199" spans="1:38">
      <c r="A5199" s="182"/>
    </row>
    <row r="5200" spans="1:38">
      <c r="A5200" s="182"/>
    </row>
    <row r="5201" spans="1:38">
      <c r="A5201" s="182"/>
      <c r="AK5201" s="183"/>
      <c r="AL5201" s="183"/>
    </row>
    <row r="5202" spans="1:38">
      <c r="A5202" s="182"/>
      <c r="AJ5202" s="183"/>
      <c r="AK5202" s="183"/>
      <c r="AL5202" s="183"/>
    </row>
    <row r="5203" spans="1:38">
      <c r="A5203" s="182"/>
      <c r="AJ5203" s="183"/>
      <c r="AK5203" s="183"/>
      <c r="AL5203" s="183"/>
    </row>
    <row r="5204" spans="1:38">
      <c r="A5204" s="182"/>
      <c r="AJ5204" s="183"/>
      <c r="AK5204" s="183"/>
      <c r="AL5204" s="183"/>
    </row>
    <row r="5205" spans="1:38">
      <c r="A5205" s="182"/>
      <c r="AJ5205" s="183"/>
    </row>
    <row r="5206" spans="1:38">
      <c r="A5206" s="182"/>
    </row>
    <row r="5207" spans="1:38">
      <c r="A5207" s="182"/>
    </row>
    <row r="5208" spans="1:38">
      <c r="A5208" s="182"/>
    </row>
    <row r="5209" spans="1:38">
      <c r="A5209" s="182"/>
    </row>
    <row r="5210" spans="1:38">
      <c r="A5210" s="182"/>
    </row>
    <row r="5211" spans="1:38">
      <c r="A5211" s="182"/>
    </row>
    <row r="5212" spans="1:38">
      <c r="A5212" s="182"/>
    </row>
    <row r="5213" spans="1:38">
      <c r="A5213" s="182"/>
      <c r="AK5213" s="183"/>
      <c r="AL5213" s="183"/>
    </row>
    <row r="5214" spans="1:38">
      <c r="A5214" s="182"/>
      <c r="M5214" s="183"/>
      <c r="N5214" s="183"/>
      <c r="O5214" s="183"/>
      <c r="AJ5214" s="183"/>
      <c r="AK5214" s="183"/>
      <c r="AL5214" s="183"/>
    </row>
    <row r="5215" spans="1:38">
      <c r="A5215" s="182"/>
      <c r="L5215" s="183"/>
      <c r="M5215" s="183"/>
      <c r="AJ5215" s="183"/>
      <c r="AK5215" s="183"/>
      <c r="AL5215" s="183"/>
    </row>
    <row r="5216" spans="1:38">
      <c r="A5216" s="182"/>
      <c r="AJ5216" s="183"/>
      <c r="AK5216" s="183"/>
      <c r="AL5216" s="183"/>
    </row>
    <row r="5217" spans="1:36">
      <c r="A5217" s="182"/>
      <c r="AJ5217" s="183"/>
    </row>
    <row r="5218" spans="1:36">
      <c r="A5218" s="182"/>
    </row>
    <row r="5219" spans="1:36">
      <c r="A5219" s="182"/>
    </row>
    <row r="5220" spans="1:36">
      <c r="A5220" s="182"/>
    </row>
    <row r="5221" spans="1:36">
      <c r="A5221" s="182"/>
    </row>
    <row r="5222" spans="1:36">
      <c r="A5222" s="182"/>
    </row>
    <row r="5223" spans="1:36">
      <c r="A5223" s="182"/>
    </row>
    <row r="5224" spans="1:36">
      <c r="A5224" s="182"/>
    </row>
    <row r="5225" spans="1:36">
      <c r="A5225" s="182"/>
    </row>
    <row r="5226" spans="1:36">
      <c r="A5226" s="182"/>
    </row>
    <row r="5227" spans="1:36">
      <c r="A5227" s="182"/>
    </row>
    <row r="5228" spans="1:36">
      <c r="A5228" s="182"/>
    </row>
    <row r="5229" spans="1:36">
      <c r="A5229" s="182"/>
    </row>
    <row r="5230" spans="1:36">
      <c r="A5230" s="182"/>
    </row>
    <row r="5231" spans="1:36">
      <c r="A5231" s="182"/>
    </row>
    <row r="5232" spans="1:36">
      <c r="A5232" s="182"/>
    </row>
    <row r="5233" spans="1:19">
      <c r="A5233" s="182"/>
    </row>
    <row r="5234" spans="1:19">
      <c r="A5234" s="182"/>
    </row>
    <row r="5235" spans="1:19">
      <c r="A5235" s="182"/>
    </row>
    <row r="5236" spans="1:19">
      <c r="A5236" s="182"/>
      <c r="R5236" s="183"/>
      <c r="S5236" s="183"/>
    </row>
    <row r="5237" spans="1:19">
      <c r="A5237" s="182"/>
      <c r="Q5237" s="183"/>
      <c r="R5237" s="183"/>
      <c r="S5237" s="183"/>
    </row>
    <row r="5238" spans="1:19">
      <c r="A5238" s="182"/>
      <c r="Q5238" s="183"/>
      <c r="R5238" s="183"/>
      <c r="S5238" s="183"/>
    </row>
    <row r="5239" spans="1:19">
      <c r="A5239" s="182"/>
      <c r="Q5239" s="183"/>
      <c r="R5239" s="183"/>
      <c r="S5239" s="183"/>
    </row>
    <row r="5240" spans="1:19">
      <c r="A5240" s="182"/>
      <c r="Q5240" s="183"/>
    </row>
    <row r="5241" spans="1:19">
      <c r="A5241" s="182"/>
    </row>
    <row r="5242" spans="1:19">
      <c r="A5242" s="182"/>
    </row>
    <row r="5243" spans="1:19">
      <c r="A5243" s="182"/>
    </row>
    <row r="5244" spans="1:19">
      <c r="A5244" s="182"/>
    </row>
    <row r="5245" spans="1:19">
      <c r="A5245" s="182"/>
    </row>
    <row r="5246" spans="1:19">
      <c r="A5246" s="182"/>
      <c r="R5246" s="183"/>
      <c r="S5246" s="183"/>
    </row>
    <row r="5247" spans="1:19">
      <c r="A5247" s="182"/>
      <c r="Q5247" s="183"/>
      <c r="R5247" s="183"/>
      <c r="S5247" s="183"/>
    </row>
    <row r="5248" spans="1:19">
      <c r="A5248" s="182"/>
      <c r="Q5248" s="183"/>
      <c r="R5248" s="183"/>
      <c r="S5248" s="183"/>
    </row>
    <row r="5249" spans="1:17">
      <c r="A5249" s="182"/>
      <c r="Q5249" s="183"/>
    </row>
    <row r="5250" spans="1:17">
      <c r="A5250" s="182"/>
    </row>
    <row r="5251" spans="1:17">
      <c r="A5251" s="182"/>
    </row>
    <row r="5252" spans="1:17">
      <c r="A5252" s="182"/>
    </row>
    <row r="5253" spans="1:17">
      <c r="A5253" s="182"/>
    </row>
    <row r="5254" spans="1:17">
      <c r="A5254" s="182"/>
    </row>
    <row r="5255" spans="1:17">
      <c r="A5255" s="182"/>
    </row>
    <row r="5256" spans="1:17">
      <c r="A5256" s="182"/>
    </row>
    <row r="5257" spans="1:17">
      <c r="A5257" s="182"/>
    </row>
    <row r="5258" spans="1:17">
      <c r="A5258" s="182"/>
    </row>
    <row r="5259" spans="1:17">
      <c r="A5259" s="182"/>
    </row>
    <row r="5260" spans="1:17">
      <c r="A5260" s="182"/>
    </row>
    <row r="5261" spans="1:17">
      <c r="A5261" s="182"/>
    </row>
    <row r="5262" spans="1:17">
      <c r="A5262" s="182"/>
    </row>
    <row r="5263" spans="1:17">
      <c r="A5263" s="182"/>
    </row>
    <row r="5264" spans="1:17">
      <c r="A5264" s="182"/>
    </row>
    <row r="5265" spans="1:1">
      <c r="A5265" s="182"/>
    </row>
    <row r="5266" spans="1:1">
      <c r="A5266" s="182"/>
    </row>
    <row r="5267" spans="1:1">
      <c r="A5267" s="182"/>
    </row>
    <row r="5268" spans="1:1">
      <c r="A5268" s="182"/>
    </row>
    <row r="5269" spans="1:1">
      <c r="A5269" s="182"/>
    </row>
    <row r="5270" spans="1:1">
      <c r="A5270" s="182"/>
    </row>
    <row r="5271" spans="1:1">
      <c r="A5271" s="182"/>
    </row>
    <row r="5272" spans="1:1">
      <c r="A5272" s="182"/>
    </row>
    <row r="5273" spans="1:1">
      <c r="A5273" s="182"/>
    </row>
    <row r="5274" spans="1:1">
      <c r="A5274" s="182"/>
    </row>
    <row r="5275" spans="1:1">
      <c r="A5275" s="182"/>
    </row>
    <row r="5276" spans="1:1">
      <c r="A5276" s="182"/>
    </row>
    <row r="5277" spans="1:1">
      <c r="A5277" s="182"/>
    </row>
    <row r="5278" spans="1:1">
      <c r="A5278" s="182"/>
    </row>
    <row r="5279" spans="1:1">
      <c r="A5279" s="182"/>
    </row>
    <row r="5280" spans="1:1">
      <c r="A5280" s="182"/>
    </row>
    <row r="5281" spans="1:38">
      <c r="A5281" s="182"/>
    </row>
    <row r="5282" spans="1:38">
      <c r="A5282" s="182"/>
    </row>
    <row r="5283" spans="1:38">
      <c r="A5283" s="182"/>
    </row>
    <row r="5284" spans="1:38">
      <c r="A5284" s="182"/>
    </row>
    <row r="5285" spans="1:38">
      <c r="A5285" s="182"/>
    </row>
    <row r="5286" spans="1:38">
      <c r="A5286" s="182"/>
    </row>
    <row r="5287" spans="1:38">
      <c r="A5287" s="182"/>
    </row>
    <row r="5288" spans="1:38">
      <c r="A5288" s="182"/>
    </row>
    <row r="5289" spans="1:38">
      <c r="A5289" s="182"/>
      <c r="AK5289" s="183"/>
      <c r="AL5289" s="183"/>
    </row>
    <row r="5290" spans="1:38">
      <c r="A5290" s="182"/>
      <c r="AJ5290" s="183"/>
      <c r="AK5290" s="183"/>
      <c r="AL5290" s="183"/>
    </row>
    <row r="5291" spans="1:38">
      <c r="A5291" s="182"/>
      <c r="AJ5291" s="183"/>
      <c r="AK5291" s="183"/>
      <c r="AL5291" s="183"/>
    </row>
    <row r="5292" spans="1:38">
      <c r="A5292" s="182"/>
      <c r="AJ5292" s="183"/>
      <c r="AK5292" s="183"/>
      <c r="AL5292" s="183"/>
    </row>
    <row r="5293" spans="1:38">
      <c r="A5293" s="182"/>
      <c r="AJ5293" s="183"/>
      <c r="AK5293" s="183"/>
      <c r="AL5293" s="183"/>
    </row>
    <row r="5294" spans="1:38">
      <c r="A5294" s="182"/>
      <c r="AJ5294" s="183"/>
      <c r="AK5294" s="183"/>
      <c r="AL5294" s="183"/>
    </row>
    <row r="5295" spans="1:38">
      <c r="A5295" s="182"/>
      <c r="AJ5295" s="183"/>
      <c r="AK5295" s="183"/>
      <c r="AL5295" s="183"/>
    </row>
    <row r="5296" spans="1:38">
      <c r="A5296" s="182"/>
      <c r="AJ5296" s="183"/>
      <c r="AK5296" s="183"/>
      <c r="AL5296" s="183"/>
    </row>
    <row r="5297" spans="1:38">
      <c r="A5297" s="182"/>
      <c r="AJ5297" s="183"/>
    </row>
    <row r="5298" spans="1:38">
      <c r="A5298" s="182"/>
    </row>
    <row r="5299" spans="1:38">
      <c r="A5299" s="182"/>
    </row>
    <row r="5300" spans="1:38">
      <c r="A5300" s="182"/>
    </row>
    <row r="5301" spans="1:38">
      <c r="A5301" s="182"/>
      <c r="AK5301" s="183"/>
      <c r="AL5301" s="183"/>
    </row>
    <row r="5302" spans="1:38">
      <c r="A5302" s="182"/>
      <c r="AJ5302" s="183"/>
      <c r="AK5302" s="183"/>
      <c r="AL5302" s="183"/>
    </row>
    <row r="5303" spans="1:38">
      <c r="A5303" s="182"/>
      <c r="AJ5303" s="183"/>
      <c r="AK5303" s="183"/>
      <c r="AL5303" s="183"/>
    </row>
    <row r="5304" spans="1:38">
      <c r="A5304" s="182"/>
      <c r="AJ5304" s="183"/>
      <c r="AK5304" s="183"/>
      <c r="AL5304" s="183"/>
    </row>
    <row r="5305" spans="1:38">
      <c r="A5305" s="182"/>
      <c r="AJ5305" s="183"/>
    </row>
    <row r="5306" spans="1:38">
      <c r="A5306" s="182"/>
    </row>
    <row r="5307" spans="1:38">
      <c r="A5307" s="182"/>
    </row>
    <row r="5308" spans="1:38">
      <c r="A5308" s="182"/>
    </row>
    <row r="5309" spans="1:38">
      <c r="A5309" s="182"/>
    </row>
    <row r="5310" spans="1:38">
      <c r="A5310" s="182"/>
    </row>
    <row r="5311" spans="1:38">
      <c r="A5311" s="182"/>
    </row>
    <row r="5312" spans="1:38">
      <c r="A5312" s="182"/>
    </row>
    <row r="5313" spans="1:38">
      <c r="A5313" s="182"/>
      <c r="AK5313" s="183"/>
      <c r="AL5313" s="183"/>
    </row>
    <row r="5314" spans="1:38">
      <c r="A5314" s="182"/>
      <c r="AJ5314" s="183"/>
      <c r="AK5314" s="183"/>
      <c r="AL5314" s="183"/>
    </row>
    <row r="5315" spans="1:38">
      <c r="A5315" s="182"/>
      <c r="AJ5315" s="183"/>
      <c r="AK5315" s="183"/>
      <c r="AL5315" s="183"/>
    </row>
    <row r="5316" spans="1:38">
      <c r="A5316" s="182"/>
      <c r="AJ5316" s="183"/>
      <c r="AK5316" s="183"/>
      <c r="AL5316" s="183"/>
    </row>
    <row r="5317" spans="1:38">
      <c r="A5317" s="182"/>
      <c r="AJ5317" s="183"/>
    </row>
    <row r="5318" spans="1:38">
      <c r="A5318" s="182"/>
    </row>
    <row r="5319" spans="1:38">
      <c r="A5319" s="182"/>
    </row>
    <row r="5320" spans="1:38">
      <c r="A5320" s="182"/>
    </row>
    <row r="5321" spans="1:38">
      <c r="A5321" s="182"/>
    </row>
    <row r="5322" spans="1:38">
      <c r="A5322" s="182"/>
    </row>
    <row r="5323" spans="1:38">
      <c r="A5323" s="182"/>
    </row>
    <row r="5324" spans="1:38">
      <c r="A5324" s="182"/>
    </row>
    <row r="5325" spans="1:38">
      <c r="A5325" s="182"/>
    </row>
    <row r="5326" spans="1:38">
      <c r="A5326" s="182"/>
    </row>
    <row r="5327" spans="1:38">
      <c r="A5327" s="182"/>
    </row>
    <row r="5328" spans="1:38">
      <c r="A5328" s="182"/>
    </row>
    <row r="5329" spans="1:1">
      <c r="A5329" s="182"/>
    </row>
    <row r="5330" spans="1:1">
      <c r="A5330" s="182"/>
    </row>
    <row r="5331" spans="1:1">
      <c r="A5331" s="182"/>
    </row>
    <row r="5332" spans="1:1">
      <c r="A5332" s="182"/>
    </row>
    <row r="5333" spans="1:1">
      <c r="A5333" s="182"/>
    </row>
    <row r="5334" spans="1:1">
      <c r="A5334" s="182"/>
    </row>
    <row r="5335" spans="1:1">
      <c r="A5335" s="182"/>
    </row>
    <row r="5336" spans="1:1">
      <c r="A5336" s="182"/>
    </row>
    <row r="5337" spans="1:1">
      <c r="A5337" s="182"/>
    </row>
    <row r="5338" spans="1:1">
      <c r="A5338" s="182"/>
    </row>
    <row r="5339" spans="1:1">
      <c r="A5339" s="182"/>
    </row>
    <row r="5340" spans="1:1">
      <c r="A5340" s="182"/>
    </row>
    <row r="5341" spans="1:1">
      <c r="A5341" s="182"/>
    </row>
    <row r="5342" spans="1:1">
      <c r="A5342" s="182"/>
    </row>
    <row r="5343" spans="1:1">
      <c r="A5343" s="182"/>
    </row>
    <row r="5344" spans="1:1">
      <c r="A5344" s="182"/>
    </row>
    <row r="5345" spans="1:1">
      <c r="A5345" s="182"/>
    </row>
    <row r="5346" spans="1:1">
      <c r="A5346" s="182"/>
    </row>
    <row r="5347" spans="1:1">
      <c r="A5347" s="182"/>
    </row>
    <row r="5348" spans="1:1">
      <c r="A5348" s="182"/>
    </row>
    <row r="5349" spans="1:1">
      <c r="A5349" s="182"/>
    </row>
    <row r="5350" spans="1:1">
      <c r="A5350" s="182"/>
    </row>
    <row r="5351" spans="1:1">
      <c r="A5351" s="182"/>
    </row>
    <row r="5352" spans="1:1">
      <c r="A5352" s="182"/>
    </row>
    <row r="5353" spans="1:1">
      <c r="A5353" s="182"/>
    </row>
    <row r="5354" spans="1:1">
      <c r="A5354" s="182"/>
    </row>
    <row r="5355" spans="1:1">
      <c r="A5355" s="182"/>
    </row>
    <row r="5356" spans="1:1">
      <c r="A5356" s="182"/>
    </row>
    <row r="5357" spans="1:1">
      <c r="A5357" s="182"/>
    </row>
    <row r="5358" spans="1:1">
      <c r="A5358" s="182"/>
    </row>
    <row r="5359" spans="1:1">
      <c r="A5359" s="182"/>
    </row>
    <row r="5360" spans="1:1">
      <c r="A5360" s="182"/>
    </row>
    <row r="5361" spans="1:15">
      <c r="A5361" s="182"/>
    </row>
    <row r="5362" spans="1:15">
      <c r="A5362" s="182"/>
    </row>
    <row r="5363" spans="1:15">
      <c r="A5363" s="182"/>
    </row>
    <row r="5364" spans="1:15">
      <c r="A5364" s="182"/>
      <c r="M5364" s="183"/>
      <c r="N5364" s="183"/>
    </row>
    <row r="5365" spans="1:15">
      <c r="A5365" s="182"/>
      <c r="L5365" s="183"/>
    </row>
    <row r="5366" spans="1:15">
      <c r="A5366" s="182"/>
    </row>
    <row r="5367" spans="1:15">
      <c r="A5367" s="182"/>
      <c r="M5367" s="183"/>
      <c r="N5367" s="183"/>
    </row>
    <row r="5368" spans="1:15">
      <c r="A5368" s="182"/>
      <c r="L5368" s="183"/>
      <c r="M5368" s="183"/>
      <c r="N5368" s="183"/>
    </row>
    <row r="5369" spans="1:15">
      <c r="A5369" s="182"/>
      <c r="L5369" s="183"/>
    </row>
    <row r="5370" spans="1:15">
      <c r="A5370" s="182"/>
    </row>
    <row r="5371" spans="1:15">
      <c r="A5371" s="182"/>
      <c r="M5371" s="183"/>
      <c r="N5371" s="183"/>
      <c r="O5371" s="183"/>
    </row>
    <row r="5372" spans="1:15">
      <c r="A5372" s="182"/>
      <c r="L5372" s="183"/>
      <c r="M5372" s="183"/>
    </row>
    <row r="5373" spans="1:15">
      <c r="A5373" s="182"/>
    </row>
    <row r="5374" spans="1:15">
      <c r="A5374" s="182"/>
    </row>
    <row r="5375" spans="1:15">
      <c r="A5375" s="182"/>
      <c r="M5375" s="183"/>
      <c r="N5375" s="183"/>
      <c r="O5375" s="183"/>
    </row>
    <row r="5376" spans="1:15">
      <c r="A5376" s="182"/>
      <c r="L5376" s="183"/>
      <c r="M5376" s="183"/>
    </row>
    <row r="5377" spans="1:38">
      <c r="A5377" s="182"/>
    </row>
    <row r="5378" spans="1:38">
      <c r="A5378" s="182"/>
    </row>
    <row r="5379" spans="1:38">
      <c r="A5379" s="182"/>
    </row>
    <row r="5380" spans="1:38">
      <c r="A5380" s="182"/>
    </row>
    <row r="5381" spans="1:38">
      <c r="A5381" s="182"/>
    </row>
    <row r="5382" spans="1:38">
      <c r="A5382" s="182"/>
    </row>
    <row r="5383" spans="1:38">
      <c r="A5383" s="182"/>
    </row>
    <row r="5384" spans="1:38">
      <c r="A5384" s="182"/>
    </row>
    <row r="5385" spans="1:38">
      <c r="A5385" s="182"/>
      <c r="AK5385" s="183"/>
      <c r="AL5385" s="183"/>
    </row>
    <row r="5386" spans="1:38">
      <c r="A5386" s="182"/>
      <c r="AJ5386" s="183"/>
      <c r="AK5386" s="183"/>
      <c r="AL5386" s="183"/>
    </row>
    <row r="5387" spans="1:38">
      <c r="A5387" s="182"/>
      <c r="AJ5387" s="183"/>
      <c r="AK5387" s="183"/>
      <c r="AL5387" s="183"/>
    </row>
    <row r="5388" spans="1:38">
      <c r="A5388" s="182"/>
      <c r="AJ5388" s="183"/>
      <c r="AK5388" s="183"/>
      <c r="AL5388" s="183"/>
    </row>
    <row r="5389" spans="1:38">
      <c r="A5389" s="182"/>
      <c r="AJ5389" s="183"/>
    </row>
    <row r="5390" spans="1:38">
      <c r="A5390" s="182"/>
    </row>
    <row r="5391" spans="1:38">
      <c r="A5391" s="182"/>
    </row>
    <row r="5392" spans="1:38">
      <c r="A5392" s="182"/>
    </row>
    <row r="5393" spans="1:38">
      <c r="A5393" s="182"/>
    </row>
    <row r="5394" spans="1:38">
      <c r="A5394" s="182"/>
    </row>
    <row r="5395" spans="1:38">
      <c r="A5395" s="182"/>
    </row>
    <row r="5396" spans="1:38">
      <c r="A5396" s="182"/>
    </row>
    <row r="5397" spans="1:38">
      <c r="A5397" s="182"/>
      <c r="AK5397" s="183"/>
      <c r="AL5397" s="183"/>
    </row>
    <row r="5398" spans="1:38">
      <c r="A5398" s="182"/>
      <c r="AJ5398" s="183"/>
      <c r="AK5398" s="183"/>
      <c r="AL5398" s="183"/>
    </row>
    <row r="5399" spans="1:38">
      <c r="A5399" s="182"/>
      <c r="AJ5399" s="183"/>
      <c r="AK5399" s="183"/>
      <c r="AL5399" s="183"/>
    </row>
    <row r="5400" spans="1:38">
      <c r="A5400" s="182"/>
      <c r="AJ5400" s="183"/>
      <c r="AK5400" s="183"/>
      <c r="AL5400" s="183"/>
    </row>
    <row r="5401" spans="1:38">
      <c r="A5401" s="182"/>
      <c r="AJ5401" s="183"/>
      <c r="AK5401" s="183"/>
      <c r="AL5401" s="183"/>
    </row>
    <row r="5402" spans="1:38">
      <c r="A5402" s="182"/>
      <c r="AJ5402" s="183"/>
      <c r="AK5402" s="183"/>
      <c r="AL5402" s="183"/>
    </row>
    <row r="5403" spans="1:38">
      <c r="A5403" s="182"/>
      <c r="AJ5403" s="183"/>
      <c r="AK5403" s="183"/>
      <c r="AL5403" s="183"/>
    </row>
    <row r="5404" spans="1:38">
      <c r="A5404" s="182"/>
      <c r="AJ5404" s="183"/>
      <c r="AK5404" s="183"/>
      <c r="AL5404" s="183"/>
    </row>
    <row r="5405" spans="1:38">
      <c r="A5405" s="182"/>
      <c r="AJ5405" s="183"/>
    </row>
    <row r="5406" spans="1:38">
      <c r="A5406" s="182"/>
    </row>
    <row r="5407" spans="1:38">
      <c r="A5407" s="182"/>
    </row>
    <row r="5408" spans="1:38">
      <c r="A5408" s="182"/>
    </row>
    <row r="5409" spans="1:38">
      <c r="A5409" s="182"/>
      <c r="AK5409" s="183"/>
      <c r="AL5409" s="183"/>
    </row>
    <row r="5410" spans="1:38">
      <c r="A5410" s="182"/>
      <c r="AJ5410" s="183"/>
      <c r="AK5410" s="183"/>
      <c r="AL5410" s="183"/>
    </row>
    <row r="5411" spans="1:38">
      <c r="A5411" s="182"/>
      <c r="AJ5411" s="183"/>
      <c r="AK5411" s="183"/>
      <c r="AL5411" s="183"/>
    </row>
    <row r="5412" spans="1:38">
      <c r="A5412" s="182"/>
      <c r="AJ5412" s="183"/>
      <c r="AK5412" s="183"/>
      <c r="AL5412" s="183"/>
    </row>
    <row r="5413" spans="1:38">
      <c r="A5413" s="182"/>
      <c r="AJ5413" s="183"/>
    </row>
    <row r="5414" spans="1:38">
      <c r="A5414" s="182"/>
    </row>
    <row r="5415" spans="1:38">
      <c r="A5415" s="182"/>
    </row>
    <row r="5416" spans="1:38">
      <c r="A5416" s="182"/>
    </row>
    <row r="5417" spans="1:38">
      <c r="A5417" s="182"/>
    </row>
    <row r="5418" spans="1:38">
      <c r="A5418" s="182"/>
    </row>
    <row r="5419" spans="1:38">
      <c r="A5419" s="182"/>
    </row>
    <row r="5420" spans="1:38">
      <c r="A5420" s="182"/>
    </row>
    <row r="5421" spans="1:38">
      <c r="A5421" s="182"/>
    </row>
    <row r="5422" spans="1:38">
      <c r="A5422" s="182"/>
    </row>
    <row r="5423" spans="1:38">
      <c r="A5423" s="182"/>
    </row>
    <row r="5424" spans="1:38">
      <c r="A5424" s="182"/>
    </row>
    <row r="5425" spans="1:1">
      <c r="A5425" s="182"/>
    </row>
    <row r="5426" spans="1:1">
      <c r="A5426" s="182"/>
    </row>
    <row r="5427" spans="1:1">
      <c r="A5427" s="182"/>
    </row>
    <row r="5428" spans="1:1">
      <c r="A5428" s="182"/>
    </row>
    <row r="5429" spans="1:1">
      <c r="A5429" s="182"/>
    </row>
    <row r="5430" spans="1:1">
      <c r="A5430" s="182"/>
    </row>
    <row r="5431" spans="1:1">
      <c r="A5431" s="182"/>
    </row>
    <row r="5432" spans="1:1">
      <c r="A5432" s="182"/>
    </row>
    <row r="5433" spans="1:1">
      <c r="A5433" s="182"/>
    </row>
    <row r="5434" spans="1:1">
      <c r="A5434" s="182"/>
    </row>
    <row r="5435" spans="1:1">
      <c r="A5435" s="182"/>
    </row>
    <row r="5436" spans="1:1">
      <c r="A5436" s="182"/>
    </row>
    <row r="5437" spans="1:1">
      <c r="A5437" s="182"/>
    </row>
    <row r="5438" spans="1:1">
      <c r="A5438" s="182"/>
    </row>
    <row r="5439" spans="1:1">
      <c r="A5439" s="182"/>
    </row>
    <row r="5440" spans="1:1">
      <c r="A5440" s="182"/>
    </row>
    <row r="5441" spans="1:38">
      <c r="A5441" s="182"/>
    </row>
    <row r="5442" spans="1:38">
      <c r="A5442" s="182"/>
    </row>
    <row r="5443" spans="1:38">
      <c r="A5443" s="182"/>
    </row>
    <row r="5444" spans="1:38">
      <c r="A5444" s="182"/>
    </row>
    <row r="5445" spans="1:38">
      <c r="A5445" s="182"/>
      <c r="AK5445" s="183"/>
      <c r="AL5445" s="183"/>
    </row>
    <row r="5446" spans="1:38">
      <c r="A5446" s="182"/>
      <c r="AJ5446" s="183"/>
      <c r="AK5446" s="183"/>
      <c r="AL5446" s="183"/>
    </row>
    <row r="5447" spans="1:38">
      <c r="A5447" s="182"/>
      <c r="AJ5447" s="183"/>
      <c r="AK5447" s="183"/>
      <c r="AL5447" s="183"/>
    </row>
    <row r="5448" spans="1:38">
      <c r="A5448" s="182"/>
      <c r="AJ5448" s="183"/>
      <c r="AK5448" s="183"/>
      <c r="AL5448" s="183"/>
    </row>
    <row r="5449" spans="1:38">
      <c r="A5449" s="182"/>
      <c r="AJ5449" s="183"/>
    </row>
    <row r="5450" spans="1:38">
      <c r="A5450" s="182"/>
    </row>
    <row r="5451" spans="1:38">
      <c r="A5451" s="182"/>
    </row>
    <row r="5452" spans="1:38">
      <c r="A5452" s="182"/>
    </row>
    <row r="5453" spans="1:38">
      <c r="A5453" s="182"/>
    </row>
    <row r="5454" spans="1:38">
      <c r="A5454" s="182"/>
    </row>
    <row r="5455" spans="1:38">
      <c r="A5455" s="182"/>
    </row>
    <row r="5456" spans="1:38">
      <c r="A5456" s="182"/>
    </row>
    <row r="5457" spans="1:1">
      <c r="A5457" s="182"/>
    </row>
    <row r="5458" spans="1:1">
      <c r="A5458" s="182"/>
    </row>
    <row r="5459" spans="1:1">
      <c r="A5459" s="182"/>
    </row>
    <row r="5460" spans="1:1">
      <c r="A5460" s="182"/>
    </row>
    <row r="5461" spans="1:1">
      <c r="A5461" s="182"/>
    </row>
    <row r="5462" spans="1:1">
      <c r="A5462" s="182"/>
    </row>
    <row r="5463" spans="1:1">
      <c r="A5463" s="182"/>
    </row>
    <row r="5464" spans="1:1">
      <c r="A5464" s="182"/>
    </row>
    <row r="5465" spans="1:1">
      <c r="A5465" s="182"/>
    </row>
    <row r="5466" spans="1:1">
      <c r="A5466" s="182"/>
    </row>
    <row r="5467" spans="1:1">
      <c r="A5467" s="182"/>
    </row>
    <row r="5468" spans="1:1">
      <c r="A5468" s="182"/>
    </row>
    <row r="5469" spans="1:1">
      <c r="A5469" s="182"/>
    </row>
    <row r="5470" spans="1:1">
      <c r="A5470" s="182"/>
    </row>
    <row r="5471" spans="1:1">
      <c r="A5471" s="182"/>
    </row>
    <row r="5472" spans="1:1">
      <c r="A5472" s="182"/>
    </row>
    <row r="5473" spans="1:1">
      <c r="A5473" s="182"/>
    </row>
    <row r="5474" spans="1:1">
      <c r="A5474" s="182"/>
    </row>
    <row r="5475" spans="1:1">
      <c r="A5475" s="182"/>
    </row>
    <row r="5476" spans="1:1">
      <c r="A5476" s="182"/>
    </row>
    <row r="5477" spans="1:1">
      <c r="A5477" s="182"/>
    </row>
    <row r="5478" spans="1:1">
      <c r="A5478" s="182"/>
    </row>
    <row r="5479" spans="1:1">
      <c r="A5479" s="182"/>
    </row>
    <row r="5480" spans="1:1">
      <c r="A5480" s="182"/>
    </row>
    <row r="5481" spans="1:1">
      <c r="A5481" s="182"/>
    </row>
    <row r="5482" spans="1:1">
      <c r="A5482" s="182"/>
    </row>
    <row r="5483" spans="1:1">
      <c r="A5483" s="182"/>
    </row>
    <row r="5484" spans="1:1">
      <c r="A5484" s="182"/>
    </row>
    <row r="5485" spans="1:1">
      <c r="A5485" s="182"/>
    </row>
    <row r="5486" spans="1:1">
      <c r="A5486" s="182"/>
    </row>
    <row r="5487" spans="1:1">
      <c r="A5487" s="182"/>
    </row>
    <row r="5488" spans="1:1">
      <c r="A5488" s="182"/>
    </row>
    <row r="5489" spans="1:38">
      <c r="A5489" s="182"/>
      <c r="AK5489" s="183"/>
      <c r="AL5489" s="183"/>
    </row>
    <row r="5490" spans="1:38">
      <c r="A5490" s="182"/>
      <c r="AJ5490" s="183"/>
      <c r="AK5490" s="183"/>
      <c r="AL5490" s="183"/>
    </row>
    <row r="5491" spans="1:38">
      <c r="A5491" s="182"/>
      <c r="AJ5491" s="183"/>
      <c r="AK5491" s="183"/>
      <c r="AL5491" s="183"/>
    </row>
    <row r="5492" spans="1:38">
      <c r="A5492" s="182"/>
      <c r="AJ5492" s="183"/>
      <c r="AK5492" s="183"/>
      <c r="AL5492" s="183"/>
    </row>
    <row r="5493" spans="1:38">
      <c r="A5493" s="182"/>
      <c r="AJ5493" s="183"/>
    </row>
    <row r="5494" spans="1:38">
      <c r="A5494" s="182"/>
    </row>
    <row r="5495" spans="1:38">
      <c r="A5495" s="182"/>
    </row>
    <row r="5496" spans="1:38">
      <c r="A5496" s="182"/>
    </row>
    <row r="5497" spans="1:38">
      <c r="A5497" s="182"/>
    </row>
    <row r="5498" spans="1:38">
      <c r="A5498" s="182"/>
    </row>
    <row r="5499" spans="1:38">
      <c r="A5499" s="182"/>
    </row>
    <row r="5500" spans="1:38">
      <c r="A5500" s="182"/>
    </row>
    <row r="5501" spans="1:38">
      <c r="A5501" s="182"/>
      <c r="AK5501" s="183"/>
      <c r="AL5501" s="183"/>
    </row>
    <row r="5502" spans="1:38">
      <c r="A5502" s="182"/>
      <c r="AJ5502" s="183"/>
      <c r="AK5502" s="183"/>
      <c r="AL5502" s="183"/>
    </row>
    <row r="5503" spans="1:38">
      <c r="A5503" s="182"/>
      <c r="AJ5503" s="183"/>
      <c r="AK5503" s="183"/>
      <c r="AL5503" s="183"/>
    </row>
    <row r="5504" spans="1:38">
      <c r="A5504" s="182"/>
      <c r="AJ5504" s="183"/>
      <c r="AK5504" s="183"/>
      <c r="AL5504" s="183"/>
    </row>
    <row r="5505" spans="1:38">
      <c r="A5505" s="182"/>
      <c r="AJ5505" s="183"/>
      <c r="AK5505" s="183"/>
      <c r="AL5505" s="183"/>
    </row>
    <row r="5506" spans="1:38">
      <c r="A5506" s="182"/>
      <c r="AJ5506" s="183"/>
      <c r="AK5506" s="183"/>
      <c r="AL5506" s="183"/>
    </row>
    <row r="5507" spans="1:38">
      <c r="A5507" s="182"/>
      <c r="AJ5507" s="183"/>
      <c r="AK5507" s="183"/>
      <c r="AL5507" s="183"/>
    </row>
    <row r="5508" spans="1:38">
      <c r="A5508" s="182"/>
      <c r="AJ5508" s="183"/>
      <c r="AK5508" s="183"/>
      <c r="AL5508" s="183"/>
    </row>
    <row r="5509" spans="1:38">
      <c r="A5509" s="182"/>
      <c r="AJ5509" s="183"/>
    </row>
    <row r="5510" spans="1:38">
      <c r="A5510" s="182"/>
    </row>
    <row r="5511" spans="1:38">
      <c r="A5511" s="182"/>
    </row>
    <row r="5512" spans="1:38">
      <c r="A5512" s="182"/>
    </row>
    <row r="5513" spans="1:38">
      <c r="A5513" s="182"/>
    </row>
    <row r="5514" spans="1:38">
      <c r="A5514" s="182"/>
    </row>
    <row r="5515" spans="1:38">
      <c r="A5515" s="182"/>
    </row>
    <row r="5516" spans="1:38">
      <c r="A5516" s="182"/>
    </row>
    <row r="5517" spans="1:38">
      <c r="A5517" s="182"/>
    </row>
    <row r="5518" spans="1:38">
      <c r="A5518" s="182"/>
    </row>
    <row r="5519" spans="1:38">
      <c r="A5519" s="182"/>
    </row>
    <row r="5520" spans="1:38">
      <c r="A5520" s="182"/>
    </row>
    <row r="5521" spans="1:1">
      <c r="A5521" s="182"/>
    </row>
    <row r="5522" spans="1:1">
      <c r="A5522" s="182"/>
    </row>
    <row r="5523" spans="1:1">
      <c r="A5523" s="182"/>
    </row>
    <row r="5524" spans="1:1">
      <c r="A5524" s="182"/>
    </row>
    <row r="5525" spans="1:1">
      <c r="A5525" s="182"/>
    </row>
    <row r="5526" spans="1:1">
      <c r="A5526" s="182"/>
    </row>
    <row r="5527" spans="1:1">
      <c r="A5527" s="182"/>
    </row>
    <row r="5528" spans="1:1">
      <c r="A5528" s="182"/>
    </row>
    <row r="5529" spans="1:1">
      <c r="A5529" s="182"/>
    </row>
    <row r="5530" spans="1:1">
      <c r="A5530" s="182"/>
    </row>
    <row r="5531" spans="1:1">
      <c r="A5531" s="182"/>
    </row>
    <row r="5532" spans="1:1">
      <c r="A5532" s="182"/>
    </row>
    <row r="5533" spans="1:1">
      <c r="A5533" s="182"/>
    </row>
    <row r="5534" spans="1:1">
      <c r="A5534" s="182"/>
    </row>
    <row r="5535" spans="1:1">
      <c r="A5535" s="182"/>
    </row>
    <row r="5536" spans="1:1">
      <c r="A5536" s="182"/>
    </row>
    <row r="5537" spans="1:19">
      <c r="A5537" s="182"/>
    </row>
    <row r="5538" spans="1:19">
      <c r="A5538" s="182"/>
    </row>
    <row r="5539" spans="1:19">
      <c r="A5539" s="182"/>
    </row>
    <row r="5540" spans="1:19">
      <c r="A5540" s="182"/>
      <c r="R5540" s="183"/>
      <c r="S5540" s="183"/>
    </row>
    <row r="5541" spans="1:19">
      <c r="A5541" s="182"/>
      <c r="Q5541" s="183"/>
      <c r="R5541" s="183"/>
      <c r="S5541" s="183"/>
    </row>
    <row r="5542" spans="1:19">
      <c r="A5542" s="182"/>
      <c r="Q5542" s="183"/>
      <c r="R5542" s="183"/>
      <c r="S5542" s="183"/>
    </row>
    <row r="5543" spans="1:19">
      <c r="A5543" s="182"/>
      <c r="Q5543" s="183"/>
      <c r="R5543" s="183"/>
      <c r="S5543" s="183"/>
    </row>
    <row r="5544" spans="1:19">
      <c r="A5544" s="182"/>
      <c r="Q5544" s="183"/>
      <c r="R5544" s="183"/>
      <c r="S5544" s="183"/>
    </row>
    <row r="5545" spans="1:19">
      <c r="A5545" s="182"/>
      <c r="Q5545" s="183"/>
      <c r="R5545" s="183"/>
      <c r="S5545" s="183"/>
    </row>
    <row r="5546" spans="1:19">
      <c r="A5546" s="182"/>
      <c r="Q5546" s="183"/>
      <c r="R5546" s="183"/>
      <c r="S5546" s="183"/>
    </row>
    <row r="5547" spans="1:19">
      <c r="A5547" s="182"/>
      <c r="Q5547" s="183"/>
      <c r="R5547" s="183"/>
      <c r="S5547" s="183"/>
    </row>
    <row r="5548" spans="1:19">
      <c r="A5548" s="182"/>
      <c r="Q5548" s="183"/>
      <c r="R5548" s="183"/>
      <c r="S5548" s="183"/>
    </row>
    <row r="5549" spans="1:19">
      <c r="A5549" s="182"/>
      <c r="Q5549" s="183"/>
      <c r="R5549" s="183"/>
      <c r="S5549" s="183"/>
    </row>
    <row r="5550" spans="1:19">
      <c r="A5550" s="182"/>
      <c r="Q5550" s="183"/>
      <c r="R5550" s="183"/>
      <c r="S5550" s="183"/>
    </row>
    <row r="5551" spans="1:19">
      <c r="A5551" s="182"/>
      <c r="Q5551" s="183"/>
      <c r="R5551" s="183"/>
      <c r="S5551" s="183"/>
    </row>
    <row r="5552" spans="1:19">
      <c r="A5552" s="182"/>
      <c r="Q5552" s="183"/>
    </row>
    <row r="5553" spans="1:19">
      <c r="A5553" s="182"/>
      <c r="R5553" s="183"/>
      <c r="S5553" s="183"/>
    </row>
    <row r="5554" spans="1:19">
      <c r="A5554" s="182"/>
      <c r="Q5554" s="183"/>
      <c r="R5554" s="183"/>
      <c r="S5554" s="183"/>
    </row>
    <row r="5555" spans="1:19">
      <c r="A5555" s="182"/>
      <c r="Q5555" s="183"/>
    </row>
    <row r="5556" spans="1:19">
      <c r="A5556" s="182"/>
    </row>
    <row r="5557" spans="1:19">
      <c r="A5557" s="182"/>
    </row>
    <row r="5558" spans="1:19">
      <c r="A5558" s="182"/>
    </row>
    <row r="5559" spans="1:19">
      <c r="A5559" s="182"/>
    </row>
    <row r="5560" spans="1:19">
      <c r="A5560" s="182"/>
    </row>
    <row r="5561" spans="1:19">
      <c r="A5561" s="182"/>
    </row>
    <row r="5562" spans="1:19">
      <c r="A5562" s="182"/>
      <c r="R5562" s="183"/>
      <c r="S5562" s="183"/>
    </row>
    <row r="5563" spans="1:19">
      <c r="A5563" s="182"/>
      <c r="Q5563" s="183"/>
    </row>
    <row r="5564" spans="1:19">
      <c r="A5564" s="182"/>
    </row>
    <row r="5565" spans="1:19">
      <c r="A5565" s="182"/>
    </row>
    <row r="5566" spans="1:19">
      <c r="A5566" s="182"/>
    </row>
    <row r="5567" spans="1:19">
      <c r="A5567" s="182"/>
    </row>
    <row r="5568" spans="1:19">
      <c r="A5568" s="182"/>
    </row>
    <row r="5569" spans="1:38">
      <c r="A5569" s="182"/>
      <c r="AK5569" s="183"/>
      <c r="AL5569" s="183"/>
    </row>
    <row r="5570" spans="1:38">
      <c r="A5570" s="182"/>
      <c r="AJ5570" s="183"/>
      <c r="AK5570" s="183"/>
      <c r="AL5570" s="183"/>
    </row>
    <row r="5571" spans="1:38">
      <c r="A5571" s="182"/>
      <c r="AJ5571" s="183"/>
      <c r="AK5571" s="183"/>
      <c r="AL5571" s="183"/>
    </row>
    <row r="5572" spans="1:38">
      <c r="A5572" s="182"/>
      <c r="AJ5572" s="183"/>
      <c r="AK5572" s="183"/>
      <c r="AL5572" s="183"/>
    </row>
    <row r="5573" spans="1:38">
      <c r="A5573" s="182"/>
      <c r="AJ5573" s="183"/>
      <c r="AK5573" s="183"/>
      <c r="AL5573" s="183"/>
    </row>
    <row r="5574" spans="1:38">
      <c r="A5574" s="182"/>
      <c r="AJ5574" s="183"/>
      <c r="AK5574" s="183"/>
      <c r="AL5574" s="183"/>
    </row>
    <row r="5575" spans="1:38">
      <c r="A5575" s="182"/>
      <c r="AJ5575" s="183"/>
      <c r="AK5575" s="183"/>
      <c r="AL5575" s="183"/>
    </row>
    <row r="5576" spans="1:38">
      <c r="A5576" s="182"/>
      <c r="AJ5576" s="183"/>
      <c r="AK5576" s="183"/>
      <c r="AL5576" s="183"/>
    </row>
    <row r="5577" spans="1:38">
      <c r="A5577" s="182"/>
      <c r="AJ5577" s="183"/>
    </row>
    <row r="5578" spans="1:38">
      <c r="A5578" s="182"/>
    </row>
    <row r="5579" spans="1:38">
      <c r="A5579" s="182"/>
    </row>
    <row r="5580" spans="1:38">
      <c r="A5580" s="182"/>
    </row>
    <row r="5581" spans="1:38">
      <c r="A5581" s="182"/>
    </row>
    <row r="5582" spans="1:38">
      <c r="A5582" s="182"/>
    </row>
    <row r="5583" spans="1:38">
      <c r="A5583" s="182"/>
    </row>
    <row r="5584" spans="1:38">
      <c r="A5584" s="182"/>
    </row>
    <row r="5585" spans="1:38">
      <c r="A5585" s="182"/>
    </row>
    <row r="5586" spans="1:38">
      <c r="A5586" s="182"/>
    </row>
    <row r="5587" spans="1:38">
      <c r="A5587" s="182"/>
    </row>
    <row r="5588" spans="1:38">
      <c r="A5588" s="182"/>
    </row>
    <row r="5589" spans="1:38">
      <c r="A5589" s="182"/>
      <c r="R5589" s="183"/>
      <c r="S5589" s="183"/>
      <c r="AK5589" s="183"/>
      <c r="AL5589" s="183"/>
    </row>
    <row r="5590" spans="1:38">
      <c r="A5590" s="182"/>
      <c r="Q5590" s="183"/>
      <c r="R5590" s="183"/>
      <c r="S5590" s="183"/>
      <c r="AJ5590" s="183"/>
      <c r="AK5590" s="183"/>
      <c r="AL5590" s="183"/>
    </row>
    <row r="5591" spans="1:38">
      <c r="A5591" s="182"/>
      <c r="Q5591" s="183"/>
      <c r="R5591" s="183"/>
      <c r="S5591" s="183"/>
      <c r="AJ5591" s="183"/>
      <c r="AK5591" s="183"/>
      <c r="AL5591" s="183"/>
    </row>
    <row r="5592" spans="1:38">
      <c r="A5592" s="182"/>
      <c r="Q5592" s="183"/>
      <c r="AJ5592" s="183"/>
      <c r="AK5592" s="183"/>
      <c r="AL5592" s="183"/>
    </row>
    <row r="5593" spans="1:38">
      <c r="A5593" s="182"/>
      <c r="R5593" s="183"/>
      <c r="S5593" s="183"/>
      <c r="AJ5593" s="183"/>
    </row>
    <row r="5594" spans="1:38">
      <c r="A5594" s="182"/>
      <c r="Q5594" s="183"/>
      <c r="R5594" s="183"/>
      <c r="S5594" s="183"/>
    </row>
    <row r="5595" spans="1:38">
      <c r="A5595" s="182"/>
      <c r="Q5595" s="183"/>
      <c r="R5595" s="183"/>
      <c r="S5595" s="183"/>
    </row>
    <row r="5596" spans="1:38">
      <c r="A5596" s="182"/>
      <c r="Q5596" s="183"/>
      <c r="R5596" s="183"/>
      <c r="S5596" s="183"/>
    </row>
    <row r="5597" spans="1:38">
      <c r="A5597" s="182"/>
      <c r="Q5597" s="183"/>
      <c r="R5597" s="183"/>
      <c r="S5597" s="183"/>
    </row>
    <row r="5598" spans="1:38">
      <c r="A5598" s="182"/>
      <c r="Q5598" s="183"/>
      <c r="R5598" s="183"/>
      <c r="S5598" s="183"/>
    </row>
    <row r="5599" spans="1:38">
      <c r="A5599" s="182"/>
      <c r="Q5599" s="183"/>
      <c r="R5599" s="183"/>
      <c r="S5599" s="183"/>
    </row>
    <row r="5600" spans="1:38">
      <c r="A5600" s="182"/>
      <c r="Q5600" s="183"/>
      <c r="R5600" s="183"/>
      <c r="S5600" s="183"/>
    </row>
    <row r="5601" spans="1:19">
      <c r="A5601" s="182"/>
      <c r="Q5601" s="183"/>
      <c r="R5601" s="183"/>
      <c r="S5601" s="183"/>
    </row>
    <row r="5602" spans="1:19">
      <c r="A5602" s="182"/>
      <c r="Q5602" s="183"/>
      <c r="R5602" s="183"/>
      <c r="S5602" s="183"/>
    </row>
    <row r="5603" spans="1:19">
      <c r="A5603" s="182"/>
      <c r="Q5603" s="183"/>
    </row>
    <row r="5604" spans="1:19">
      <c r="A5604" s="182"/>
    </row>
    <row r="5605" spans="1:19">
      <c r="A5605" s="182"/>
    </row>
    <row r="5606" spans="1:19">
      <c r="A5606" s="182"/>
    </row>
    <row r="5607" spans="1:19">
      <c r="A5607" s="182"/>
    </row>
    <row r="5608" spans="1:19">
      <c r="A5608" s="182"/>
    </row>
    <row r="5609" spans="1:19">
      <c r="A5609" s="182"/>
    </row>
    <row r="5610" spans="1:19">
      <c r="A5610" s="182"/>
      <c r="R5610" s="183"/>
      <c r="S5610" s="183"/>
    </row>
    <row r="5611" spans="1:19">
      <c r="A5611" s="182"/>
      <c r="Q5611" s="183"/>
      <c r="R5611" s="183"/>
      <c r="S5611" s="183"/>
    </row>
    <row r="5612" spans="1:19">
      <c r="A5612" s="182"/>
      <c r="Q5612" s="183"/>
      <c r="R5612" s="183"/>
      <c r="S5612" s="183"/>
    </row>
    <row r="5613" spans="1:19">
      <c r="A5613" s="182"/>
      <c r="Q5613" s="183"/>
      <c r="R5613" s="183"/>
      <c r="S5613" s="183"/>
    </row>
    <row r="5614" spans="1:19">
      <c r="A5614" s="182"/>
      <c r="Q5614" s="183"/>
      <c r="R5614" s="183"/>
      <c r="S5614" s="183"/>
    </row>
    <row r="5615" spans="1:19">
      <c r="A5615" s="182"/>
      <c r="Q5615" s="183"/>
      <c r="R5615" s="183"/>
      <c r="S5615" s="183"/>
    </row>
    <row r="5616" spans="1:19">
      <c r="A5616" s="182"/>
      <c r="Q5616" s="183"/>
      <c r="R5616" s="183"/>
      <c r="S5616" s="183"/>
    </row>
    <row r="5617" spans="1:19">
      <c r="A5617" s="182"/>
      <c r="Q5617" s="183"/>
      <c r="R5617" s="183"/>
      <c r="S5617" s="183"/>
    </row>
    <row r="5618" spans="1:19">
      <c r="A5618" s="182"/>
      <c r="Q5618" s="183"/>
      <c r="R5618" s="183"/>
      <c r="S5618" s="183"/>
    </row>
    <row r="5619" spans="1:19">
      <c r="A5619" s="182"/>
      <c r="Q5619" s="183"/>
      <c r="R5619" s="183"/>
      <c r="S5619" s="183"/>
    </row>
    <row r="5620" spans="1:19">
      <c r="A5620" s="182"/>
      <c r="Q5620" s="183"/>
      <c r="R5620" s="183"/>
      <c r="S5620" s="183"/>
    </row>
    <row r="5621" spans="1:19">
      <c r="A5621" s="182"/>
      <c r="Q5621" s="183"/>
      <c r="R5621" s="183"/>
      <c r="S5621" s="183"/>
    </row>
    <row r="5622" spans="1:19">
      <c r="A5622" s="182"/>
      <c r="Q5622" s="183"/>
      <c r="R5622" s="183"/>
      <c r="S5622" s="183"/>
    </row>
    <row r="5623" spans="1:19">
      <c r="A5623" s="182"/>
      <c r="Q5623" s="183"/>
      <c r="R5623" s="183"/>
      <c r="S5623" s="183"/>
    </row>
    <row r="5624" spans="1:19">
      <c r="A5624" s="182"/>
      <c r="Q5624" s="183"/>
      <c r="R5624" s="183"/>
      <c r="S5624" s="183"/>
    </row>
    <row r="5625" spans="1:19">
      <c r="A5625" s="182"/>
      <c r="Q5625" s="183"/>
      <c r="R5625" s="183"/>
      <c r="S5625" s="183"/>
    </row>
    <row r="5626" spans="1:19">
      <c r="A5626" s="182"/>
      <c r="Q5626" s="183"/>
      <c r="R5626" s="183"/>
      <c r="S5626" s="183"/>
    </row>
    <row r="5627" spans="1:19">
      <c r="A5627" s="182"/>
      <c r="Q5627" s="183"/>
      <c r="R5627" s="183"/>
      <c r="S5627" s="183"/>
    </row>
    <row r="5628" spans="1:19">
      <c r="A5628" s="182"/>
      <c r="Q5628" s="183"/>
      <c r="R5628" s="183"/>
      <c r="S5628" s="183"/>
    </row>
    <row r="5629" spans="1:19">
      <c r="A5629" s="182"/>
      <c r="Q5629" s="183"/>
      <c r="R5629" s="183"/>
      <c r="S5629" s="183"/>
    </row>
    <row r="5630" spans="1:19">
      <c r="A5630" s="182"/>
      <c r="Q5630" s="183"/>
      <c r="R5630" s="183"/>
      <c r="S5630" s="183"/>
    </row>
    <row r="5631" spans="1:19">
      <c r="A5631" s="182"/>
      <c r="Q5631" s="183"/>
      <c r="R5631" s="183"/>
      <c r="S5631" s="183"/>
    </row>
    <row r="5632" spans="1:19">
      <c r="A5632" s="182"/>
      <c r="Q5632" s="183"/>
      <c r="R5632" s="183"/>
      <c r="S5632" s="183"/>
    </row>
    <row r="5633" spans="1:38">
      <c r="A5633" s="182"/>
      <c r="Q5633" s="183"/>
      <c r="R5633" s="183"/>
      <c r="S5633" s="183"/>
      <c r="AK5633" s="183"/>
      <c r="AL5633" s="183"/>
    </row>
    <row r="5634" spans="1:38">
      <c r="A5634" s="182"/>
      <c r="Q5634" s="183"/>
      <c r="R5634" s="183"/>
      <c r="S5634" s="183"/>
      <c r="AJ5634" s="183"/>
      <c r="AK5634" s="183"/>
      <c r="AL5634" s="183"/>
    </row>
    <row r="5635" spans="1:38">
      <c r="A5635" s="182"/>
      <c r="Q5635" s="183"/>
      <c r="R5635" s="183"/>
      <c r="S5635" s="183"/>
      <c r="AJ5635" s="183"/>
      <c r="AK5635" s="183"/>
      <c r="AL5635" s="183"/>
    </row>
    <row r="5636" spans="1:38">
      <c r="A5636" s="182"/>
      <c r="Q5636" s="183"/>
      <c r="R5636" s="183"/>
      <c r="S5636" s="183"/>
      <c r="AJ5636" s="183"/>
      <c r="AK5636" s="183"/>
      <c r="AL5636" s="183"/>
    </row>
    <row r="5637" spans="1:38">
      <c r="A5637" s="182"/>
      <c r="Q5637" s="183"/>
      <c r="R5637" s="183"/>
      <c r="S5637" s="183"/>
      <c r="AJ5637" s="183"/>
    </row>
    <row r="5638" spans="1:38">
      <c r="A5638" s="182"/>
      <c r="Q5638" s="183"/>
      <c r="R5638" s="183"/>
      <c r="S5638" s="183"/>
    </row>
    <row r="5639" spans="1:38">
      <c r="A5639" s="182"/>
      <c r="Q5639" s="183"/>
      <c r="R5639" s="183"/>
      <c r="S5639" s="183"/>
    </row>
    <row r="5640" spans="1:38">
      <c r="A5640" s="182"/>
      <c r="Q5640" s="183"/>
      <c r="R5640" s="183"/>
      <c r="S5640" s="183"/>
    </row>
    <row r="5641" spans="1:38">
      <c r="A5641" s="182"/>
      <c r="Q5641" s="183"/>
      <c r="R5641" s="183"/>
      <c r="S5641" s="183"/>
    </row>
    <row r="5642" spans="1:38">
      <c r="A5642" s="182"/>
      <c r="Q5642" s="183"/>
      <c r="R5642" s="183"/>
      <c r="S5642" s="183"/>
    </row>
    <row r="5643" spans="1:38">
      <c r="A5643" s="182"/>
      <c r="Q5643" s="183"/>
      <c r="R5643" s="183"/>
      <c r="S5643" s="183"/>
    </row>
    <row r="5644" spans="1:38">
      <c r="A5644" s="182"/>
      <c r="Q5644" s="183"/>
      <c r="R5644" s="183"/>
      <c r="S5644" s="183"/>
    </row>
    <row r="5645" spans="1:38">
      <c r="A5645" s="182"/>
      <c r="Q5645" s="183"/>
      <c r="R5645" s="183"/>
      <c r="S5645" s="183"/>
    </row>
    <row r="5646" spans="1:38">
      <c r="A5646" s="182"/>
      <c r="Q5646" s="183"/>
      <c r="R5646" s="183"/>
      <c r="S5646" s="183"/>
    </row>
    <row r="5647" spans="1:38">
      <c r="A5647" s="182"/>
      <c r="Q5647" s="183"/>
      <c r="R5647" s="183"/>
      <c r="S5647" s="183"/>
    </row>
    <row r="5648" spans="1:38">
      <c r="A5648" s="182"/>
      <c r="Q5648" s="183"/>
      <c r="R5648" s="183"/>
      <c r="S5648" s="183"/>
    </row>
    <row r="5649" spans="1:19">
      <c r="A5649" s="182"/>
      <c r="Q5649" s="183"/>
      <c r="R5649" s="183"/>
      <c r="S5649" s="183"/>
    </row>
    <row r="5650" spans="1:19">
      <c r="A5650" s="182"/>
      <c r="Q5650" s="183"/>
      <c r="R5650" s="183"/>
      <c r="S5650" s="183"/>
    </row>
    <row r="5651" spans="1:19">
      <c r="A5651" s="182"/>
      <c r="Q5651" s="183"/>
      <c r="R5651" s="183"/>
      <c r="S5651" s="183"/>
    </row>
    <row r="5652" spans="1:19">
      <c r="A5652" s="182"/>
      <c r="Q5652" s="183"/>
      <c r="R5652" s="183"/>
      <c r="S5652" s="183"/>
    </row>
    <row r="5653" spans="1:19">
      <c r="A5653" s="182"/>
      <c r="Q5653" s="183"/>
      <c r="R5653" s="183"/>
      <c r="S5653" s="183"/>
    </row>
    <row r="5654" spans="1:19">
      <c r="A5654" s="182"/>
      <c r="Q5654" s="183"/>
      <c r="R5654" s="183"/>
      <c r="S5654" s="183"/>
    </row>
    <row r="5655" spans="1:19">
      <c r="A5655" s="182"/>
      <c r="Q5655" s="183"/>
      <c r="R5655" s="183"/>
      <c r="S5655" s="183"/>
    </row>
    <row r="5656" spans="1:19">
      <c r="A5656" s="182"/>
      <c r="Q5656" s="183"/>
      <c r="R5656" s="183"/>
      <c r="S5656" s="183"/>
    </row>
    <row r="5657" spans="1:19">
      <c r="A5657" s="182"/>
      <c r="Q5657" s="183"/>
      <c r="R5657" s="183"/>
      <c r="S5657" s="183"/>
    </row>
    <row r="5658" spans="1:19">
      <c r="A5658" s="182"/>
      <c r="Q5658" s="183"/>
      <c r="R5658" s="183"/>
      <c r="S5658" s="183"/>
    </row>
    <row r="5659" spans="1:19">
      <c r="A5659" s="182"/>
      <c r="Q5659" s="183"/>
      <c r="R5659" s="183"/>
      <c r="S5659" s="183"/>
    </row>
    <row r="5660" spans="1:19">
      <c r="A5660" s="182"/>
      <c r="Q5660" s="183"/>
      <c r="R5660" s="183"/>
      <c r="S5660" s="183"/>
    </row>
    <row r="5661" spans="1:19">
      <c r="A5661" s="182"/>
      <c r="Q5661" s="183"/>
      <c r="R5661" s="183"/>
      <c r="S5661" s="183"/>
    </row>
    <row r="5662" spans="1:19">
      <c r="A5662" s="182"/>
      <c r="Q5662" s="183"/>
      <c r="R5662" s="183"/>
      <c r="S5662" s="183"/>
    </row>
    <row r="5663" spans="1:19">
      <c r="A5663" s="182"/>
      <c r="Q5663" s="183"/>
      <c r="R5663" s="183"/>
      <c r="S5663" s="183"/>
    </row>
    <row r="5664" spans="1:19">
      <c r="A5664" s="182"/>
      <c r="Q5664" s="183"/>
      <c r="R5664" s="183"/>
      <c r="S5664" s="183"/>
    </row>
    <row r="5665" spans="1:19">
      <c r="A5665" s="182"/>
      <c r="Q5665" s="183"/>
      <c r="R5665" s="183"/>
      <c r="S5665" s="183"/>
    </row>
    <row r="5666" spans="1:19">
      <c r="A5666" s="182"/>
      <c r="Q5666" s="183"/>
      <c r="R5666" s="183"/>
      <c r="S5666" s="183"/>
    </row>
    <row r="5667" spans="1:19">
      <c r="A5667" s="182"/>
      <c r="Q5667" s="183"/>
      <c r="R5667" s="183"/>
      <c r="S5667" s="183"/>
    </row>
    <row r="5668" spans="1:19">
      <c r="A5668" s="182"/>
      <c r="Q5668" s="183"/>
      <c r="R5668" s="183"/>
      <c r="S5668" s="183"/>
    </row>
    <row r="5669" spans="1:19">
      <c r="A5669" s="182"/>
      <c r="Q5669" s="183"/>
      <c r="R5669" s="183"/>
      <c r="S5669" s="183"/>
    </row>
    <row r="5670" spans="1:19">
      <c r="A5670" s="182"/>
      <c r="Q5670" s="183"/>
      <c r="R5670" s="183"/>
      <c r="S5670" s="183"/>
    </row>
    <row r="5671" spans="1:19">
      <c r="A5671" s="182"/>
      <c r="Q5671" s="183"/>
      <c r="R5671" s="183"/>
      <c r="S5671" s="183"/>
    </row>
    <row r="5672" spans="1:19">
      <c r="A5672" s="182"/>
      <c r="Q5672" s="183"/>
      <c r="R5672" s="183"/>
      <c r="S5672" s="183"/>
    </row>
    <row r="5673" spans="1:19">
      <c r="A5673" s="182"/>
      <c r="Q5673" s="183"/>
      <c r="R5673" s="183"/>
      <c r="S5673" s="183"/>
    </row>
    <row r="5674" spans="1:19">
      <c r="A5674" s="182"/>
      <c r="Q5674" s="183"/>
      <c r="R5674" s="183"/>
      <c r="S5674" s="183"/>
    </row>
    <row r="5675" spans="1:19">
      <c r="A5675" s="182"/>
      <c r="Q5675" s="183"/>
      <c r="R5675" s="183"/>
      <c r="S5675" s="183"/>
    </row>
    <row r="5676" spans="1:19">
      <c r="A5676" s="182"/>
      <c r="Q5676" s="183"/>
      <c r="R5676" s="183"/>
      <c r="S5676" s="183"/>
    </row>
    <row r="5677" spans="1:19">
      <c r="A5677" s="182"/>
      <c r="Q5677" s="183"/>
      <c r="R5677" s="183"/>
      <c r="S5677" s="183"/>
    </row>
    <row r="5678" spans="1:19">
      <c r="A5678" s="182"/>
      <c r="Q5678" s="183"/>
      <c r="R5678" s="183"/>
      <c r="S5678" s="183"/>
    </row>
    <row r="5679" spans="1:19">
      <c r="A5679" s="182"/>
      <c r="Q5679" s="183"/>
      <c r="R5679" s="183"/>
      <c r="S5679" s="183"/>
    </row>
    <row r="5680" spans="1:19">
      <c r="A5680" s="182"/>
      <c r="Q5680" s="183"/>
      <c r="R5680" s="183"/>
      <c r="S5680" s="183"/>
    </row>
    <row r="5681" spans="1:38">
      <c r="A5681" s="182"/>
      <c r="Q5681" s="183"/>
      <c r="R5681" s="183"/>
      <c r="S5681" s="183"/>
    </row>
    <row r="5682" spans="1:38">
      <c r="A5682" s="182"/>
      <c r="Q5682" s="183"/>
      <c r="R5682" s="183"/>
      <c r="S5682" s="183"/>
    </row>
    <row r="5683" spans="1:38">
      <c r="A5683" s="182"/>
      <c r="Q5683" s="183"/>
      <c r="R5683" s="183"/>
      <c r="S5683" s="183"/>
    </row>
    <row r="5684" spans="1:38">
      <c r="A5684" s="182"/>
      <c r="Q5684" s="183"/>
      <c r="R5684" s="183"/>
      <c r="S5684" s="183"/>
    </row>
    <row r="5685" spans="1:38">
      <c r="A5685" s="182"/>
      <c r="Q5685" s="183"/>
      <c r="R5685" s="183"/>
      <c r="S5685" s="183"/>
      <c r="AK5685" s="183"/>
      <c r="AL5685" s="183"/>
    </row>
    <row r="5686" spans="1:38">
      <c r="A5686" s="182"/>
      <c r="Q5686" s="183"/>
      <c r="R5686" s="183"/>
      <c r="S5686" s="183"/>
      <c r="AJ5686" s="183"/>
      <c r="AK5686" s="183"/>
      <c r="AL5686" s="183"/>
    </row>
    <row r="5687" spans="1:38">
      <c r="A5687" s="182"/>
      <c r="Q5687" s="183"/>
      <c r="R5687" s="183"/>
      <c r="S5687" s="183"/>
      <c r="AJ5687" s="183"/>
      <c r="AK5687" s="183"/>
      <c r="AL5687" s="183"/>
    </row>
    <row r="5688" spans="1:38">
      <c r="A5688" s="182"/>
      <c r="Q5688" s="183"/>
      <c r="R5688" s="183"/>
      <c r="S5688" s="183"/>
      <c r="AJ5688" s="183"/>
      <c r="AK5688" s="183"/>
      <c r="AL5688" s="183"/>
    </row>
    <row r="5689" spans="1:38">
      <c r="A5689" s="182"/>
      <c r="Q5689" s="183"/>
      <c r="R5689" s="183"/>
      <c r="S5689" s="183"/>
      <c r="AJ5689" s="183"/>
    </row>
    <row r="5690" spans="1:38">
      <c r="A5690" s="182"/>
      <c r="Q5690" s="183"/>
      <c r="R5690" s="183"/>
      <c r="S5690" s="183"/>
    </row>
    <row r="5691" spans="1:38">
      <c r="A5691" s="182"/>
      <c r="Q5691" s="183"/>
      <c r="R5691" s="183"/>
      <c r="S5691" s="183"/>
    </row>
    <row r="5692" spans="1:38">
      <c r="A5692" s="182"/>
      <c r="Q5692" s="183"/>
      <c r="R5692" s="183"/>
      <c r="S5692" s="183"/>
    </row>
    <row r="5693" spans="1:38">
      <c r="A5693" s="182"/>
      <c r="Q5693" s="183"/>
      <c r="R5693" s="183"/>
      <c r="S5693" s="183"/>
      <c r="AK5693" s="183"/>
      <c r="AL5693" s="183"/>
    </row>
    <row r="5694" spans="1:38">
      <c r="A5694" s="182"/>
      <c r="Q5694" s="183"/>
      <c r="R5694" s="183"/>
      <c r="S5694" s="183"/>
      <c r="AJ5694" s="183"/>
      <c r="AK5694" s="183"/>
      <c r="AL5694" s="183"/>
    </row>
    <row r="5695" spans="1:38">
      <c r="A5695" s="182"/>
      <c r="Q5695" s="183"/>
      <c r="R5695" s="183"/>
      <c r="S5695" s="183"/>
      <c r="AJ5695" s="183"/>
      <c r="AK5695" s="183"/>
      <c r="AL5695" s="183"/>
    </row>
    <row r="5696" spans="1:38">
      <c r="A5696" s="182"/>
      <c r="Q5696" s="183"/>
      <c r="R5696" s="183"/>
      <c r="S5696" s="183"/>
      <c r="AJ5696" s="183"/>
      <c r="AK5696" s="183"/>
      <c r="AL5696" s="183"/>
    </row>
    <row r="5697" spans="1:36">
      <c r="A5697" s="182"/>
      <c r="Q5697" s="183"/>
      <c r="R5697" s="183"/>
      <c r="S5697" s="183"/>
      <c r="AJ5697" s="183"/>
    </row>
    <row r="5698" spans="1:36">
      <c r="A5698" s="182"/>
      <c r="Q5698" s="183"/>
      <c r="R5698" s="183"/>
      <c r="S5698" s="183"/>
    </row>
    <row r="5699" spans="1:36">
      <c r="A5699" s="182"/>
      <c r="Q5699" s="183"/>
      <c r="R5699" s="183"/>
      <c r="S5699" s="183"/>
    </row>
    <row r="5700" spans="1:36">
      <c r="A5700" s="182"/>
      <c r="Q5700" s="183"/>
      <c r="R5700" s="183"/>
      <c r="S5700" s="183"/>
    </row>
    <row r="5701" spans="1:36">
      <c r="A5701" s="182"/>
      <c r="Q5701" s="183"/>
      <c r="R5701" s="183"/>
      <c r="S5701" s="183"/>
    </row>
    <row r="5702" spans="1:36">
      <c r="A5702" s="182"/>
      <c r="Q5702" s="183"/>
      <c r="R5702" s="183"/>
      <c r="S5702" s="183"/>
    </row>
    <row r="5703" spans="1:36">
      <c r="A5703" s="182"/>
      <c r="Q5703" s="183"/>
      <c r="R5703" s="183"/>
      <c r="S5703" s="183"/>
    </row>
    <row r="5704" spans="1:36">
      <c r="A5704" s="182"/>
      <c r="Q5704" s="183"/>
      <c r="R5704" s="183"/>
      <c r="S5704" s="183"/>
    </row>
    <row r="5705" spans="1:36">
      <c r="A5705" s="182"/>
      <c r="Q5705" s="183"/>
      <c r="R5705" s="183"/>
      <c r="S5705" s="183"/>
    </row>
    <row r="5706" spans="1:36">
      <c r="A5706" s="182"/>
      <c r="Q5706" s="183"/>
      <c r="R5706" s="183"/>
      <c r="S5706" s="183"/>
    </row>
    <row r="5707" spans="1:36">
      <c r="A5707" s="182"/>
      <c r="Q5707" s="183"/>
      <c r="R5707" s="183"/>
      <c r="S5707" s="183"/>
    </row>
    <row r="5708" spans="1:36">
      <c r="A5708" s="182"/>
      <c r="Q5708" s="183"/>
      <c r="R5708" s="183"/>
      <c r="S5708" s="183"/>
    </row>
    <row r="5709" spans="1:36">
      <c r="A5709" s="182"/>
      <c r="Q5709" s="183"/>
      <c r="R5709" s="183"/>
      <c r="S5709" s="183"/>
    </row>
    <row r="5710" spans="1:36">
      <c r="A5710" s="182"/>
      <c r="Q5710" s="183"/>
      <c r="R5710" s="183"/>
      <c r="S5710" s="183"/>
    </row>
    <row r="5711" spans="1:36">
      <c r="A5711" s="182"/>
      <c r="Q5711" s="183"/>
      <c r="R5711" s="183"/>
      <c r="S5711" s="183"/>
    </row>
    <row r="5712" spans="1:36">
      <c r="A5712" s="182"/>
      <c r="Q5712" s="183"/>
      <c r="R5712" s="183"/>
      <c r="S5712" s="183"/>
    </row>
    <row r="5713" spans="1:19">
      <c r="A5713" s="182"/>
      <c r="Q5713" s="183"/>
      <c r="R5713" s="183"/>
      <c r="S5713" s="183"/>
    </row>
    <row r="5714" spans="1:19">
      <c r="A5714" s="182"/>
      <c r="Q5714" s="183"/>
      <c r="R5714" s="183"/>
      <c r="S5714" s="183"/>
    </row>
    <row r="5715" spans="1:19">
      <c r="A5715" s="182"/>
      <c r="Q5715" s="183"/>
      <c r="R5715" s="183"/>
      <c r="S5715" s="183"/>
    </row>
    <row r="5716" spans="1:19">
      <c r="A5716" s="182"/>
      <c r="Q5716" s="183"/>
      <c r="R5716" s="183"/>
      <c r="S5716" s="183"/>
    </row>
    <row r="5717" spans="1:19">
      <c r="A5717" s="182"/>
      <c r="Q5717" s="183"/>
      <c r="R5717" s="183"/>
      <c r="S5717" s="183"/>
    </row>
    <row r="5718" spans="1:19">
      <c r="A5718" s="182"/>
      <c r="Q5718" s="183"/>
      <c r="R5718" s="183"/>
      <c r="S5718" s="183"/>
    </row>
    <row r="5719" spans="1:19">
      <c r="A5719" s="182"/>
      <c r="Q5719" s="183"/>
      <c r="R5719" s="183"/>
      <c r="S5719" s="183"/>
    </row>
    <row r="5720" spans="1:19">
      <c r="A5720" s="182"/>
      <c r="Q5720" s="183"/>
      <c r="R5720" s="183"/>
      <c r="S5720" s="183"/>
    </row>
    <row r="5721" spans="1:19">
      <c r="A5721" s="182"/>
      <c r="Q5721" s="183"/>
      <c r="R5721" s="183"/>
      <c r="S5721" s="183"/>
    </row>
    <row r="5722" spans="1:19">
      <c r="A5722" s="182"/>
      <c r="Q5722" s="183"/>
      <c r="R5722" s="183"/>
      <c r="S5722" s="183"/>
    </row>
    <row r="5723" spans="1:19">
      <c r="A5723" s="182"/>
      <c r="Q5723" s="183"/>
      <c r="R5723" s="183"/>
      <c r="S5723" s="183"/>
    </row>
    <row r="5724" spans="1:19">
      <c r="A5724" s="182"/>
      <c r="Q5724" s="183"/>
      <c r="R5724" s="183"/>
      <c r="S5724" s="183"/>
    </row>
    <row r="5725" spans="1:19">
      <c r="A5725" s="182"/>
      <c r="Q5725" s="183"/>
      <c r="R5725" s="183"/>
      <c r="S5725" s="183"/>
    </row>
    <row r="5726" spans="1:19">
      <c r="A5726" s="182"/>
      <c r="Q5726" s="183"/>
      <c r="R5726" s="183"/>
      <c r="S5726" s="183"/>
    </row>
    <row r="5727" spans="1:19">
      <c r="A5727" s="182"/>
      <c r="Q5727" s="183"/>
      <c r="R5727" s="183"/>
      <c r="S5727" s="183"/>
    </row>
    <row r="5728" spans="1:19">
      <c r="A5728" s="182"/>
      <c r="Q5728" s="183"/>
      <c r="R5728" s="183"/>
      <c r="S5728" s="183"/>
    </row>
    <row r="5729" spans="1:19">
      <c r="A5729" s="182"/>
      <c r="Q5729" s="183"/>
      <c r="R5729" s="183"/>
      <c r="S5729" s="183"/>
    </row>
    <row r="5730" spans="1:19">
      <c r="A5730" s="182"/>
      <c r="Q5730" s="183"/>
      <c r="R5730" s="183"/>
      <c r="S5730" s="183"/>
    </row>
    <row r="5731" spans="1:19">
      <c r="A5731" s="182"/>
      <c r="Q5731" s="183"/>
      <c r="R5731" s="183"/>
      <c r="S5731" s="183"/>
    </row>
    <row r="5732" spans="1:19">
      <c r="A5732" s="182"/>
      <c r="Q5732" s="183"/>
      <c r="R5732" s="183"/>
      <c r="S5732" s="183"/>
    </row>
    <row r="5733" spans="1:19">
      <c r="A5733" s="182"/>
      <c r="Q5733" s="183"/>
      <c r="R5733" s="183"/>
      <c r="S5733" s="183"/>
    </row>
    <row r="5734" spans="1:19">
      <c r="A5734" s="182"/>
      <c r="Q5734" s="183"/>
      <c r="R5734" s="183"/>
      <c r="S5734" s="183"/>
    </row>
    <row r="5735" spans="1:19">
      <c r="A5735" s="182"/>
      <c r="Q5735" s="183"/>
      <c r="R5735" s="183"/>
      <c r="S5735" s="183"/>
    </row>
    <row r="5736" spans="1:19">
      <c r="A5736" s="182"/>
      <c r="Q5736" s="183"/>
      <c r="R5736" s="183"/>
      <c r="S5736" s="183"/>
    </row>
    <row r="5737" spans="1:19">
      <c r="A5737" s="182"/>
      <c r="Q5737" s="183"/>
      <c r="R5737" s="183"/>
      <c r="S5737" s="183"/>
    </row>
    <row r="5738" spans="1:19">
      <c r="A5738" s="182"/>
      <c r="Q5738" s="183"/>
      <c r="R5738" s="183"/>
      <c r="S5738" s="183"/>
    </row>
    <row r="5739" spans="1:19">
      <c r="A5739" s="182"/>
      <c r="Q5739" s="183"/>
      <c r="R5739" s="183"/>
      <c r="S5739" s="183"/>
    </row>
    <row r="5740" spans="1:19">
      <c r="A5740" s="182"/>
      <c r="Q5740" s="183"/>
      <c r="R5740" s="183"/>
      <c r="S5740" s="183"/>
    </row>
    <row r="5741" spans="1:19">
      <c r="A5741" s="182"/>
      <c r="Q5741" s="183"/>
      <c r="R5741" s="183"/>
      <c r="S5741" s="183"/>
    </row>
    <row r="5742" spans="1:19">
      <c r="A5742" s="182"/>
      <c r="Q5742" s="183"/>
      <c r="R5742" s="183"/>
      <c r="S5742" s="183"/>
    </row>
    <row r="5743" spans="1:19">
      <c r="A5743" s="182"/>
      <c r="Q5743" s="183"/>
      <c r="R5743" s="183"/>
      <c r="S5743" s="183"/>
    </row>
    <row r="5744" spans="1:19">
      <c r="A5744" s="182"/>
      <c r="Q5744" s="183"/>
      <c r="R5744" s="183"/>
      <c r="S5744" s="183"/>
    </row>
    <row r="5745" spans="1:19">
      <c r="A5745" s="182"/>
      <c r="Q5745" s="183"/>
      <c r="R5745" s="183"/>
      <c r="S5745" s="183"/>
    </row>
    <row r="5746" spans="1:19">
      <c r="A5746" s="182"/>
      <c r="Q5746" s="183"/>
      <c r="R5746" s="183"/>
      <c r="S5746" s="183"/>
    </row>
    <row r="5747" spans="1:19">
      <c r="A5747" s="182"/>
      <c r="Q5747" s="183"/>
      <c r="R5747" s="183"/>
      <c r="S5747" s="183"/>
    </row>
    <row r="5748" spans="1:19">
      <c r="A5748" s="182"/>
      <c r="Q5748" s="183"/>
      <c r="R5748" s="183"/>
      <c r="S5748" s="183"/>
    </row>
    <row r="5749" spans="1:19">
      <c r="A5749" s="182"/>
      <c r="Q5749" s="183"/>
      <c r="R5749" s="183"/>
      <c r="S5749" s="183"/>
    </row>
    <row r="5750" spans="1:19">
      <c r="A5750" s="182"/>
      <c r="Q5750" s="183"/>
      <c r="R5750" s="183"/>
      <c r="S5750" s="183"/>
    </row>
    <row r="5751" spans="1:19">
      <c r="A5751" s="182"/>
      <c r="Q5751" s="183"/>
      <c r="R5751" s="183"/>
      <c r="S5751" s="183"/>
    </row>
    <row r="5752" spans="1:19">
      <c r="A5752" s="182"/>
      <c r="Q5752" s="183"/>
      <c r="R5752" s="183"/>
      <c r="S5752" s="183"/>
    </row>
    <row r="5753" spans="1:19">
      <c r="A5753" s="182"/>
      <c r="Q5753" s="183"/>
      <c r="R5753" s="183"/>
      <c r="S5753" s="183"/>
    </row>
    <row r="5754" spans="1:19">
      <c r="A5754" s="182"/>
      <c r="Q5754" s="183"/>
      <c r="R5754" s="183"/>
      <c r="S5754" s="183"/>
    </row>
    <row r="5755" spans="1:19">
      <c r="A5755" s="182"/>
      <c r="Q5755" s="183"/>
      <c r="R5755" s="183"/>
      <c r="S5755" s="183"/>
    </row>
    <row r="5756" spans="1:19">
      <c r="A5756" s="182"/>
      <c r="Q5756" s="183"/>
      <c r="R5756" s="183"/>
      <c r="S5756" s="183"/>
    </row>
    <row r="5757" spans="1:19">
      <c r="A5757" s="182"/>
      <c r="Q5757" s="183"/>
      <c r="R5757" s="183"/>
      <c r="S5757" s="183"/>
    </row>
    <row r="5758" spans="1:19">
      <c r="A5758" s="182"/>
      <c r="Q5758" s="183"/>
      <c r="R5758" s="183"/>
      <c r="S5758" s="183"/>
    </row>
    <row r="5759" spans="1:19">
      <c r="A5759" s="182"/>
      <c r="Q5759" s="183"/>
      <c r="R5759" s="183"/>
      <c r="S5759" s="183"/>
    </row>
    <row r="5760" spans="1:19">
      <c r="A5760" s="182"/>
      <c r="Q5760" s="183"/>
      <c r="R5760" s="183"/>
      <c r="S5760" s="183"/>
    </row>
    <row r="5761" spans="1:38">
      <c r="A5761" s="182"/>
      <c r="Q5761" s="183"/>
      <c r="R5761" s="183"/>
      <c r="S5761" s="183"/>
    </row>
    <row r="5762" spans="1:38">
      <c r="A5762" s="182"/>
      <c r="Q5762" s="183"/>
      <c r="R5762" s="183"/>
      <c r="S5762" s="183"/>
    </row>
    <row r="5763" spans="1:38">
      <c r="A5763" s="182"/>
      <c r="Q5763" s="183"/>
      <c r="R5763" s="183"/>
      <c r="S5763" s="183"/>
    </row>
    <row r="5764" spans="1:38">
      <c r="A5764" s="182"/>
      <c r="Q5764" s="183"/>
      <c r="R5764" s="183"/>
      <c r="S5764" s="183"/>
    </row>
    <row r="5765" spans="1:38">
      <c r="A5765" s="182"/>
      <c r="Q5765" s="183"/>
      <c r="R5765" s="183"/>
      <c r="S5765" s="183"/>
      <c r="AK5765" s="183"/>
      <c r="AL5765" s="183"/>
    </row>
    <row r="5766" spans="1:38">
      <c r="A5766" s="182"/>
      <c r="Q5766" s="183"/>
      <c r="R5766" s="183"/>
      <c r="S5766" s="183"/>
      <c r="AJ5766" s="183"/>
      <c r="AK5766" s="183"/>
      <c r="AL5766" s="183"/>
    </row>
    <row r="5767" spans="1:38">
      <c r="A5767" s="182"/>
      <c r="Q5767" s="183"/>
      <c r="R5767" s="183"/>
      <c r="S5767" s="183"/>
      <c r="AJ5767" s="183"/>
      <c r="AK5767" s="183"/>
      <c r="AL5767" s="183"/>
    </row>
    <row r="5768" spans="1:38">
      <c r="A5768" s="182"/>
      <c r="Q5768" s="183"/>
      <c r="R5768" s="183"/>
      <c r="S5768" s="183"/>
      <c r="AJ5768" s="183"/>
      <c r="AK5768" s="183"/>
      <c r="AL5768" s="183"/>
    </row>
    <row r="5769" spans="1:38">
      <c r="A5769" s="182"/>
      <c r="Q5769" s="183"/>
      <c r="R5769" s="183"/>
      <c r="S5769" s="183"/>
      <c r="AJ5769" s="183"/>
    </row>
    <row r="5770" spans="1:38">
      <c r="A5770" s="182"/>
      <c r="Q5770" s="183"/>
      <c r="R5770" s="183"/>
      <c r="S5770" s="183"/>
    </row>
    <row r="5771" spans="1:38">
      <c r="A5771" s="182"/>
      <c r="Q5771" s="183"/>
      <c r="R5771" s="183"/>
      <c r="S5771" s="183"/>
    </row>
    <row r="5772" spans="1:38">
      <c r="A5772" s="182"/>
      <c r="Q5772" s="183"/>
      <c r="R5772" s="183"/>
      <c r="S5772" s="183"/>
    </row>
    <row r="5773" spans="1:38">
      <c r="A5773" s="182"/>
      <c r="Q5773" s="183"/>
      <c r="R5773" s="183"/>
      <c r="S5773" s="183"/>
    </row>
    <row r="5774" spans="1:38">
      <c r="A5774" s="182"/>
      <c r="Q5774" s="183"/>
      <c r="R5774" s="183"/>
      <c r="S5774" s="183"/>
    </row>
    <row r="5775" spans="1:38">
      <c r="A5775" s="182"/>
      <c r="Q5775" s="183"/>
      <c r="R5775" s="183"/>
      <c r="S5775" s="183"/>
    </row>
    <row r="5776" spans="1:38">
      <c r="A5776" s="182"/>
      <c r="Q5776" s="183"/>
      <c r="R5776" s="183"/>
      <c r="S5776" s="183"/>
    </row>
    <row r="5777" spans="1:38">
      <c r="A5777" s="182"/>
      <c r="Q5777" s="183"/>
      <c r="R5777" s="183"/>
      <c r="S5777" s="183"/>
      <c r="AK5777" s="183"/>
      <c r="AL5777" s="183"/>
    </row>
    <row r="5778" spans="1:38">
      <c r="A5778" s="182"/>
      <c r="Q5778" s="183"/>
      <c r="R5778" s="183"/>
      <c r="S5778" s="183"/>
      <c r="AJ5778" s="183"/>
      <c r="AK5778" s="183"/>
      <c r="AL5778" s="183"/>
    </row>
    <row r="5779" spans="1:38">
      <c r="A5779" s="182"/>
      <c r="Q5779" s="183"/>
      <c r="R5779" s="183"/>
      <c r="S5779" s="183"/>
      <c r="AJ5779" s="183"/>
      <c r="AK5779" s="183"/>
      <c r="AL5779" s="183"/>
    </row>
    <row r="5780" spans="1:38">
      <c r="A5780" s="182"/>
      <c r="Q5780" s="183"/>
      <c r="R5780" s="183"/>
      <c r="S5780" s="183"/>
      <c r="AJ5780" s="183"/>
      <c r="AK5780" s="183"/>
      <c r="AL5780" s="183"/>
    </row>
    <row r="5781" spans="1:38">
      <c r="A5781" s="182"/>
      <c r="Q5781" s="183"/>
      <c r="R5781" s="183"/>
      <c r="S5781" s="183"/>
      <c r="AJ5781" s="183"/>
    </row>
    <row r="5782" spans="1:38">
      <c r="A5782" s="182"/>
      <c r="Q5782" s="183"/>
      <c r="R5782" s="183"/>
      <c r="S5782" s="183"/>
    </row>
    <row r="5783" spans="1:38">
      <c r="A5783" s="182"/>
      <c r="Q5783" s="183"/>
      <c r="R5783" s="183"/>
      <c r="S5783" s="183"/>
    </row>
    <row r="5784" spans="1:38">
      <c r="A5784" s="182"/>
      <c r="Q5784" s="183"/>
      <c r="R5784" s="183"/>
      <c r="S5784" s="183"/>
    </row>
    <row r="5785" spans="1:38">
      <c r="A5785" s="182"/>
      <c r="Q5785" s="183"/>
      <c r="R5785" s="183"/>
      <c r="S5785" s="183"/>
    </row>
    <row r="5786" spans="1:38">
      <c r="A5786" s="182"/>
      <c r="Q5786" s="183"/>
      <c r="R5786" s="183"/>
      <c r="S5786" s="183"/>
    </row>
    <row r="5787" spans="1:38">
      <c r="A5787" s="182"/>
      <c r="Q5787" s="183"/>
      <c r="R5787" s="183"/>
      <c r="S5787" s="183"/>
    </row>
    <row r="5788" spans="1:38">
      <c r="A5788" s="182"/>
      <c r="Q5788" s="183"/>
      <c r="R5788" s="183"/>
      <c r="S5788" s="183"/>
    </row>
    <row r="5789" spans="1:38">
      <c r="A5789" s="182"/>
      <c r="Q5789" s="183"/>
      <c r="R5789" s="183"/>
      <c r="S5789" s="183"/>
      <c r="AK5789" s="183"/>
      <c r="AL5789" s="183"/>
    </row>
    <row r="5790" spans="1:38">
      <c r="A5790" s="182"/>
      <c r="Q5790" s="183"/>
      <c r="R5790" s="183"/>
      <c r="S5790" s="183"/>
      <c r="AJ5790" s="183"/>
      <c r="AK5790" s="183"/>
      <c r="AL5790" s="183"/>
    </row>
    <row r="5791" spans="1:38">
      <c r="A5791" s="182"/>
      <c r="Q5791" s="183"/>
      <c r="R5791" s="183"/>
      <c r="S5791" s="183"/>
      <c r="AJ5791" s="183"/>
      <c r="AK5791" s="183"/>
      <c r="AL5791" s="183"/>
    </row>
    <row r="5792" spans="1:38">
      <c r="A5792" s="182"/>
      <c r="Q5792" s="183"/>
      <c r="R5792" s="183"/>
      <c r="S5792" s="183"/>
      <c r="AJ5792" s="183"/>
      <c r="AK5792" s="183"/>
      <c r="AL5792" s="183"/>
    </row>
    <row r="5793" spans="1:38">
      <c r="A5793" s="182"/>
      <c r="Q5793" s="183"/>
      <c r="R5793" s="183"/>
      <c r="S5793" s="183"/>
      <c r="AJ5793" s="183"/>
      <c r="AK5793" s="183"/>
      <c r="AL5793" s="183"/>
    </row>
    <row r="5794" spans="1:38">
      <c r="A5794" s="182"/>
      <c r="Q5794" s="183"/>
      <c r="R5794" s="183"/>
      <c r="S5794" s="183"/>
      <c r="AJ5794" s="183"/>
      <c r="AK5794" s="183"/>
      <c r="AL5794" s="183"/>
    </row>
    <row r="5795" spans="1:38">
      <c r="A5795" s="182"/>
      <c r="Q5795" s="183"/>
      <c r="R5795" s="183"/>
      <c r="S5795" s="183"/>
      <c r="AJ5795" s="183"/>
      <c r="AK5795" s="183"/>
      <c r="AL5795" s="183"/>
    </row>
    <row r="5796" spans="1:38">
      <c r="A5796" s="182"/>
      <c r="Q5796" s="183"/>
      <c r="R5796" s="183"/>
      <c r="S5796" s="183"/>
      <c r="AJ5796" s="183"/>
      <c r="AK5796" s="183"/>
      <c r="AL5796" s="183"/>
    </row>
    <row r="5797" spans="1:38">
      <c r="A5797" s="182"/>
      <c r="Q5797" s="183"/>
      <c r="R5797" s="183"/>
      <c r="S5797" s="183"/>
      <c r="AJ5797" s="183"/>
    </row>
    <row r="5798" spans="1:38">
      <c r="A5798" s="182"/>
      <c r="Q5798" s="183"/>
      <c r="R5798" s="183"/>
      <c r="S5798" s="183"/>
    </row>
    <row r="5799" spans="1:38">
      <c r="A5799" s="182"/>
      <c r="Q5799" s="183"/>
      <c r="R5799" s="183"/>
      <c r="S5799" s="183"/>
    </row>
    <row r="5800" spans="1:38">
      <c r="A5800" s="182"/>
      <c r="Q5800" s="183"/>
      <c r="R5800" s="183"/>
      <c r="S5800" s="183"/>
    </row>
    <row r="5801" spans="1:38">
      <c r="A5801" s="182"/>
      <c r="Q5801" s="183"/>
      <c r="R5801" s="183"/>
      <c r="S5801" s="183"/>
    </row>
    <row r="5802" spans="1:38">
      <c r="A5802" s="182"/>
      <c r="Q5802" s="183"/>
      <c r="R5802" s="183"/>
      <c r="S5802" s="183"/>
    </row>
    <row r="5803" spans="1:38">
      <c r="A5803" s="182"/>
      <c r="Q5803" s="183"/>
    </row>
    <row r="5804" spans="1:38">
      <c r="A5804" s="182"/>
      <c r="R5804" s="183"/>
      <c r="S5804" s="183"/>
    </row>
    <row r="5805" spans="1:38">
      <c r="A5805" s="182"/>
      <c r="Q5805" s="183"/>
      <c r="R5805" s="183"/>
      <c r="S5805" s="183"/>
    </row>
    <row r="5806" spans="1:38">
      <c r="A5806" s="182"/>
      <c r="Q5806" s="183"/>
      <c r="R5806" s="183"/>
      <c r="S5806" s="183"/>
    </row>
    <row r="5807" spans="1:38">
      <c r="A5807" s="182"/>
      <c r="Q5807" s="183"/>
      <c r="R5807" s="183"/>
      <c r="S5807" s="183"/>
    </row>
    <row r="5808" spans="1:38">
      <c r="A5808" s="182"/>
      <c r="Q5808" s="183"/>
      <c r="R5808" s="183"/>
      <c r="S5808" s="183"/>
    </row>
    <row r="5809" spans="1:19">
      <c r="A5809" s="182"/>
      <c r="Q5809" s="183"/>
      <c r="R5809" s="183"/>
      <c r="S5809" s="183"/>
    </row>
    <row r="5810" spans="1:19">
      <c r="A5810" s="182"/>
      <c r="Q5810" s="183"/>
      <c r="R5810" s="183"/>
      <c r="S5810" s="183"/>
    </row>
    <row r="5811" spans="1:19">
      <c r="A5811" s="182"/>
      <c r="Q5811" s="183"/>
      <c r="R5811" s="183"/>
      <c r="S5811" s="183"/>
    </row>
    <row r="5812" spans="1:19">
      <c r="A5812" s="182"/>
      <c r="Q5812" s="183"/>
      <c r="R5812" s="183"/>
      <c r="S5812" s="183"/>
    </row>
    <row r="5813" spans="1:19">
      <c r="A5813" s="182"/>
      <c r="Q5813" s="183"/>
      <c r="R5813" s="183"/>
      <c r="S5813" s="183"/>
    </row>
    <row r="5814" spans="1:19">
      <c r="A5814" s="182"/>
      <c r="Q5814" s="183"/>
      <c r="R5814" s="183"/>
      <c r="S5814" s="183"/>
    </row>
    <row r="5815" spans="1:19">
      <c r="A5815" s="182"/>
      <c r="Q5815" s="183"/>
      <c r="R5815" s="183"/>
      <c r="S5815" s="183"/>
    </row>
    <row r="5816" spans="1:19">
      <c r="A5816" s="182"/>
      <c r="Q5816" s="183"/>
      <c r="R5816" s="183"/>
      <c r="S5816" s="183"/>
    </row>
    <row r="5817" spans="1:19">
      <c r="A5817" s="182"/>
      <c r="Q5817" s="183"/>
      <c r="R5817" s="183"/>
      <c r="S5817" s="183"/>
    </row>
    <row r="5818" spans="1:19">
      <c r="A5818" s="182"/>
      <c r="Q5818" s="183"/>
      <c r="R5818" s="183"/>
      <c r="S5818" s="183"/>
    </row>
    <row r="5819" spans="1:19">
      <c r="A5819" s="182"/>
      <c r="Q5819" s="183"/>
      <c r="R5819" s="183"/>
      <c r="S5819" s="183"/>
    </row>
    <row r="5820" spans="1:19">
      <c r="A5820" s="182"/>
      <c r="Q5820" s="183"/>
      <c r="R5820" s="183"/>
      <c r="S5820" s="183"/>
    </row>
    <row r="5821" spans="1:19">
      <c r="A5821" s="182"/>
      <c r="Q5821" s="183"/>
      <c r="R5821" s="183"/>
      <c r="S5821" s="183"/>
    </row>
    <row r="5822" spans="1:19">
      <c r="A5822" s="182"/>
      <c r="Q5822" s="183"/>
      <c r="R5822" s="183"/>
      <c r="S5822" s="183"/>
    </row>
    <row r="5823" spans="1:19">
      <c r="A5823" s="182"/>
      <c r="Q5823" s="183"/>
      <c r="R5823" s="183"/>
      <c r="S5823" s="183"/>
    </row>
    <row r="5824" spans="1:19">
      <c r="A5824" s="182"/>
      <c r="Q5824" s="183"/>
      <c r="R5824" s="183"/>
      <c r="S5824" s="183"/>
    </row>
    <row r="5825" spans="1:19">
      <c r="A5825" s="182"/>
      <c r="Q5825" s="183"/>
      <c r="R5825" s="183"/>
      <c r="S5825" s="183"/>
    </row>
    <row r="5826" spans="1:19">
      <c r="A5826" s="182"/>
      <c r="Q5826" s="183"/>
      <c r="R5826" s="183"/>
      <c r="S5826" s="183"/>
    </row>
    <row r="5827" spans="1:19">
      <c r="A5827" s="182"/>
      <c r="Q5827" s="183"/>
      <c r="R5827" s="183"/>
      <c r="S5827" s="183"/>
    </row>
    <row r="5828" spans="1:19">
      <c r="A5828" s="182"/>
      <c r="Q5828" s="183"/>
      <c r="R5828" s="183"/>
      <c r="S5828" s="183"/>
    </row>
    <row r="5829" spans="1:19">
      <c r="A5829" s="182"/>
      <c r="Q5829" s="183"/>
      <c r="R5829" s="183"/>
      <c r="S5829" s="183"/>
    </row>
    <row r="5830" spans="1:19">
      <c r="A5830" s="182"/>
      <c r="Q5830" s="183"/>
      <c r="R5830" s="183"/>
      <c r="S5830" s="183"/>
    </row>
    <row r="5831" spans="1:19">
      <c r="A5831" s="182"/>
      <c r="Q5831" s="183"/>
      <c r="R5831" s="183"/>
      <c r="S5831" s="183"/>
    </row>
    <row r="5832" spans="1:19">
      <c r="A5832" s="182"/>
      <c r="Q5832" s="183"/>
      <c r="R5832" s="183"/>
      <c r="S5832" s="183"/>
    </row>
    <row r="5833" spans="1:19">
      <c r="A5833" s="182"/>
      <c r="Q5833" s="183"/>
      <c r="R5833" s="183"/>
      <c r="S5833" s="183"/>
    </row>
    <row r="5834" spans="1:19">
      <c r="A5834" s="182"/>
      <c r="Q5834" s="183"/>
      <c r="R5834" s="183"/>
      <c r="S5834" s="183"/>
    </row>
    <row r="5835" spans="1:19">
      <c r="A5835" s="182"/>
      <c r="Q5835" s="183"/>
      <c r="R5835" s="183"/>
      <c r="S5835" s="183"/>
    </row>
    <row r="5836" spans="1:19">
      <c r="A5836" s="182"/>
      <c r="Q5836" s="183"/>
      <c r="R5836" s="183"/>
      <c r="S5836" s="183"/>
    </row>
    <row r="5837" spans="1:19">
      <c r="A5837" s="182"/>
      <c r="Q5837" s="183"/>
      <c r="R5837" s="183"/>
      <c r="S5837" s="183"/>
    </row>
    <row r="5838" spans="1:19">
      <c r="A5838" s="182"/>
      <c r="Q5838" s="183"/>
      <c r="R5838" s="183"/>
      <c r="S5838" s="183"/>
    </row>
    <row r="5839" spans="1:19">
      <c r="A5839" s="182"/>
      <c r="Q5839" s="183"/>
      <c r="R5839" s="183"/>
      <c r="S5839" s="183"/>
    </row>
    <row r="5840" spans="1:19">
      <c r="A5840" s="182"/>
      <c r="Q5840" s="183"/>
      <c r="R5840" s="183"/>
      <c r="S5840" s="183"/>
    </row>
    <row r="5841" spans="1:19">
      <c r="A5841" s="182"/>
      <c r="Q5841" s="183"/>
      <c r="R5841" s="183"/>
      <c r="S5841" s="183"/>
    </row>
    <row r="5842" spans="1:19">
      <c r="A5842" s="182"/>
      <c r="Q5842" s="183"/>
      <c r="R5842" s="183"/>
      <c r="S5842" s="183"/>
    </row>
    <row r="5843" spans="1:19">
      <c r="A5843" s="182"/>
      <c r="Q5843" s="183"/>
      <c r="R5843" s="183"/>
      <c r="S5843" s="183"/>
    </row>
    <row r="5844" spans="1:19">
      <c r="A5844" s="182"/>
      <c r="Q5844" s="183"/>
      <c r="R5844" s="183"/>
      <c r="S5844" s="183"/>
    </row>
    <row r="5845" spans="1:19">
      <c r="A5845" s="182"/>
      <c r="Q5845" s="183"/>
      <c r="R5845" s="183"/>
      <c r="S5845" s="183"/>
    </row>
    <row r="5846" spans="1:19">
      <c r="A5846" s="182"/>
      <c r="Q5846" s="183"/>
      <c r="R5846" s="183"/>
      <c r="S5846" s="183"/>
    </row>
    <row r="5847" spans="1:19">
      <c r="A5847" s="182"/>
      <c r="Q5847" s="183"/>
      <c r="R5847" s="183"/>
      <c r="S5847" s="183"/>
    </row>
    <row r="5848" spans="1:19">
      <c r="A5848" s="182"/>
      <c r="Q5848" s="183"/>
      <c r="R5848" s="183"/>
      <c r="S5848" s="183"/>
    </row>
    <row r="5849" spans="1:19">
      <c r="A5849" s="182"/>
      <c r="Q5849" s="183"/>
      <c r="R5849" s="183"/>
      <c r="S5849" s="183"/>
    </row>
    <row r="5850" spans="1:19">
      <c r="A5850" s="182"/>
      <c r="Q5850" s="183"/>
      <c r="R5850" s="183"/>
      <c r="S5850" s="183"/>
    </row>
    <row r="5851" spans="1:19">
      <c r="A5851" s="182"/>
      <c r="Q5851" s="183"/>
      <c r="R5851" s="183"/>
      <c r="S5851" s="183"/>
    </row>
    <row r="5852" spans="1:19">
      <c r="A5852" s="182"/>
      <c r="Q5852" s="183"/>
      <c r="R5852" s="183"/>
      <c r="S5852" s="183"/>
    </row>
    <row r="5853" spans="1:19">
      <c r="A5853" s="182"/>
      <c r="Q5853" s="183"/>
      <c r="R5853" s="183"/>
      <c r="S5853" s="183"/>
    </row>
    <row r="5854" spans="1:19">
      <c r="A5854" s="182"/>
      <c r="Q5854" s="183"/>
      <c r="R5854" s="183"/>
      <c r="S5854" s="183"/>
    </row>
    <row r="5855" spans="1:19">
      <c r="A5855" s="182"/>
      <c r="Q5855" s="183"/>
      <c r="R5855" s="183"/>
      <c r="S5855" s="183"/>
    </row>
    <row r="5856" spans="1:19">
      <c r="A5856" s="182"/>
      <c r="Q5856" s="183"/>
      <c r="R5856" s="183"/>
      <c r="S5856" s="183"/>
    </row>
    <row r="5857" spans="1:38">
      <c r="A5857" s="182"/>
      <c r="Q5857" s="183"/>
      <c r="R5857" s="183"/>
      <c r="S5857" s="183"/>
    </row>
    <row r="5858" spans="1:38">
      <c r="A5858" s="182"/>
      <c r="Q5858" s="183"/>
      <c r="R5858" s="183"/>
      <c r="S5858" s="183"/>
    </row>
    <row r="5859" spans="1:38">
      <c r="A5859" s="182"/>
      <c r="Q5859" s="183"/>
      <c r="R5859" s="183"/>
      <c r="S5859" s="183"/>
    </row>
    <row r="5860" spans="1:38">
      <c r="A5860" s="182"/>
      <c r="Q5860" s="183"/>
      <c r="R5860" s="183"/>
      <c r="S5860" s="183"/>
    </row>
    <row r="5861" spans="1:38">
      <c r="A5861" s="182"/>
      <c r="Q5861" s="183"/>
      <c r="R5861" s="183"/>
      <c r="S5861" s="183"/>
      <c r="AK5861" s="183"/>
      <c r="AL5861" s="183"/>
    </row>
    <row r="5862" spans="1:38">
      <c r="A5862" s="182"/>
      <c r="Q5862" s="183"/>
      <c r="R5862" s="183"/>
      <c r="S5862" s="183"/>
      <c r="AJ5862" s="183"/>
      <c r="AK5862" s="183"/>
      <c r="AL5862" s="183"/>
    </row>
    <row r="5863" spans="1:38">
      <c r="A5863" s="182"/>
      <c r="Q5863" s="183"/>
      <c r="R5863" s="183"/>
      <c r="S5863" s="183"/>
      <c r="AJ5863" s="183"/>
      <c r="AK5863" s="183"/>
      <c r="AL5863" s="183"/>
    </row>
    <row r="5864" spans="1:38">
      <c r="A5864" s="182"/>
      <c r="Q5864" s="183"/>
      <c r="R5864" s="183"/>
      <c r="S5864" s="183"/>
      <c r="AJ5864" s="183"/>
      <c r="AK5864" s="183"/>
      <c r="AL5864" s="183"/>
    </row>
    <row r="5865" spans="1:38">
      <c r="A5865" s="182"/>
      <c r="Q5865" s="183"/>
      <c r="R5865" s="183"/>
      <c r="S5865" s="183"/>
      <c r="AJ5865" s="183"/>
    </row>
    <row r="5866" spans="1:38">
      <c r="A5866" s="182"/>
      <c r="Q5866" s="183"/>
      <c r="R5866" s="183"/>
      <c r="S5866" s="183"/>
    </row>
    <row r="5867" spans="1:38">
      <c r="A5867" s="182"/>
      <c r="Q5867" s="183"/>
      <c r="R5867" s="183"/>
      <c r="S5867" s="183"/>
    </row>
    <row r="5868" spans="1:38">
      <c r="A5868" s="182"/>
      <c r="Q5868" s="183"/>
      <c r="R5868" s="183"/>
      <c r="S5868" s="183"/>
    </row>
    <row r="5869" spans="1:38">
      <c r="A5869" s="182"/>
      <c r="Q5869" s="183"/>
      <c r="R5869" s="183"/>
      <c r="S5869" s="183"/>
      <c r="AK5869" s="183"/>
      <c r="AL5869" s="183"/>
    </row>
    <row r="5870" spans="1:38">
      <c r="A5870" s="182"/>
      <c r="Q5870" s="183"/>
      <c r="R5870" s="183"/>
      <c r="S5870" s="183"/>
      <c r="AJ5870" s="183"/>
      <c r="AK5870" s="183"/>
      <c r="AL5870" s="183"/>
    </row>
    <row r="5871" spans="1:38">
      <c r="A5871" s="182"/>
      <c r="Q5871" s="183"/>
      <c r="R5871" s="183"/>
      <c r="S5871" s="183"/>
      <c r="AJ5871" s="183"/>
      <c r="AK5871" s="183"/>
      <c r="AL5871" s="183"/>
    </row>
    <row r="5872" spans="1:38">
      <c r="A5872" s="182"/>
      <c r="Q5872" s="183"/>
      <c r="R5872" s="183"/>
      <c r="S5872" s="183"/>
      <c r="AJ5872" s="183"/>
      <c r="AK5872" s="183"/>
      <c r="AL5872" s="183"/>
    </row>
    <row r="5873" spans="1:38">
      <c r="A5873" s="182"/>
      <c r="Q5873" s="183"/>
      <c r="R5873" s="183"/>
      <c r="S5873" s="183"/>
      <c r="AJ5873" s="183"/>
      <c r="AK5873" s="183"/>
      <c r="AL5873" s="183"/>
    </row>
    <row r="5874" spans="1:38">
      <c r="A5874" s="182"/>
      <c r="Q5874" s="183"/>
      <c r="R5874" s="183"/>
      <c r="S5874" s="183"/>
      <c r="AJ5874" s="183"/>
      <c r="AK5874" s="183"/>
      <c r="AL5874" s="183"/>
    </row>
    <row r="5875" spans="1:38">
      <c r="A5875" s="182"/>
      <c r="Q5875" s="183"/>
      <c r="R5875" s="183"/>
      <c r="S5875" s="183"/>
      <c r="AJ5875" s="183"/>
      <c r="AK5875" s="183"/>
      <c r="AL5875" s="183"/>
    </row>
    <row r="5876" spans="1:38">
      <c r="A5876" s="182"/>
      <c r="Q5876" s="183"/>
      <c r="R5876" s="183"/>
      <c r="S5876" s="183"/>
      <c r="AJ5876" s="183"/>
      <c r="AK5876" s="183"/>
      <c r="AL5876" s="183"/>
    </row>
    <row r="5877" spans="1:38">
      <c r="A5877" s="182"/>
      <c r="Q5877" s="183"/>
      <c r="R5877" s="183"/>
      <c r="S5877" s="183"/>
      <c r="AJ5877" s="183"/>
    </row>
    <row r="5878" spans="1:38">
      <c r="A5878" s="182"/>
      <c r="Q5878" s="183"/>
      <c r="R5878" s="183"/>
      <c r="S5878" s="183"/>
    </row>
    <row r="5879" spans="1:38">
      <c r="A5879" s="182"/>
      <c r="Q5879" s="183"/>
      <c r="R5879" s="183"/>
      <c r="S5879" s="183"/>
    </row>
    <row r="5880" spans="1:38">
      <c r="A5880" s="182"/>
      <c r="Q5880" s="183"/>
      <c r="R5880" s="183"/>
      <c r="S5880" s="183"/>
    </row>
    <row r="5881" spans="1:38">
      <c r="A5881" s="182"/>
      <c r="Q5881" s="183"/>
      <c r="R5881" s="183"/>
      <c r="S5881" s="183"/>
      <c r="AK5881" s="183"/>
      <c r="AL5881" s="183"/>
    </row>
    <row r="5882" spans="1:38">
      <c r="A5882" s="182"/>
      <c r="Q5882" s="183"/>
      <c r="R5882" s="183"/>
      <c r="S5882" s="183"/>
      <c r="AJ5882" s="183"/>
      <c r="AK5882" s="183"/>
      <c r="AL5882" s="183"/>
    </row>
    <row r="5883" spans="1:38">
      <c r="A5883" s="182"/>
      <c r="Q5883" s="183"/>
      <c r="R5883" s="183"/>
      <c r="S5883" s="183"/>
      <c r="AJ5883" s="183"/>
      <c r="AK5883" s="183"/>
      <c r="AL5883" s="183"/>
    </row>
    <row r="5884" spans="1:38">
      <c r="A5884" s="182"/>
      <c r="Q5884" s="183"/>
      <c r="R5884" s="183"/>
      <c r="S5884" s="183"/>
      <c r="AJ5884" s="183"/>
      <c r="AK5884" s="183"/>
      <c r="AL5884" s="183"/>
    </row>
    <row r="5885" spans="1:38">
      <c r="A5885" s="182"/>
      <c r="Q5885" s="183"/>
      <c r="R5885" s="183"/>
      <c r="S5885" s="183"/>
      <c r="AJ5885" s="183"/>
      <c r="AK5885" s="183"/>
      <c r="AL5885" s="183"/>
    </row>
    <row r="5886" spans="1:38">
      <c r="A5886" s="182"/>
      <c r="Q5886" s="183"/>
      <c r="R5886" s="183"/>
      <c r="S5886" s="183"/>
      <c r="AJ5886" s="183"/>
      <c r="AK5886" s="183"/>
      <c r="AL5886" s="183"/>
    </row>
    <row r="5887" spans="1:38">
      <c r="A5887" s="182"/>
      <c r="Q5887" s="183"/>
      <c r="R5887" s="183"/>
      <c r="S5887" s="183"/>
      <c r="AJ5887" s="183"/>
      <c r="AK5887" s="183"/>
      <c r="AL5887" s="183"/>
    </row>
    <row r="5888" spans="1:38">
      <c r="A5888" s="182"/>
      <c r="Q5888" s="183"/>
      <c r="R5888" s="183"/>
      <c r="S5888" s="183"/>
      <c r="AJ5888" s="183"/>
      <c r="AK5888" s="183"/>
      <c r="AL5888" s="183"/>
    </row>
    <row r="5889" spans="1:36">
      <c r="A5889" s="182"/>
      <c r="Q5889" s="183"/>
      <c r="R5889" s="183"/>
      <c r="S5889" s="183"/>
      <c r="AJ5889" s="183"/>
    </row>
    <row r="5890" spans="1:36">
      <c r="A5890" s="182"/>
      <c r="Q5890" s="183"/>
      <c r="R5890" s="183"/>
      <c r="S5890" s="183"/>
    </row>
    <row r="5891" spans="1:36">
      <c r="A5891" s="182"/>
      <c r="Q5891" s="183"/>
      <c r="R5891" s="183"/>
      <c r="S5891" s="183"/>
    </row>
    <row r="5892" spans="1:36">
      <c r="A5892" s="182"/>
      <c r="Q5892" s="183"/>
      <c r="R5892" s="183"/>
      <c r="S5892" s="183"/>
    </row>
    <row r="5893" spans="1:36">
      <c r="A5893" s="182"/>
      <c r="Q5893" s="183"/>
      <c r="R5893" s="183"/>
      <c r="S5893" s="183"/>
    </row>
    <row r="5894" spans="1:36">
      <c r="A5894" s="182"/>
      <c r="Q5894" s="183"/>
      <c r="R5894" s="183"/>
      <c r="S5894" s="183"/>
    </row>
    <row r="5895" spans="1:36">
      <c r="A5895" s="182"/>
      <c r="Q5895" s="183"/>
      <c r="R5895" s="183"/>
      <c r="S5895" s="183"/>
    </row>
    <row r="5896" spans="1:36">
      <c r="A5896" s="182"/>
      <c r="Q5896" s="183"/>
      <c r="R5896" s="183"/>
      <c r="S5896" s="183"/>
    </row>
    <row r="5897" spans="1:36">
      <c r="A5897" s="182"/>
      <c r="Q5897" s="183"/>
      <c r="R5897" s="183"/>
      <c r="S5897" s="183"/>
    </row>
    <row r="5898" spans="1:36">
      <c r="A5898" s="182"/>
      <c r="Q5898" s="183"/>
      <c r="R5898" s="183"/>
      <c r="S5898" s="183"/>
    </row>
    <row r="5899" spans="1:36">
      <c r="A5899" s="182"/>
      <c r="Q5899" s="183"/>
      <c r="R5899" s="183"/>
      <c r="S5899" s="183"/>
    </row>
    <row r="5900" spans="1:36">
      <c r="A5900" s="182"/>
      <c r="Q5900" s="183"/>
      <c r="R5900" s="183"/>
      <c r="S5900" s="183"/>
    </row>
    <row r="5901" spans="1:36">
      <c r="A5901" s="182"/>
      <c r="Q5901" s="183"/>
      <c r="R5901" s="183"/>
      <c r="S5901" s="183"/>
    </row>
    <row r="5902" spans="1:36">
      <c r="A5902" s="182"/>
      <c r="Q5902" s="183"/>
      <c r="R5902" s="183"/>
      <c r="S5902" s="183"/>
    </row>
    <row r="5903" spans="1:36">
      <c r="A5903" s="182"/>
      <c r="Q5903" s="183"/>
      <c r="R5903" s="183"/>
      <c r="S5903" s="183"/>
    </row>
    <row r="5904" spans="1:36">
      <c r="A5904" s="182"/>
      <c r="Q5904" s="183"/>
      <c r="R5904" s="183"/>
      <c r="S5904" s="183"/>
    </row>
    <row r="5905" spans="1:19">
      <c r="A5905" s="182"/>
      <c r="Q5905" s="183"/>
      <c r="R5905" s="183"/>
      <c r="S5905" s="183"/>
    </row>
    <row r="5906" spans="1:19">
      <c r="A5906" s="182"/>
      <c r="Q5906" s="183"/>
      <c r="R5906" s="183"/>
      <c r="S5906" s="183"/>
    </row>
    <row r="5907" spans="1:19">
      <c r="A5907" s="182"/>
      <c r="Q5907" s="183"/>
      <c r="R5907" s="183"/>
      <c r="S5907" s="183"/>
    </row>
    <row r="5908" spans="1:19">
      <c r="A5908" s="182"/>
      <c r="Q5908" s="183"/>
      <c r="R5908" s="183"/>
      <c r="S5908" s="183"/>
    </row>
    <row r="5909" spans="1:19">
      <c r="A5909" s="182"/>
      <c r="Q5909" s="183"/>
      <c r="R5909" s="183"/>
      <c r="S5909" s="183"/>
    </row>
    <row r="5910" spans="1:19">
      <c r="A5910" s="182"/>
      <c r="Q5910" s="183"/>
      <c r="R5910" s="183"/>
      <c r="S5910" s="183"/>
    </row>
    <row r="5911" spans="1:19">
      <c r="A5911" s="182"/>
      <c r="Q5911" s="183"/>
      <c r="R5911" s="183"/>
      <c r="S5911" s="183"/>
    </row>
    <row r="5912" spans="1:19">
      <c r="A5912" s="182"/>
      <c r="Q5912" s="183"/>
      <c r="R5912" s="183"/>
      <c r="S5912" s="183"/>
    </row>
    <row r="5913" spans="1:19">
      <c r="A5913" s="182"/>
      <c r="Q5913" s="183"/>
      <c r="R5913" s="183"/>
      <c r="S5913" s="183"/>
    </row>
    <row r="5914" spans="1:19">
      <c r="A5914" s="182"/>
      <c r="Q5914" s="183"/>
      <c r="R5914" s="183"/>
      <c r="S5914" s="183"/>
    </row>
    <row r="5915" spans="1:19">
      <c r="A5915" s="182"/>
      <c r="Q5915" s="183"/>
      <c r="R5915" s="183"/>
      <c r="S5915" s="183"/>
    </row>
    <row r="5916" spans="1:19">
      <c r="A5916" s="182"/>
      <c r="Q5916" s="183"/>
      <c r="R5916" s="183"/>
      <c r="S5916" s="183"/>
    </row>
    <row r="5917" spans="1:19">
      <c r="A5917" s="182"/>
      <c r="Q5917" s="183"/>
      <c r="R5917" s="183"/>
      <c r="S5917" s="183"/>
    </row>
    <row r="5918" spans="1:19">
      <c r="A5918" s="182"/>
      <c r="Q5918" s="183"/>
      <c r="R5918" s="183"/>
      <c r="S5918" s="183"/>
    </row>
    <row r="5919" spans="1:19">
      <c r="A5919" s="182"/>
      <c r="Q5919" s="183"/>
      <c r="R5919" s="183"/>
      <c r="S5919" s="183"/>
    </row>
    <row r="5920" spans="1:19">
      <c r="A5920" s="182"/>
      <c r="Q5920" s="183"/>
      <c r="R5920" s="183"/>
      <c r="S5920" s="183"/>
    </row>
    <row r="5921" spans="1:19">
      <c r="A5921" s="182"/>
      <c r="Q5921" s="183"/>
      <c r="R5921" s="183"/>
      <c r="S5921" s="183"/>
    </row>
    <row r="5922" spans="1:19">
      <c r="A5922" s="182"/>
      <c r="Q5922" s="183"/>
      <c r="R5922" s="183"/>
      <c r="S5922" s="183"/>
    </row>
    <row r="5923" spans="1:19">
      <c r="A5923" s="182"/>
      <c r="Q5923" s="183"/>
      <c r="R5923" s="183"/>
      <c r="S5923" s="183"/>
    </row>
    <row r="5924" spans="1:19">
      <c r="A5924" s="182"/>
      <c r="Q5924" s="183"/>
      <c r="R5924" s="183"/>
      <c r="S5924" s="183"/>
    </row>
    <row r="5925" spans="1:19">
      <c r="A5925" s="182"/>
      <c r="Q5925" s="183"/>
      <c r="R5925" s="183"/>
      <c r="S5925" s="183"/>
    </row>
    <row r="5926" spans="1:19">
      <c r="A5926" s="182"/>
      <c r="Q5926" s="183"/>
      <c r="R5926" s="183"/>
      <c r="S5926" s="183"/>
    </row>
    <row r="5927" spans="1:19">
      <c r="A5927" s="182"/>
      <c r="Q5927" s="183"/>
      <c r="R5927" s="183"/>
      <c r="S5927" s="183"/>
    </row>
    <row r="5928" spans="1:19">
      <c r="A5928" s="182"/>
      <c r="Q5928" s="183"/>
      <c r="R5928" s="183"/>
      <c r="S5928" s="183"/>
    </row>
    <row r="5929" spans="1:19">
      <c r="A5929" s="182"/>
      <c r="Q5929" s="183"/>
      <c r="R5929" s="183"/>
      <c r="S5929" s="183"/>
    </row>
    <row r="5930" spans="1:19">
      <c r="A5930" s="182"/>
      <c r="Q5930" s="183"/>
      <c r="R5930" s="183"/>
      <c r="S5930" s="183"/>
    </row>
    <row r="5931" spans="1:19">
      <c r="A5931" s="182"/>
      <c r="Q5931" s="183"/>
      <c r="R5931" s="183"/>
      <c r="S5931" s="183"/>
    </row>
    <row r="5932" spans="1:19">
      <c r="A5932" s="182"/>
      <c r="Q5932" s="183"/>
      <c r="R5932" s="183"/>
      <c r="S5932" s="183"/>
    </row>
    <row r="5933" spans="1:19">
      <c r="A5933" s="182"/>
      <c r="Q5933" s="183"/>
      <c r="R5933" s="183"/>
      <c r="S5933" s="183"/>
    </row>
    <row r="5934" spans="1:19">
      <c r="A5934" s="182"/>
      <c r="Q5934" s="183"/>
      <c r="R5934" s="183"/>
      <c r="S5934" s="183"/>
    </row>
    <row r="5935" spans="1:19">
      <c r="A5935" s="182"/>
      <c r="Q5935" s="183"/>
      <c r="R5935" s="183"/>
      <c r="S5935" s="183"/>
    </row>
    <row r="5936" spans="1:19">
      <c r="A5936" s="182"/>
      <c r="Q5936" s="183"/>
      <c r="R5936" s="183"/>
      <c r="S5936" s="183"/>
    </row>
    <row r="5937" spans="1:38">
      <c r="A5937" s="182"/>
      <c r="Q5937" s="183"/>
      <c r="R5937" s="183"/>
      <c r="S5937" s="183"/>
    </row>
    <row r="5938" spans="1:38">
      <c r="A5938" s="182"/>
      <c r="Q5938" s="183"/>
      <c r="R5938" s="183"/>
      <c r="S5938" s="183"/>
    </row>
    <row r="5939" spans="1:38">
      <c r="A5939" s="182"/>
      <c r="Q5939" s="183"/>
      <c r="R5939" s="183"/>
      <c r="S5939" s="183"/>
    </row>
    <row r="5940" spans="1:38">
      <c r="A5940" s="182"/>
      <c r="Q5940" s="183"/>
      <c r="R5940" s="183"/>
      <c r="S5940" s="183"/>
    </row>
    <row r="5941" spans="1:38">
      <c r="A5941" s="182"/>
      <c r="Q5941" s="183"/>
      <c r="R5941" s="183"/>
      <c r="S5941" s="183"/>
    </row>
    <row r="5942" spans="1:38">
      <c r="A5942" s="182"/>
      <c r="Q5942" s="183"/>
      <c r="R5942" s="183"/>
      <c r="S5942" s="183"/>
    </row>
    <row r="5943" spans="1:38">
      <c r="A5943" s="182"/>
      <c r="Q5943" s="183"/>
      <c r="R5943" s="183"/>
      <c r="S5943" s="183"/>
    </row>
    <row r="5944" spans="1:38">
      <c r="A5944" s="182"/>
      <c r="Q5944" s="183"/>
      <c r="R5944" s="183"/>
      <c r="S5944" s="183"/>
    </row>
    <row r="5945" spans="1:38">
      <c r="A5945" s="182"/>
      <c r="Q5945" s="183"/>
      <c r="R5945" s="183"/>
      <c r="S5945" s="183"/>
    </row>
    <row r="5946" spans="1:38">
      <c r="A5946" s="182"/>
      <c r="Q5946" s="183"/>
      <c r="R5946" s="183"/>
      <c r="S5946" s="183"/>
    </row>
    <row r="5947" spans="1:38">
      <c r="A5947" s="182"/>
      <c r="Q5947" s="183"/>
      <c r="R5947" s="183"/>
      <c r="S5947" s="183"/>
    </row>
    <row r="5948" spans="1:38">
      <c r="A5948" s="182"/>
      <c r="Q5948" s="183"/>
      <c r="R5948" s="183"/>
      <c r="S5948" s="183"/>
    </row>
    <row r="5949" spans="1:38">
      <c r="A5949" s="182"/>
      <c r="Q5949" s="183"/>
      <c r="R5949" s="183"/>
      <c r="S5949" s="183"/>
      <c r="AK5949" s="183"/>
      <c r="AL5949" s="183"/>
    </row>
    <row r="5950" spans="1:38">
      <c r="A5950" s="182"/>
      <c r="Q5950" s="183"/>
      <c r="R5950" s="183"/>
      <c r="S5950" s="183"/>
      <c r="AJ5950" s="183"/>
      <c r="AK5950" s="183"/>
      <c r="AL5950" s="183"/>
    </row>
    <row r="5951" spans="1:38">
      <c r="A5951" s="182"/>
      <c r="Q5951" s="183"/>
      <c r="R5951" s="183"/>
      <c r="S5951" s="183"/>
      <c r="AJ5951" s="183"/>
      <c r="AK5951" s="183"/>
      <c r="AL5951" s="183"/>
    </row>
    <row r="5952" spans="1:38">
      <c r="A5952" s="182"/>
      <c r="Q5952" s="183"/>
      <c r="R5952" s="183"/>
      <c r="S5952" s="183"/>
      <c r="AJ5952" s="183"/>
      <c r="AK5952" s="183"/>
      <c r="AL5952" s="183"/>
    </row>
    <row r="5953" spans="1:38">
      <c r="A5953" s="182"/>
      <c r="Q5953" s="183"/>
      <c r="R5953" s="183"/>
      <c r="S5953" s="183"/>
      <c r="AJ5953" s="183"/>
    </row>
    <row r="5954" spans="1:38">
      <c r="A5954" s="182"/>
      <c r="Q5954" s="183"/>
      <c r="R5954" s="183"/>
      <c r="S5954" s="183"/>
    </row>
    <row r="5955" spans="1:38">
      <c r="A5955" s="182"/>
      <c r="Q5955" s="183"/>
      <c r="R5955" s="183"/>
      <c r="S5955" s="183"/>
    </row>
    <row r="5956" spans="1:38">
      <c r="A5956" s="182"/>
      <c r="Q5956" s="183"/>
      <c r="R5956" s="183"/>
      <c r="S5956" s="183"/>
    </row>
    <row r="5957" spans="1:38">
      <c r="A5957" s="182"/>
      <c r="Q5957" s="183"/>
      <c r="R5957" s="183"/>
      <c r="S5957" s="183"/>
      <c r="AK5957" s="183"/>
      <c r="AL5957" s="183"/>
    </row>
    <row r="5958" spans="1:38">
      <c r="A5958" s="182"/>
      <c r="Q5958" s="183"/>
      <c r="R5958" s="183"/>
      <c r="S5958" s="183"/>
      <c r="AJ5958" s="183"/>
      <c r="AK5958" s="183"/>
      <c r="AL5958" s="183"/>
    </row>
    <row r="5959" spans="1:38">
      <c r="A5959" s="182"/>
      <c r="Q5959" s="183"/>
      <c r="R5959" s="183"/>
      <c r="S5959" s="183"/>
      <c r="AJ5959" s="183"/>
      <c r="AK5959" s="183"/>
      <c r="AL5959" s="183"/>
    </row>
    <row r="5960" spans="1:38">
      <c r="A5960" s="182"/>
      <c r="Q5960" s="183"/>
      <c r="R5960" s="183"/>
      <c r="S5960" s="183"/>
      <c r="AJ5960" s="183"/>
      <c r="AK5960" s="183"/>
      <c r="AL5960" s="183"/>
    </row>
    <row r="5961" spans="1:38">
      <c r="A5961" s="182"/>
      <c r="Q5961" s="183"/>
      <c r="R5961" s="183"/>
      <c r="S5961" s="183"/>
      <c r="AJ5961" s="183"/>
      <c r="AK5961" s="183"/>
      <c r="AL5961" s="183"/>
    </row>
    <row r="5962" spans="1:38">
      <c r="A5962" s="182"/>
      <c r="Q5962" s="183"/>
      <c r="R5962" s="183"/>
      <c r="S5962" s="183"/>
      <c r="AJ5962" s="183"/>
      <c r="AK5962" s="183"/>
      <c r="AL5962" s="183"/>
    </row>
    <row r="5963" spans="1:38">
      <c r="A5963" s="182"/>
      <c r="Q5963" s="183"/>
      <c r="R5963" s="183"/>
      <c r="S5963" s="183"/>
      <c r="AJ5963" s="183"/>
      <c r="AK5963" s="183"/>
      <c r="AL5963" s="183"/>
    </row>
    <row r="5964" spans="1:38">
      <c r="A5964" s="182"/>
      <c r="Q5964" s="183"/>
      <c r="R5964" s="183"/>
      <c r="S5964" s="183"/>
      <c r="AJ5964" s="183"/>
      <c r="AK5964" s="183"/>
      <c r="AL5964" s="183"/>
    </row>
    <row r="5965" spans="1:38">
      <c r="A5965" s="182"/>
      <c r="Q5965" s="183"/>
      <c r="R5965" s="183"/>
      <c r="S5965" s="183"/>
      <c r="AJ5965" s="183"/>
      <c r="AK5965" s="183"/>
      <c r="AL5965" s="183"/>
    </row>
    <row r="5966" spans="1:38">
      <c r="A5966" s="182"/>
      <c r="Q5966" s="183"/>
      <c r="R5966" s="183"/>
      <c r="S5966" s="183"/>
      <c r="AJ5966" s="183"/>
      <c r="AK5966" s="183"/>
      <c r="AL5966" s="183"/>
    </row>
    <row r="5967" spans="1:38">
      <c r="A5967" s="182"/>
      <c r="Q5967" s="183"/>
      <c r="R5967" s="183"/>
      <c r="S5967" s="183"/>
      <c r="AJ5967" s="183"/>
      <c r="AK5967" s="183"/>
      <c r="AL5967" s="183"/>
    </row>
    <row r="5968" spans="1:38">
      <c r="A5968" s="182"/>
      <c r="Q5968" s="183"/>
      <c r="R5968" s="183"/>
      <c r="S5968" s="183"/>
      <c r="AJ5968" s="183"/>
      <c r="AK5968" s="183"/>
      <c r="AL5968" s="183"/>
    </row>
    <row r="5969" spans="1:38">
      <c r="A5969" s="182"/>
      <c r="Q5969" s="183"/>
      <c r="R5969" s="183"/>
      <c r="S5969" s="183"/>
      <c r="AJ5969" s="183"/>
      <c r="AK5969" s="183"/>
      <c r="AL5969" s="183"/>
    </row>
    <row r="5970" spans="1:38">
      <c r="A5970" s="182"/>
      <c r="Q5970" s="183"/>
      <c r="R5970" s="183"/>
      <c r="S5970" s="183"/>
      <c r="AJ5970" s="183"/>
      <c r="AK5970" s="183"/>
      <c r="AL5970" s="183"/>
    </row>
    <row r="5971" spans="1:38">
      <c r="A5971" s="182"/>
      <c r="Q5971" s="183"/>
      <c r="R5971" s="183"/>
      <c r="S5971" s="183"/>
      <c r="AJ5971" s="183"/>
      <c r="AK5971" s="183"/>
      <c r="AL5971" s="183"/>
    </row>
    <row r="5972" spans="1:38">
      <c r="A5972" s="182"/>
      <c r="Q5972" s="183"/>
      <c r="R5972" s="183"/>
      <c r="S5972" s="183"/>
      <c r="AJ5972" s="183"/>
      <c r="AK5972" s="183"/>
      <c r="AL5972" s="183"/>
    </row>
    <row r="5973" spans="1:38">
      <c r="A5973" s="182"/>
      <c r="Q5973" s="183"/>
      <c r="R5973" s="183"/>
      <c r="S5973" s="183"/>
      <c r="AJ5973" s="183"/>
    </row>
    <row r="5974" spans="1:38">
      <c r="A5974" s="182"/>
      <c r="Q5974" s="183"/>
      <c r="R5974" s="183"/>
      <c r="S5974" s="183"/>
    </row>
    <row r="5975" spans="1:38">
      <c r="A5975" s="182"/>
      <c r="Q5975" s="183"/>
      <c r="R5975" s="183"/>
      <c r="S5975" s="183"/>
    </row>
    <row r="5976" spans="1:38">
      <c r="A5976" s="182"/>
      <c r="Q5976" s="183"/>
      <c r="R5976" s="183"/>
      <c r="S5976" s="183"/>
    </row>
    <row r="5977" spans="1:38">
      <c r="A5977" s="182"/>
      <c r="Q5977" s="183"/>
      <c r="R5977" s="183"/>
      <c r="S5977" s="183"/>
      <c r="AK5977" s="183"/>
      <c r="AL5977" s="183"/>
    </row>
    <row r="5978" spans="1:38">
      <c r="A5978" s="182"/>
      <c r="Q5978" s="183"/>
      <c r="R5978" s="183"/>
      <c r="S5978" s="183"/>
      <c r="AJ5978" s="183"/>
      <c r="AK5978" s="183"/>
      <c r="AL5978" s="183"/>
    </row>
    <row r="5979" spans="1:38">
      <c r="A5979" s="182"/>
      <c r="Q5979" s="183"/>
      <c r="R5979" s="183"/>
      <c r="S5979" s="183"/>
      <c r="AJ5979" s="183"/>
      <c r="AK5979" s="183"/>
      <c r="AL5979" s="183"/>
    </row>
    <row r="5980" spans="1:38">
      <c r="A5980" s="182"/>
      <c r="Q5980" s="183"/>
      <c r="R5980" s="183"/>
      <c r="S5980" s="183"/>
      <c r="AJ5980" s="183"/>
      <c r="AK5980" s="183"/>
      <c r="AL5980" s="183"/>
    </row>
    <row r="5981" spans="1:38">
      <c r="A5981" s="182"/>
      <c r="Q5981" s="183"/>
      <c r="R5981" s="183"/>
      <c r="S5981" s="183"/>
      <c r="AJ5981" s="183"/>
    </row>
    <row r="5982" spans="1:38">
      <c r="A5982" s="182"/>
      <c r="Q5982" s="183"/>
      <c r="R5982" s="183"/>
      <c r="S5982" s="183"/>
    </row>
    <row r="5983" spans="1:38">
      <c r="A5983" s="182"/>
      <c r="Q5983" s="183"/>
      <c r="R5983" s="183"/>
      <c r="S5983" s="183"/>
    </row>
    <row r="5984" spans="1:38">
      <c r="A5984" s="182"/>
      <c r="Q5984" s="183"/>
      <c r="R5984" s="183"/>
      <c r="S5984" s="183"/>
    </row>
    <row r="5985" spans="1:38">
      <c r="A5985" s="182"/>
      <c r="Q5985" s="183"/>
      <c r="R5985" s="183"/>
      <c r="S5985" s="183"/>
    </row>
    <row r="5986" spans="1:38">
      <c r="A5986" s="182"/>
      <c r="Q5986" s="183"/>
      <c r="R5986" s="183"/>
      <c r="S5986" s="183"/>
    </row>
    <row r="5987" spans="1:38">
      <c r="A5987" s="182"/>
      <c r="Q5987" s="183"/>
      <c r="R5987" s="183"/>
      <c r="S5987" s="183"/>
    </row>
    <row r="5988" spans="1:38">
      <c r="A5988" s="182"/>
      <c r="Q5988" s="183"/>
      <c r="R5988" s="183"/>
      <c r="S5988" s="183"/>
    </row>
    <row r="5989" spans="1:38">
      <c r="A5989" s="182"/>
      <c r="Q5989" s="183"/>
      <c r="R5989" s="183"/>
      <c r="S5989" s="183"/>
      <c r="AK5989" s="183"/>
      <c r="AL5989" s="183"/>
    </row>
    <row r="5990" spans="1:38">
      <c r="A5990" s="182"/>
      <c r="Q5990" s="183"/>
      <c r="R5990" s="183"/>
      <c r="S5990" s="183"/>
      <c r="AJ5990" s="183"/>
      <c r="AK5990" s="183"/>
      <c r="AL5990" s="183"/>
    </row>
    <row r="5991" spans="1:38">
      <c r="A5991" s="182"/>
      <c r="Q5991" s="183"/>
      <c r="R5991" s="183"/>
      <c r="S5991" s="183"/>
      <c r="AJ5991" s="183"/>
      <c r="AK5991" s="183"/>
      <c r="AL5991" s="183"/>
    </row>
    <row r="5992" spans="1:38">
      <c r="A5992" s="182"/>
      <c r="Q5992" s="183"/>
      <c r="R5992" s="183"/>
      <c r="S5992" s="183"/>
      <c r="AJ5992" s="183"/>
      <c r="AK5992" s="183"/>
      <c r="AL5992" s="183"/>
    </row>
    <row r="5993" spans="1:38">
      <c r="A5993" s="182"/>
      <c r="Q5993" s="183"/>
      <c r="R5993" s="183"/>
      <c r="S5993" s="183"/>
      <c r="AJ5993" s="183"/>
    </row>
    <row r="5994" spans="1:38">
      <c r="A5994" s="182"/>
      <c r="Q5994" s="183"/>
      <c r="R5994" s="183"/>
      <c r="S5994" s="183"/>
    </row>
    <row r="5995" spans="1:38">
      <c r="A5995" s="182"/>
      <c r="Q5995" s="183"/>
      <c r="R5995" s="183"/>
      <c r="S5995" s="183"/>
    </row>
    <row r="5996" spans="1:38">
      <c r="A5996" s="182"/>
      <c r="Q5996" s="183"/>
      <c r="R5996" s="183"/>
      <c r="S5996" s="183"/>
    </row>
    <row r="5997" spans="1:38">
      <c r="A5997" s="182"/>
      <c r="Q5997" s="183"/>
      <c r="R5997" s="183"/>
      <c r="S5997" s="183"/>
    </row>
    <row r="5998" spans="1:38">
      <c r="A5998" s="182"/>
      <c r="Q5998" s="183"/>
      <c r="R5998" s="183"/>
      <c r="S5998" s="183"/>
    </row>
    <row r="5999" spans="1:38">
      <c r="A5999" s="182"/>
      <c r="Q5999" s="183"/>
      <c r="R5999" s="183"/>
      <c r="S5999" s="183"/>
    </row>
    <row r="6000" spans="1:38">
      <c r="A6000" s="182"/>
      <c r="Q6000" s="183"/>
      <c r="R6000" s="183"/>
      <c r="S6000" s="183"/>
    </row>
    <row r="6001" spans="1:38">
      <c r="A6001" s="182"/>
      <c r="Q6001" s="183"/>
      <c r="R6001" s="183"/>
      <c r="S6001" s="183"/>
    </row>
    <row r="6002" spans="1:38">
      <c r="A6002" s="182"/>
      <c r="Q6002" s="183"/>
      <c r="R6002" s="183"/>
      <c r="S6002" s="183"/>
    </row>
    <row r="6003" spans="1:38">
      <c r="A6003" s="182"/>
      <c r="Q6003" s="183"/>
      <c r="R6003" s="183"/>
      <c r="S6003" s="183"/>
    </row>
    <row r="6004" spans="1:38">
      <c r="A6004" s="182"/>
      <c r="Q6004" s="183"/>
      <c r="R6004" s="183"/>
      <c r="S6004" s="183"/>
    </row>
    <row r="6005" spans="1:38">
      <c r="A6005" s="182"/>
      <c r="Q6005" s="183"/>
      <c r="R6005" s="183"/>
      <c r="S6005" s="183"/>
      <c r="AK6005" s="183"/>
      <c r="AL6005" s="183"/>
    </row>
    <row r="6006" spans="1:38">
      <c r="A6006" s="182"/>
      <c r="Q6006" s="183"/>
      <c r="R6006" s="183"/>
      <c r="S6006" s="183"/>
      <c r="AJ6006" s="183"/>
      <c r="AK6006" s="183"/>
      <c r="AL6006" s="183"/>
    </row>
    <row r="6007" spans="1:38">
      <c r="A6007" s="182"/>
      <c r="Q6007" s="183"/>
      <c r="R6007" s="183"/>
      <c r="S6007" s="183"/>
      <c r="AJ6007" s="183"/>
      <c r="AK6007" s="183"/>
      <c r="AL6007" s="183"/>
    </row>
    <row r="6008" spans="1:38">
      <c r="A6008" s="182"/>
      <c r="Q6008" s="183"/>
      <c r="R6008" s="183"/>
      <c r="S6008" s="183"/>
      <c r="AJ6008" s="183"/>
      <c r="AK6008" s="183"/>
      <c r="AL6008" s="183"/>
    </row>
    <row r="6009" spans="1:38">
      <c r="A6009" s="182"/>
      <c r="Q6009" s="183"/>
      <c r="R6009" s="183"/>
      <c r="S6009" s="183"/>
      <c r="AJ6009" s="183"/>
    </row>
    <row r="6010" spans="1:38">
      <c r="A6010" s="182"/>
      <c r="Q6010" s="183"/>
      <c r="R6010" s="183"/>
      <c r="S6010" s="183"/>
    </row>
    <row r="6011" spans="1:38">
      <c r="A6011" s="182"/>
      <c r="Q6011" s="183"/>
      <c r="R6011" s="183"/>
      <c r="S6011" s="183"/>
    </row>
    <row r="6012" spans="1:38">
      <c r="A6012" s="182"/>
      <c r="Q6012" s="183"/>
      <c r="R6012" s="183"/>
      <c r="S6012" s="183"/>
    </row>
    <row r="6013" spans="1:38">
      <c r="A6013" s="182"/>
      <c r="Q6013" s="183"/>
      <c r="R6013" s="183"/>
      <c r="S6013" s="183"/>
    </row>
    <row r="6014" spans="1:38">
      <c r="A6014" s="182"/>
      <c r="Q6014" s="183"/>
      <c r="R6014" s="183"/>
      <c r="S6014" s="183"/>
    </row>
    <row r="6015" spans="1:38">
      <c r="A6015" s="182"/>
      <c r="Q6015" s="183"/>
      <c r="R6015" s="183"/>
      <c r="S6015" s="183"/>
    </row>
    <row r="6016" spans="1:38">
      <c r="A6016" s="182"/>
      <c r="Q6016" s="183"/>
      <c r="R6016" s="183"/>
      <c r="S6016" s="183"/>
    </row>
    <row r="6017" spans="1:38">
      <c r="A6017" s="182"/>
      <c r="Q6017" s="183"/>
      <c r="R6017" s="183"/>
      <c r="S6017" s="183"/>
    </row>
    <row r="6018" spans="1:38">
      <c r="A6018" s="182"/>
      <c r="Q6018" s="183"/>
      <c r="R6018" s="183"/>
      <c r="S6018" s="183"/>
    </row>
    <row r="6019" spans="1:38">
      <c r="A6019" s="182"/>
      <c r="Q6019" s="183"/>
      <c r="R6019" s="183"/>
      <c r="S6019" s="183"/>
    </row>
    <row r="6020" spans="1:38">
      <c r="A6020" s="182"/>
      <c r="Q6020" s="183"/>
      <c r="R6020" s="183"/>
      <c r="S6020" s="183"/>
    </row>
    <row r="6021" spans="1:38">
      <c r="A6021" s="182"/>
      <c r="Q6021" s="183"/>
      <c r="R6021" s="183"/>
      <c r="S6021" s="183"/>
      <c r="AK6021" s="183"/>
      <c r="AL6021" s="183"/>
    </row>
    <row r="6022" spans="1:38">
      <c r="A6022" s="182"/>
      <c r="Q6022" s="183"/>
      <c r="R6022" s="183"/>
      <c r="S6022" s="183"/>
      <c r="AJ6022" s="183"/>
      <c r="AK6022" s="183"/>
      <c r="AL6022" s="183"/>
    </row>
    <row r="6023" spans="1:38">
      <c r="A6023" s="182"/>
      <c r="Q6023" s="183"/>
      <c r="R6023" s="183"/>
      <c r="S6023" s="183"/>
      <c r="AJ6023" s="183"/>
      <c r="AK6023" s="183"/>
      <c r="AL6023" s="183"/>
    </row>
    <row r="6024" spans="1:38">
      <c r="A6024" s="182"/>
      <c r="Q6024" s="183"/>
      <c r="R6024" s="183"/>
      <c r="S6024" s="183"/>
      <c r="AJ6024" s="183"/>
      <c r="AK6024" s="183"/>
      <c r="AL6024" s="183"/>
    </row>
    <row r="6025" spans="1:38">
      <c r="A6025" s="182"/>
      <c r="Q6025" s="183"/>
      <c r="R6025" s="183"/>
      <c r="S6025" s="183"/>
      <c r="AJ6025" s="183"/>
      <c r="AK6025" s="183"/>
      <c r="AL6025" s="183"/>
    </row>
    <row r="6026" spans="1:38">
      <c r="A6026" s="182"/>
      <c r="Q6026" s="183"/>
      <c r="R6026" s="183"/>
      <c r="S6026" s="183"/>
      <c r="AJ6026" s="183"/>
      <c r="AK6026" s="183"/>
      <c r="AL6026" s="183"/>
    </row>
    <row r="6027" spans="1:38">
      <c r="A6027" s="182"/>
      <c r="Q6027" s="183"/>
      <c r="R6027" s="183"/>
      <c r="S6027" s="183"/>
      <c r="AJ6027" s="183"/>
      <c r="AK6027" s="183"/>
      <c r="AL6027" s="183"/>
    </row>
    <row r="6028" spans="1:38">
      <c r="A6028" s="182"/>
      <c r="Q6028" s="183"/>
      <c r="R6028" s="183"/>
      <c r="S6028" s="183"/>
      <c r="AJ6028" s="183"/>
      <c r="AK6028" s="183"/>
      <c r="AL6028" s="183"/>
    </row>
    <row r="6029" spans="1:38">
      <c r="A6029" s="182"/>
      <c r="Q6029" s="183"/>
      <c r="R6029" s="183"/>
      <c r="S6029" s="183"/>
      <c r="AJ6029" s="183"/>
    </row>
    <row r="6030" spans="1:38">
      <c r="A6030" s="182"/>
      <c r="Q6030" s="183"/>
      <c r="R6030" s="183"/>
      <c r="S6030" s="183"/>
    </row>
    <row r="6031" spans="1:38">
      <c r="A6031" s="182"/>
      <c r="Q6031" s="183"/>
      <c r="R6031" s="183"/>
      <c r="S6031" s="183"/>
    </row>
    <row r="6032" spans="1:38">
      <c r="A6032" s="182"/>
      <c r="Q6032" s="183"/>
      <c r="R6032" s="183"/>
      <c r="S6032" s="183"/>
    </row>
    <row r="6033" spans="1:38">
      <c r="A6033" s="182"/>
      <c r="Q6033" s="183"/>
      <c r="R6033" s="183"/>
      <c r="S6033" s="183"/>
    </row>
    <row r="6034" spans="1:38">
      <c r="A6034" s="182"/>
      <c r="Q6034" s="183"/>
      <c r="R6034" s="183"/>
      <c r="S6034" s="183"/>
    </row>
    <row r="6035" spans="1:38">
      <c r="A6035" s="182"/>
      <c r="Q6035" s="183"/>
      <c r="R6035" s="183"/>
      <c r="S6035" s="183"/>
    </row>
    <row r="6036" spans="1:38">
      <c r="A6036" s="182"/>
      <c r="Q6036" s="183"/>
      <c r="R6036" s="183"/>
      <c r="S6036" s="183"/>
    </row>
    <row r="6037" spans="1:38">
      <c r="A6037" s="182"/>
      <c r="Q6037" s="183"/>
      <c r="R6037" s="183"/>
      <c r="S6037" s="183"/>
    </row>
    <row r="6038" spans="1:38">
      <c r="A6038" s="182"/>
      <c r="Q6038" s="183"/>
      <c r="R6038" s="183"/>
      <c r="S6038" s="183"/>
    </row>
    <row r="6039" spans="1:38">
      <c r="A6039" s="182"/>
      <c r="Q6039" s="183"/>
      <c r="R6039" s="183"/>
      <c r="S6039" s="183"/>
    </row>
    <row r="6040" spans="1:38">
      <c r="A6040" s="182"/>
      <c r="Q6040" s="183"/>
      <c r="R6040" s="183"/>
      <c r="S6040" s="183"/>
    </row>
    <row r="6041" spans="1:38">
      <c r="A6041" s="182"/>
      <c r="Q6041" s="183"/>
      <c r="R6041" s="183"/>
      <c r="S6041" s="183"/>
      <c r="AK6041" s="183"/>
      <c r="AL6041" s="183"/>
    </row>
    <row r="6042" spans="1:38">
      <c r="A6042" s="182"/>
      <c r="Q6042" s="183"/>
      <c r="R6042" s="183"/>
      <c r="S6042" s="183"/>
      <c r="AJ6042" s="183"/>
      <c r="AK6042" s="183"/>
      <c r="AL6042" s="183"/>
    </row>
    <row r="6043" spans="1:38">
      <c r="A6043" s="182"/>
      <c r="Q6043" s="183"/>
      <c r="R6043" s="183"/>
      <c r="S6043" s="183"/>
      <c r="AJ6043" s="183"/>
      <c r="AK6043" s="183"/>
      <c r="AL6043" s="183"/>
    </row>
    <row r="6044" spans="1:38">
      <c r="A6044" s="182"/>
      <c r="Q6044" s="183"/>
      <c r="R6044" s="183"/>
      <c r="S6044" s="183"/>
      <c r="AJ6044" s="183"/>
      <c r="AK6044" s="183"/>
      <c r="AL6044" s="183"/>
    </row>
    <row r="6045" spans="1:38">
      <c r="A6045" s="182"/>
      <c r="Q6045" s="183"/>
      <c r="R6045" s="183"/>
      <c r="S6045" s="183"/>
      <c r="AJ6045" s="183"/>
    </row>
    <row r="6046" spans="1:38">
      <c r="A6046" s="182"/>
      <c r="Q6046" s="183"/>
      <c r="R6046" s="183"/>
      <c r="S6046" s="183"/>
    </row>
    <row r="6047" spans="1:38">
      <c r="A6047" s="182"/>
      <c r="Q6047" s="183"/>
      <c r="R6047" s="183"/>
      <c r="S6047" s="183"/>
    </row>
    <row r="6048" spans="1:38">
      <c r="A6048" s="182"/>
      <c r="Q6048" s="183"/>
      <c r="R6048" s="183"/>
      <c r="S6048" s="183"/>
    </row>
    <row r="6049" spans="1:38">
      <c r="A6049" s="182"/>
      <c r="Q6049" s="183"/>
      <c r="R6049" s="183"/>
      <c r="S6049" s="183"/>
      <c r="AK6049" s="183"/>
      <c r="AL6049" s="183"/>
    </row>
    <row r="6050" spans="1:38">
      <c r="A6050" s="182"/>
      <c r="Q6050" s="183"/>
      <c r="R6050" s="183"/>
      <c r="S6050" s="183"/>
      <c r="AJ6050" s="183"/>
      <c r="AK6050" s="183"/>
      <c r="AL6050" s="183"/>
    </row>
    <row r="6051" spans="1:38">
      <c r="A6051" s="182"/>
      <c r="Q6051" s="183"/>
      <c r="R6051" s="183"/>
      <c r="S6051" s="183"/>
      <c r="AJ6051" s="183"/>
      <c r="AK6051" s="183"/>
      <c r="AL6051" s="183"/>
    </row>
    <row r="6052" spans="1:38">
      <c r="A6052" s="182"/>
      <c r="Q6052" s="183"/>
      <c r="R6052" s="183"/>
      <c r="S6052" s="183"/>
      <c r="AJ6052" s="183"/>
      <c r="AK6052" s="183"/>
      <c r="AL6052" s="183"/>
    </row>
    <row r="6053" spans="1:38">
      <c r="A6053" s="182"/>
      <c r="Q6053" s="183"/>
      <c r="R6053" s="183"/>
      <c r="S6053" s="183"/>
      <c r="AJ6053" s="183"/>
      <c r="AK6053" s="183"/>
      <c r="AL6053" s="183"/>
    </row>
    <row r="6054" spans="1:38">
      <c r="A6054" s="182"/>
      <c r="Q6054" s="183"/>
      <c r="R6054" s="183"/>
      <c r="S6054" s="183"/>
      <c r="AJ6054" s="183"/>
      <c r="AK6054" s="183"/>
      <c r="AL6054" s="183"/>
    </row>
    <row r="6055" spans="1:38">
      <c r="A6055" s="182"/>
      <c r="Q6055" s="183"/>
      <c r="R6055" s="183"/>
      <c r="S6055" s="183"/>
      <c r="AJ6055" s="183"/>
      <c r="AK6055" s="183"/>
      <c r="AL6055" s="183"/>
    </row>
    <row r="6056" spans="1:38">
      <c r="A6056" s="182"/>
      <c r="Q6056" s="183"/>
      <c r="R6056" s="183"/>
      <c r="S6056" s="183"/>
      <c r="AJ6056" s="183"/>
      <c r="AK6056" s="183"/>
      <c r="AL6056" s="183"/>
    </row>
    <row r="6057" spans="1:38">
      <c r="A6057" s="182"/>
      <c r="Q6057" s="183"/>
      <c r="R6057" s="183"/>
      <c r="S6057" s="183"/>
      <c r="AJ6057" s="183"/>
      <c r="AK6057" s="183"/>
      <c r="AL6057" s="183"/>
    </row>
    <row r="6058" spans="1:38">
      <c r="A6058" s="182"/>
      <c r="Q6058" s="183"/>
      <c r="R6058" s="183"/>
      <c r="S6058" s="183"/>
      <c r="AJ6058" s="183"/>
      <c r="AK6058" s="183"/>
      <c r="AL6058" s="183"/>
    </row>
    <row r="6059" spans="1:38">
      <c r="A6059" s="182"/>
      <c r="Q6059" s="183"/>
      <c r="R6059" s="183"/>
      <c r="S6059" s="183"/>
      <c r="AJ6059" s="183"/>
      <c r="AK6059" s="183"/>
      <c r="AL6059" s="183"/>
    </row>
    <row r="6060" spans="1:38">
      <c r="A6060" s="182"/>
      <c r="Q6060" s="183"/>
      <c r="R6060" s="183"/>
      <c r="S6060" s="183"/>
      <c r="AJ6060" s="183"/>
      <c r="AK6060" s="183"/>
      <c r="AL6060" s="183"/>
    </row>
    <row r="6061" spans="1:38">
      <c r="A6061" s="182"/>
      <c r="Q6061" s="183"/>
      <c r="R6061" s="183"/>
      <c r="S6061" s="183"/>
      <c r="AJ6061" s="183"/>
      <c r="AK6061" s="183"/>
      <c r="AL6061" s="183"/>
    </row>
    <row r="6062" spans="1:38">
      <c r="A6062" s="182"/>
      <c r="Q6062" s="183"/>
      <c r="R6062" s="183"/>
      <c r="S6062" s="183"/>
      <c r="AJ6062" s="183"/>
      <c r="AK6062" s="183"/>
      <c r="AL6062" s="183"/>
    </row>
    <row r="6063" spans="1:38">
      <c r="A6063" s="182"/>
      <c r="Q6063" s="183"/>
      <c r="R6063" s="183"/>
      <c r="S6063" s="183"/>
      <c r="AJ6063" s="183"/>
      <c r="AK6063" s="183"/>
      <c r="AL6063" s="183"/>
    </row>
    <row r="6064" spans="1:38">
      <c r="A6064" s="182"/>
      <c r="Q6064" s="183"/>
      <c r="R6064" s="183"/>
      <c r="S6064" s="183"/>
      <c r="AJ6064" s="183"/>
      <c r="AK6064" s="183"/>
      <c r="AL6064" s="183"/>
    </row>
    <row r="6065" spans="1:38">
      <c r="A6065" s="182"/>
      <c r="Q6065" s="183"/>
      <c r="R6065" s="183"/>
      <c r="S6065" s="183"/>
      <c r="AJ6065" s="183"/>
    </row>
    <row r="6066" spans="1:38">
      <c r="A6066" s="182"/>
      <c r="Q6066" s="183"/>
      <c r="R6066" s="183"/>
      <c r="S6066" s="183"/>
    </row>
    <row r="6067" spans="1:38">
      <c r="A6067" s="182"/>
      <c r="Q6067" s="183"/>
      <c r="R6067" s="183"/>
      <c r="S6067" s="183"/>
    </row>
    <row r="6068" spans="1:38">
      <c r="A6068" s="182"/>
      <c r="Q6068" s="183"/>
      <c r="R6068" s="183"/>
      <c r="S6068" s="183"/>
    </row>
    <row r="6069" spans="1:38">
      <c r="A6069" s="182"/>
      <c r="Q6069" s="183"/>
      <c r="R6069" s="183"/>
      <c r="S6069" s="183"/>
    </row>
    <row r="6070" spans="1:38">
      <c r="A6070" s="182"/>
      <c r="Q6070" s="183"/>
      <c r="R6070" s="183"/>
      <c r="S6070" s="183"/>
    </row>
    <row r="6071" spans="1:38">
      <c r="A6071" s="182"/>
      <c r="Q6071" s="183"/>
      <c r="R6071" s="183"/>
      <c r="S6071" s="183"/>
    </row>
    <row r="6072" spans="1:38">
      <c r="A6072" s="182"/>
      <c r="Q6072" s="183"/>
      <c r="R6072" s="183"/>
      <c r="S6072" s="183"/>
    </row>
    <row r="6073" spans="1:38">
      <c r="A6073" s="182"/>
      <c r="Q6073" s="183"/>
      <c r="R6073" s="183"/>
      <c r="S6073" s="183"/>
      <c r="AK6073" s="183"/>
      <c r="AL6073" s="183"/>
    </row>
    <row r="6074" spans="1:38">
      <c r="A6074" s="182"/>
      <c r="Q6074" s="183"/>
      <c r="R6074" s="183"/>
      <c r="S6074" s="183"/>
      <c r="AJ6074" s="183"/>
      <c r="AK6074" s="183"/>
      <c r="AL6074" s="183"/>
    </row>
    <row r="6075" spans="1:38">
      <c r="A6075" s="182"/>
      <c r="Q6075" s="183"/>
      <c r="R6075" s="183"/>
      <c r="S6075" s="183"/>
      <c r="AJ6075" s="183"/>
      <c r="AK6075" s="183"/>
      <c r="AL6075" s="183"/>
    </row>
    <row r="6076" spans="1:38">
      <c r="A6076" s="182"/>
      <c r="Q6076" s="183"/>
      <c r="R6076" s="183"/>
      <c r="S6076" s="183"/>
      <c r="AJ6076" s="183"/>
      <c r="AK6076" s="183"/>
      <c r="AL6076" s="183"/>
    </row>
    <row r="6077" spans="1:38">
      <c r="A6077" s="182"/>
      <c r="Q6077" s="183"/>
      <c r="R6077" s="183"/>
      <c r="S6077" s="183"/>
      <c r="AJ6077" s="183"/>
      <c r="AK6077" s="183"/>
      <c r="AL6077" s="183"/>
    </row>
    <row r="6078" spans="1:38">
      <c r="A6078" s="182"/>
      <c r="Q6078" s="183"/>
      <c r="R6078" s="183"/>
      <c r="S6078" s="183"/>
      <c r="AJ6078" s="183"/>
      <c r="AK6078" s="183"/>
      <c r="AL6078" s="183"/>
    </row>
    <row r="6079" spans="1:38">
      <c r="A6079" s="182"/>
      <c r="Q6079" s="183"/>
      <c r="R6079" s="183"/>
      <c r="S6079" s="183"/>
      <c r="AJ6079" s="183"/>
      <c r="AK6079" s="183"/>
      <c r="AL6079" s="183"/>
    </row>
    <row r="6080" spans="1:38">
      <c r="A6080" s="182"/>
      <c r="Q6080" s="183"/>
      <c r="R6080" s="183"/>
      <c r="S6080" s="183"/>
      <c r="AJ6080" s="183"/>
      <c r="AK6080" s="183"/>
      <c r="AL6080" s="183"/>
    </row>
    <row r="6081" spans="1:38">
      <c r="A6081" s="182"/>
      <c r="Q6081" s="183"/>
      <c r="R6081" s="183"/>
      <c r="S6081" s="183"/>
      <c r="AJ6081" s="183"/>
      <c r="AK6081" s="183"/>
      <c r="AL6081" s="183"/>
    </row>
    <row r="6082" spans="1:38">
      <c r="A6082" s="182"/>
      <c r="Q6082" s="183"/>
      <c r="R6082" s="183"/>
      <c r="S6082" s="183"/>
      <c r="AJ6082" s="183"/>
      <c r="AK6082" s="183"/>
      <c r="AL6082" s="183"/>
    </row>
    <row r="6083" spans="1:38">
      <c r="A6083" s="182"/>
      <c r="Q6083" s="183"/>
      <c r="R6083" s="183"/>
      <c r="S6083" s="183"/>
      <c r="AJ6083" s="183"/>
      <c r="AK6083" s="183"/>
      <c r="AL6083" s="183"/>
    </row>
    <row r="6084" spans="1:38">
      <c r="A6084" s="182"/>
      <c r="Q6084" s="183"/>
      <c r="R6084" s="183"/>
      <c r="S6084" s="183"/>
      <c r="AJ6084" s="183"/>
      <c r="AK6084" s="183"/>
      <c r="AL6084" s="183"/>
    </row>
    <row r="6085" spans="1:38">
      <c r="A6085" s="182"/>
      <c r="Q6085" s="183"/>
      <c r="R6085" s="183"/>
      <c r="S6085" s="183"/>
      <c r="AJ6085" s="183"/>
    </row>
    <row r="6086" spans="1:38">
      <c r="A6086" s="182"/>
      <c r="Q6086" s="183"/>
      <c r="R6086" s="183"/>
      <c r="S6086" s="183"/>
    </row>
    <row r="6087" spans="1:38">
      <c r="A6087" s="182"/>
      <c r="Q6087" s="183"/>
      <c r="R6087" s="183"/>
      <c r="S6087" s="183"/>
    </row>
    <row r="6088" spans="1:38">
      <c r="A6088" s="182"/>
      <c r="Q6088" s="183"/>
      <c r="R6088" s="183"/>
      <c r="S6088" s="183"/>
    </row>
    <row r="6089" spans="1:38">
      <c r="A6089" s="182"/>
      <c r="Q6089" s="183"/>
      <c r="R6089" s="183"/>
      <c r="S6089" s="183"/>
      <c r="AK6089" s="183"/>
      <c r="AL6089" s="183"/>
    </row>
    <row r="6090" spans="1:38">
      <c r="A6090" s="182"/>
      <c r="Q6090" s="183"/>
      <c r="R6090" s="183"/>
      <c r="S6090" s="183"/>
      <c r="AJ6090" s="183"/>
      <c r="AK6090" s="183"/>
      <c r="AL6090" s="183"/>
    </row>
    <row r="6091" spans="1:38">
      <c r="A6091" s="182"/>
      <c r="Q6091" s="183"/>
      <c r="R6091" s="183"/>
      <c r="S6091" s="183"/>
      <c r="AJ6091" s="183"/>
      <c r="AK6091" s="183"/>
      <c r="AL6091" s="183"/>
    </row>
    <row r="6092" spans="1:38">
      <c r="A6092" s="182"/>
      <c r="Q6092" s="183"/>
      <c r="R6092" s="183"/>
      <c r="S6092" s="183"/>
      <c r="AJ6092" s="183"/>
      <c r="AK6092" s="183"/>
      <c r="AL6092" s="183"/>
    </row>
    <row r="6093" spans="1:38">
      <c r="A6093" s="182"/>
      <c r="Q6093" s="183"/>
      <c r="R6093" s="183"/>
      <c r="S6093" s="183"/>
      <c r="AJ6093" s="183"/>
    </row>
    <row r="6094" spans="1:38">
      <c r="A6094" s="182"/>
      <c r="Q6094" s="183"/>
      <c r="R6094" s="183"/>
      <c r="S6094" s="183"/>
    </row>
    <row r="6095" spans="1:38">
      <c r="A6095" s="182"/>
      <c r="Q6095" s="183"/>
      <c r="R6095" s="183"/>
      <c r="S6095" s="183"/>
    </row>
    <row r="6096" spans="1:38">
      <c r="A6096" s="182"/>
      <c r="Q6096" s="183"/>
      <c r="R6096" s="183"/>
      <c r="S6096" s="183"/>
    </row>
    <row r="6097" spans="1:19">
      <c r="A6097" s="182"/>
      <c r="Q6097" s="183"/>
      <c r="R6097" s="183"/>
      <c r="S6097" s="183"/>
    </row>
    <row r="6098" spans="1:19">
      <c r="A6098" s="182"/>
      <c r="Q6098" s="183"/>
      <c r="R6098" s="183"/>
      <c r="S6098" s="183"/>
    </row>
    <row r="6099" spans="1:19">
      <c r="A6099" s="182"/>
      <c r="Q6099" s="183"/>
      <c r="R6099" s="183"/>
      <c r="S6099" s="183"/>
    </row>
    <row r="6100" spans="1:19">
      <c r="A6100" s="182"/>
      <c r="Q6100" s="183"/>
      <c r="R6100" s="183"/>
      <c r="S6100" s="183"/>
    </row>
    <row r="6101" spans="1:19">
      <c r="A6101" s="182"/>
      <c r="Q6101" s="183"/>
      <c r="R6101" s="183"/>
      <c r="S6101" s="183"/>
    </row>
    <row r="6102" spans="1:19">
      <c r="A6102" s="182"/>
      <c r="Q6102" s="183"/>
      <c r="R6102" s="183"/>
      <c r="S6102" s="183"/>
    </row>
    <row r="6103" spans="1:19">
      <c r="A6103" s="182"/>
      <c r="Q6103" s="183"/>
      <c r="R6103" s="183"/>
      <c r="S6103" s="183"/>
    </row>
    <row r="6104" spans="1:19">
      <c r="A6104" s="182"/>
      <c r="Q6104" s="183"/>
      <c r="R6104" s="183"/>
      <c r="S6104" s="183"/>
    </row>
    <row r="6105" spans="1:19">
      <c r="A6105" s="182"/>
      <c r="Q6105" s="183"/>
      <c r="R6105" s="183"/>
      <c r="S6105" s="183"/>
    </row>
    <row r="6106" spans="1:19">
      <c r="A6106" s="182"/>
      <c r="Q6106" s="183"/>
      <c r="R6106" s="183"/>
      <c r="S6106" s="183"/>
    </row>
    <row r="6107" spans="1:19">
      <c r="A6107" s="182"/>
      <c r="Q6107" s="183"/>
      <c r="R6107" s="183"/>
      <c r="S6107" s="183"/>
    </row>
    <row r="6108" spans="1:19">
      <c r="A6108" s="182"/>
      <c r="Q6108" s="183"/>
      <c r="R6108" s="183"/>
      <c r="S6108" s="183"/>
    </row>
    <row r="6109" spans="1:19">
      <c r="A6109" s="182"/>
      <c r="Q6109" s="183"/>
      <c r="R6109" s="183"/>
      <c r="S6109" s="183"/>
    </row>
    <row r="6110" spans="1:19">
      <c r="A6110" s="182"/>
      <c r="Q6110" s="183"/>
      <c r="R6110" s="183"/>
      <c r="S6110" s="183"/>
    </row>
    <row r="6111" spans="1:19">
      <c r="A6111" s="182"/>
      <c r="Q6111" s="183"/>
      <c r="R6111" s="183"/>
      <c r="S6111" s="183"/>
    </row>
    <row r="6112" spans="1:19">
      <c r="A6112" s="182"/>
      <c r="Q6112" s="183"/>
      <c r="R6112" s="183"/>
      <c r="S6112" s="183"/>
    </row>
    <row r="6113" spans="1:19">
      <c r="A6113" s="182"/>
      <c r="Q6113" s="183"/>
      <c r="R6113" s="183"/>
      <c r="S6113" s="183"/>
    </row>
    <row r="6114" spans="1:19">
      <c r="A6114" s="182"/>
      <c r="Q6114" s="183"/>
      <c r="R6114" s="183"/>
      <c r="S6114" s="183"/>
    </row>
    <row r="6115" spans="1:19">
      <c r="A6115" s="182"/>
      <c r="Q6115" s="183"/>
      <c r="R6115" s="183"/>
      <c r="S6115" s="183"/>
    </row>
    <row r="6116" spans="1:19">
      <c r="A6116" s="182"/>
      <c r="Q6116" s="183"/>
      <c r="R6116" s="183"/>
      <c r="S6116" s="183"/>
    </row>
    <row r="6117" spans="1:19">
      <c r="A6117" s="182"/>
      <c r="Q6117" s="183"/>
      <c r="R6117" s="183"/>
      <c r="S6117" s="183"/>
    </row>
    <row r="6118" spans="1:19">
      <c r="A6118" s="182"/>
      <c r="Q6118" s="183"/>
      <c r="R6118" s="183"/>
      <c r="S6118" s="183"/>
    </row>
    <row r="6119" spans="1:19">
      <c r="A6119" s="182"/>
      <c r="Q6119" s="183"/>
      <c r="R6119" s="183"/>
      <c r="S6119" s="183"/>
    </row>
    <row r="6120" spans="1:19">
      <c r="A6120" s="182"/>
      <c r="Q6120" s="183"/>
      <c r="R6120" s="183"/>
      <c r="S6120" s="183"/>
    </row>
    <row r="6121" spans="1:19">
      <c r="A6121" s="182"/>
      <c r="Q6121" s="183"/>
      <c r="R6121" s="183"/>
      <c r="S6121" s="183"/>
    </row>
    <row r="6122" spans="1:19">
      <c r="A6122" s="182"/>
      <c r="Q6122" s="183"/>
      <c r="R6122" s="183"/>
      <c r="S6122" s="183"/>
    </row>
    <row r="6123" spans="1:19">
      <c r="A6123" s="182"/>
      <c r="Q6123" s="183"/>
      <c r="R6123" s="183"/>
      <c r="S6123" s="183"/>
    </row>
    <row r="6124" spans="1:19">
      <c r="A6124" s="182"/>
      <c r="Q6124" s="183"/>
      <c r="R6124" s="183"/>
      <c r="S6124" s="183"/>
    </row>
    <row r="6125" spans="1:19">
      <c r="A6125" s="182"/>
      <c r="Q6125" s="183"/>
      <c r="R6125" s="183"/>
      <c r="S6125" s="183"/>
    </row>
    <row r="6126" spans="1:19">
      <c r="A6126" s="182"/>
      <c r="Q6126" s="183"/>
      <c r="R6126" s="183"/>
      <c r="S6126" s="183"/>
    </row>
    <row r="6127" spans="1:19">
      <c r="A6127" s="182"/>
      <c r="Q6127" s="183"/>
      <c r="R6127" s="183"/>
      <c r="S6127" s="183"/>
    </row>
    <row r="6128" spans="1:19">
      <c r="A6128" s="182"/>
      <c r="Q6128" s="183"/>
      <c r="R6128" s="183"/>
      <c r="S6128" s="183"/>
    </row>
    <row r="6129" spans="1:38">
      <c r="A6129" s="182"/>
      <c r="Q6129" s="183"/>
      <c r="R6129" s="183"/>
      <c r="S6129" s="183"/>
      <c r="AK6129" s="183"/>
      <c r="AL6129" s="183"/>
    </row>
    <row r="6130" spans="1:38">
      <c r="A6130" s="182"/>
      <c r="Q6130" s="183"/>
      <c r="R6130" s="183"/>
      <c r="S6130" s="183"/>
      <c r="AJ6130" s="183"/>
      <c r="AK6130" s="183"/>
      <c r="AL6130" s="183"/>
    </row>
    <row r="6131" spans="1:38">
      <c r="A6131" s="182"/>
      <c r="Q6131" s="183"/>
      <c r="R6131" s="183"/>
      <c r="S6131" s="183"/>
      <c r="AJ6131" s="183"/>
      <c r="AK6131" s="183"/>
      <c r="AL6131" s="183"/>
    </row>
    <row r="6132" spans="1:38">
      <c r="A6132" s="182"/>
      <c r="Q6132" s="183"/>
      <c r="R6132" s="183"/>
      <c r="S6132" s="183"/>
      <c r="AJ6132" s="183"/>
      <c r="AK6132" s="183"/>
      <c r="AL6132" s="183"/>
    </row>
    <row r="6133" spans="1:38">
      <c r="A6133" s="182"/>
      <c r="Q6133" s="183"/>
      <c r="R6133" s="183"/>
      <c r="S6133" s="183"/>
      <c r="AJ6133" s="183"/>
    </row>
    <row r="6134" spans="1:38">
      <c r="A6134" s="182"/>
      <c r="Q6134" s="183"/>
      <c r="R6134" s="183"/>
      <c r="S6134" s="183"/>
    </row>
    <row r="6135" spans="1:38">
      <c r="A6135" s="182"/>
      <c r="Q6135" s="183"/>
      <c r="R6135" s="183"/>
      <c r="S6135" s="183"/>
    </row>
    <row r="6136" spans="1:38">
      <c r="A6136" s="182"/>
      <c r="Q6136" s="183"/>
      <c r="R6136" s="183"/>
      <c r="S6136" s="183"/>
    </row>
    <row r="6137" spans="1:38">
      <c r="A6137" s="182"/>
      <c r="Q6137" s="183"/>
      <c r="R6137" s="183"/>
      <c r="S6137" s="183"/>
    </row>
    <row r="6138" spans="1:38">
      <c r="A6138" s="182"/>
      <c r="Q6138" s="183"/>
      <c r="R6138" s="183"/>
      <c r="S6138" s="183"/>
    </row>
    <row r="6139" spans="1:38">
      <c r="A6139" s="182"/>
      <c r="Q6139" s="183"/>
      <c r="R6139" s="183"/>
      <c r="S6139" s="183"/>
    </row>
    <row r="6140" spans="1:38">
      <c r="A6140" s="182"/>
      <c r="Q6140" s="183"/>
      <c r="R6140" s="183"/>
      <c r="S6140" s="183"/>
    </row>
    <row r="6141" spans="1:38">
      <c r="A6141" s="182"/>
      <c r="Q6141" s="183"/>
      <c r="R6141" s="183"/>
      <c r="S6141" s="183"/>
    </row>
    <row r="6142" spans="1:38">
      <c r="A6142" s="182"/>
      <c r="Q6142" s="183"/>
      <c r="R6142" s="183"/>
      <c r="S6142" s="183"/>
    </row>
    <row r="6143" spans="1:38">
      <c r="A6143" s="182"/>
      <c r="Q6143" s="183"/>
      <c r="R6143" s="183"/>
      <c r="S6143" s="183"/>
    </row>
    <row r="6144" spans="1:38">
      <c r="A6144" s="182"/>
      <c r="Q6144" s="183"/>
      <c r="R6144" s="183"/>
      <c r="S6144" s="183"/>
    </row>
    <row r="6145" spans="1:19">
      <c r="A6145" s="182"/>
      <c r="Q6145" s="183"/>
      <c r="R6145" s="183"/>
      <c r="S6145" s="183"/>
    </row>
    <row r="6146" spans="1:19">
      <c r="A6146" s="182"/>
      <c r="Q6146" s="183"/>
      <c r="R6146" s="183"/>
      <c r="S6146" s="183"/>
    </row>
    <row r="6147" spans="1:19">
      <c r="A6147" s="182"/>
      <c r="Q6147" s="183"/>
      <c r="R6147" s="183"/>
      <c r="S6147" s="183"/>
    </row>
    <row r="6148" spans="1:19">
      <c r="A6148" s="182"/>
      <c r="Q6148" s="183"/>
      <c r="R6148" s="183"/>
      <c r="S6148" s="183"/>
    </row>
    <row r="6149" spans="1:19">
      <c r="A6149" s="182"/>
      <c r="Q6149" s="183"/>
      <c r="R6149" s="183"/>
      <c r="S6149" s="183"/>
    </row>
    <row r="6150" spans="1:19">
      <c r="A6150" s="182"/>
      <c r="Q6150" s="183"/>
      <c r="R6150" s="183"/>
      <c r="S6150" s="183"/>
    </row>
    <row r="6151" spans="1:19">
      <c r="A6151" s="182"/>
      <c r="Q6151" s="183"/>
      <c r="R6151" s="183"/>
      <c r="S6151" s="183"/>
    </row>
    <row r="6152" spans="1:19">
      <c r="A6152" s="182"/>
      <c r="Q6152" s="183"/>
      <c r="R6152" s="183"/>
      <c r="S6152" s="183"/>
    </row>
    <row r="6153" spans="1:19">
      <c r="A6153" s="182"/>
      <c r="Q6153" s="183"/>
      <c r="R6153" s="183"/>
      <c r="S6153" s="183"/>
    </row>
    <row r="6154" spans="1:19">
      <c r="A6154" s="182"/>
      <c r="Q6154" s="183"/>
      <c r="R6154" s="183"/>
      <c r="S6154" s="183"/>
    </row>
    <row r="6155" spans="1:19">
      <c r="A6155" s="182"/>
      <c r="Q6155" s="183"/>
      <c r="R6155" s="183"/>
      <c r="S6155" s="183"/>
    </row>
    <row r="6156" spans="1:19">
      <c r="A6156" s="182"/>
      <c r="Q6156" s="183"/>
      <c r="R6156" s="183"/>
      <c r="S6156" s="183"/>
    </row>
    <row r="6157" spans="1:19">
      <c r="A6157" s="182"/>
      <c r="Q6157" s="183"/>
      <c r="R6157" s="183"/>
      <c r="S6157" s="183"/>
    </row>
    <row r="6158" spans="1:19">
      <c r="A6158" s="182"/>
      <c r="Q6158" s="183"/>
      <c r="R6158" s="183"/>
      <c r="S6158" s="183"/>
    </row>
    <row r="6159" spans="1:19">
      <c r="A6159" s="182"/>
      <c r="Q6159" s="183"/>
      <c r="R6159" s="183"/>
      <c r="S6159" s="183"/>
    </row>
    <row r="6160" spans="1:19">
      <c r="A6160" s="182"/>
      <c r="Q6160" s="183"/>
      <c r="R6160" s="183"/>
      <c r="S6160" s="183"/>
    </row>
    <row r="6161" spans="1:19">
      <c r="A6161" s="182"/>
      <c r="Q6161" s="183"/>
      <c r="R6161" s="183"/>
      <c r="S6161" s="183"/>
    </row>
    <row r="6162" spans="1:19">
      <c r="A6162" s="182"/>
      <c r="Q6162" s="183"/>
      <c r="R6162" s="183"/>
      <c r="S6162" s="183"/>
    </row>
    <row r="6163" spans="1:19">
      <c r="A6163" s="182"/>
      <c r="Q6163" s="183"/>
      <c r="R6163" s="183"/>
      <c r="S6163" s="183"/>
    </row>
    <row r="6164" spans="1:19">
      <c r="A6164" s="182"/>
      <c r="Q6164" s="183"/>
      <c r="R6164" s="183"/>
      <c r="S6164" s="183"/>
    </row>
    <row r="6165" spans="1:19">
      <c r="A6165" s="182"/>
      <c r="Q6165" s="183"/>
      <c r="R6165" s="183"/>
      <c r="S6165" s="183"/>
    </row>
    <row r="6166" spans="1:19">
      <c r="A6166" s="182"/>
      <c r="Q6166" s="183"/>
      <c r="R6166" s="183"/>
      <c r="S6166" s="183"/>
    </row>
    <row r="6167" spans="1:19">
      <c r="A6167" s="182"/>
      <c r="Q6167" s="183"/>
      <c r="R6167" s="183"/>
      <c r="S6167" s="183"/>
    </row>
    <row r="6168" spans="1:19">
      <c r="A6168" s="182"/>
      <c r="Q6168" s="183"/>
      <c r="R6168" s="183"/>
      <c r="S6168" s="183"/>
    </row>
    <row r="6169" spans="1:19">
      <c r="A6169" s="182"/>
      <c r="Q6169" s="183"/>
      <c r="R6169" s="183"/>
      <c r="S6169" s="183"/>
    </row>
    <row r="6170" spans="1:19">
      <c r="A6170" s="182"/>
      <c r="Q6170" s="183"/>
      <c r="R6170" s="183"/>
      <c r="S6170" s="183"/>
    </row>
    <row r="6171" spans="1:19">
      <c r="A6171" s="182"/>
      <c r="Q6171" s="183"/>
      <c r="R6171" s="183"/>
      <c r="S6171" s="183"/>
    </row>
    <row r="6172" spans="1:19">
      <c r="A6172" s="182"/>
      <c r="Q6172" s="183"/>
      <c r="R6172" s="183"/>
      <c r="S6172" s="183"/>
    </row>
    <row r="6173" spans="1:19">
      <c r="A6173" s="182"/>
      <c r="Q6173" s="183"/>
      <c r="R6173" s="183"/>
      <c r="S6173" s="183"/>
    </row>
    <row r="6174" spans="1:19">
      <c r="A6174" s="182"/>
      <c r="Q6174" s="183"/>
      <c r="R6174" s="183"/>
      <c r="S6174" s="183"/>
    </row>
    <row r="6175" spans="1:19">
      <c r="A6175" s="182"/>
      <c r="Q6175" s="183"/>
      <c r="R6175" s="183"/>
      <c r="S6175" s="183"/>
    </row>
    <row r="6176" spans="1:19">
      <c r="A6176" s="182"/>
      <c r="Q6176" s="183"/>
      <c r="R6176" s="183"/>
      <c r="S6176" s="183"/>
    </row>
    <row r="6177" spans="1:19">
      <c r="A6177" s="182"/>
      <c r="Q6177" s="183"/>
      <c r="R6177" s="183"/>
      <c r="S6177" s="183"/>
    </row>
    <row r="6178" spans="1:19">
      <c r="A6178" s="182"/>
      <c r="Q6178" s="183"/>
      <c r="R6178" s="183"/>
      <c r="S6178" s="183"/>
    </row>
    <row r="6179" spans="1:19">
      <c r="A6179" s="182"/>
      <c r="Q6179" s="183"/>
      <c r="R6179" s="183"/>
      <c r="S6179" s="183"/>
    </row>
    <row r="6180" spans="1:19">
      <c r="A6180" s="182"/>
      <c r="Q6180" s="183"/>
      <c r="R6180" s="183"/>
      <c r="S6180" s="183"/>
    </row>
    <row r="6181" spans="1:19">
      <c r="A6181" s="182"/>
      <c r="Q6181" s="183"/>
      <c r="R6181" s="183"/>
      <c r="S6181" s="183"/>
    </row>
    <row r="6182" spans="1:19">
      <c r="A6182" s="182"/>
      <c r="Q6182" s="183"/>
      <c r="R6182" s="183"/>
      <c r="S6182" s="183"/>
    </row>
    <row r="6183" spans="1:19">
      <c r="A6183" s="182"/>
      <c r="Q6183" s="183"/>
      <c r="R6183" s="183"/>
      <c r="S6183" s="183"/>
    </row>
    <row r="6184" spans="1:19">
      <c r="A6184" s="182"/>
      <c r="Q6184" s="183"/>
      <c r="R6184" s="183"/>
      <c r="S6184" s="183"/>
    </row>
    <row r="6185" spans="1:19">
      <c r="A6185" s="182"/>
      <c r="Q6185" s="183"/>
      <c r="R6185" s="183"/>
      <c r="S6185" s="183"/>
    </row>
    <row r="6186" spans="1:19">
      <c r="A6186" s="182"/>
      <c r="Q6186" s="183"/>
      <c r="R6186" s="183"/>
      <c r="S6186" s="183"/>
    </row>
    <row r="6187" spans="1:19">
      <c r="A6187" s="182"/>
      <c r="Q6187" s="183"/>
      <c r="R6187" s="183"/>
      <c r="S6187" s="183"/>
    </row>
    <row r="6188" spans="1:19">
      <c r="A6188" s="182"/>
      <c r="Q6188" s="183"/>
      <c r="R6188" s="183"/>
      <c r="S6188" s="183"/>
    </row>
    <row r="6189" spans="1:19">
      <c r="A6189" s="182"/>
      <c r="Q6189" s="183"/>
      <c r="R6189" s="183"/>
      <c r="S6189" s="183"/>
    </row>
    <row r="6190" spans="1:19">
      <c r="A6190" s="182"/>
      <c r="Q6190" s="183"/>
      <c r="R6190" s="183"/>
      <c r="S6190" s="183"/>
    </row>
    <row r="6191" spans="1:19">
      <c r="A6191" s="182"/>
      <c r="Q6191" s="183"/>
      <c r="R6191" s="183"/>
      <c r="S6191" s="183"/>
    </row>
    <row r="6192" spans="1:19">
      <c r="A6192" s="182"/>
      <c r="Q6192" s="183"/>
      <c r="R6192" s="183"/>
      <c r="S6192" s="183"/>
    </row>
    <row r="6193" spans="1:38">
      <c r="A6193" s="182"/>
      <c r="Q6193" s="183"/>
      <c r="R6193" s="183"/>
      <c r="S6193" s="183"/>
    </row>
    <row r="6194" spans="1:38">
      <c r="A6194" s="182"/>
      <c r="Q6194" s="183"/>
      <c r="R6194" s="183"/>
      <c r="S6194" s="183"/>
    </row>
    <row r="6195" spans="1:38">
      <c r="A6195" s="182"/>
      <c r="Q6195" s="183"/>
      <c r="R6195" s="183"/>
      <c r="S6195" s="183"/>
    </row>
    <row r="6196" spans="1:38">
      <c r="A6196" s="182"/>
      <c r="Q6196" s="183"/>
      <c r="R6196" s="183"/>
      <c r="S6196" s="183"/>
    </row>
    <row r="6197" spans="1:38">
      <c r="A6197" s="182"/>
      <c r="Q6197" s="183"/>
      <c r="R6197" s="183"/>
      <c r="S6197" s="183"/>
    </row>
    <row r="6198" spans="1:38">
      <c r="A6198" s="182"/>
      <c r="Q6198" s="183"/>
      <c r="R6198" s="183"/>
      <c r="S6198" s="183"/>
    </row>
    <row r="6199" spans="1:38">
      <c r="A6199" s="182"/>
      <c r="Q6199" s="183"/>
      <c r="R6199" s="183"/>
      <c r="S6199" s="183"/>
    </row>
    <row r="6200" spans="1:38">
      <c r="A6200" s="182"/>
      <c r="Q6200" s="183"/>
      <c r="R6200" s="183"/>
      <c r="S6200" s="183"/>
    </row>
    <row r="6201" spans="1:38">
      <c r="A6201" s="182"/>
      <c r="Q6201" s="183"/>
      <c r="R6201" s="183"/>
      <c r="S6201" s="183"/>
    </row>
    <row r="6202" spans="1:38">
      <c r="A6202" s="182"/>
      <c r="Q6202" s="183"/>
      <c r="R6202" s="183"/>
      <c r="S6202" s="183"/>
    </row>
    <row r="6203" spans="1:38">
      <c r="A6203" s="182"/>
      <c r="Q6203" s="183"/>
      <c r="R6203" s="183"/>
      <c r="S6203" s="183"/>
    </row>
    <row r="6204" spans="1:38">
      <c r="A6204" s="182"/>
      <c r="Q6204" s="183"/>
      <c r="R6204" s="183"/>
      <c r="S6204" s="183"/>
    </row>
    <row r="6205" spans="1:38">
      <c r="A6205" s="182"/>
      <c r="Q6205" s="183"/>
      <c r="R6205" s="183"/>
      <c r="S6205" s="183"/>
      <c r="AK6205" s="183"/>
      <c r="AL6205" s="183"/>
    </row>
    <row r="6206" spans="1:38">
      <c r="A6206" s="182"/>
      <c r="Q6206" s="183"/>
      <c r="R6206" s="183"/>
      <c r="S6206" s="183"/>
      <c r="AJ6206" s="183"/>
      <c r="AK6206" s="183"/>
      <c r="AL6206" s="183"/>
    </row>
    <row r="6207" spans="1:38">
      <c r="A6207" s="182"/>
      <c r="Q6207" s="183"/>
      <c r="R6207" s="183"/>
      <c r="S6207" s="183"/>
      <c r="AJ6207" s="183"/>
      <c r="AK6207" s="183"/>
      <c r="AL6207" s="183"/>
    </row>
    <row r="6208" spans="1:38">
      <c r="A6208" s="182"/>
      <c r="Q6208" s="183"/>
      <c r="R6208" s="183"/>
      <c r="S6208" s="183"/>
      <c r="AJ6208" s="183"/>
      <c r="AK6208" s="183"/>
      <c r="AL6208" s="183"/>
    </row>
    <row r="6209" spans="1:36">
      <c r="A6209" s="182"/>
      <c r="Q6209" s="183"/>
      <c r="R6209" s="183"/>
      <c r="S6209" s="183"/>
      <c r="AJ6209" s="183"/>
    </row>
    <row r="6210" spans="1:36">
      <c r="A6210" s="182"/>
      <c r="Q6210" s="183"/>
      <c r="R6210" s="183"/>
      <c r="S6210" s="183"/>
    </row>
    <row r="6211" spans="1:36">
      <c r="A6211" s="182"/>
      <c r="Q6211" s="183"/>
      <c r="R6211" s="183"/>
      <c r="S6211" s="183"/>
    </row>
    <row r="6212" spans="1:36">
      <c r="A6212" s="182"/>
      <c r="Q6212" s="183"/>
      <c r="R6212" s="183"/>
      <c r="S6212" s="183"/>
    </row>
    <row r="6213" spans="1:36">
      <c r="A6213" s="182"/>
      <c r="Q6213" s="183"/>
      <c r="R6213" s="183"/>
      <c r="S6213" s="183"/>
    </row>
    <row r="6214" spans="1:36">
      <c r="A6214" s="182"/>
      <c r="Q6214" s="183"/>
      <c r="R6214" s="183"/>
      <c r="S6214" s="183"/>
    </row>
    <row r="6215" spans="1:36">
      <c r="A6215" s="182"/>
      <c r="Q6215" s="183"/>
      <c r="R6215" s="183"/>
      <c r="S6215" s="183"/>
    </row>
    <row r="6216" spans="1:36">
      <c r="A6216" s="182"/>
      <c r="Q6216" s="183"/>
      <c r="R6216" s="183"/>
      <c r="S6216" s="183"/>
    </row>
    <row r="6217" spans="1:36">
      <c r="A6217" s="182"/>
      <c r="Q6217" s="183"/>
      <c r="R6217" s="183"/>
      <c r="S6217" s="183"/>
    </row>
    <row r="6218" spans="1:36">
      <c r="A6218" s="182"/>
      <c r="Q6218" s="183"/>
      <c r="R6218" s="183"/>
      <c r="S6218" s="183"/>
    </row>
    <row r="6219" spans="1:36">
      <c r="A6219" s="182"/>
      <c r="Q6219" s="183"/>
      <c r="R6219" s="183"/>
      <c r="S6219" s="183"/>
    </row>
    <row r="6220" spans="1:36">
      <c r="A6220" s="182"/>
      <c r="Q6220" s="183"/>
      <c r="R6220" s="183"/>
      <c r="S6220" s="183"/>
    </row>
    <row r="6221" spans="1:36">
      <c r="A6221" s="182"/>
      <c r="Q6221" s="183"/>
      <c r="R6221" s="183"/>
      <c r="S6221" s="183"/>
    </row>
    <row r="6222" spans="1:36">
      <c r="A6222" s="182"/>
      <c r="Q6222" s="183"/>
      <c r="R6222" s="183"/>
      <c r="S6222" s="183"/>
    </row>
    <row r="6223" spans="1:36">
      <c r="A6223" s="182"/>
      <c r="Q6223" s="183"/>
      <c r="R6223" s="183"/>
      <c r="S6223" s="183"/>
    </row>
    <row r="6224" spans="1:36">
      <c r="A6224" s="182"/>
      <c r="Q6224" s="183"/>
      <c r="R6224" s="183"/>
      <c r="S6224" s="183"/>
    </row>
    <row r="6225" spans="1:19">
      <c r="A6225" s="182"/>
      <c r="Q6225" s="183"/>
      <c r="R6225" s="183"/>
      <c r="S6225" s="183"/>
    </row>
    <row r="6226" spans="1:19">
      <c r="A6226" s="182"/>
      <c r="Q6226" s="183"/>
      <c r="R6226" s="183"/>
      <c r="S6226" s="183"/>
    </row>
    <row r="6227" spans="1:19">
      <c r="A6227" s="182"/>
      <c r="Q6227" s="183"/>
      <c r="R6227" s="183"/>
      <c r="S6227" s="183"/>
    </row>
    <row r="6228" spans="1:19">
      <c r="A6228" s="182"/>
      <c r="Q6228" s="183"/>
      <c r="R6228" s="183"/>
      <c r="S6228" s="183"/>
    </row>
    <row r="6229" spans="1:19">
      <c r="A6229" s="182"/>
      <c r="Q6229" s="183"/>
      <c r="R6229" s="183"/>
      <c r="S6229" s="183"/>
    </row>
    <row r="6230" spans="1:19">
      <c r="A6230" s="182"/>
      <c r="Q6230" s="183"/>
      <c r="R6230" s="183"/>
      <c r="S6230" s="183"/>
    </row>
    <row r="6231" spans="1:19">
      <c r="A6231" s="182"/>
      <c r="Q6231" s="183"/>
      <c r="R6231" s="183"/>
      <c r="S6231" s="183"/>
    </row>
    <row r="6232" spans="1:19">
      <c r="A6232" s="182"/>
      <c r="Q6232" s="183"/>
      <c r="R6232" s="183"/>
      <c r="S6232" s="183"/>
    </row>
    <row r="6233" spans="1:19">
      <c r="A6233" s="182"/>
      <c r="Q6233" s="183"/>
      <c r="R6233" s="183"/>
      <c r="S6233" s="183"/>
    </row>
    <row r="6234" spans="1:19">
      <c r="A6234" s="182"/>
      <c r="Q6234" s="183"/>
      <c r="R6234" s="183"/>
      <c r="S6234" s="183"/>
    </row>
    <row r="6235" spans="1:19">
      <c r="A6235" s="182"/>
      <c r="Q6235" s="183"/>
      <c r="R6235" s="183"/>
      <c r="S6235" s="183"/>
    </row>
    <row r="6236" spans="1:19">
      <c r="A6236" s="182"/>
      <c r="Q6236" s="183"/>
      <c r="R6236" s="183"/>
      <c r="S6236" s="183"/>
    </row>
    <row r="6237" spans="1:19">
      <c r="A6237" s="182"/>
      <c r="Q6237" s="183"/>
      <c r="R6237" s="183"/>
      <c r="S6237" s="183"/>
    </row>
    <row r="6238" spans="1:19">
      <c r="A6238" s="182"/>
      <c r="Q6238" s="183"/>
      <c r="R6238" s="183"/>
      <c r="S6238" s="183"/>
    </row>
    <row r="6239" spans="1:19">
      <c r="A6239" s="182"/>
      <c r="Q6239" s="183"/>
      <c r="R6239" s="183"/>
      <c r="S6239" s="183"/>
    </row>
    <row r="6240" spans="1:19">
      <c r="A6240" s="182"/>
      <c r="Q6240" s="183"/>
      <c r="R6240" s="183"/>
      <c r="S6240" s="183"/>
    </row>
    <row r="6241" spans="1:38">
      <c r="A6241" s="182"/>
      <c r="Q6241" s="183"/>
      <c r="R6241" s="183"/>
      <c r="S6241" s="183"/>
    </row>
    <row r="6242" spans="1:38">
      <c r="A6242" s="182"/>
      <c r="Q6242" s="183"/>
      <c r="R6242" s="183"/>
      <c r="S6242" s="183"/>
    </row>
    <row r="6243" spans="1:38">
      <c r="A6243" s="182"/>
      <c r="Q6243" s="183"/>
      <c r="R6243" s="183"/>
      <c r="S6243" s="183"/>
    </row>
    <row r="6244" spans="1:38">
      <c r="A6244" s="182"/>
      <c r="Q6244" s="183"/>
      <c r="R6244" s="183"/>
      <c r="S6244" s="183"/>
    </row>
    <row r="6245" spans="1:38">
      <c r="A6245" s="182"/>
      <c r="Q6245" s="183"/>
      <c r="R6245" s="183"/>
      <c r="S6245" s="183"/>
      <c r="AK6245" s="183"/>
      <c r="AL6245" s="183"/>
    </row>
    <row r="6246" spans="1:38">
      <c r="A6246" s="182"/>
      <c r="Q6246" s="183"/>
      <c r="R6246" s="183"/>
      <c r="S6246" s="183"/>
      <c r="AJ6246" s="183"/>
      <c r="AK6246" s="183"/>
      <c r="AL6246" s="183"/>
    </row>
    <row r="6247" spans="1:38">
      <c r="A6247" s="182"/>
      <c r="Q6247" s="183"/>
      <c r="R6247" s="183"/>
      <c r="S6247" s="183"/>
      <c r="AJ6247" s="183"/>
      <c r="AK6247" s="183"/>
      <c r="AL6247" s="183"/>
    </row>
    <row r="6248" spans="1:38">
      <c r="A6248" s="182"/>
      <c r="Q6248" s="183"/>
      <c r="R6248" s="183"/>
      <c r="S6248" s="183"/>
      <c r="AJ6248" s="183"/>
      <c r="AK6248" s="183"/>
      <c r="AL6248" s="183"/>
    </row>
    <row r="6249" spans="1:38">
      <c r="A6249" s="182"/>
      <c r="Q6249" s="183"/>
      <c r="R6249" s="183"/>
      <c r="S6249" s="183"/>
      <c r="AJ6249" s="183"/>
    </row>
    <row r="6250" spans="1:38">
      <c r="A6250" s="182"/>
      <c r="Q6250" s="183"/>
      <c r="R6250" s="183"/>
      <c r="S6250" s="183"/>
    </row>
    <row r="6251" spans="1:38">
      <c r="A6251" s="182"/>
      <c r="Q6251" s="183"/>
      <c r="R6251" s="183"/>
      <c r="S6251" s="183"/>
    </row>
    <row r="6252" spans="1:38">
      <c r="A6252" s="182"/>
      <c r="Q6252" s="183"/>
      <c r="R6252" s="183"/>
      <c r="S6252" s="183"/>
    </row>
    <row r="6253" spans="1:38">
      <c r="A6253" s="182"/>
      <c r="Q6253" s="183"/>
      <c r="R6253" s="183"/>
      <c r="S6253" s="183"/>
    </row>
    <row r="6254" spans="1:38">
      <c r="A6254" s="182"/>
      <c r="Q6254" s="183"/>
      <c r="R6254" s="183"/>
      <c r="S6254" s="183"/>
    </row>
    <row r="6255" spans="1:38">
      <c r="A6255" s="182"/>
      <c r="Q6255" s="183"/>
      <c r="R6255" s="183"/>
      <c r="S6255" s="183"/>
    </row>
    <row r="6256" spans="1:38">
      <c r="A6256" s="182"/>
      <c r="Q6256" s="183"/>
      <c r="R6256" s="183"/>
      <c r="S6256" s="183"/>
    </row>
    <row r="6257" spans="1:38">
      <c r="A6257" s="182"/>
      <c r="Q6257" s="183"/>
      <c r="R6257" s="183"/>
      <c r="S6257" s="183"/>
      <c r="AK6257" s="183"/>
      <c r="AL6257" s="183"/>
    </row>
    <row r="6258" spans="1:38">
      <c r="A6258" s="182"/>
      <c r="Q6258" s="183"/>
      <c r="R6258" s="183"/>
      <c r="S6258" s="183"/>
      <c r="AJ6258" s="183"/>
      <c r="AK6258" s="183"/>
      <c r="AL6258" s="183"/>
    </row>
    <row r="6259" spans="1:38">
      <c r="A6259" s="182"/>
      <c r="Q6259" s="183"/>
      <c r="R6259" s="183"/>
      <c r="S6259" s="183"/>
      <c r="AJ6259" s="183"/>
      <c r="AK6259" s="183"/>
      <c r="AL6259" s="183"/>
    </row>
    <row r="6260" spans="1:38">
      <c r="A6260" s="182"/>
      <c r="Q6260" s="183"/>
      <c r="R6260" s="183"/>
      <c r="S6260" s="183"/>
      <c r="AJ6260" s="183"/>
      <c r="AK6260" s="183"/>
      <c r="AL6260" s="183"/>
    </row>
    <row r="6261" spans="1:38">
      <c r="A6261" s="182"/>
      <c r="Q6261" s="183"/>
      <c r="R6261" s="183"/>
      <c r="S6261" s="183"/>
      <c r="AJ6261" s="183"/>
    </row>
    <row r="6262" spans="1:38">
      <c r="A6262" s="182"/>
      <c r="Q6262" s="183"/>
      <c r="R6262" s="183"/>
      <c r="S6262" s="183"/>
    </row>
    <row r="6263" spans="1:38">
      <c r="A6263" s="182"/>
      <c r="Q6263" s="183"/>
      <c r="R6263" s="183"/>
      <c r="S6263" s="183"/>
    </row>
    <row r="6264" spans="1:38">
      <c r="A6264" s="182"/>
      <c r="Q6264" s="183"/>
      <c r="R6264" s="183"/>
      <c r="S6264" s="183"/>
    </row>
    <row r="6265" spans="1:38">
      <c r="A6265" s="182"/>
      <c r="Q6265" s="183"/>
      <c r="R6265" s="183"/>
      <c r="S6265" s="183"/>
    </row>
    <row r="6266" spans="1:38">
      <c r="A6266" s="182"/>
      <c r="Q6266" s="183"/>
      <c r="R6266" s="183"/>
      <c r="S6266" s="183"/>
    </row>
    <row r="6267" spans="1:38">
      <c r="A6267" s="182"/>
      <c r="Q6267" s="183"/>
      <c r="R6267" s="183"/>
      <c r="S6267" s="183"/>
    </row>
    <row r="6268" spans="1:38">
      <c r="A6268" s="182"/>
      <c r="Q6268" s="183"/>
      <c r="R6268" s="183"/>
      <c r="S6268" s="183"/>
    </row>
    <row r="6269" spans="1:38">
      <c r="A6269" s="182"/>
      <c r="Q6269" s="183"/>
      <c r="R6269" s="183"/>
      <c r="S6269" s="183"/>
    </row>
    <row r="6270" spans="1:38">
      <c r="A6270" s="182"/>
      <c r="Q6270" s="183"/>
      <c r="R6270" s="183"/>
      <c r="S6270" s="183"/>
    </row>
    <row r="6271" spans="1:38">
      <c r="A6271" s="182"/>
      <c r="Q6271" s="183"/>
      <c r="R6271" s="183"/>
      <c r="S6271" s="183"/>
    </row>
    <row r="6272" spans="1:38">
      <c r="A6272" s="182"/>
      <c r="Q6272" s="183"/>
      <c r="R6272" s="183"/>
      <c r="S6272" s="183"/>
    </row>
    <row r="6273" spans="1:38">
      <c r="A6273" s="182"/>
      <c r="Q6273" s="183"/>
      <c r="R6273" s="183"/>
      <c r="S6273" s="183"/>
      <c r="AK6273" s="183"/>
      <c r="AL6273" s="183"/>
    </row>
    <row r="6274" spans="1:38">
      <c r="A6274" s="182"/>
      <c r="Q6274" s="183"/>
      <c r="R6274" s="183"/>
      <c r="S6274" s="183"/>
      <c r="AJ6274" s="183"/>
      <c r="AK6274" s="183"/>
      <c r="AL6274" s="183"/>
    </row>
    <row r="6275" spans="1:38">
      <c r="A6275" s="182"/>
      <c r="Q6275" s="183"/>
      <c r="R6275" s="183"/>
      <c r="S6275" s="183"/>
      <c r="AJ6275" s="183"/>
      <c r="AK6275" s="183"/>
      <c r="AL6275" s="183"/>
    </row>
    <row r="6276" spans="1:38">
      <c r="A6276" s="182"/>
      <c r="Q6276" s="183"/>
      <c r="R6276" s="183"/>
      <c r="S6276" s="183"/>
      <c r="AJ6276" s="183"/>
      <c r="AK6276" s="183"/>
      <c r="AL6276" s="183"/>
    </row>
    <row r="6277" spans="1:38">
      <c r="A6277" s="182"/>
      <c r="Q6277" s="183"/>
      <c r="R6277" s="183"/>
      <c r="S6277" s="183"/>
      <c r="AJ6277" s="183"/>
    </row>
    <row r="6278" spans="1:38">
      <c r="A6278" s="182"/>
      <c r="Q6278" s="183"/>
      <c r="R6278" s="183"/>
      <c r="S6278" s="183"/>
    </row>
    <row r="6279" spans="1:38">
      <c r="A6279" s="182"/>
      <c r="Q6279" s="183"/>
      <c r="R6279" s="183"/>
      <c r="S6279" s="183"/>
    </row>
    <row r="6280" spans="1:38">
      <c r="A6280" s="182"/>
      <c r="Q6280" s="183"/>
      <c r="R6280" s="183"/>
      <c r="S6280" s="183"/>
    </row>
    <row r="6281" spans="1:38">
      <c r="A6281" s="182"/>
      <c r="Q6281" s="183"/>
      <c r="R6281" s="183"/>
      <c r="S6281" s="183"/>
    </row>
    <row r="6282" spans="1:38">
      <c r="A6282" s="182"/>
      <c r="Q6282" s="183"/>
      <c r="R6282" s="183"/>
      <c r="S6282" s="183"/>
    </row>
    <row r="6283" spans="1:38">
      <c r="A6283" s="182"/>
      <c r="Q6283" s="183"/>
      <c r="R6283" s="183"/>
      <c r="S6283" s="183"/>
    </row>
    <row r="6284" spans="1:38">
      <c r="A6284" s="182"/>
      <c r="Q6284" s="183"/>
      <c r="R6284" s="183"/>
      <c r="S6284" s="183"/>
    </row>
    <row r="6285" spans="1:38">
      <c r="A6285" s="182"/>
      <c r="Q6285" s="183"/>
      <c r="R6285" s="183"/>
      <c r="S6285" s="183"/>
    </row>
    <row r="6286" spans="1:38">
      <c r="A6286" s="182"/>
      <c r="Q6286" s="183"/>
      <c r="R6286" s="183"/>
      <c r="S6286" s="183"/>
    </row>
    <row r="6287" spans="1:38">
      <c r="A6287" s="182"/>
      <c r="Q6287" s="183"/>
      <c r="R6287" s="183"/>
      <c r="S6287" s="183"/>
    </row>
    <row r="6288" spans="1:38">
      <c r="A6288" s="182"/>
      <c r="Q6288" s="183"/>
      <c r="R6288" s="183"/>
      <c r="S6288" s="183"/>
    </row>
    <row r="6289" spans="1:19">
      <c r="A6289" s="182"/>
      <c r="Q6289" s="183"/>
      <c r="R6289" s="183"/>
      <c r="S6289" s="183"/>
    </row>
    <row r="6290" spans="1:19">
      <c r="A6290" s="182"/>
      <c r="Q6290" s="183"/>
      <c r="R6290" s="183"/>
      <c r="S6290" s="183"/>
    </row>
    <row r="6291" spans="1:19">
      <c r="A6291" s="182"/>
      <c r="Q6291" s="183"/>
      <c r="R6291" s="183"/>
      <c r="S6291" s="183"/>
    </row>
    <row r="6292" spans="1:19">
      <c r="A6292" s="182"/>
      <c r="Q6292" s="183"/>
      <c r="R6292" s="183"/>
      <c r="S6292" s="183"/>
    </row>
    <row r="6293" spans="1:19">
      <c r="A6293" s="182"/>
      <c r="Q6293" s="183"/>
      <c r="R6293" s="183"/>
      <c r="S6293" s="183"/>
    </row>
    <row r="6294" spans="1:19">
      <c r="A6294" s="182"/>
      <c r="Q6294" s="183"/>
      <c r="R6294" s="183"/>
      <c r="S6294" s="183"/>
    </row>
    <row r="6295" spans="1:19">
      <c r="A6295" s="182"/>
      <c r="Q6295" s="183"/>
      <c r="R6295" s="183"/>
      <c r="S6295" s="183"/>
    </row>
    <row r="6296" spans="1:19">
      <c r="A6296" s="182"/>
      <c r="Q6296" s="183"/>
      <c r="R6296" s="183"/>
      <c r="S6296" s="183"/>
    </row>
    <row r="6297" spans="1:19">
      <c r="A6297" s="182"/>
      <c r="Q6297" s="183"/>
      <c r="R6297" s="183"/>
      <c r="S6297" s="183"/>
    </row>
    <row r="6298" spans="1:19">
      <c r="A6298" s="182"/>
      <c r="Q6298" s="183"/>
      <c r="R6298" s="183"/>
      <c r="S6298" s="183"/>
    </row>
    <row r="6299" spans="1:19">
      <c r="A6299" s="182"/>
      <c r="Q6299" s="183"/>
      <c r="R6299" s="183"/>
      <c r="S6299" s="183"/>
    </row>
    <row r="6300" spans="1:19">
      <c r="A6300" s="182"/>
      <c r="Q6300" s="183"/>
      <c r="R6300" s="183"/>
      <c r="S6300" s="183"/>
    </row>
    <row r="6301" spans="1:19">
      <c r="A6301" s="182"/>
      <c r="Q6301" s="183"/>
      <c r="R6301" s="183"/>
      <c r="S6301" s="183"/>
    </row>
    <row r="6302" spans="1:19">
      <c r="A6302" s="182"/>
      <c r="Q6302" s="183"/>
      <c r="R6302" s="183"/>
      <c r="S6302" s="183"/>
    </row>
    <row r="6303" spans="1:19">
      <c r="A6303" s="182"/>
      <c r="Q6303" s="183"/>
      <c r="R6303" s="183"/>
      <c r="S6303" s="183"/>
    </row>
    <row r="6304" spans="1:19">
      <c r="A6304" s="182"/>
      <c r="Q6304" s="183"/>
      <c r="R6304" s="183"/>
      <c r="S6304" s="183"/>
    </row>
    <row r="6305" spans="1:38">
      <c r="A6305" s="182"/>
      <c r="Q6305" s="183"/>
      <c r="R6305" s="183"/>
      <c r="S6305" s="183"/>
    </row>
    <row r="6306" spans="1:38">
      <c r="A6306" s="182"/>
      <c r="Q6306" s="183"/>
      <c r="R6306" s="183"/>
      <c r="S6306" s="183"/>
    </row>
    <row r="6307" spans="1:38">
      <c r="A6307" s="182"/>
      <c r="Q6307" s="183"/>
      <c r="R6307" s="183"/>
      <c r="S6307" s="183"/>
    </row>
    <row r="6308" spans="1:38">
      <c r="A6308" s="182"/>
      <c r="Q6308" s="183"/>
      <c r="R6308" s="183"/>
      <c r="S6308" s="183"/>
    </row>
    <row r="6309" spans="1:38">
      <c r="A6309" s="182"/>
      <c r="Q6309" s="183"/>
      <c r="R6309" s="183"/>
      <c r="S6309" s="183"/>
      <c r="AK6309" s="183"/>
      <c r="AL6309" s="183"/>
    </row>
    <row r="6310" spans="1:38">
      <c r="A6310" s="182"/>
      <c r="Q6310" s="183"/>
      <c r="R6310" s="183"/>
      <c r="S6310" s="183"/>
      <c r="AJ6310" s="183"/>
      <c r="AK6310" s="183"/>
      <c r="AL6310" s="183"/>
    </row>
    <row r="6311" spans="1:38">
      <c r="A6311" s="182"/>
      <c r="Q6311" s="183"/>
      <c r="R6311" s="183"/>
      <c r="S6311" s="183"/>
      <c r="AJ6311" s="183"/>
      <c r="AK6311" s="183"/>
      <c r="AL6311" s="183"/>
    </row>
    <row r="6312" spans="1:38">
      <c r="A6312" s="182"/>
      <c r="Q6312" s="183"/>
      <c r="R6312" s="183"/>
      <c r="S6312" s="183"/>
      <c r="AJ6312" s="183"/>
      <c r="AK6312" s="183"/>
      <c r="AL6312" s="183"/>
    </row>
    <row r="6313" spans="1:38">
      <c r="A6313" s="182"/>
      <c r="Q6313" s="183"/>
      <c r="R6313" s="183"/>
      <c r="S6313" s="183"/>
      <c r="AJ6313" s="183"/>
    </row>
    <row r="6314" spans="1:38">
      <c r="A6314" s="182"/>
      <c r="Q6314" s="183"/>
      <c r="R6314" s="183"/>
      <c r="S6314" s="183"/>
    </row>
    <row r="6315" spans="1:38">
      <c r="A6315" s="182"/>
      <c r="Q6315" s="183"/>
      <c r="R6315" s="183"/>
      <c r="S6315" s="183"/>
    </row>
    <row r="6316" spans="1:38">
      <c r="A6316" s="182"/>
      <c r="Q6316" s="183"/>
      <c r="R6316" s="183"/>
      <c r="S6316" s="183"/>
    </row>
    <row r="6317" spans="1:38">
      <c r="A6317" s="182"/>
      <c r="Q6317" s="183"/>
      <c r="R6317" s="183"/>
      <c r="S6317" s="183"/>
    </row>
    <row r="6318" spans="1:38">
      <c r="A6318" s="182"/>
      <c r="Q6318" s="183"/>
      <c r="R6318" s="183"/>
      <c r="S6318" s="183"/>
    </row>
    <row r="6319" spans="1:38">
      <c r="A6319" s="182"/>
      <c r="Q6319" s="183"/>
      <c r="R6319" s="183"/>
      <c r="S6319" s="183"/>
    </row>
    <row r="6320" spans="1:38">
      <c r="A6320" s="182"/>
      <c r="Q6320" s="183"/>
      <c r="R6320" s="183"/>
      <c r="S6320" s="183"/>
    </row>
    <row r="6321" spans="1:19">
      <c r="A6321" s="182"/>
      <c r="Q6321" s="183"/>
      <c r="R6321" s="183"/>
      <c r="S6321" s="183"/>
    </row>
    <row r="6322" spans="1:19">
      <c r="A6322" s="182"/>
      <c r="Q6322" s="183"/>
      <c r="R6322" s="183"/>
      <c r="S6322" s="183"/>
    </row>
    <row r="6323" spans="1:19">
      <c r="A6323" s="182"/>
      <c r="Q6323" s="183"/>
      <c r="R6323" s="183"/>
      <c r="S6323" s="183"/>
    </row>
    <row r="6324" spans="1:19">
      <c r="A6324" s="182"/>
      <c r="Q6324" s="183"/>
      <c r="R6324" s="183"/>
      <c r="S6324" s="183"/>
    </row>
    <row r="6325" spans="1:19">
      <c r="A6325" s="182"/>
      <c r="Q6325" s="183"/>
      <c r="R6325" s="183"/>
      <c r="S6325" s="183"/>
    </row>
    <row r="6326" spans="1:19">
      <c r="A6326" s="182"/>
      <c r="Q6326" s="183"/>
      <c r="R6326" s="183"/>
      <c r="S6326" s="183"/>
    </row>
    <row r="6327" spans="1:19">
      <c r="A6327" s="182"/>
      <c r="Q6327" s="183"/>
      <c r="R6327" s="183"/>
      <c r="S6327" s="183"/>
    </row>
    <row r="6328" spans="1:19">
      <c r="A6328" s="182"/>
      <c r="Q6328" s="183"/>
      <c r="R6328" s="183"/>
      <c r="S6328" s="183"/>
    </row>
    <row r="6329" spans="1:19">
      <c r="A6329" s="182"/>
      <c r="Q6329" s="183"/>
      <c r="R6329" s="183"/>
      <c r="S6329" s="183"/>
    </row>
    <row r="6330" spans="1:19">
      <c r="A6330" s="182"/>
      <c r="Q6330" s="183"/>
      <c r="R6330" s="183"/>
      <c r="S6330" s="183"/>
    </row>
    <row r="6331" spans="1:19">
      <c r="A6331" s="182"/>
      <c r="Q6331" s="183"/>
      <c r="R6331" s="183"/>
      <c r="S6331" s="183"/>
    </row>
    <row r="6332" spans="1:19">
      <c r="A6332" s="182"/>
      <c r="Q6332" s="183"/>
      <c r="R6332" s="183"/>
      <c r="S6332" s="183"/>
    </row>
    <row r="6333" spans="1:19">
      <c r="A6333" s="182"/>
      <c r="Q6333" s="183"/>
      <c r="R6333" s="183"/>
      <c r="S6333" s="183"/>
    </row>
    <row r="6334" spans="1:19">
      <c r="A6334" s="182"/>
      <c r="Q6334" s="183"/>
      <c r="R6334" s="183"/>
      <c r="S6334" s="183"/>
    </row>
    <row r="6335" spans="1:19">
      <c r="A6335" s="182"/>
      <c r="Q6335" s="183"/>
      <c r="R6335" s="183"/>
      <c r="S6335" s="183"/>
    </row>
    <row r="6336" spans="1:19">
      <c r="A6336" s="182"/>
      <c r="Q6336" s="183"/>
      <c r="R6336" s="183"/>
      <c r="S6336" s="183"/>
    </row>
    <row r="6337" spans="1:38">
      <c r="A6337" s="182"/>
      <c r="Q6337" s="183"/>
      <c r="R6337" s="183"/>
      <c r="S6337" s="183"/>
    </row>
    <row r="6338" spans="1:38">
      <c r="A6338" s="182"/>
      <c r="Q6338" s="183"/>
      <c r="R6338" s="183"/>
      <c r="S6338" s="183"/>
    </row>
    <row r="6339" spans="1:38">
      <c r="A6339" s="182"/>
      <c r="Q6339" s="183"/>
      <c r="R6339" s="183"/>
      <c r="S6339" s="183"/>
    </row>
    <row r="6340" spans="1:38">
      <c r="A6340" s="182"/>
      <c r="Q6340" s="183"/>
      <c r="R6340" s="183"/>
      <c r="S6340" s="183"/>
    </row>
    <row r="6341" spans="1:38">
      <c r="A6341" s="182"/>
      <c r="Q6341" s="183"/>
      <c r="R6341" s="183"/>
      <c r="S6341" s="183"/>
      <c r="AK6341" s="183"/>
      <c r="AL6341" s="183"/>
    </row>
    <row r="6342" spans="1:38">
      <c r="A6342" s="182"/>
      <c r="Q6342" s="183"/>
      <c r="R6342" s="183"/>
      <c r="S6342" s="183"/>
      <c r="AJ6342" s="183"/>
      <c r="AK6342" s="183"/>
      <c r="AL6342" s="183"/>
    </row>
    <row r="6343" spans="1:38">
      <c r="A6343" s="182"/>
      <c r="Q6343" s="183"/>
      <c r="R6343" s="183"/>
      <c r="S6343" s="183"/>
      <c r="AJ6343" s="183"/>
      <c r="AK6343" s="183"/>
      <c r="AL6343" s="183"/>
    </row>
    <row r="6344" spans="1:38">
      <c r="A6344" s="182"/>
      <c r="Q6344" s="183"/>
      <c r="R6344" s="183"/>
      <c r="S6344" s="183"/>
      <c r="AJ6344" s="183"/>
      <c r="AK6344" s="183"/>
      <c r="AL6344" s="183"/>
    </row>
    <row r="6345" spans="1:38">
      <c r="A6345" s="182"/>
      <c r="Q6345" s="183"/>
      <c r="R6345" s="183"/>
      <c r="S6345" s="183"/>
      <c r="AJ6345" s="183"/>
    </row>
    <row r="6346" spans="1:38">
      <c r="A6346" s="182"/>
      <c r="Q6346" s="183"/>
      <c r="R6346" s="183"/>
      <c r="S6346" s="183"/>
    </row>
    <row r="6347" spans="1:38">
      <c r="A6347" s="182"/>
      <c r="Q6347" s="183"/>
      <c r="R6347" s="183"/>
      <c r="S6347" s="183"/>
    </row>
    <row r="6348" spans="1:38">
      <c r="A6348" s="182"/>
      <c r="Q6348" s="183"/>
      <c r="R6348" s="183"/>
      <c r="S6348" s="183"/>
    </row>
    <row r="6349" spans="1:38">
      <c r="A6349" s="182"/>
      <c r="Q6349" s="183"/>
      <c r="R6349" s="183"/>
      <c r="S6349" s="183"/>
    </row>
    <row r="6350" spans="1:38">
      <c r="A6350" s="182"/>
      <c r="Q6350" s="183"/>
      <c r="R6350" s="183"/>
      <c r="S6350" s="183"/>
    </row>
    <row r="6351" spans="1:38">
      <c r="A6351" s="182"/>
      <c r="Q6351" s="183"/>
      <c r="R6351" s="183"/>
      <c r="S6351" s="183"/>
    </row>
    <row r="6352" spans="1:38">
      <c r="A6352" s="182"/>
      <c r="Q6352" s="183"/>
      <c r="R6352" s="183"/>
      <c r="S6352" s="183"/>
    </row>
    <row r="6353" spans="1:38">
      <c r="A6353" s="182"/>
      <c r="Q6353" s="183"/>
      <c r="R6353" s="183"/>
      <c r="S6353" s="183"/>
      <c r="AK6353" s="183"/>
      <c r="AL6353" s="183"/>
    </row>
    <row r="6354" spans="1:38">
      <c r="A6354" s="182"/>
      <c r="Q6354" s="183"/>
      <c r="R6354" s="183"/>
      <c r="S6354" s="183"/>
      <c r="AJ6354" s="183"/>
      <c r="AK6354" s="183"/>
      <c r="AL6354" s="183"/>
    </row>
    <row r="6355" spans="1:38">
      <c r="A6355" s="182"/>
      <c r="Q6355" s="183"/>
      <c r="R6355" s="183"/>
      <c r="S6355" s="183"/>
      <c r="AJ6355" s="183"/>
      <c r="AK6355" s="183"/>
      <c r="AL6355" s="183"/>
    </row>
    <row r="6356" spans="1:38">
      <c r="A6356" s="182"/>
      <c r="Q6356" s="183"/>
      <c r="R6356" s="183"/>
      <c r="S6356" s="183"/>
      <c r="AJ6356" s="183"/>
      <c r="AK6356" s="183"/>
      <c r="AL6356" s="183"/>
    </row>
    <row r="6357" spans="1:38">
      <c r="A6357" s="182"/>
      <c r="Q6357" s="183"/>
      <c r="R6357" s="183"/>
      <c r="S6357" s="183"/>
      <c r="AJ6357" s="183"/>
      <c r="AK6357" s="183"/>
      <c r="AL6357" s="183"/>
    </row>
    <row r="6358" spans="1:38">
      <c r="A6358" s="182"/>
      <c r="Q6358" s="183"/>
      <c r="R6358" s="183"/>
      <c r="S6358" s="183"/>
      <c r="AJ6358" s="183"/>
      <c r="AK6358" s="183"/>
      <c r="AL6358" s="183"/>
    </row>
    <row r="6359" spans="1:38">
      <c r="A6359" s="182"/>
      <c r="Q6359" s="183"/>
      <c r="R6359" s="183"/>
      <c r="S6359" s="183"/>
      <c r="AJ6359" s="183"/>
      <c r="AK6359" s="183"/>
      <c r="AL6359" s="183"/>
    </row>
    <row r="6360" spans="1:38">
      <c r="A6360" s="182"/>
      <c r="Q6360" s="183"/>
      <c r="R6360" s="183"/>
      <c r="S6360" s="183"/>
      <c r="AJ6360" s="183"/>
      <c r="AK6360" s="183"/>
      <c r="AL6360" s="183"/>
    </row>
    <row r="6361" spans="1:38">
      <c r="A6361" s="182"/>
      <c r="Q6361" s="183"/>
      <c r="R6361" s="183"/>
      <c r="S6361" s="183"/>
      <c r="AJ6361" s="183"/>
      <c r="AK6361" s="183"/>
      <c r="AL6361" s="183"/>
    </row>
    <row r="6362" spans="1:38">
      <c r="A6362" s="182"/>
      <c r="Q6362" s="183"/>
      <c r="R6362" s="183"/>
      <c r="S6362" s="183"/>
      <c r="AJ6362" s="183"/>
      <c r="AK6362" s="183"/>
      <c r="AL6362" s="183"/>
    </row>
    <row r="6363" spans="1:38">
      <c r="A6363" s="182"/>
      <c r="Q6363" s="183"/>
      <c r="R6363" s="183"/>
      <c r="S6363" s="183"/>
      <c r="AJ6363" s="183"/>
      <c r="AK6363" s="183"/>
      <c r="AL6363" s="183"/>
    </row>
    <row r="6364" spans="1:38">
      <c r="A6364" s="182"/>
      <c r="Q6364" s="183"/>
      <c r="R6364" s="183"/>
      <c r="S6364" s="183"/>
      <c r="AJ6364" s="183"/>
      <c r="AK6364" s="183"/>
      <c r="AL6364" s="183"/>
    </row>
    <row r="6365" spans="1:38">
      <c r="A6365" s="182"/>
      <c r="Q6365" s="183"/>
      <c r="R6365" s="183"/>
      <c r="S6365" s="183"/>
      <c r="AJ6365" s="183"/>
    </row>
    <row r="6366" spans="1:38">
      <c r="A6366" s="182"/>
      <c r="Q6366" s="183"/>
      <c r="R6366" s="183"/>
      <c r="S6366" s="183"/>
    </row>
    <row r="6367" spans="1:38">
      <c r="A6367" s="182"/>
      <c r="Q6367" s="183"/>
      <c r="R6367" s="183"/>
      <c r="S6367" s="183"/>
    </row>
    <row r="6368" spans="1:38">
      <c r="A6368" s="182"/>
      <c r="Q6368" s="183"/>
      <c r="R6368" s="183"/>
      <c r="S6368" s="183"/>
    </row>
    <row r="6369" spans="1:38">
      <c r="A6369" s="182"/>
      <c r="Q6369" s="183"/>
      <c r="R6369" s="183"/>
      <c r="S6369" s="183"/>
      <c r="AK6369" s="183"/>
      <c r="AL6369" s="183"/>
    </row>
    <row r="6370" spans="1:38">
      <c r="A6370" s="182"/>
      <c r="Q6370" s="183"/>
      <c r="R6370" s="183"/>
      <c r="S6370" s="183"/>
      <c r="AJ6370" s="183"/>
      <c r="AK6370" s="183"/>
      <c r="AL6370" s="183"/>
    </row>
    <row r="6371" spans="1:38">
      <c r="A6371" s="182"/>
      <c r="Q6371" s="183"/>
      <c r="R6371" s="183"/>
      <c r="S6371" s="183"/>
      <c r="AJ6371" s="183"/>
      <c r="AK6371" s="183"/>
      <c r="AL6371" s="183"/>
    </row>
    <row r="6372" spans="1:38">
      <c r="A6372" s="182"/>
      <c r="Q6372" s="183"/>
      <c r="R6372" s="183"/>
      <c r="S6372" s="183"/>
      <c r="AJ6372" s="183"/>
      <c r="AK6372" s="183"/>
      <c r="AL6372" s="183"/>
    </row>
    <row r="6373" spans="1:38">
      <c r="A6373" s="182"/>
      <c r="Q6373" s="183"/>
      <c r="R6373" s="183"/>
      <c r="S6373" s="183"/>
      <c r="AJ6373" s="183"/>
    </row>
    <row r="6374" spans="1:38">
      <c r="A6374" s="182"/>
      <c r="Q6374" s="183"/>
      <c r="R6374" s="183"/>
      <c r="S6374" s="183"/>
    </row>
    <row r="6375" spans="1:38">
      <c r="A6375" s="182"/>
      <c r="Q6375" s="183"/>
      <c r="R6375" s="183"/>
      <c r="S6375" s="183"/>
    </row>
    <row r="6376" spans="1:38">
      <c r="A6376" s="182"/>
      <c r="Q6376" s="183"/>
      <c r="R6376" s="183"/>
      <c r="S6376" s="183"/>
    </row>
    <row r="6377" spans="1:38">
      <c r="A6377" s="182"/>
      <c r="Q6377" s="183"/>
      <c r="R6377" s="183"/>
      <c r="S6377" s="183"/>
    </row>
    <row r="6378" spans="1:38">
      <c r="A6378" s="182"/>
      <c r="Q6378" s="183"/>
      <c r="R6378" s="183"/>
      <c r="S6378" s="183"/>
    </row>
    <row r="6379" spans="1:38">
      <c r="A6379" s="182"/>
      <c r="Q6379" s="183"/>
      <c r="R6379" s="183"/>
      <c r="S6379" s="183"/>
    </row>
    <row r="6380" spans="1:38">
      <c r="A6380" s="182"/>
      <c r="Q6380" s="183"/>
      <c r="R6380" s="183"/>
      <c r="S6380" s="183"/>
    </row>
    <row r="6381" spans="1:38">
      <c r="A6381" s="182"/>
      <c r="Q6381" s="183"/>
      <c r="R6381" s="183"/>
      <c r="S6381" s="183"/>
    </row>
    <row r="6382" spans="1:38">
      <c r="A6382" s="182"/>
      <c r="Q6382" s="183"/>
      <c r="R6382" s="183"/>
      <c r="S6382" s="183"/>
    </row>
    <row r="6383" spans="1:38">
      <c r="A6383" s="182"/>
      <c r="Q6383" s="183"/>
      <c r="R6383" s="183"/>
      <c r="S6383" s="183"/>
    </row>
    <row r="6384" spans="1:38">
      <c r="A6384" s="182"/>
      <c r="Q6384" s="183"/>
      <c r="R6384" s="183"/>
      <c r="S6384" s="183"/>
    </row>
    <row r="6385" spans="1:19">
      <c r="A6385" s="182"/>
      <c r="Q6385" s="183"/>
      <c r="R6385" s="183"/>
      <c r="S6385" s="183"/>
    </row>
    <row r="6386" spans="1:19">
      <c r="A6386" s="182"/>
      <c r="Q6386" s="183"/>
      <c r="R6386" s="183"/>
      <c r="S6386" s="183"/>
    </row>
    <row r="6387" spans="1:19">
      <c r="A6387" s="182"/>
      <c r="Q6387" s="183"/>
      <c r="R6387" s="183"/>
      <c r="S6387" s="183"/>
    </row>
    <row r="6388" spans="1:19">
      <c r="A6388" s="182"/>
      <c r="Q6388" s="183"/>
      <c r="R6388" s="183"/>
      <c r="S6388" s="183"/>
    </row>
    <row r="6389" spans="1:19">
      <c r="A6389" s="182"/>
      <c r="Q6389" s="183"/>
      <c r="R6389" s="183"/>
      <c r="S6389" s="183"/>
    </row>
    <row r="6390" spans="1:19">
      <c r="A6390" s="182"/>
      <c r="Q6390" s="183"/>
      <c r="R6390" s="183"/>
      <c r="S6390" s="183"/>
    </row>
    <row r="6391" spans="1:19">
      <c r="A6391" s="182"/>
      <c r="Q6391" s="183"/>
      <c r="R6391" s="183"/>
      <c r="S6391" s="183"/>
    </row>
    <row r="6392" spans="1:19">
      <c r="A6392" s="182"/>
      <c r="Q6392" s="183"/>
      <c r="R6392" s="183"/>
      <c r="S6392" s="183"/>
    </row>
    <row r="6393" spans="1:19">
      <c r="A6393" s="182"/>
      <c r="Q6393" s="183"/>
      <c r="R6393" s="183"/>
      <c r="S6393" s="183"/>
    </row>
    <row r="6394" spans="1:19">
      <c r="A6394" s="182"/>
      <c r="Q6394" s="183"/>
      <c r="R6394" s="183"/>
      <c r="S6394" s="183"/>
    </row>
    <row r="6395" spans="1:19">
      <c r="A6395" s="182"/>
      <c r="Q6395" s="183"/>
      <c r="R6395" s="183"/>
      <c r="S6395" s="183"/>
    </row>
    <row r="6396" spans="1:19">
      <c r="A6396" s="182"/>
      <c r="Q6396" s="183"/>
      <c r="R6396" s="183"/>
      <c r="S6396" s="183"/>
    </row>
    <row r="6397" spans="1:19">
      <c r="A6397" s="182"/>
      <c r="Q6397" s="183"/>
      <c r="R6397" s="183"/>
      <c r="S6397" s="183"/>
    </row>
    <row r="6398" spans="1:19">
      <c r="A6398" s="182"/>
      <c r="Q6398" s="183"/>
      <c r="R6398" s="183"/>
      <c r="S6398" s="183"/>
    </row>
    <row r="6399" spans="1:19">
      <c r="A6399" s="182"/>
      <c r="Q6399" s="183"/>
      <c r="R6399" s="183"/>
      <c r="S6399" s="183"/>
    </row>
    <row r="6400" spans="1:19">
      <c r="A6400" s="182"/>
      <c r="Q6400" s="183"/>
      <c r="R6400" s="183"/>
      <c r="S6400" s="183"/>
    </row>
    <row r="6401" spans="1:19">
      <c r="A6401" s="182"/>
      <c r="Q6401" s="183"/>
      <c r="R6401" s="183"/>
      <c r="S6401" s="183"/>
    </row>
    <row r="6402" spans="1:19">
      <c r="A6402" s="182"/>
      <c r="Q6402" s="183"/>
      <c r="R6402" s="183"/>
      <c r="S6402" s="183"/>
    </row>
    <row r="6403" spans="1:19">
      <c r="A6403" s="182"/>
      <c r="Q6403" s="183"/>
      <c r="R6403" s="183"/>
      <c r="S6403" s="183"/>
    </row>
    <row r="6404" spans="1:19">
      <c r="A6404" s="182"/>
      <c r="Q6404" s="183"/>
      <c r="R6404" s="183"/>
      <c r="S6404" s="183"/>
    </row>
    <row r="6405" spans="1:19">
      <c r="A6405" s="182"/>
      <c r="Q6405" s="183"/>
      <c r="R6405" s="183"/>
      <c r="S6405" s="183"/>
    </row>
    <row r="6406" spans="1:19">
      <c r="A6406" s="182"/>
      <c r="Q6406" s="183"/>
      <c r="R6406" s="183"/>
      <c r="S6406" s="183"/>
    </row>
    <row r="6407" spans="1:19">
      <c r="A6407" s="182"/>
      <c r="Q6407" s="183"/>
      <c r="R6407" s="183"/>
      <c r="S6407" s="183"/>
    </row>
    <row r="6408" spans="1:19">
      <c r="A6408" s="182"/>
      <c r="Q6408" s="183"/>
      <c r="R6408" s="183"/>
      <c r="S6408" s="183"/>
    </row>
    <row r="6409" spans="1:19">
      <c r="A6409" s="182"/>
      <c r="Q6409" s="183"/>
      <c r="R6409" s="183"/>
      <c r="S6409" s="183"/>
    </row>
    <row r="6410" spans="1:19">
      <c r="A6410" s="182"/>
      <c r="Q6410" s="183"/>
      <c r="R6410" s="183"/>
      <c r="S6410" s="183"/>
    </row>
    <row r="6411" spans="1:19">
      <c r="A6411" s="182"/>
      <c r="Q6411" s="183"/>
      <c r="R6411" s="183"/>
      <c r="S6411" s="183"/>
    </row>
    <row r="6412" spans="1:19">
      <c r="A6412" s="182"/>
      <c r="Q6412" s="183"/>
      <c r="R6412" s="183"/>
      <c r="S6412" s="183"/>
    </row>
    <row r="6413" spans="1:19">
      <c r="A6413" s="182"/>
      <c r="Q6413" s="183"/>
      <c r="R6413" s="183"/>
      <c r="S6413" s="183"/>
    </row>
    <row r="6414" spans="1:19">
      <c r="A6414" s="182"/>
      <c r="Q6414" s="183"/>
      <c r="R6414" s="183"/>
      <c r="S6414" s="183"/>
    </row>
    <row r="6415" spans="1:19">
      <c r="A6415" s="182"/>
      <c r="Q6415" s="183"/>
      <c r="R6415" s="183"/>
      <c r="S6415" s="183"/>
    </row>
    <row r="6416" spans="1:19">
      <c r="A6416" s="182"/>
      <c r="Q6416" s="183"/>
      <c r="R6416" s="183"/>
      <c r="S6416" s="183"/>
    </row>
    <row r="6417" spans="1:38">
      <c r="A6417" s="182"/>
      <c r="Q6417" s="183"/>
      <c r="R6417" s="183"/>
      <c r="S6417" s="183"/>
    </row>
    <row r="6418" spans="1:38">
      <c r="A6418" s="182"/>
      <c r="Q6418" s="183"/>
      <c r="R6418" s="183"/>
      <c r="S6418" s="183"/>
    </row>
    <row r="6419" spans="1:38">
      <c r="A6419" s="182"/>
      <c r="Q6419" s="183"/>
      <c r="R6419" s="183"/>
      <c r="S6419" s="183"/>
    </row>
    <row r="6420" spans="1:38">
      <c r="A6420" s="182"/>
      <c r="Q6420" s="183"/>
      <c r="R6420" s="183"/>
      <c r="S6420" s="183"/>
    </row>
    <row r="6421" spans="1:38">
      <c r="A6421" s="182"/>
      <c r="Q6421" s="183"/>
      <c r="R6421" s="183"/>
      <c r="S6421" s="183"/>
    </row>
    <row r="6422" spans="1:38">
      <c r="A6422" s="182"/>
      <c r="Q6422" s="183"/>
      <c r="R6422" s="183"/>
      <c r="S6422" s="183"/>
    </row>
    <row r="6423" spans="1:38">
      <c r="A6423" s="182"/>
      <c r="Q6423" s="183"/>
      <c r="R6423" s="183"/>
      <c r="S6423" s="183"/>
    </row>
    <row r="6424" spans="1:38">
      <c r="A6424" s="182"/>
      <c r="Q6424" s="183"/>
      <c r="R6424" s="183"/>
      <c r="S6424" s="183"/>
    </row>
    <row r="6425" spans="1:38">
      <c r="A6425" s="182"/>
      <c r="Q6425" s="183"/>
      <c r="R6425" s="183"/>
      <c r="S6425" s="183"/>
    </row>
    <row r="6426" spans="1:38">
      <c r="A6426" s="182"/>
      <c r="Q6426" s="183"/>
      <c r="R6426" s="183"/>
      <c r="S6426" s="183"/>
    </row>
    <row r="6427" spans="1:38">
      <c r="A6427" s="182"/>
      <c r="Q6427" s="183"/>
      <c r="R6427" s="183"/>
      <c r="S6427" s="183"/>
    </row>
    <row r="6428" spans="1:38">
      <c r="A6428" s="182"/>
      <c r="Q6428" s="183"/>
      <c r="R6428" s="183"/>
      <c r="S6428" s="183"/>
    </row>
    <row r="6429" spans="1:38">
      <c r="A6429" s="182"/>
      <c r="Q6429" s="183"/>
      <c r="R6429" s="183"/>
      <c r="S6429" s="183"/>
      <c r="AK6429" s="183"/>
      <c r="AL6429" s="183"/>
    </row>
    <row r="6430" spans="1:38">
      <c r="A6430" s="182"/>
      <c r="Q6430" s="183"/>
      <c r="R6430" s="183"/>
      <c r="S6430" s="183"/>
      <c r="AJ6430" s="183"/>
      <c r="AK6430" s="183"/>
      <c r="AL6430" s="183"/>
    </row>
    <row r="6431" spans="1:38">
      <c r="A6431" s="182"/>
      <c r="Q6431" s="183"/>
      <c r="R6431" s="183"/>
      <c r="S6431" s="183"/>
      <c r="AJ6431" s="183"/>
      <c r="AK6431" s="183"/>
      <c r="AL6431" s="183"/>
    </row>
    <row r="6432" spans="1:38">
      <c r="A6432" s="182"/>
      <c r="Q6432" s="183"/>
      <c r="R6432" s="183"/>
      <c r="S6432" s="183"/>
      <c r="AJ6432" s="183"/>
      <c r="AK6432" s="183"/>
      <c r="AL6432" s="183"/>
    </row>
    <row r="6433" spans="1:38">
      <c r="A6433" s="182"/>
      <c r="Q6433" s="183"/>
      <c r="R6433" s="183"/>
      <c r="S6433" s="183"/>
      <c r="AJ6433" s="183"/>
    </row>
    <row r="6434" spans="1:38">
      <c r="A6434" s="182"/>
      <c r="Q6434" s="183"/>
      <c r="R6434" s="183"/>
      <c r="S6434" s="183"/>
    </row>
    <row r="6435" spans="1:38">
      <c r="A6435" s="182"/>
      <c r="Q6435" s="183"/>
      <c r="R6435" s="183"/>
      <c r="S6435" s="183"/>
    </row>
    <row r="6436" spans="1:38">
      <c r="A6436" s="182"/>
      <c r="Q6436" s="183"/>
      <c r="R6436" s="183"/>
      <c r="S6436" s="183"/>
    </row>
    <row r="6437" spans="1:38">
      <c r="A6437" s="182"/>
      <c r="Q6437" s="183"/>
      <c r="R6437" s="183"/>
      <c r="S6437" s="183"/>
      <c r="AK6437" s="183"/>
      <c r="AL6437" s="183"/>
    </row>
    <row r="6438" spans="1:38">
      <c r="A6438" s="182"/>
      <c r="Q6438" s="183"/>
      <c r="R6438" s="183"/>
      <c r="S6438" s="183"/>
      <c r="AJ6438" s="183"/>
      <c r="AK6438" s="183"/>
      <c r="AL6438" s="183"/>
    </row>
    <row r="6439" spans="1:38">
      <c r="A6439" s="182"/>
      <c r="Q6439" s="183"/>
      <c r="R6439" s="183"/>
      <c r="S6439" s="183"/>
      <c r="AJ6439" s="183"/>
      <c r="AK6439" s="183"/>
      <c r="AL6439" s="183"/>
    </row>
    <row r="6440" spans="1:38">
      <c r="A6440" s="182"/>
      <c r="Q6440" s="183"/>
      <c r="R6440" s="183"/>
      <c r="S6440" s="183"/>
      <c r="AJ6440" s="183"/>
      <c r="AK6440" s="183"/>
      <c r="AL6440" s="183"/>
    </row>
    <row r="6441" spans="1:38">
      <c r="A6441" s="182"/>
      <c r="Q6441" s="183"/>
      <c r="R6441" s="183"/>
      <c r="S6441" s="183"/>
      <c r="AJ6441" s="183"/>
    </row>
    <row r="6442" spans="1:38">
      <c r="A6442" s="182"/>
      <c r="Q6442" s="183"/>
      <c r="R6442" s="183"/>
      <c r="S6442" s="183"/>
    </row>
    <row r="6443" spans="1:38">
      <c r="A6443" s="182"/>
      <c r="Q6443" s="183"/>
      <c r="R6443" s="183"/>
      <c r="S6443" s="183"/>
    </row>
    <row r="6444" spans="1:38">
      <c r="A6444" s="182"/>
      <c r="Q6444" s="183"/>
      <c r="R6444" s="183"/>
      <c r="S6444" s="183"/>
    </row>
    <row r="6445" spans="1:38">
      <c r="A6445" s="182"/>
      <c r="Q6445" s="183"/>
      <c r="R6445" s="183"/>
      <c r="S6445" s="183"/>
      <c r="AK6445" s="183"/>
      <c r="AL6445" s="183"/>
    </row>
    <row r="6446" spans="1:38">
      <c r="A6446" s="182"/>
      <c r="Q6446" s="183"/>
      <c r="R6446" s="183"/>
      <c r="S6446" s="183"/>
      <c r="AJ6446" s="183"/>
      <c r="AK6446" s="183"/>
      <c r="AL6446" s="183"/>
    </row>
    <row r="6447" spans="1:38">
      <c r="A6447" s="182"/>
      <c r="Q6447" s="183"/>
      <c r="R6447" s="183"/>
      <c r="S6447" s="183"/>
      <c r="AJ6447" s="183"/>
      <c r="AK6447" s="183"/>
      <c r="AL6447" s="183"/>
    </row>
    <row r="6448" spans="1:38">
      <c r="A6448" s="182"/>
      <c r="Q6448" s="183"/>
      <c r="R6448" s="183"/>
      <c r="S6448" s="183"/>
      <c r="AJ6448" s="183"/>
      <c r="AK6448" s="183"/>
      <c r="AL6448" s="183"/>
    </row>
    <row r="6449" spans="1:38">
      <c r="A6449" s="182"/>
      <c r="Q6449" s="183"/>
      <c r="R6449" s="183"/>
      <c r="S6449" s="183"/>
      <c r="AJ6449" s="183"/>
      <c r="AK6449" s="183"/>
      <c r="AL6449" s="183"/>
    </row>
    <row r="6450" spans="1:38">
      <c r="A6450" s="182"/>
      <c r="Q6450" s="183"/>
      <c r="R6450" s="183"/>
      <c r="S6450" s="183"/>
      <c r="AJ6450" s="183"/>
      <c r="AK6450" s="183"/>
      <c r="AL6450" s="183"/>
    </row>
    <row r="6451" spans="1:38">
      <c r="A6451" s="182"/>
      <c r="Q6451" s="183"/>
      <c r="R6451" s="183"/>
      <c r="S6451" s="183"/>
      <c r="AJ6451" s="183"/>
      <c r="AK6451" s="183"/>
      <c r="AL6451" s="183"/>
    </row>
    <row r="6452" spans="1:38">
      <c r="A6452" s="182"/>
      <c r="Q6452" s="183"/>
      <c r="R6452" s="183"/>
      <c r="S6452" s="183"/>
      <c r="AJ6452" s="183"/>
      <c r="AK6452" s="183"/>
      <c r="AL6452" s="183"/>
    </row>
    <row r="6453" spans="1:38">
      <c r="A6453" s="182"/>
      <c r="Q6453" s="183"/>
      <c r="R6453" s="183"/>
      <c r="S6453" s="183"/>
      <c r="AJ6453" s="183"/>
    </row>
    <row r="6454" spans="1:38">
      <c r="A6454" s="182"/>
      <c r="Q6454" s="183"/>
      <c r="R6454" s="183"/>
      <c r="S6454" s="183"/>
    </row>
    <row r="6455" spans="1:38">
      <c r="A6455" s="182"/>
      <c r="Q6455" s="183"/>
      <c r="R6455" s="183"/>
      <c r="S6455" s="183"/>
    </row>
    <row r="6456" spans="1:38">
      <c r="A6456" s="182"/>
      <c r="Q6456" s="183"/>
      <c r="R6456" s="183"/>
      <c r="S6456" s="183"/>
    </row>
    <row r="6457" spans="1:38">
      <c r="A6457" s="182"/>
      <c r="Q6457" s="183"/>
      <c r="R6457" s="183"/>
      <c r="S6457" s="183"/>
    </row>
    <row r="6458" spans="1:38">
      <c r="A6458" s="182"/>
      <c r="Q6458" s="183"/>
      <c r="R6458" s="183"/>
      <c r="S6458" s="183"/>
    </row>
    <row r="6459" spans="1:38">
      <c r="A6459" s="182"/>
      <c r="Q6459" s="183"/>
      <c r="R6459" s="183"/>
      <c r="S6459" s="183"/>
    </row>
    <row r="6460" spans="1:38">
      <c r="A6460" s="182"/>
      <c r="Q6460" s="183"/>
      <c r="R6460" s="183"/>
      <c r="S6460" s="183"/>
    </row>
    <row r="6461" spans="1:38">
      <c r="A6461" s="182"/>
      <c r="Q6461" s="183"/>
      <c r="R6461" s="183"/>
      <c r="S6461" s="183"/>
      <c r="AK6461" s="183"/>
      <c r="AL6461" s="183"/>
    </row>
    <row r="6462" spans="1:38">
      <c r="A6462" s="182"/>
      <c r="Q6462" s="183"/>
      <c r="R6462" s="183"/>
      <c r="S6462" s="183"/>
      <c r="AJ6462" s="183"/>
      <c r="AK6462" s="183"/>
      <c r="AL6462" s="183"/>
    </row>
    <row r="6463" spans="1:38">
      <c r="A6463" s="182"/>
      <c r="Q6463" s="183"/>
      <c r="R6463" s="183"/>
      <c r="S6463" s="183"/>
      <c r="AJ6463" s="183"/>
      <c r="AK6463" s="183"/>
      <c r="AL6463" s="183"/>
    </row>
    <row r="6464" spans="1:38">
      <c r="A6464" s="182"/>
      <c r="Q6464" s="183"/>
      <c r="R6464" s="183"/>
      <c r="S6464" s="183"/>
      <c r="AJ6464" s="183"/>
      <c r="AK6464" s="183"/>
      <c r="AL6464" s="183"/>
    </row>
    <row r="6465" spans="1:38">
      <c r="A6465" s="182"/>
      <c r="Q6465" s="183"/>
      <c r="R6465" s="183"/>
      <c r="S6465" s="183"/>
      <c r="AJ6465" s="183"/>
      <c r="AK6465" s="183"/>
      <c r="AL6465" s="183"/>
    </row>
    <row r="6466" spans="1:38">
      <c r="A6466" s="182"/>
      <c r="Q6466" s="183"/>
      <c r="R6466" s="183"/>
      <c r="S6466" s="183"/>
      <c r="AJ6466" s="183"/>
      <c r="AK6466" s="183"/>
      <c r="AL6466" s="183"/>
    </row>
    <row r="6467" spans="1:38">
      <c r="A6467" s="182"/>
      <c r="Q6467" s="183"/>
      <c r="R6467" s="183"/>
      <c r="S6467" s="183"/>
      <c r="AJ6467" s="183"/>
      <c r="AK6467" s="183"/>
      <c r="AL6467" s="183"/>
    </row>
    <row r="6468" spans="1:38">
      <c r="A6468" s="182"/>
      <c r="Q6468" s="183"/>
      <c r="R6468" s="183"/>
      <c r="S6468" s="183"/>
      <c r="AJ6468" s="183"/>
      <c r="AK6468" s="183"/>
      <c r="AL6468" s="183"/>
    </row>
    <row r="6469" spans="1:38">
      <c r="A6469" s="182"/>
      <c r="Q6469" s="183"/>
      <c r="R6469" s="183"/>
      <c r="S6469" s="183"/>
      <c r="AJ6469" s="183"/>
    </row>
    <row r="6470" spans="1:38">
      <c r="A6470" s="182"/>
      <c r="Q6470" s="183"/>
      <c r="R6470" s="183"/>
      <c r="S6470" s="183"/>
    </row>
    <row r="6471" spans="1:38">
      <c r="A6471" s="182"/>
      <c r="Q6471" s="183"/>
      <c r="R6471" s="183"/>
      <c r="S6471" s="183"/>
    </row>
    <row r="6472" spans="1:38">
      <c r="A6472" s="182"/>
      <c r="Q6472" s="183"/>
      <c r="R6472" s="183"/>
      <c r="S6472" s="183"/>
    </row>
    <row r="6473" spans="1:38">
      <c r="A6473" s="182"/>
      <c r="Q6473" s="183"/>
      <c r="R6473" s="183"/>
      <c r="S6473" s="183"/>
    </row>
    <row r="6474" spans="1:38">
      <c r="A6474" s="182"/>
      <c r="Q6474" s="183"/>
      <c r="R6474" s="183"/>
      <c r="S6474" s="183"/>
    </row>
    <row r="6475" spans="1:38">
      <c r="A6475" s="182"/>
      <c r="Q6475" s="183"/>
      <c r="R6475" s="183"/>
      <c r="S6475" s="183"/>
    </row>
    <row r="6476" spans="1:38">
      <c r="A6476" s="182"/>
      <c r="Q6476" s="183"/>
      <c r="R6476" s="183"/>
      <c r="S6476" s="183"/>
    </row>
    <row r="6477" spans="1:38">
      <c r="A6477" s="182"/>
      <c r="Q6477" s="183"/>
      <c r="R6477" s="183"/>
      <c r="S6477" s="183"/>
    </row>
    <row r="6478" spans="1:38">
      <c r="A6478" s="182"/>
      <c r="Q6478" s="183"/>
      <c r="R6478" s="183"/>
      <c r="S6478" s="183"/>
    </row>
    <row r="6479" spans="1:38">
      <c r="A6479" s="182"/>
      <c r="Q6479" s="183"/>
      <c r="R6479" s="183"/>
      <c r="S6479" s="183"/>
    </row>
    <row r="6480" spans="1:38">
      <c r="A6480" s="182"/>
      <c r="Q6480" s="183"/>
      <c r="R6480" s="183"/>
      <c r="S6480" s="183"/>
    </row>
    <row r="6481" spans="1:19">
      <c r="A6481" s="182"/>
      <c r="Q6481" s="183"/>
      <c r="R6481" s="183"/>
      <c r="S6481" s="183"/>
    </row>
    <row r="6482" spans="1:19">
      <c r="A6482" s="182"/>
      <c r="Q6482" s="183"/>
      <c r="R6482" s="183"/>
      <c r="S6482" s="183"/>
    </row>
    <row r="6483" spans="1:19">
      <c r="A6483" s="182"/>
      <c r="Q6483" s="183"/>
      <c r="R6483" s="183"/>
      <c r="S6483" s="183"/>
    </row>
    <row r="6484" spans="1:19">
      <c r="A6484" s="182"/>
      <c r="Q6484" s="183"/>
      <c r="R6484" s="183"/>
      <c r="S6484" s="183"/>
    </row>
    <row r="6485" spans="1:19">
      <c r="A6485" s="182"/>
      <c r="Q6485" s="183"/>
      <c r="R6485" s="183"/>
      <c r="S6485" s="183"/>
    </row>
    <row r="6486" spans="1:19">
      <c r="A6486" s="182"/>
      <c r="Q6486" s="183"/>
      <c r="R6486" s="183"/>
      <c r="S6486" s="183"/>
    </row>
    <row r="6487" spans="1:19">
      <c r="A6487" s="182"/>
      <c r="Q6487" s="183"/>
      <c r="R6487" s="183"/>
      <c r="S6487" s="183"/>
    </row>
    <row r="6488" spans="1:19">
      <c r="A6488" s="182"/>
      <c r="Q6488" s="183"/>
      <c r="R6488" s="183"/>
      <c r="S6488" s="183"/>
    </row>
    <row r="6489" spans="1:19">
      <c r="A6489" s="182"/>
      <c r="Q6489" s="183"/>
      <c r="R6489" s="183"/>
      <c r="S6489" s="183"/>
    </row>
    <row r="6490" spans="1:19">
      <c r="A6490" s="182"/>
      <c r="Q6490" s="183"/>
      <c r="R6490" s="183"/>
      <c r="S6490" s="183"/>
    </row>
    <row r="6491" spans="1:19">
      <c r="A6491" s="182"/>
      <c r="Q6491" s="183"/>
      <c r="R6491" s="183"/>
      <c r="S6491" s="183"/>
    </row>
    <row r="6492" spans="1:19">
      <c r="A6492" s="182"/>
      <c r="Q6492" s="183"/>
      <c r="R6492" s="183"/>
      <c r="S6492" s="183"/>
    </row>
    <row r="6493" spans="1:19">
      <c r="A6493" s="182"/>
      <c r="Q6493" s="183"/>
      <c r="R6493" s="183"/>
      <c r="S6493" s="183"/>
    </row>
    <row r="6494" spans="1:19">
      <c r="A6494" s="182"/>
      <c r="Q6494" s="183"/>
      <c r="R6494" s="183"/>
      <c r="S6494" s="183"/>
    </row>
    <row r="6495" spans="1:19">
      <c r="A6495" s="182"/>
      <c r="Q6495" s="183"/>
      <c r="R6495" s="183"/>
      <c r="S6495" s="183"/>
    </row>
    <row r="6496" spans="1:19">
      <c r="A6496" s="182"/>
      <c r="Q6496" s="183"/>
      <c r="R6496" s="183"/>
      <c r="S6496" s="183"/>
    </row>
    <row r="6497" spans="1:19">
      <c r="A6497" s="182"/>
      <c r="Q6497" s="183"/>
      <c r="R6497" s="183"/>
      <c r="S6497" s="183"/>
    </row>
    <row r="6498" spans="1:19">
      <c r="A6498" s="182"/>
      <c r="Q6498" s="183"/>
      <c r="R6498" s="183"/>
      <c r="S6498" s="183"/>
    </row>
    <row r="6499" spans="1:19">
      <c r="A6499" s="182"/>
      <c r="Q6499" s="183"/>
      <c r="R6499" s="183"/>
      <c r="S6499" s="183"/>
    </row>
    <row r="6500" spans="1:19">
      <c r="A6500" s="182"/>
      <c r="Q6500" s="183"/>
      <c r="R6500" s="183"/>
      <c r="S6500" s="183"/>
    </row>
    <row r="6501" spans="1:19">
      <c r="A6501" s="182"/>
      <c r="Q6501" s="183"/>
      <c r="R6501" s="183"/>
      <c r="S6501" s="183"/>
    </row>
    <row r="6502" spans="1:19">
      <c r="A6502" s="182"/>
      <c r="Q6502" s="183"/>
      <c r="R6502" s="183"/>
      <c r="S6502" s="183"/>
    </row>
    <row r="6503" spans="1:19">
      <c r="A6503" s="182"/>
      <c r="Q6503" s="183"/>
      <c r="R6503" s="183"/>
      <c r="S6503" s="183"/>
    </row>
    <row r="6504" spans="1:19">
      <c r="A6504" s="182"/>
      <c r="Q6504" s="183"/>
      <c r="R6504" s="183"/>
      <c r="S6504" s="183"/>
    </row>
    <row r="6505" spans="1:19">
      <c r="A6505" s="182"/>
      <c r="Q6505" s="183"/>
      <c r="R6505" s="183"/>
      <c r="S6505" s="183"/>
    </row>
    <row r="6506" spans="1:19">
      <c r="A6506" s="182"/>
      <c r="Q6506" s="183"/>
      <c r="R6506" s="183"/>
      <c r="S6506" s="183"/>
    </row>
    <row r="6507" spans="1:19">
      <c r="A6507" s="182"/>
      <c r="Q6507" s="183"/>
      <c r="R6507" s="183"/>
      <c r="S6507" s="183"/>
    </row>
    <row r="6508" spans="1:19">
      <c r="A6508" s="182"/>
      <c r="Q6508" s="183"/>
      <c r="R6508" s="183"/>
      <c r="S6508" s="183"/>
    </row>
    <row r="6509" spans="1:19">
      <c r="A6509" s="182"/>
      <c r="Q6509" s="183"/>
      <c r="R6509" s="183"/>
      <c r="S6509" s="183"/>
    </row>
    <row r="6510" spans="1:19">
      <c r="A6510" s="182"/>
      <c r="Q6510" s="183"/>
      <c r="R6510" s="183"/>
      <c r="S6510" s="183"/>
    </row>
    <row r="6511" spans="1:19">
      <c r="A6511" s="182"/>
      <c r="Q6511" s="183"/>
      <c r="R6511" s="183"/>
      <c r="S6511" s="183"/>
    </row>
    <row r="6512" spans="1:19">
      <c r="A6512" s="182"/>
      <c r="Q6512" s="183"/>
      <c r="R6512" s="183"/>
      <c r="S6512" s="183"/>
    </row>
    <row r="6513" spans="1:19">
      <c r="A6513" s="182"/>
      <c r="Q6513" s="183"/>
      <c r="R6513" s="183"/>
      <c r="S6513" s="183"/>
    </row>
    <row r="6514" spans="1:19">
      <c r="A6514" s="182"/>
      <c r="Q6514" s="183"/>
      <c r="R6514" s="183"/>
      <c r="S6514" s="183"/>
    </row>
    <row r="6515" spans="1:19">
      <c r="A6515" s="182"/>
      <c r="Q6515" s="183"/>
      <c r="R6515" s="183"/>
      <c r="S6515" s="183"/>
    </row>
    <row r="6516" spans="1:19">
      <c r="A6516" s="182"/>
      <c r="Q6516" s="183"/>
      <c r="R6516" s="183"/>
      <c r="S6516" s="183"/>
    </row>
    <row r="6517" spans="1:19">
      <c r="A6517" s="182"/>
      <c r="Q6517" s="183"/>
      <c r="R6517" s="183"/>
      <c r="S6517" s="183"/>
    </row>
    <row r="6518" spans="1:19">
      <c r="A6518" s="182"/>
      <c r="Q6518" s="183"/>
      <c r="R6518" s="183"/>
      <c r="S6518" s="183"/>
    </row>
    <row r="6519" spans="1:19">
      <c r="A6519" s="182"/>
      <c r="Q6519" s="183"/>
      <c r="R6519" s="183"/>
      <c r="S6519" s="183"/>
    </row>
    <row r="6520" spans="1:19">
      <c r="A6520" s="182"/>
      <c r="Q6520" s="183"/>
      <c r="R6520" s="183"/>
      <c r="S6520" s="183"/>
    </row>
    <row r="6521" spans="1:19">
      <c r="A6521" s="182"/>
      <c r="Q6521" s="183"/>
      <c r="R6521" s="183"/>
      <c r="S6521" s="183"/>
    </row>
    <row r="6522" spans="1:19">
      <c r="A6522" s="182"/>
      <c r="Q6522" s="183"/>
      <c r="R6522" s="183"/>
      <c r="S6522" s="183"/>
    </row>
    <row r="6523" spans="1:19">
      <c r="A6523" s="182"/>
      <c r="Q6523" s="183"/>
      <c r="R6523" s="183"/>
      <c r="S6523" s="183"/>
    </row>
    <row r="6524" spans="1:19">
      <c r="A6524" s="182"/>
      <c r="Q6524" s="183"/>
      <c r="R6524" s="183"/>
      <c r="S6524" s="183"/>
    </row>
    <row r="6525" spans="1:19">
      <c r="A6525" s="182"/>
      <c r="Q6525" s="183"/>
      <c r="R6525" s="183"/>
      <c r="S6525" s="183"/>
    </row>
    <row r="6526" spans="1:19">
      <c r="A6526" s="182"/>
      <c r="Q6526" s="183"/>
      <c r="R6526" s="183"/>
      <c r="S6526" s="183"/>
    </row>
    <row r="6527" spans="1:19">
      <c r="A6527" s="182"/>
      <c r="Q6527" s="183"/>
      <c r="R6527" s="183"/>
      <c r="S6527" s="183"/>
    </row>
    <row r="6528" spans="1:19">
      <c r="A6528" s="182"/>
      <c r="Q6528" s="183"/>
      <c r="R6528" s="183"/>
      <c r="S6528" s="183"/>
    </row>
    <row r="6529" spans="1:38">
      <c r="A6529" s="182"/>
      <c r="Q6529" s="183"/>
      <c r="R6529" s="183"/>
      <c r="S6529" s="183"/>
      <c r="AK6529" s="183"/>
      <c r="AL6529" s="183"/>
    </row>
    <row r="6530" spans="1:38">
      <c r="A6530" s="182"/>
      <c r="Q6530" s="183"/>
      <c r="R6530" s="183"/>
      <c r="S6530" s="183"/>
      <c r="AJ6530" s="183"/>
      <c r="AK6530" s="183"/>
      <c r="AL6530" s="183"/>
    </row>
    <row r="6531" spans="1:38">
      <c r="A6531" s="182"/>
      <c r="Q6531" s="183"/>
      <c r="R6531" s="183"/>
      <c r="S6531" s="183"/>
      <c r="AJ6531" s="183"/>
      <c r="AK6531" s="183"/>
      <c r="AL6531" s="183"/>
    </row>
    <row r="6532" spans="1:38">
      <c r="A6532" s="182"/>
      <c r="Q6532" s="183"/>
      <c r="R6532" s="183"/>
      <c r="S6532" s="183"/>
      <c r="AJ6532" s="183"/>
      <c r="AK6532" s="183"/>
      <c r="AL6532" s="183"/>
    </row>
    <row r="6533" spans="1:38">
      <c r="A6533" s="182"/>
      <c r="Q6533" s="183"/>
      <c r="R6533" s="183"/>
      <c r="S6533" s="183"/>
      <c r="AJ6533" s="183"/>
    </row>
    <row r="6534" spans="1:38">
      <c r="A6534" s="182"/>
      <c r="Q6534" s="183"/>
      <c r="R6534" s="183"/>
      <c r="S6534" s="183"/>
    </row>
    <row r="6535" spans="1:38">
      <c r="A6535" s="182"/>
      <c r="Q6535" s="183"/>
      <c r="R6535" s="183"/>
      <c r="S6535" s="183"/>
    </row>
    <row r="6536" spans="1:38">
      <c r="A6536" s="182"/>
      <c r="Q6536" s="183"/>
      <c r="R6536" s="183"/>
      <c r="S6536" s="183"/>
    </row>
    <row r="6537" spans="1:38">
      <c r="A6537" s="182"/>
      <c r="Q6537" s="183"/>
      <c r="R6537" s="183"/>
      <c r="S6537" s="183"/>
    </row>
    <row r="6538" spans="1:38">
      <c r="A6538" s="182"/>
      <c r="Q6538" s="183"/>
      <c r="R6538" s="183"/>
      <c r="S6538" s="183"/>
    </row>
    <row r="6539" spans="1:38">
      <c r="A6539" s="182"/>
      <c r="Q6539" s="183"/>
      <c r="R6539" s="183"/>
      <c r="S6539" s="183"/>
    </row>
    <row r="6540" spans="1:38">
      <c r="A6540" s="182"/>
      <c r="Q6540" s="183"/>
      <c r="R6540" s="183"/>
      <c r="S6540" s="183"/>
    </row>
    <row r="6541" spans="1:38">
      <c r="A6541" s="182"/>
      <c r="Q6541" s="183"/>
      <c r="R6541" s="183"/>
      <c r="S6541" s="183"/>
    </row>
    <row r="6542" spans="1:38">
      <c r="A6542" s="182"/>
      <c r="Q6542" s="183"/>
      <c r="R6542" s="183"/>
      <c r="S6542" s="183"/>
    </row>
    <row r="6543" spans="1:38">
      <c r="A6543" s="182"/>
      <c r="Q6543" s="183"/>
      <c r="R6543" s="183"/>
      <c r="S6543" s="183"/>
    </row>
    <row r="6544" spans="1:38">
      <c r="A6544" s="182"/>
      <c r="Q6544" s="183"/>
      <c r="R6544" s="183"/>
      <c r="S6544" s="183"/>
    </row>
    <row r="6545" spans="1:38">
      <c r="A6545" s="182"/>
      <c r="Q6545" s="183"/>
      <c r="R6545" s="183"/>
      <c r="S6545" s="183"/>
    </row>
    <row r="6546" spans="1:38">
      <c r="A6546" s="182"/>
      <c r="Q6546" s="183"/>
      <c r="R6546" s="183"/>
      <c r="S6546" s="183"/>
    </row>
    <row r="6547" spans="1:38">
      <c r="A6547" s="182"/>
      <c r="Q6547" s="183"/>
      <c r="R6547" s="183"/>
      <c r="S6547" s="183"/>
    </row>
    <row r="6548" spans="1:38">
      <c r="A6548" s="182"/>
      <c r="Q6548" s="183"/>
      <c r="R6548" s="183"/>
      <c r="S6548" s="183"/>
    </row>
    <row r="6549" spans="1:38">
      <c r="A6549" s="182"/>
      <c r="Q6549" s="183"/>
      <c r="R6549" s="183"/>
      <c r="S6549" s="183"/>
      <c r="AK6549" s="183"/>
      <c r="AL6549" s="183"/>
    </row>
    <row r="6550" spans="1:38">
      <c r="A6550" s="182"/>
      <c r="Q6550" s="183"/>
      <c r="R6550" s="183"/>
      <c r="S6550" s="183"/>
      <c r="AJ6550" s="183"/>
      <c r="AK6550" s="183"/>
      <c r="AL6550" s="183"/>
    </row>
    <row r="6551" spans="1:38">
      <c r="A6551" s="182"/>
      <c r="Q6551" s="183"/>
      <c r="R6551" s="183"/>
      <c r="S6551" s="183"/>
      <c r="AJ6551" s="183"/>
      <c r="AK6551" s="183"/>
      <c r="AL6551" s="183"/>
    </row>
    <row r="6552" spans="1:38">
      <c r="A6552" s="182"/>
      <c r="Q6552" s="183"/>
      <c r="R6552" s="183"/>
      <c r="S6552" s="183"/>
      <c r="AJ6552" s="183"/>
      <c r="AK6552" s="183"/>
      <c r="AL6552" s="183"/>
    </row>
    <row r="6553" spans="1:38">
      <c r="A6553" s="182"/>
      <c r="Q6553" s="183"/>
      <c r="R6553" s="183"/>
      <c r="S6553" s="183"/>
      <c r="AJ6553" s="183"/>
      <c r="AK6553" s="183"/>
      <c r="AL6553" s="183"/>
    </row>
    <row r="6554" spans="1:38">
      <c r="A6554" s="182"/>
      <c r="Q6554" s="183"/>
      <c r="R6554" s="183"/>
      <c r="S6554" s="183"/>
      <c r="AJ6554" s="183"/>
      <c r="AK6554" s="183"/>
      <c r="AL6554" s="183"/>
    </row>
    <row r="6555" spans="1:38">
      <c r="A6555" s="182"/>
      <c r="Q6555" s="183"/>
      <c r="R6555" s="183"/>
      <c r="S6555" s="183"/>
      <c r="AJ6555" s="183"/>
      <c r="AK6555" s="183"/>
      <c r="AL6555" s="183"/>
    </row>
    <row r="6556" spans="1:38">
      <c r="A6556" s="182"/>
      <c r="Q6556" s="183"/>
      <c r="R6556" s="183"/>
      <c r="S6556" s="183"/>
      <c r="AJ6556" s="183"/>
      <c r="AK6556" s="183"/>
      <c r="AL6556" s="183"/>
    </row>
    <row r="6557" spans="1:38">
      <c r="A6557" s="182"/>
      <c r="Q6557" s="183"/>
      <c r="R6557" s="183"/>
      <c r="S6557" s="183"/>
      <c r="AJ6557" s="183"/>
    </row>
    <row r="6558" spans="1:38">
      <c r="A6558" s="182"/>
      <c r="Q6558" s="183"/>
      <c r="R6558" s="183"/>
      <c r="S6558" s="183"/>
    </row>
    <row r="6559" spans="1:38">
      <c r="A6559" s="182"/>
      <c r="Q6559" s="183"/>
      <c r="R6559" s="183"/>
      <c r="S6559" s="183"/>
    </row>
    <row r="6560" spans="1:38">
      <c r="A6560" s="182"/>
      <c r="Q6560" s="183"/>
      <c r="R6560" s="183"/>
      <c r="S6560" s="183"/>
    </row>
    <row r="6561" spans="1:38">
      <c r="A6561" s="182"/>
      <c r="Q6561" s="183"/>
      <c r="R6561" s="183"/>
      <c r="S6561" s="183"/>
    </row>
    <row r="6562" spans="1:38">
      <c r="A6562" s="182"/>
      <c r="Q6562" s="183"/>
      <c r="R6562" s="183"/>
      <c r="S6562" s="183"/>
    </row>
    <row r="6563" spans="1:38">
      <c r="A6563" s="182"/>
      <c r="Q6563" s="183"/>
      <c r="R6563" s="183"/>
      <c r="S6563" s="183"/>
    </row>
    <row r="6564" spans="1:38">
      <c r="A6564" s="182"/>
      <c r="Q6564" s="183"/>
      <c r="R6564" s="183"/>
      <c r="S6564" s="183"/>
    </row>
    <row r="6565" spans="1:38">
      <c r="A6565" s="182"/>
      <c r="Q6565" s="183"/>
      <c r="R6565" s="183"/>
      <c r="S6565" s="183"/>
      <c r="AK6565" s="183"/>
      <c r="AL6565" s="183"/>
    </row>
    <row r="6566" spans="1:38">
      <c r="A6566" s="182"/>
      <c r="Q6566" s="183"/>
      <c r="R6566" s="183"/>
      <c r="S6566" s="183"/>
      <c r="AJ6566" s="183"/>
      <c r="AK6566" s="183"/>
      <c r="AL6566" s="183"/>
    </row>
    <row r="6567" spans="1:38">
      <c r="A6567" s="182"/>
      <c r="Q6567" s="183"/>
      <c r="R6567" s="183"/>
      <c r="S6567" s="183"/>
      <c r="AJ6567" s="183"/>
      <c r="AK6567" s="183"/>
      <c r="AL6567" s="183"/>
    </row>
    <row r="6568" spans="1:38">
      <c r="A6568" s="182"/>
      <c r="Q6568" s="183"/>
      <c r="R6568" s="183"/>
      <c r="S6568" s="183"/>
      <c r="AJ6568" s="183"/>
      <c r="AK6568" s="183"/>
      <c r="AL6568" s="183"/>
    </row>
    <row r="6569" spans="1:38">
      <c r="A6569" s="182"/>
      <c r="Q6569" s="183"/>
      <c r="R6569" s="183"/>
      <c r="S6569" s="183"/>
      <c r="AJ6569" s="183"/>
    </row>
    <row r="6570" spans="1:38">
      <c r="A6570" s="182"/>
      <c r="Q6570" s="183"/>
      <c r="R6570" s="183"/>
      <c r="S6570" s="183"/>
    </row>
    <row r="6571" spans="1:38">
      <c r="A6571" s="182"/>
      <c r="Q6571" s="183"/>
      <c r="R6571" s="183"/>
      <c r="S6571" s="183"/>
    </row>
    <row r="6572" spans="1:38">
      <c r="A6572" s="182"/>
      <c r="Q6572" s="183"/>
      <c r="R6572" s="183"/>
      <c r="S6572" s="183"/>
    </row>
    <row r="6573" spans="1:38">
      <c r="A6573" s="182"/>
      <c r="Q6573" s="183"/>
      <c r="R6573" s="183"/>
      <c r="S6573" s="183"/>
    </row>
    <row r="6574" spans="1:38">
      <c r="A6574" s="182"/>
      <c r="Q6574" s="183"/>
      <c r="R6574" s="183"/>
      <c r="S6574" s="183"/>
    </row>
    <row r="6575" spans="1:38">
      <c r="A6575" s="182"/>
      <c r="Q6575" s="183"/>
      <c r="R6575" s="183"/>
      <c r="S6575" s="183"/>
    </row>
    <row r="6576" spans="1:38">
      <c r="A6576" s="182"/>
      <c r="Q6576" s="183"/>
      <c r="R6576" s="183"/>
      <c r="S6576" s="183"/>
    </row>
    <row r="6577" spans="1:38">
      <c r="A6577" s="182"/>
      <c r="Q6577" s="183"/>
      <c r="R6577" s="183"/>
      <c r="S6577" s="183"/>
    </row>
    <row r="6578" spans="1:38">
      <c r="A6578" s="182"/>
      <c r="Q6578" s="183"/>
      <c r="R6578" s="183"/>
      <c r="S6578" s="183"/>
    </row>
    <row r="6579" spans="1:38">
      <c r="A6579" s="182"/>
      <c r="Q6579" s="183"/>
      <c r="R6579" s="183"/>
      <c r="S6579" s="183"/>
    </row>
    <row r="6580" spans="1:38">
      <c r="A6580" s="182"/>
      <c r="Q6580" s="183"/>
      <c r="R6580" s="183"/>
      <c r="S6580" s="183"/>
    </row>
    <row r="6581" spans="1:38">
      <c r="A6581" s="182"/>
      <c r="Q6581" s="183"/>
      <c r="R6581" s="183"/>
      <c r="S6581" s="183"/>
    </row>
    <row r="6582" spans="1:38">
      <c r="A6582" s="182"/>
      <c r="Q6582" s="183"/>
      <c r="R6582" s="183"/>
      <c r="S6582" s="183"/>
    </row>
    <row r="6583" spans="1:38">
      <c r="A6583" s="182"/>
      <c r="Q6583" s="183"/>
      <c r="R6583" s="183"/>
      <c r="S6583" s="183"/>
    </row>
    <row r="6584" spans="1:38">
      <c r="A6584" s="182"/>
      <c r="Q6584" s="183"/>
      <c r="R6584" s="183"/>
      <c r="S6584" s="183"/>
    </row>
    <row r="6585" spans="1:38">
      <c r="A6585" s="182"/>
      <c r="Q6585" s="183"/>
      <c r="R6585" s="183"/>
      <c r="S6585" s="183"/>
    </row>
    <row r="6586" spans="1:38">
      <c r="A6586" s="182"/>
      <c r="Q6586" s="183"/>
      <c r="R6586" s="183"/>
      <c r="S6586" s="183"/>
    </row>
    <row r="6587" spans="1:38">
      <c r="A6587" s="182"/>
      <c r="Q6587" s="183"/>
      <c r="R6587" s="183"/>
      <c r="S6587" s="183"/>
    </row>
    <row r="6588" spans="1:38">
      <c r="A6588" s="182"/>
      <c r="Q6588" s="183"/>
      <c r="R6588" s="183"/>
      <c r="S6588" s="183"/>
    </row>
    <row r="6589" spans="1:38">
      <c r="A6589" s="182"/>
      <c r="Q6589" s="183"/>
      <c r="R6589" s="183"/>
      <c r="S6589" s="183"/>
      <c r="AK6589" s="183"/>
      <c r="AL6589" s="183"/>
    </row>
    <row r="6590" spans="1:38">
      <c r="A6590" s="182"/>
      <c r="Q6590" s="183"/>
      <c r="R6590" s="183"/>
      <c r="S6590" s="183"/>
      <c r="AJ6590" s="183"/>
      <c r="AK6590" s="183"/>
      <c r="AL6590" s="183"/>
    </row>
    <row r="6591" spans="1:38">
      <c r="A6591" s="182"/>
      <c r="Q6591" s="183"/>
      <c r="R6591" s="183"/>
      <c r="S6591" s="183"/>
      <c r="AJ6591" s="183"/>
      <c r="AK6591" s="183"/>
      <c r="AL6591" s="183"/>
    </row>
    <row r="6592" spans="1:38">
      <c r="A6592" s="182"/>
      <c r="Q6592" s="183"/>
      <c r="R6592" s="183"/>
      <c r="S6592" s="183"/>
      <c r="AJ6592" s="183"/>
      <c r="AK6592" s="183"/>
      <c r="AL6592" s="183"/>
    </row>
    <row r="6593" spans="1:38">
      <c r="A6593" s="182"/>
      <c r="Q6593" s="183"/>
      <c r="R6593" s="183"/>
      <c r="S6593" s="183"/>
      <c r="AJ6593" s="183"/>
      <c r="AK6593" s="183"/>
      <c r="AL6593" s="183"/>
    </row>
    <row r="6594" spans="1:38">
      <c r="A6594" s="182"/>
      <c r="Q6594" s="183"/>
      <c r="R6594" s="183"/>
      <c r="S6594" s="183"/>
      <c r="AJ6594" s="183"/>
      <c r="AK6594" s="183"/>
      <c r="AL6594" s="183"/>
    </row>
    <row r="6595" spans="1:38">
      <c r="A6595" s="182"/>
      <c r="Q6595" s="183"/>
      <c r="R6595" s="183"/>
      <c r="S6595" s="183"/>
      <c r="AJ6595" s="183"/>
      <c r="AK6595" s="183"/>
      <c r="AL6595" s="183"/>
    </row>
    <row r="6596" spans="1:38">
      <c r="A6596" s="182"/>
      <c r="Q6596" s="183"/>
      <c r="R6596" s="183"/>
      <c r="S6596" s="183"/>
      <c r="AJ6596" s="183"/>
      <c r="AK6596" s="183"/>
      <c r="AL6596" s="183"/>
    </row>
    <row r="6597" spans="1:38">
      <c r="A6597" s="182"/>
      <c r="Q6597" s="183"/>
      <c r="R6597" s="183"/>
      <c r="S6597" s="183"/>
      <c r="AJ6597" s="183"/>
    </row>
    <row r="6598" spans="1:38">
      <c r="A6598" s="182"/>
      <c r="Q6598" s="183"/>
      <c r="R6598" s="183"/>
      <c r="S6598" s="183"/>
    </row>
    <row r="6599" spans="1:38">
      <c r="A6599" s="182"/>
      <c r="Q6599" s="183"/>
      <c r="R6599" s="183"/>
      <c r="S6599" s="183"/>
    </row>
    <row r="6600" spans="1:38">
      <c r="A6600" s="182"/>
      <c r="Q6600" s="183"/>
      <c r="R6600" s="183"/>
      <c r="S6600" s="183"/>
    </row>
    <row r="6601" spans="1:38">
      <c r="A6601" s="182"/>
      <c r="Q6601" s="183"/>
      <c r="R6601" s="183"/>
      <c r="S6601" s="183"/>
    </row>
    <row r="6602" spans="1:38">
      <c r="A6602" s="182"/>
      <c r="Q6602" s="183"/>
      <c r="R6602" s="183"/>
      <c r="S6602" s="183"/>
    </row>
    <row r="6603" spans="1:38">
      <c r="A6603" s="182"/>
      <c r="Q6603" s="183"/>
      <c r="R6603" s="183"/>
      <c r="S6603" s="183"/>
    </row>
    <row r="6604" spans="1:38">
      <c r="A6604" s="182"/>
      <c r="Q6604" s="183"/>
      <c r="R6604" s="183"/>
      <c r="S6604" s="183"/>
    </row>
    <row r="6605" spans="1:38">
      <c r="A6605" s="182"/>
      <c r="Q6605" s="183"/>
      <c r="R6605" s="183"/>
      <c r="S6605" s="183"/>
    </row>
    <row r="6606" spans="1:38">
      <c r="A6606" s="182"/>
      <c r="Q6606" s="183"/>
      <c r="R6606" s="183"/>
      <c r="S6606" s="183"/>
    </row>
    <row r="6607" spans="1:38">
      <c r="A6607" s="182"/>
      <c r="Q6607" s="183"/>
      <c r="R6607" s="183"/>
      <c r="S6607" s="183"/>
    </row>
    <row r="6608" spans="1:38">
      <c r="A6608" s="182"/>
      <c r="Q6608" s="183"/>
      <c r="R6608" s="183"/>
      <c r="S6608" s="183"/>
    </row>
    <row r="6609" spans="1:38">
      <c r="A6609" s="182"/>
      <c r="Q6609" s="183"/>
      <c r="R6609" s="183"/>
      <c r="S6609" s="183"/>
    </row>
    <row r="6610" spans="1:38">
      <c r="A6610" s="182"/>
      <c r="Q6610" s="183"/>
      <c r="R6610" s="183"/>
      <c r="S6610" s="183"/>
    </row>
    <row r="6611" spans="1:38">
      <c r="A6611" s="182"/>
      <c r="Q6611" s="183"/>
      <c r="R6611" s="183"/>
      <c r="S6611" s="183"/>
    </row>
    <row r="6612" spans="1:38">
      <c r="A6612" s="182"/>
      <c r="Q6612" s="183"/>
      <c r="R6612" s="183"/>
      <c r="S6612" s="183"/>
    </row>
    <row r="6613" spans="1:38">
      <c r="A6613" s="182"/>
      <c r="Q6613" s="183"/>
      <c r="R6613" s="183"/>
      <c r="S6613" s="183"/>
    </row>
    <row r="6614" spans="1:38">
      <c r="A6614" s="182"/>
      <c r="Q6614" s="183"/>
      <c r="R6614" s="183"/>
      <c r="S6614" s="183"/>
    </row>
    <row r="6615" spans="1:38">
      <c r="A6615" s="182"/>
      <c r="Q6615" s="183"/>
      <c r="R6615" s="183"/>
      <c r="S6615" s="183"/>
    </row>
    <row r="6616" spans="1:38">
      <c r="A6616" s="182"/>
      <c r="Q6616" s="183"/>
      <c r="R6616" s="183"/>
      <c r="S6616" s="183"/>
    </row>
    <row r="6617" spans="1:38">
      <c r="A6617" s="182"/>
      <c r="Q6617" s="183"/>
      <c r="R6617" s="183"/>
      <c r="S6617" s="183"/>
    </row>
    <row r="6618" spans="1:38">
      <c r="A6618" s="182"/>
      <c r="Q6618" s="183"/>
      <c r="R6618" s="183"/>
      <c r="S6618" s="183"/>
    </row>
    <row r="6619" spans="1:38">
      <c r="A6619" s="182"/>
      <c r="Q6619" s="183"/>
      <c r="R6619" s="183"/>
      <c r="S6619" s="183"/>
    </row>
    <row r="6620" spans="1:38">
      <c r="A6620" s="182"/>
      <c r="Q6620" s="183"/>
      <c r="R6620" s="183"/>
      <c r="S6620" s="183"/>
    </row>
    <row r="6621" spans="1:38">
      <c r="A6621" s="182"/>
      <c r="Q6621" s="183"/>
      <c r="R6621" s="183"/>
      <c r="S6621" s="183"/>
      <c r="AK6621" s="183"/>
      <c r="AL6621" s="183"/>
    </row>
    <row r="6622" spans="1:38">
      <c r="A6622" s="182"/>
      <c r="Q6622" s="183"/>
      <c r="R6622" s="183"/>
      <c r="S6622" s="183"/>
      <c r="AJ6622" s="183"/>
      <c r="AK6622" s="183"/>
      <c r="AL6622" s="183"/>
    </row>
    <row r="6623" spans="1:38">
      <c r="A6623" s="182"/>
      <c r="Q6623" s="183"/>
      <c r="R6623" s="183"/>
      <c r="S6623" s="183"/>
      <c r="AJ6623" s="183"/>
      <c r="AK6623" s="183"/>
      <c r="AL6623" s="183"/>
    </row>
    <row r="6624" spans="1:38">
      <c r="A6624" s="182"/>
      <c r="Q6624" s="183"/>
      <c r="R6624" s="183"/>
      <c r="S6624" s="183"/>
      <c r="AJ6624" s="183"/>
      <c r="AK6624" s="183"/>
      <c r="AL6624" s="183"/>
    </row>
    <row r="6625" spans="1:38">
      <c r="A6625" s="182"/>
      <c r="Q6625" s="183"/>
      <c r="R6625" s="183"/>
      <c r="S6625" s="183"/>
      <c r="AJ6625" s="183"/>
    </row>
    <row r="6626" spans="1:38">
      <c r="A6626" s="182"/>
      <c r="Q6626" s="183"/>
      <c r="R6626" s="183"/>
      <c r="S6626" s="183"/>
    </row>
    <row r="6627" spans="1:38">
      <c r="A6627" s="182"/>
      <c r="Q6627" s="183"/>
      <c r="R6627" s="183"/>
      <c r="S6627" s="183"/>
    </row>
    <row r="6628" spans="1:38">
      <c r="A6628" s="182"/>
      <c r="Q6628" s="183"/>
      <c r="R6628" s="183"/>
      <c r="S6628" s="183"/>
    </row>
    <row r="6629" spans="1:38">
      <c r="A6629" s="182"/>
      <c r="Q6629" s="183"/>
      <c r="R6629" s="183"/>
      <c r="S6629" s="183"/>
    </row>
    <row r="6630" spans="1:38">
      <c r="A6630" s="182"/>
      <c r="Q6630" s="183"/>
      <c r="R6630" s="183"/>
      <c r="S6630" s="183"/>
    </row>
    <row r="6631" spans="1:38">
      <c r="A6631" s="182"/>
      <c r="Q6631" s="183"/>
      <c r="R6631" s="183"/>
      <c r="S6631" s="183"/>
    </row>
    <row r="6632" spans="1:38">
      <c r="A6632" s="182"/>
      <c r="Q6632" s="183"/>
      <c r="R6632" s="183"/>
      <c r="S6632" s="183"/>
    </row>
    <row r="6633" spans="1:38">
      <c r="A6633" s="182"/>
      <c r="Q6633" s="183"/>
      <c r="R6633" s="183"/>
      <c r="S6633" s="183"/>
    </row>
    <row r="6634" spans="1:38">
      <c r="A6634" s="182"/>
      <c r="Q6634" s="183"/>
      <c r="R6634" s="183"/>
      <c r="S6634" s="183"/>
    </row>
    <row r="6635" spans="1:38">
      <c r="A6635" s="182"/>
      <c r="Q6635" s="183"/>
      <c r="R6635" s="183"/>
      <c r="S6635" s="183"/>
    </row>
    <row r="6636" spans="1:38">
      <c r="A6636" s="182"/>
      <c r="Q6636" s="183"/>
      <c r="R6636" s="183"/>
      <c r="S6636" s="183"/>
    </row>
    <row r="6637" spans="1:38">
      <c r="A6637" s="182"/>
      <c r="Q6637" s="183"/>
      <c r="R6637" s="183"/>
      <c r="S6637" s="183"/>
      <c r="AK6637" s="183"/>
      <c r="AL6637" s="183"/>
    </row>
    <row r="6638" spans="1:38">
      <c r="A6638" s="182"/>
      <c r="Q6638" s="183"/>
      <c r="R6638" s="183"/>
      <c r="S6638" s="183"/>
      <c r="AJ6638" s="183"/>
      <c r="AK6638" s="183"/>
      <c r="AL6638" s="183"/>
    </row>
    <row r="6639" spans="1:38">
      <c r="A6639" s="182"/>
      <c r="Q6639" s="183"/>
      <c r="R6639" s="183"/>
      <c r="S6639" s="183"/>
      <c r="AJ6639" s="183"/>
      <c r="AK6639" s="183"/>
      <c r="AL6639" s="183"/>
    </row>
    <row r="6640" spans="1:38">
      <c r="A6640" s="182"/>
      <c r="Q6640" s="183"/>
      <c r="R6640" s="183"/>
      <c r="S6640" s="183"/>
      <c r="AJ6640" s="183"/>
      <c r="AK6640" s="183"/>
      <c r="AL6640" s="183"/>
    </row>
    <row r="6641" spans="1:38">
      <c r="A6641" s="182"/>
      <c r="Q6641" s="183"/>
      <c r="R6641" s="183"/>
      <c r="S6641" s="183"/>
      <c r="AJ6641" s="183"/>
    </row>
    <row r="6642" spans="1:38">
      <c r="A6642" s="182"/>
      <c r="Q6642" s="183"/>
      <c r="R6642" s="183"/>
      <c r="S6642" s="183"/>
    </row>
    <row r="6643" spans="1:38">
      <c r="A6643" s="182"/>
      <c r="Q6643" s="183"/>
      <c r="R6643" s="183"/>
      <c r="S6643" s="183"/>
    </row>
    <row r="6644" spans="1:38">
      <c r="A6644" s="182"/>
      <c r="Q6644" s="183"/>
      <c r="R6644" s="183"/>
      <c r="S6644" s="183"/>
    </row>
    <row r="6645" spans="1:38">
      <c r="A6645" s="182"/>
      <c r="Q6645" s="183"/>
      <c r="R6645" s="183"/>
      <c r="S6645" s="183"/>
      <c r="AK6645" s="183"/>
      <c r="AL6645" s="183"/>
    </row>
    <row r="6646" spans="1:38">
      <c r="A6646" s="182"/>
      <c r="Q6646" s="183"/>
      <c r="R6646" s="183"/>
      <c r="S6646" s="183"/>
      <c r="AJ6646" s="183"/>
      <c r="AK6646" s="183"/>
      <c r="AL6646" s="183"/>
    </row>
    <row r="6647" spans="1:38">
      <c r="A6647" s="182"/>
      <c r="Q6647" s="183"/>
      <c r="R6647" s="183"/>
      <c r="S6647" s="183"/>
      <c r="AJ6647" s="183"/>
      <c r="AK6647" s="183"/>
      <c r="AL6647" s="183"/>
    </row>
    <row r="6648" spans="1:38">
      <c r="A6648" s="182"/>
      <c r="Q6648" s="183"/>
      <c r="R6648" s="183"/>
      <c r="S6648" s="183"/>
      <c r="AJ6648" s="183"/>
      <c r="AK6648" s="183"/>
      <c r="AL6648" s="183"/>
    </row>
    <row r="6649" spans="1:38">
      <c r="A6649" s="182"/>
      <c r="Q6649" s="183"/>
      <c r="R6649" s="183"/>
      <c r="S6649" s="183"/>
      <c r="AJ6649" s="183"/>
      <c r="AK6649" s="183"/>
      <c r="AL6649" s="183"/>
    </row>
    <row r="6650" spans="1:38">
      <c r="A6650" s="182"/>
      <c r="Q6650" s="183"/>
      <c r="R6650" s="183"/>
      <c r="S6650" s="183"/>
      <c r="AJ6650" s="183"/>
      <c r="AK6650" s="183"/>
      <c r="AL6650" s="183"/>
    </row>
    <row r="6651" spans="1:38">
      <c r="A6651" s="182"/>
      <c r="Q6651" s="183"/>
      <c r="R6651" s="183"/>
      <c r="S6651" s="183"/>
      <c r="AJ6651" s="183"/>
      <c r="AK6651" s="183"/>
      <c r="AL6651" s="183"/>
    </row>
    <row r="6652" spans="1:38">
      <c r="A6652" s="182"/>
      <c r="Q6652" s="183"/>
      <c r="R6652" s="183"/>
      <c r="S6652" s="183"/>
      <c r="AJ6652" s="183"/>
      <c r="AK6652" s="183"/>
      <c r="AL6652" s="183"/>
    </row>
    <row r="6653" spans="1:38">
      <c r="A6653" s="182"/>
      <c r="Q6653" s="183"/>
      <c r="R6653" s="183"/>
      <c r="S6653" s="183"/>
      <c r="AJ6653" s="183"/>
      <c r="AK6653" s="183"/>
      <c r="AL6653" s="183"/>
    </row>
    <row r="6654" spans="1:38">
      <c r="A6654" s="182"/>
      <c r="Q6654" s="183"/>
      <c r="R6654" s="183"/>
      <c r="S6654" s="183"/>
      <c r="AJ6654" s="183"/>
      <c r="AK6654" s="183"/>
      <c r="AL6654" s="183"/>
    </row>
    <row r="6655" spans="1:38">
      <c r="A6655" s="182"/>
      <c r="Q6655" s="183"/>
      <c r="R6655" s="183"/>
      <c r="S6655" s="183"/>
      <c r="AJ6655" s="183"/>
      <c r="AK6655" s="183"/>
      <c r="AL6655" s="183"/>
    </row>
    <row r="6656" spans="1:38">
      <c r="A6656" s="182"/>
      <c r="Q6656" s="183"/>
      <c r="R6656" s="183"/>
      <c r="S6656" s="183"/>
      <c r="AJ6656" s="183"/>
      <c r="AK6656" s="183"/>
      <c r="AL6656" s="183"/>
    </row>
    <row r="6657" spans="1:38">
      <c r="A6657" s="182"/>
      <c r="Q6657" s="183"/>
      <c r="R6657" s="183"/>
      <c r="S6657" s="183"/>
      <c r="AJ6657" s="183"/>
      <c r="AK6657" s="183"/>
      <c r="AL6657" s="183"/>
    </row>
    <row r="6658" spans="1:38">
      <c r="A6658" s="182"/>
      <c r="Q6658" s="183"/>
      <c r="R6658" s="183"/>
      <c r="S6658" s="183"/>
      <c r="AJ6658" s="183"/>
      <c r="AK6658" s="183"/>
      <c r="AL6658" s="183"/>
    </row>
    <row r="6659" spans="1:38">
      <c r="A6659" s="182"/>
      <c r="Q6659" s="183"/>
      <c r="R6659" s="183"/>
      <c r="S6659" s="183"/>
      <c r="AJ6659" s="183"/>
      <c r="AK6659" s="183"/>
      <c r="AL6659" s="183"/>
    </row>
    <row r="6660" spans="1:38">
      <c r="A6660" s="182"/>
      <c r="Q6660" s="183"/>
      <c r="R6660" s="183"/>
      <c r="S6660" s="183"/>
      <c r="AJ6660" s="183"/>
      <c r="AK6660" s="183"/>
      <c r="AL6660" s="183"/>
    </row>
    <row r="6661" spans="1:38">
      <c r="A6661" s="182"/>
      <c r="Q6661" s="183"/>
      <c r="R6661" s="183"/>
      <c r="S6661" s="183"/>
      <c r="AJ6661" s="183"/>
    </row>
    <row r="6662" spans="1:38">
      <c r="A6662" s="182"/>
      <c r="Q6662" s="183"/>
      <c r="R6662" s="183"/>
      <c r="S6662" s="183"/>
    </row>
    <row r="6663" spans="1:38">
      <c r="A6663" s="182"/>
      <c r="Q6663" s="183"/>
      <c r="R6663" s="183"/>
      <c r="S6663" s="183"/>
    </row>
    <row r="6664" spans="1:38">
      <c r="A6664" s="182"/>
      <c r="Q6664" s="183"/>
      <c r="R6664" s="183"/>
      <c r="S6664" s="183"/>
    </row>
    <row r="6665" spans="1:38">
      <c r="A6665" s="182"/>
      <c r="Q6665" s="183"/>
      <c r="R6665" s="183"/>
      <c r="S6665" s="183"/>
      <c r="AK6665" s="183"/>
      <c r="AL6665" s="183"/>
    </row>
    <row r="6666" spans="1:38">
      <c r="A6666" s="182"/>
      <c r="Q6666" s="183"/>
      <c r="R6666" s="183"/>
      <c r="S6666" s="183"/>
      <c r="AJ6666" s="183"/>
      <c r="AK6666" s="183"/>
      <c r="AL6666" s="183"/>
    </row>
    <row r="6667" spans="1:38">
      <c r="A6667" s="182"/>
      <c r="Q6667" s="183"/>
      <c r="R6667" s="183"/>
      <c r="S6667" s="183"/>
      <c r="AJ6667" s="183"/>
      <c r="AK6667" s="183"/>
      <c r="AL6667" s="183"/>
    </row>
    <row r="6668" spans="1:38">
      <c r="A6668" s="182"/>
      <c r="Q6668" s="183"/>
      <c r="R6668" s="183"/>
      <c r="S6668" s="183"/>
      <c r="AJ6668" s="183"/>
      <c r="AK6668" s="183"/>
      <c r="AL6668" s="183"/>
    </row>
    <row r="6669" spans="1:38">
      <c r="A6669" s="182"/>
      <c r="Q6669" s="183"/>
      <c r="R6669" s="183"/>
      <c r="S6669" s="183"/>
      <c r="AJ6669" s="183"/>
    </row>
    <row r="6670" spans="1:38">
      <c r="A6670" s="182"/>
      <c r="Q6670" s="183"/>
      <c r="R6670" s="183"/>
      <c r="S6670" s="183"/>
    </row>
    <row r="6671" spans="1:38">
      <c r="A6671" s="182"/>
      <c r="Q6671" s="183"/>
      <c r="R6671" s="183"/>
      <c r="S6671" s="183"/>
    </row>
    <row r="6672" spans="1:38">
      <c r="A6672" s="182"/>
      <c r="Q6672" s="183"/>
      <c r="R6672" s="183"/>
      <c r="S6672" s="183"/>
    </row>
    <row r="6673" spans="1:38">
      <c r="A6673" s="182"/>
      <c r="Q6673" s="183"/>
      <c r="R6673" s="183"/>
      <c r="S6673" s="183"/>
    </row>
    <row r="6674" spans="1:38">
      <c r="A6674" s="182"/>
      <c r="Q6674" s="183"/>
      <c r="R6674" s="183"/>
      <c r="S6674" s="183"/>
    </row>
    <row r="6675" spans="1:38">
      <c r="A6675" s="182"/>
      <c r="Q6675" s="183"/>
      <c r="R6675" s="183"/>
      <c r="S6675" s="183"/>
    </row>
    <row r="6676" spans="1:38">
      <c r="A6676" s="182"/>
      <c r="Q6676" s="183"/>
      <c r="R6676" s="183"/>
      <c r="S6676" s="183"/>
    </row>
    <row r="6677" spans="1:38">
      <c r="A6677" s="182"/>
      <c r="Q6677" s="183"/>
      <c r="R6677" s="183"/>
      <c r="S6677" s="183"/>
    </row>
    <row r="6678" spans="1:38">
      <c r="A6678" s="182"/>
      <c r="Q6678" s="183"/>
      <c r="R6678" s="183"/>
      <c r="S6678" s="183"/>
    </row>
    <row r="6679" spans="1:38">
      <c r="A6679" s="182"/>
      <c r="Q6679" s="183"/>
      <c r="R6679" s="183"/>
      <c r="S6679" s="183"/>
    </row>
    <row r="6680" spans="1:38">
      <c r="A6680" s="182"/>
      <c r="Q6680" s="183"/>
      <c r="R6680" s="183"/>
      <c r="S6680" s="183"/>
    </row>
    <row r="6681" spans="1:38">
      <c r="A6681" s="182"/>
      <c r="Q6681" s="183"/>
      <c r="R6681" s="183"/>
      <c r="S6681" s="183"/>
    </row>
    <row r="6682" spans="1:38">
      <c r="A6682" s="182"/>
      <c r="Q6682" s="183"/>
      <c r="R6682" s="183"/>
      <c r="S6682" s="183"/>
    </row>
    <row r="6683" spans="1:38">
      <c r="A6683" s="182"/>
      <c r="Q6683" s="183"/>
      <c r="R6683" s="183"/>
      <c r="S6683" s="183"/>
    </row>
    <row r="6684" spans="1:38">
      <c r="A6684" s="182"/>
      <c r="Q6684" s="183"/>
      <c r="R6684" s="183"/>
      <c r="S6684" s="183"/>
    </row>
    <row r="6685" spans="1:38">
      <c r="A6685" s="182"/>
      <c r="Q6685" s="183"/>
      <c r="R6685" s="183"/>
      <c r="S6685" s="183"/>
      <c r="AK6685" s="183"/>
      <c r="AL6685" s="183"/>
    </row>
    <row r="6686" spans="1:38">
      <c r="A6686" s="182"/>
      <c r="Q6686" s="183"/>
      <c r="R6686" s="183"/>
      <c r="S6686" s="183"/>
      <c r="AJ6686" s="183"/>
      <c r="AK6686" s="183"/>
      <c r="AL6686" s="183"/>
    </row>
    <row r="6687" spans="1:38">
      <c r="A6687" s="182"/>
      <c r="Q6687" s="183"/>
      <c r="R6687" s="183"/>
      <c r="S6687" s="183"/>
      <c r="AJ6687" s="183"/>
      <c r="AK6687" s="183"/>
      <c r="AL6687" s="183"/>
    </row>
    <row r="6688" spans="1:38">
      <c r="A6688" s="182"/>
      <c r="Q6688" s="183"/>
      <c r="R6688" s="183"/>
      <c r="S6688" s="183"/>
      <c r="AJ6688" s="183"/>
      <c r="AK6688" s="183"/>
      <c r="AL6688" s="183"/>
    </row>
    <row r="6689" spans="1:36">
      <c r="A6689" s="182"/>
      <c r="Q6689" s="183"/>
      <c r="R6689" s="183"/>
      <c r="S6689" s="183"/>
      <c r="AJ6689" s="183"/>
    </row>
    <row r="6690" spans="1:36">
      <c r="A6690" s="182"/>
      <c r="Q6690" s="183"/>
      <c r="R6690" s="183"/>
      <c r="S6690" s="183"/>
    </row>
    <row r="6691" spans="1:36">
      <c r="A6691" s="182"/>
      <c r="Q6691" s="183"/>
      <c r="R6691" s="183"/>
      <c r="S6691" s="183"/>
    </row>
    <row r="6692" spans="1:36">
      <c r="A6692" s="182"/>
      <c r="Q6692" s="183"/>
      <c r="R6692" s="183"/>
      <c r="S6692" s="183"/>
    </row>
    <row r="6693" spans="1:36">
      <c r="A6693" s="182"/>
      <c r="Q6693" s="183"/>
      <c r="R6693" s="183"/>
      <c r="S6693" s="183"/>
    </row>
    <row r="6694" spans="1:36">
      <c r="A6694" s="182"/>
      <c r="Q6694" s="183"/>
      <c r="R6694" s="183"/>
      <c r="S6694" s="183"/>
    </row>
    <row r="6695" spans="1:36">
      <c r="A6695" s="182"/>
      <c r="Q6695" s="183"/>
      <c r="R6695" s="183"/>
      <c r="S6695" s="183"/>
    </row>
    <row r="6696" spans="1:36">
      <c r="A6696" s="182"/>
      <c r="Q6696" s="183"/>
      <c r="R6696" s="183"/>
      <c r="S6696" s="183"/>
    </row>
    <row r="6697" spans="1:36">
      <c r="A6697" s="182"/>
      <c r="Q6697" s="183"/>
      <c r="R6697" s="183"/>
      <c r="S6697" s="183"/>
    </row>
    <row r="6698" spans="1:36">
      <c r="A6698" s="182"/>
      <c r="Q6698" s="183"/>
      <c r="R6698" s="183"/>
      <c r="S6698" s="183"/>
    </row>
    <row r="6699" spans="1:36">
      <c r="A6699" s="182"/>
      <c r="Q6699" s="183"/>
      <c r="R6699" s="183"/>
      <c r="S6699" s="183"/>
    </row>
    <row r="6700" spans="1:36">
      <c r="A6700" s="182"/>
      <c r="Q6700" s="183"/>
      <c r="R6700" s="183"/>
      <c r="S6700" s="183"/>
    </row>
    <row r="6701" spans="1:36">
      <c r="A6701" s="182"/>
      <c r="Q6701" s="183"/>
      <c r="R6701" s="183"/>
      <c r="S6701" s="183"/>
    </row>
    <row r="6702" spans="1:36">
      <c r="A6702" s="182"/>
      <c r="Q6702" s="183"/>
      <c r="R6702" s="183"/>
      <c r="S6702" s="183"/>
    </row>
    <row r="6703" spans="1:36">
      <c r="A6703" s="182"/>
      <c r="Q6703" s="183"/>
      <c r="R6703" s="183"/>
      <c r="S6703" s="183"/>
    </row>
    <row r="6704" spans="1:36">
      <c r="A6704" s="182"/>
      <c r="Q6704" s="183"/>
      <c r="R6704" s="183"/>
      <c r="S6704" s="183"/>
    </row>
    <row r="6705" spans="1:19">
      <c r="A6705" s="182"/>
      <c r="Q6705" s="183"/>
      <c r="R6705" s="183"/>
      <c r="S6705" s="183"/>
    </row>
    <row r="6706" spans="1:19">
      <c r="A6706" s="182"/>
      <c r="Q6706" s="183"/>
      <c r="R6706" s="183"/>
      <c r="S6706" s="183"/>
    </row>
    <row r="6707" spans="1:19">
      <c r="A6707" s="182"/>
      <c r="Q6707" s="183"/>
      <c r="R6707" s="183"/>
      <c r="S6707" s="183"/>
    </row>
    <row r="6708" spans="1:19">
      <c r="A6708" s="182"/>
      <c r="Q6708" s="183"/>
      <c r="R6708" s="183"/>
      <c r="S6708" s="183"/>
    </row>
    <row r="6709" spans="1:19">
      <c r="A6709" s="182"/>
      <c r="Q6709" s="183"/>
      <c r="R6709" s="183"/>
      <c r="S6709" s="183"/>
    </row>
    <row r="6710" spans="1:19">
      <c r="A6710" s="182"/>
      <c r="Q6710" s="183"/>
      <c r="R6710" s="183"/>
      <c r="S6710" s="183"/>
    </row>
    <row r="6711" spans="1:19">
      <c r="A6711" s="182"/>
      <c r="Q6711" s="183"/>
      <c r="R6711" s="183"/>
      <c r="S6711" s="183"/>
    </row>
    <row r="6712" spans="1:19">
      <c r="A6712" s="182"/>
      <c r="Q6712" s="183"/>
      <c r="R6712" s="183"/>
      <c r="S6712" s="183"/>
    </row>
    <row r="6713" spans="1:19">
      <c r="A6713" s="182"/>
      <c r="Q6713" s="183"/>
      <c r="R6713" s="183"/>
      <c r="S6713" s="183"/>
    </row>
    <row r="6714" spans="1:19">
      <c r="A6714" s="182"/>
      <c r="Q6714" s="183"/>
      <c r="R6714" s="183"/>
      <c r="S6714" s="183"/>
    </row>
    <row r="6715" spans="1:19">
      <c r="A6715" s="182"/>
      <c r="Q6715" s="183"/>
      <c r="R6715" s="183"/>
      <c r="S6715" s="183"/>
    </row>
    <row r="6716" spans="1:19">
      <c r="A6716" s="182"/>
      <c r="Q6716" s="183"/>
      <c r="R6716" s="183"/>
      <c r="S6716" s="183"/>
    </row>
    <row r="6717" spans="1:19">
      <c r="A6717" s="182"/>
      <c r="Q6717" s="183"/>
      <c r="R6717" s="183"/>
      <c r="S6717" s="183"/>
    </row>
    <row r="6718" spans="1:19">
      <c r="A6718" s="182"/>
      <c r="Q6718" s="183"/>
      <c r="R6718" s="183"/>
      <c r="S6718" s="183"/>
    </row>
    <row r="6719" spans="1:19">
      <c r="A6719" s="182"/>
      <c r="Q6719" s="183"/>
      <c r="R6719" s="183"/>
      <c r="S6719" s="183"/>
    </row>
    <row r="6720" spans="1:19">
      <c r="A6720" s="182"/>
      <c r="Q6720" s="183"/>
      <c r="R6720" s="183"/>
      <c r="S6720" s="183"/>
    </row>
    <row r="6721" spans="1:19">
      <c r="A6721" s="182"/>
      <c r="Q6721" s="183"/>
      <c r="R6721" s="183"/>
      <c r="S6721" s="183"/>
    </row>
    <row r="6722" spans="1:19">
      <c r="A6722" s="182"/>
      <c r="Q6722" s="183"/>
      <c r="R6722" s="183"/>
      <c r="S6722" s="183"/>
    </row>
    <row r="6723" spans="1:19">
      <c r="A6723" s="182"/>
      <c r="Q6723" s="183"/>
      <c r="R6723" s="183"/>
      <c r="S6723" s="183"/>
    </row>
    <row r="6724" spans="1:19">
      <c r="A6724" s="182"/>
      <c r="Q6724" s="183"/>
      <c r="R6724" s="183"/>
      <c r="S6724" s="183"/>
    </row>
    <row r="6725" spans="1:19">
      <c r="A6725" s="182"/>
      <c r="Q6725" s="183"/>
      <c r="R6725" s="183"/>
      <c r="S6725" s="183"/>
    </row>
    <row r="6726" spans="1:19">
      <c r="A6726" s="182"/>
      <c r="Q6726" s="183"/>
      <c r="R6726" s="183"/>
      <c r="S6726" s="183"/>
    </row>
    <row r="6727" spans="1:19">
      <c r="A6727" s="182"/>
      <c r="Q6727" s="183"/>
      <c r="R6727" s="183"/>
      <c r="S6727" s="183"/>
    </row>
    <row r="6728" spans="1:19">
      <c r="A6728" s="182"/>
      <c r="Q6728" s="183"/>
      <c r="R6728" s="183"/>
      <c r="S6728" s="183"/>
    </row>
    <row r="6729" spans="1:19">
      <c r="A6729" s="182"/>
      <c r="Q6729" s="183"/>
      <c r="R6729" s="183"/>
      <c r="S6729" s="183"/>
    </row>
    <row r="6730" spans="1:19">
      <c r="A6730" s="182"/>
      <c r="Q6730" s="183"/>
      <c r="R6730" s="183"/>
      <c r="S6730" s="183"/>
    </row>
    <row r="6731" spans="1:19">
      <c r="A6731" s="182"/>
      <c r="Q6731" s="183"/>
      <c r="R6731" s="183"/>
      <c r="S6731" s="183"/>
    </row>
    <row r="6732" spans="1:19">
      <c r="A6732" s="182"/>
      <c r="Q6732" s="183"/>
      <c r="R6732" s="183"/>
      <c r="S6732" s="183"/>
    </row>
    <row r="6733" spans="1:19">
      <c r="A6733" s="182"/>
      <c r="Q6733" s="183"/>
      <c r="R6733" s="183"/>
      <c r="S6733" s="183"/>
    </row>
    <row r="6734" spans="1:19">
      <c r="A6734" s="182"/>
      <c r="Q6734" s="183"/>
      <c r="R6734" s="183"/>
      <c r="S6734" s="183"/>
    </row>
    <row r="6735" spans="1:19">
      <c r="A6735" s="182"/>
      <c r="Q6735" s="183"/>
      <c r="R6735" s="183"/>
      <c r="S6735" s="183"/>
    </row>
    <row r="6736" spans="1:19">
      <c r="A6736" s="182"/>
      <c r="Q6736" s="183"/>
      <c r="R6736" s="183"/>
      <c r="S6736" s="183"/>
    </row>
    <row r="6737" spans="1:38">
      <c r="A6737" s="182"/>
      <c r="Q6737" s="183"/>
      <c r="R6737" s="183"/>
      <c r="S6737" s="183"/>
      <c r="AK6737" s="183"/>
      <c r="AL6737" s="183"/>
    </row>
    <row r="6738" spans="1:38">
      <c r="A6738" s="182"/>
      <c r="Q6738" s="183"/>
      <c r="R6738" s="183"/>
      <c r="S6738" s="183"/>
      <c r="AJ6738" s="183"/>
      <c r="AK6738" s="183"/>
      <c r="AL6738" s="183"/>
    </row>
    <row r="6739" spans="1:38">
      <c r="A6739" s="182"/>
      <c r="Q6739" s="183"/>
      <c r="R6739" s="183"/>
      <c r="S6739" s="183"/>
      <c r="AJ6739" s="183"/>
      <c r="AK6739" s="183"/>
      <c r="AL6739" s="183"/>
    </row>
    <row r="6740" spans="1:38">
      <c r="A6740" s="182"/>
      <c r="Q6740" s="183"/>
      <c r="R6740" s="183"/>
      <c r="S6740" s="183"/>
      <c r="AJ6740" s="183"/>
      <c r="AK6740" s="183"/>
      <c r="AL6740" s="183"/>
    </row>
    <row r="6741" spans="1:38">
      <c r="A6741" s="182"/>
      <c r="Q6741" s="183"/>
      <c r="R6741" s="183"/>
      <c r="S6741" s="183"/>
      <c r="AJ6741" s="183"/>
    </row>
    <row r="6742" spans="1:38">
      <c r="A6742" s="182"/>
      <c r="Q6742" s="183"/>
      <c r="R6742" s="183"/>
      <c r="S6742" s="183"/>
    </row>
    <row r="6743" spans="1:38">
      <c r="A6743" s="182"/>
      <c r="Q6743" s="183"/>
      <c r="R6743" s="183"/>
      <c r="S6743" s="183"/>
    </row>
    <row r="6744" spans="1:38">
      <c r="A6744" s="182"/>
      <c r="Q6744" s="183"/>
      <c r="R6744" s="183"/>
      <c r="S6744" s="183"/>
    </row>
    <row r="6745" spans="1:38">
      <c r="A6745" s="182"/>
      <c r="Q6745" s="183"/>
      <c r="R6745" s="183"/>
      <c r="S6745" s="183"/>
    </row>
    <row r="6746" spans="1:38">
      <c r="A6746" s="182"/>
      <c r="Q6746" s="183"/>
      <c r="R6746" s="183"/>
      <c r="S6746" s="183"/>
    </row>
    <row r="6747" spans="1:38">
      <c r="A6747" s="182"/>
      <c r="Q6747" s="183"/>
      <c r="R6747" s="183"/>
      <c r="S6747" s="183"/>
    </row>
    <row r="6748" spans="1:38">
      <c r="A6748" s="182"/>
      <c r="Q6748" s="183"/>
      <c r="R6748" s="183"/>
      <c r="S6748" s="183"/>
    </row>
    <row r="6749" spans="1:38">
      <c r="A6749" s="182"/>
      <c r="Q6749" s="183"/>
      <c r="R6749" s="183"/>
      <c r="S6749" s="183"/>
    </row>
    <row r="6750" spans="1:38">
      <c r="A6750" s="182"/>
      <c r="Q6750" s="183"/>
      <c r="R6750" s="183"/>
      <c r="S6750" s="183"/>
    </row>
    <row r="6751" spans="1:38">
      <c r="A6751" s="182"/>
      <c r="Q6751" s="183"/>
      <c r="R6751" s="183"/>
      <c r="S6751" s="183"/>
    </row>
    <row r="6752" spans="1:38">
      <c r="A6752" s="182"/>
      <c r="Q6752" s="183"/>
      <c r="R6752" s="183"/>
      <c r="S6752" s="183"/>
    </row>
    <row r="6753" spans="1:38">
      <c r="A6753" s="182"/>
      <c r="Q6753" s="183"/>
      <c r="R6753" s="183"/>
      <c r="S6753" s="183"/>
      <c r="AK6753" s="183"/>
      <c r="AL6753" s="183"/>
    </row>
    <row r="6754" spans="1:38">
      <c r="A6754" s="182"/>
      <c r="Q6754" s="183"/>
      <c r="R6754" s="183"/>
      <c r="S6754" s="183"/>
      <c r="AJ6754" s="183"/>
      <c r="AK6754" s="183"/>
      <c r="AL6754" s="183"/>
    </row>
    <row r="6755" spans="1:38">
      <c r="A6755" s="182"/>
      <c r="Q6755" s="183"/>
      <c r="R6755" s="183"/>
      <c r="S6755" s="183"/>
      <c r="AJ6755" s="183"/>
      <c r="AK6755" s="183"/>
      <c r="AL6755" s="183"/>
    </row>
    <row r="6756" spans="1:38">
      <c r="A6756" s="182"/>
      <c r="Q6756" s="183"/>
      <c r="R6756" s="183"/>
      <c r="S6756" s="183"/>
      <c r="AJ6756" s="183"/>
      <c r="AK6756" s="183"/>
      <c r="AL6756" s="183"/>
    </row>
    <row r="6757" spans="1:38">
      <c r="A6757" s="182"/>
      <c r="Q6757" s="183"/>
      <c r="R6757" s="183"/>
      <c r="S6757" s="183"/>
      <c r="AJ6757" s="183"/>
    </row>
    <row r="6758" spans="1:38">
      <c r="A6758" s="182"/>
      <c r="Q6758" s="183"/>
      <c r="R6758" s="183"/>
      <c r="S6758" s="183"/>
    </row>
    <row r="6759" spans="1:38">
      <c r="A6759" s="182"/>
      <c r="Q6759" s="183"/>
      <c r="R6759" s="183"/>
      <c r="S6759" s="183"/>
    </row>
    <row r="6760" spans="1:38">
      <c r="A6760" s="182"/>
      <c r="Q6760" s="183"/>
      <c r="R6760" s="183"/>
      <c r="S6760" s="183"/>
    </row>
    <row r="6761" spans="1:38">
      <c r="A6761" s="182"/>
      <c r="Q6761" s="183"/>
      <c r="R6761" s="183"/>
      <c r="S6761" s="183"/>
    </row>
    <row r="6762" spans="1:38">
      <c r="A6762" s="182"/>
      <c r="Q6762" s="183"/>
      <c r="R6762" s="183"/>
      <c r="S6762" s="183"/>
    </row>
    <row r="6763" spans="1:38">
      <c r="A6763" s="182"/>
      <c r="Q6763" s="183"/>
      <c r="R6763" s="183"/>
      <c r="S6763" s="183"/>
    </row>
    <row r="6764" spans="1:38">
      <c r="A6764" s="182"/>
      <c r="Q6764" s="183"/>
      <c r="R6764" s="183"/>
      <c r="S6764" s="183"/>
    </row>
    <row r="6765" spans="1:38">
      <c r="A6765" s="182"/>
      <c r="Q6765" s="183"/>
      <c r="R6765" s="183"/>
      <c r="S6765" s="183"/>
    </row>
    <row r="6766" spans="1:38">
      <c r="A6766" s="182"/>
      <c r="Q6766" s="183"/>
      <c r="R6766" s="183"/>
      <c r="S6766" s="183"/>
    </row>
    <row r="6767" spans="1:38">
      <c r="A6767" s="182"/>
      <c r="Q6767" s="183"/>
      <c r="R6767" s="183"/>
      <c r="S6767" s="183"/>
    </row>
    <row r="6768" spans="1:38">
      <c r="A6768" s="182"/>
      <c r="Q6768" s="183"/>
      <c r="R6768" s="183"/>
      <c r="S6768" s="183"/>
    </row>
    <row r="6769" spans="1:19">
      <c r="A6769" s="182"/>
      <c r="Q6769" s="183"/>
      <c r="R6769" s="183"/>
      <c r="S6769" s="183"/>
    </row>
    <row r="6770" spans="1:19">
      <c r="A6770" s="182"/>
      <c r="Q6770" s="183"/>
      <c r="R6770" s="183"/>
      <c r="S6770" s="183"/>
    </row>
    <row r="6771" spans="1:19">
      <c r="A6771" s="182"/>
      <c r="Q6771" s="183"/>
      <c r="R6771" s="183"/>
      <c r="S6771" s="183"/>
    </row>
    <row r="6772" spans="1:19">
      <c r="A6772" s="182"/>
      <c r="Q6772" s="183"/>
      <c r="R6772" s="183"/>
      <c r="S6772" s="183"/>
    </row>
    <row r="6773" spans="1:19">
      <c r="A6773" s="182"/>
      <c r="Q6773" s="183"/>
      <c r="R6773" s="183"/>
      <c r="S6773" s="183"/>
    </row>
    <row r="6774" spans="1:19">
      <c r="A6774" s="182"/>
      <c r="Q6774" s="183"/>
      <c r="R6774" s="183"/>
      <c r="S6774" s="183"/>
    </row>
    <row r="6775" spans="1:19">
      <c r="A6775" s="182"/>
      <c r="Q6775" s="183"/>
      <c r="R6775" s="183"/>
      <c r="S6775" s="183"/>
    </row>
    <row r="6776" spans="1:19">
      <c r="A6776" s="182"/>
      <c r="Q6776" s="183"/>
      <c r="R6776" s="183"/>
      <c r="S6776" s="183"/>
    </row>
    <row r="6777" spans="1:19">
      <c r="A6777" s="182"/>
      <c r="Q6777" s="183"/>
      <c r="R6777" s="183"/>
      <c r="S6777" s="183"/>
    </row>
    <row r="6778" spans="1:19">
      <c r="A6778" s="182"/>
      <c r="Q6778" s="183"/>
      <c r="R6778" s="183"/>
      <c r="S6778" s="183"/>
    </row>
    <row r="6779" spans="1:19">
      <c r="A6779" s="182"/>
      <c r="Q6779" s="183"/>
      <c r="R6779" s="183"/>
      <c r="S6779" s="183"/>
    </row>
    <row r="6780" spans="1:19">
      <c r="A6780" s="182"/>
      <c r="Q6780" s="183"/>
      <c r="R6780" s="183"/>
      <c r="S6780" s="183"/>
    </row>
    <row r="6781" spans="1:19">
      <c r="A6781" s="182"/>
      <c r="Q6781" s="183"/>
      <c r="R6781" s="183"/>
      <c r="S6781" s="183"/>
    </row>
    <row r="6782" spans="1:19">
      <c r="A6782" s="182"/>
      <c r="Q6782" s="183"/>
      <c r="R6782" s="183"/>
      <c r="S6782" s="183"/>
    </row>
    <row r="6783" spans="1:19">
      <c r="A6783" s="182"/>
      <c r="Q6783" s="183"/>
      <c r="R6783" s="183"/>
      <c r="S6783" s="183"/>
    </row>
    <row r="6784" spans="1:19">
      <c r="A6784" s="182"/>
      <c r="Q6784" s="183"/>
      <c r="R6784" s="183"/>
      <c r="S6784" s="183"/>
    </row>
    <row r="6785" spans="1:19">
      <c r="A6785" s="182"/>
      <c r="Q6785" s="183"/>
      <c r="R6785" s="183"/>
      <c r="S6785" s="183"/>
    </row>
    <row r="6786" spans="1:19">
      <c r="A6786" s="182"/>
      <c r="Q6786" s="183"/>
      <c r="R6786" s="183"/>
      <c r="S6786" s="183"/>
    </row>
    <row r="6787" spans="1:19">
      <c r="A6787" s="182"/>
      <c r="Q6787" s="183"/>
      <c r="R6787" s="183"/>
      <c r="S6787" s="183"/>
    </row>
    <row r="6788" spans="1:19">
      <c r="A6788" s="182"/>
      <c r="Q6788" s="183"/>
      <c r="R6788" s="183"/>
      <c r="S6788" s="183"/>
    </row>
    <row r="6789" spans="1:19">
      <c r="A6789" s="182"/>
      <c r="Q6789" s="183"/>
      <c r="R6789" s="183"/>
      <c r="S6789" s="183"/>
    </row>
    <row r="6790" spans="1:19">
      <c r="A6790" s="182"/>
      <c r="Q6790" s="183"/>
      <c r="R6790" s="183"/>
      <c r="S6790" s="183"/>
    </row>
    <row r="6791" spans="1:19">
      <c r="A6791" s="182"/>
      <c r="Q6791" s="183"/>
      <c r="R6791" s="183"/>
      <c r="S6791" s="183"/>
    </row>
    <row r="6792" spans="1:19">
      <c r="A6792" s="182"/>
      <c r="Q6792" s="183"/>
      <c r="R6792" s="183"/>
      <c r="S6792" s="183"/>
    </row>
    <row r="6793" spans="1:19">
      <c r="A6793" s="182"/>
      <c r="Q6793" s="183"/>
      <c r="R6793" s="183"/>
      <c r="S6793" s="183"/>
    </row>
    <row r="6794" spans="1:19">
      <c r="A6794" s="182"/>
      <c r="Q6794" s="183"/>
      <c r="R6794" s="183"/>
      <c r="S6794" s="183"/>
    </row>
    <row r="6795" spans="1:19">
      <c r="A6795" s="182"/>
      <c r="Q6795" s="183"/>
      <c r="R6795" s="183"/>
      <c r="S6795" s="183"/>
    </row>
    <row r="6796" spans="1:19">
      <c r="A6796" s="182"/>
      <c r="Q6796" s="183"/>
      <c r="R6796" s="183"/>
      <c r="S6796" s="183"/>
    </row>
    <row r="6797" spans="1:19">
      <c r="A6797" s="182"/>
      <c r="Q6797" s="183"/>
      <c r="R6797" s="183"/>
      <c r="S6797" s="183"/>
    </row>
    <row r="6798" spans="1:19">
      <c r="A6798" s="182"/>
      <c r="Q6798" s="183"/>
      <c r="R6798" s="183"/>
      <c r="S6798" s="183"/>
    </row>
    <row r="6799" spans="1:19">
      <c r="A6799" s="182"/>
      <c r="Q6799" s="183"/>
      <c r="R6799" s="183"/>
      <c r="S6799" s="183"/>
    </row>
    <row r="6800" spans="1:19">
      <c r="A6800" s="182"/>
      <c r="Q6800" s="183"/>
      <c r="R6800" s="183"/>
      <c r="S6800" s="183"/>
    </row>
    <row r="6801" spans="1:38">
      <c r="A6801" s="182"/>
      <c r="Q6801" s="183"/>
      <c r="R6801" s="183"/>
      <c r="S6801" s="183"/>
    </row>
    <row r="6802" spans="1:38">
      <c r="A6802" s="182"/>
      <c r="Q6802" s="183"/>
      <c r="R6802" s="183"/>
      <c r="S6802" s="183"/>
    </row>
    <row r="6803" spans="1:38">
      <c r="A6803" s="182"/>
      <c r="Q6803" s="183"/>
      <c r="R6803" s="183"/>
      <c r="S6803" s="183"/>
    </row>
    <row r="6804" spans="1:38">
      <c r="A6804" s="182"/>
      <c r="Q6804" s="183"/>
      <c r="R6804" s="183"/>
      <c r="S6804" s="183"/>
    </row>
    <row r="6805" spans="1:38">
      <c r="A6805" s="182"/>
      <c r="Q6805" s="183"/>
      <c r="R6805" s="183"/>
      <c r="S6805" s="183"/>
      <c r="AK6805" s="183"/>
      <c r="AL6805" s="183"/>
    </row>
    <row r="6806" spans="1:38">
      <c r="A6806" s="182"/>
      <c r="Q6806" s="183"/>
      <c r="R6806" s="183"/>
      <c r="S6806" s="183"/>
      <c r="AJ6806" s="183"/>
      <c r="AK6806" s="183"/>
      <c r="AL6806" s="183"/>
    </row>
    <row r="6807" spans="1:38">
      <c r="A6807" s="182"/>
      <c r="Q6807" s="183"/>
      <c r="R6807" s="183"/>
      <c r="S6807" s="183"/>
      <c r="AJ6807" s="183"/>
      <c r="AK6807" s="183"/>
      <c r="AL6807" s="183"/>
    </row>
    <row r="6808" spans="1:38">
      <c r="A6808" s="182"/>
      <c r="Q6808" s="183"/>
      <c r="R6808" s="183"/>
      <c r="S6808" s="183"/>
      <c r="AJ6808" s="183"/>
      <c r="AK6808" s="183"/>
      <c r="AL6808" s="183"/>
    </row>
    <row r="6809" spans="1:38">
      <c r="A6809" s="182"/>
      <c r="Q6809" s="183"/>
      <c r="R6809" s="183"/>
      <c r="S6809" s="183"/>
      <c r="AJ6809" s="183"/>
      <c r="AK6809" s="183"/>
      <c r="AL6809" s="183"/>
    </row>
    <row r="6810" spans="1:38">
      <c r="A6810" s="182"/>
      <c r="Q6810" s="183"/>
      <c r="R6810" s="183"/>
      <c r="S6810" s="183"/>
      <c r="AJ6810" s="183"/>
      <c r="AK6810" s="183"/>
      <c r="AL6810" s="183"/>
    </row>
    <row r="6811" spans="1:38">
      <c r="A6811" s="182"/>
      <c r="Q6811" s="183"/>
      <c r="R6811" s="183"/>
      <c r="S6811" s="183"/>
      <c r="AJ6811" s="183"/>
      <c r="AK6811" s="183"/>
      <c r="AL6811" s="183"/>
    </row>
    <row r="6812" spans="1:38">
      <c r="A6812" s="182"/>
      <c r="Q6812" s="183"/>
      <c r="R6812" s="183"/>
      <c r="S6812" s="183"/>
      <c r="AJ6812" s="183"/>
      <c r="AK6812" s="183"/>
      <c r="AL6812" s="183"/>
    </row>
    <row r="6813" spans="1:38">
      <c r="A6813" s="182"/>
      <c r="Q6813" s="183"/>
      <c r="R6813" s="183"/>
      <c r="S6813" s="183"/>
      <c r="AJ6813" s="183"/>
      <c r="AK6813" s="183"/>
      <c r="AL6813" s="183"/>
    </row>
    <row r="6814" spans="1:38">
      <c r="A6814" s="182"/>
      <c r="Q6814" s="183"/>
      <c r="R6814" s="183"/>
      <c r="S6814" s="183"/>
      <c r="AJ6814" s="183"/>
      <c r="AK6814" s="183"/>
      <c r="AL6814" s="183"/>
    </row>
    <row r="6815" spans="1:38">
      <c r="A6815" s="182"/>
      <c r="Q6815" s="183"/>
      <c r="R6815" s="183"/>
      <c r="S6815" s="183"/>
      <c r="AJ6815" s="183"/>
      <c r="AK6815" s="183"/>
      <c r="AL6815" s="183"/>
    </row>
    <row r="6816" spans="1:38">
      <c r="A6816" s="182"/>
      <c r="Q6816" s="183"/>
      <c r="R6816" s="183"/>
      <c r="S6816" s="183"/>
      <c r="AJ6816" s="183"/>
      <c r="AK6816" s="183"/>
      <c r="AL6816" s="183"/>
    </row>
    <row r="6817" spans="1:36">
      <c r="A6817" s="182"/>
      <c r="Q6817" s="183"/>
      <c r="R6817" s="183"/>
      <c r="S6817" s="183"/>
      <c r="AJ6817" s="183"/>
    </row>
    <row r="6818" spans="1:36">
      <c r="A6818" s="182"/>
      <c r="Q6818" s="183"/>
      <c r="R6818" s="183"/>
      <c r="S6818" s="183"/>
    </row>
    <row r="6819" spans="1:36">
      <c r="A6819" s="182"/>
      <c r="Q6819" s="183"/>
      <c r="R6819" s="183"/>
      <c r="S6819" s="183"/>
    </row>
    <row r="6820" spans="1:36">
      <c r="A6820" s="182"/>
      <c r="Q6820" s="183"/>
      <c r="R6820" s="183"/>
      <c r="S6820" s="183"/>
    </row>
    <row r="6821" spans="1:36">
      <c r="A6821" s="182"/>
      <c r="Q6821" s="183"/>
      <c r="R6821" s="183"/>
      <c r="S6821" s="183"/>
    </row>
    <row r="6822" spans="1:36">
      <c r="A6822" s="182"/>
      <c r="Q6822" s="183"/>
      <c r="R6822" s="183"/>
      <c r="S6822" s="183"/>
    </row>
    <row r="6823" spans="1:36">
      <c r="A6823" s="182"/>
      <c r="Q6823" s="183"/>
      <c r="R6823" s="183"/>
      <c r="S6823" s="183"/>
    </row>
    <row r="6824" spans="1:36">
      <c r="A6824" s="182"/>
      <c r="Q6824" s="183"/>
      <c r="R6824" s="183"/>
      <c r="S6824" s="183"/>
    </row>
    <row r="6825" spans="1:36">
      <c r="A6825" s="182"/>
      <c r="Q6825" s="183"/>
      <c r="R6825" s="183"/>
      <c r="S6825" s="183"/>
    </row>
    <row r="6826" spans="1:36">
      <c r="A6826" s="182"/>
      <c r="Q6826" s="183"/>
      <c r="R6826" s="183"/>
      <c r="S6826" s="183"/>
    </row>
    <row r="6827" spans="1:36">
      <c r="A6827" s="182"/>
      <c r="Q6827" s="183"/>
      <c r="R6827" s="183"/>
      <c r="S6827" s="183"/>
    </row>
    <row r="6828" spans="1:36">
      <c r="A6828" s="182"/>
      <c r="Q6828" s="183"/>
      <c r="R6828" s="183"/>
      <c r="S6828" s="183"/>
    </row>
    <row r="6829" spans="1:36">
      <c r="A6829" s="182"/>
      <c r="Q6829" s="183"/>
      <c r="R6829" s="183"/>
      <c r="S6829" s="183"/>
    </row>
    <row r="6830" spans="1:36">
      <c r="A6830" s="182"/>
      <c r="Q6830" s="183"/>
      <c r="R6830" s="183"/>
      <c r="S6830" s="183"/>
    </row>
    <row r="6831" spans="1:36">
      <c r="A6831" s="182"/>
      <c r="Q6831" s="183"/>
      <c r="R6831" s="183"/>
      <c r="S6831" s="183"/>
    </row>
    <row r="6832" spans="1:36">
      <c r="A6832" s="182"/>
      <c r="Q6832" s="183"/>
      <c r="R6832" s="183"/>
      <c r="S6832" s="183"/>
    </row>
    <row r="6833" spans="1:38">
      <c r="A6833" s="182"/>
      <c r="Q6833" s="183"/>
      <c r="R6833" s="183"/>
      <c r="S6833" s="183"/>
      <c r="AK6833" s="183"/>
      <c r="AL6833" s="183"/>
    </row>
    <row r="6834" spans="1:38">
      <c r="A6834" s="182"/>
      <c r="Q6834" s="183"/>
      <c r="R6834" s="183"/>
      <c r="S6834" s="183"/>
      <c r="AJ6834" s="183"/>
      <c r="AK6834" s="183"/>
      <c r="AL6834" s="183"/>
    </row>
    <row r="6835" spans="1:38">
      <c r="A6835" s="182"/>
      <c r="Q6835" s="183"/>
      <c r="R6835" s="183"/>
      <c r="S6835" s="183"/>
      <c r="AJ6835" s="183"/>
      <c r="AK6835" s="183"/>
      <c r="AL6835" s="183"/>
    </row>
    <row r="6836" spans="1:38">
      <c r="A6836" s="182"/>
      <c r="Q6836" s="183"/>
      <c r="R6836" s="183"/>
      <c r="S6836" s="183"/>
      <c r="AJ6836" s="183"/>
      <c r="AK6836" s="183"/>
      <c r="AL6836" s="183"/>
    </row>
    <row r="6837" spans="1:38">
      <c r="A6837" s="182"/>
      <c r="Q6837" s="183"/>
      <c r="R6837" s="183"/>
      <c r="S6837" s="183"/>
      <c r="AJ6837" s="183"/>
    </row>
    <row r="6838" spans="1:38">
      <c r="A6838" s="182"/>
      <c r="Q6838" s="183"/>
      <c r="R6838" s="183"/>
      <c r="S6838" s="183"/>
    </row>
    <row r="6839" spans="1:38">
      <c r="A6839" s="182"/>
      <c r="Q6839" s="183"/>
      <c r="R6839" s="183"/>
      <c r="S6839" s="183"/>
    </row>
    <row r="6840" spans="1:38">
      <c r="A6840" s="182"/>
      <c r="Q6840" s="183"/>
      <c r="R6840" s="183"/>
      <c r="S6840" s="183"/>
    </row>
    <row r="6841" spans="1:38">
      <c r="A6841" s="182"/>
      <c r="Q6841" s="183"/>
      <c r="R6841" s="183"/>
      <c r="S6841" s="183"/>
    </row>
    <row r="6842" spans="1:38">
      <c r="A6842" s="182"/>
      <c r="Q6842" s="183"/>
      <c r="R6842" s="183"/>
      <c r="S6842" s="183"/>
    </row>
    <row r="6843" spans="1:38">
      <c r="A6843" s="182"/>
      <c r="Q6843" s="183"/>
      <c r="R6843" s="183"/>
      <c r="S6843" s="183"/>
    </row>
    <row r="6844" spans="1:38">
      <c r="A6844" s="182"/>
      <c r="Q6844" s="183"/>
      <c r="R6844" s="183"/>
      <c r="S6844" s="183"/>
    </row>
    <row r="6845" spans="1:38">
      <c r="A6845" s="182"/>
      <c r="Q6845" s="183"/>
      <c r="R6845" s="183"/>
      <c r="S6845" s="183"/>
    </row>
    <row r="6846" spans="1:38">
      <c r="A6846" s="182"/>
      <c r="Q6846" s="183"/>
      <c r="R6846" s="183"/>
      <c r="S6846" s="183"/>
    </row>
    <row r="6847" spans="1:38">
      <c r="A6847" s="182"/>
      <c r="Q6847" s="183"/>
      <c r="R6847" s="183"/>
      <c r="S6847" s="183"/>
    </row>
    <row r="6848" spans="1:38">
      <c r="A6848" s="182"/>
      <c r="Q6848" s="183"/>
      <c r="R6848" s="183"/>
      <c r="S6848" s="183"/>
    </row>
    <row r="6849" spans="1:38">
      <c r="A6849" s="182"/>
      <c r="Q6849" s="183"/>
      <c r="R6849" s="183"/>
      <c r="S6849" s="183"/>
      <c r="AK6849" s="183"/>
      <c r="AL6849" s="183"/>
    </row>
    <row r="6850" spans="1:38">
      <c r="A6850" s="182"/>
      <c r="Q6850" s="183"/>
      <c r="R6850" s="183"/>
      <c r="S6850" s="183"/>
      <c r="AJ6850" s="183"/>
      <c r="AK6850" s="183"/>
      <c r="AL6850" s="183"/>
    </row>
    <row r="6851" spans="1:38">
      <c r="A6851" s="182"/>
      <c r="Q6851" s="183"/>
      <c r="R6851" s="183"/>
      <c r="S6851" s="183"/>
      <c r="AJ6851" s="183"/>
      <c r="AK6851" s="183"/>
      <c r="AL6851" s="183"/>
    </row>
    <row r="6852" spans="1:38">
      <c r="A6852" s="182"/>
      <c r="Q6852" s="183"/>
      <c r="R6852" s="183"/>
      <c r="S6852" s="183"/>
      <c r="AJ6852" s="183"/>
      <c r="AK6852" s="183"/>
      <c r="AL6852" s="183"/>
    </row>
    <row r="6853" spans="1:38">
      <c r="A6853" s="182"/>
      <c r="Q6853" s="183"/>
      <c r="R6853" s="183"/>
      <c r="S6853" s="183"/>
      <c r="AJ6853" s="183"/>
    </row>
    <row r="6854" spans="1:38">
      <c r="A6854" s="182"/>
      <c r="Q6854" s="183"/>
      <c r="R6854" s="183"/>
      <c r="S6854" s="183"/>
    </row>
    <row r="6855" spans="1:38">
      <c r="A6855" s="182"/>
      <c r="Q6855" s="183"/>
      <c r="R6855" s="183"/>
      <c r="S6855" s="183"/>
    </row>
    <row r="6856" spans="1:38">
      <c r="A6856" s="182"/>
      <c r="Q6856" s="183"/>
      <c r="R6856" s="183"/>
      <c r="S6856" s="183"/>
    </row>
    <row r="6857" spans="1:38">
      <c r="A6857" s="182"/>
      <c r="Q6857" s="183"/>
      <c r="R6857" s="183"/>
      <c r="S6857" s="183"/>
    </row>
    <row r="6858" spans="1:38">
      <c r="A6858" s="182"/>
      <c r="Q6858" s="183"/>
      <c r="R6858" s="183"/>
      <c r="S6858" s="183"/>
    </row>
    <row r="6859" spans="1:38">
      <c r="A6859" s="182"/>
      <c r="Q6859" s="183"/>
      <c r="R6859" s="183"/>
      <c r="S6859" s="183"/>
    </row>
    <row r="6860" spans="1:38">
      <c r="A6860" s="182"/>
      <c r="Q6860" s="183"/>
      <c r="R6860" s="183"/>
      <c r="S6860" s="183"/>
    </row>
    <row r="6861" spans="1:38">
      <c r="A6861" s="182"/>
      <c r="Q6861" s="183"/>
      <c r="R6861" s="183"/>
      <c r="S6861" s="183"/>
    </row>
    <row r="6862" spans="1:38">
      <c r="A6862" s="182"/>
      <c r="Q6862" s="183"/>
      <c r="R6862" s="183"/>
      <c r="S6862" s="183"/>
    </row>
    <row r="6863" spans="1:38">
      <c r="A6863" s="182"/>
      <c r="Q6863" s="183"/>
      <c r="R6863" s="183"/>
      <c r="S6863" s="183"/>
    </row>
    <row r="6864" spans="1:38">
      <c r="A6864" s="182"/>
      <c r="Q6864" s="183"/>
      <c r="R6864" s="183"/>
      <c r="S6864" s="183"/>
    </row>
    <row r="6865" spans="1:38">
      <c r="A6865" s="182"/>
      <c r="Q6865" s="183"/>
      <c r="R6865" s="183"/>
      <c r="S6865" s="183"/>
    </row>
    <row r="6866" spans="1:38">
      <c r="A6866" s="182"/>
      <c r="Q6866" s="183"/>
      <c r="R6866" s="183"/>
      <c r="S6866" s="183"/>
    </row>
    <row r="6867" spans="1:38">
      <c r="A6867" s="182"/>
      <c r="Q6867" s="183"/>
      <c r="R6867" s="183"/>
      <c r="S6867" s="183"/>
    </row>
    <row r="6868" spans="1:38">
      <c r="A6868" s="182"/>
      <c r="Q6868" s="183"/>
      <c r="R6868" s="183"/>
      <c r="S6868" s="183"/>
    </row>
    <row r="6869" spans="1:38">
      <c r="A6869" s="182"/>
      <c r="Q6869" s="183"/>
      <c r="R6869" s="183"/>
      <c r="S6869" s="183"/>
    </row>
    <row r="6870" spans="1:38">
      <c r="A6870" s="182"/>
      <c r="Q6870" s="183"/>
      <c r="R6870" s="183"/>
      <c r="S6870" s="183"/>
    </row>
    <row r="6871" spans="1:38">
      <c r="A6871" s="182"/>
      <c r="Q6871" s="183"/>
      <c r="R6871" s="183"/>
      <c r="S6871" s="183"/>
    </row>
    <row r="6872" spans="1:38">
      <c r="A6872" s="182"/>
      <c r="Q6872" s="183"/>
      <c r="R6872" s="183"/>
      <c r="S6872" s="183"/>
    </row>
    <row r="6873" spans="1:38">
      <c r="A6873" s="182"/>
      <c r="Q6873" s="183"/>
      <c r="R6873" s="183"/>
      <c r="S6873" s="183"/>
    </row>
    <row r="6874" spans="1:38">
      <c r="A6874" s="182"/>
      <c r="Q6874" s="183"/>
      <c r="R6874" s="183"/>
      <c r="S6874" s="183"/>
    </row>
    <row r="6875" spans="1:38">
      <c r="A6875" s="182"/>
      <c r="Q6875" s="183"/>
      <c r="R6875" s="183"/>
      <c r="S6875" s="183"/>
    </row>
    <row r="6876" spans="1:38">
      <c r="A6876" s="182"/>
      <c r="Q6876" s="183"/>
      <c r="R6876" s="183"/>
      <c r="S6876" s="183"/>
    </row>
    <row r="6877" spans="1:38">
      <c r="A6877" s="182"/>
      <c r="Q6877" s="183"/>
      <c r="R6877" s="183"/>
      <c r="S6877" s="183"/>
      <c r="AK6877" s="183"/>
      <c r="AL6877" s="183"/>
    </row>
    <row r="6878" spans="1:38">
      <c r="A6878" s="182"/>
      <c r="Q6878" s="183"/>
      <c r="R6878" s="183"/>
      <c r="S6878" s="183"/>
      <c r="AJ6878" s="183"/>
      <c r="AK6878" s="183"/>
      <c r="AL6878" s="183"/>
    </row>
    <row r="6879" spans="1:38">
      <c r="A6879" s="182"/>
      <c r="Q6879" s="183"/>
      <c r="R6879" s="183"/>
      <c r="S6879" s="183"/>
      <c r="AJ6879" s="183"/>
      <c r="AK6879" s="183"/>
      <c r="AL6879" s="183"/>
    </row>
    <row r="6880" spans="1:38">
      <c r="A6880" s="182"/>
      <c r="Q6880" s="183"/>
      <c r="R6880" s="183"/>
      <c r="S6880" s="183"/>
      <c r="AJ6880" s="183"/>
      <c r="AK6880" s="183"/>
      <c r="AL6880" s="183"/>
    </row>
    <row r="6881" spans="1:38">
      <c r="A6881" s="182"/>
      <c r="Q6881" s="183"/>
      <c r="R6881" s="183"/>
      <c r="S6881" s="183"/>
      <c r="AJ6881" s="183"/>
      <c r="AK6881" s="183"/>
      <c r="AL6881" s="183"/>
    </row>
    <row r="6882" spans="1:38">
      <c r="A6882" s="182"/>
      <c r="Q6882" s="183"/>
      <c r="R6882" s="183"/>
      <c r="S6882" s="183"/>
      <c r="AJ6882" s="183"/>
      <c r="AK6882" s="183"/>
      <c r="AL6882" s="183"/>
    </row>
    <row r="6883" spans="1:38">
      <c r="A6883" s="182"/>
      <c r="Q6883" s="183"/>
      <c r="R6883" s="183"/>
      <c r="S6883" s="183"/>
      <c r="AJ6883" s="183"/>
      <c r="AK6883" s="183"/>
      <c r="AL6883" s="183"/>
    </row>
    <row r="6884" spans="1:38">
      <c r="A6884" s="182"/>
      <c r="Q6884" s="183"/>
      <c r="R6884" s="183"/>
      <c r="S6884" s="183"/>
      <c r="AJ6884" s="183"/>
      <c r="AK6884" s="183"/>
      <c r="AL6884" s="183"/>
    </row>
    <row r="6885" spans="1:38">
      <c r="A6885" s="182"/>
      <c r="Q6885" s="183"/>
      <c r="R6885" s="183"/>
      <c r="S6885" s="183"/>
      <c r="AJ6885" s="183"/>
    </row>
    <row r="6886" spans="1:38">
      <c r="A6886" s="182"/>
      <c r="Q6886" s="183"/>
      <c r="R6886" s="183"/>
      <c r="S6886" s="183"/>
    </row>
    <row r="6887" spans="1:38">
      <c r="A6887" s="182"/>
      <c r="Q6887" s="183"/>
      <c r="R6887" s="183"/>
      <c r="S6887" s="183"/>
    </row>
    <row r="6888" spans="1:38">
      <c r="A6888" s="182"/>
      <c r="Q6888" s="183"/>
      <c r="R6888" s="183"/>
      <c r="S6888" s="183"/>
    </row>
    <row r="6889" spans="1:38">
      <c r="A6889" s="182"/>
      <c r="Q6889" s="183"/>
      <c r="R6889" s="183"/>
      <c r="S6889" s="183"/>
    </row>
    <row r="6890" spans="1:38">
      <c r="A6890" s="182"/>
      <c r="Q6890" s="183"/>
      <c r="R6890" s="183"/>
      <c r="S6890" s="183"/>
    </row>
    <row r="6891" spans="1:38">
      <c r="A6891" s="182"/>
      <c r="Q6891" s="183"/>
      <c r="R6891" s="183"/>
      <c r="S6891" s="183"/>
    </row>
    <row r="6892" spans="1:38">
      <c r="A6892" s="182"/>
      <c r="Q6892" s="183"/>
      <c r="R6892" s="183"/>
      <c r="S6892" s="183"/>
    </row>
    <row r="6893" spans="1:38">
      <c r="A6893" s="182"/>
      <c r="Q6893" s="183"/>
      <c r="R6893" s="183"/>
      <c r="S6893" s="183"/>
    </row>
    <row r="6894" spans="1:38">
      <c r="A6894" s="182"/>
      <c r="Q6894" s="183"/>
      <c r="R6894" s="183"/>
      <c r="S6894" s="183"/>
    </row>
    <row r="6895" spans="1:38">
      <c r="A6895" s="182"/>
      <c r="Q6895" s="183"/>
      <c r="R6895" s="183"/>
      <c r="S6895" s="183"/>
    </row>
    <row r="6896" spans="1:38">
      <c r="A6896" s="182"/>
      <c r="Q6896" s="183"/>
      <c r="R6896" s="183"/>
      <c r="S6896" s="183"/>
    </row>
    <row r="6897" spans="1:38">
      <c r="A6897" s="182"/>
      <c r="Q6897" s="183"/>
      <c r="R6897" s="183"/>
      <c r="S6897" s="183"/>
    </row>
    <row r="6898" spans="1:38">
      <c r="A6898" s="182"/>
      <c r="Q6898" s="183"/>
      <c r="R6898" s="183"/>
      <c r="S6898" s="183"/>
    </row>
    <row r="6899" spans="1:38">
      <c r="A6899" s="182"/>
      <c r="Q6899" s="183"/>
      <c r="R6899" s="183"/>
      <c r="S6899" s="183"/>
    </row>
    <row r="6900" spans="1:38">
      <c r="A6900" s="182"/>
      <c r="Q6900" s="183"/>
      <c r="R6900" s="183"/>
      <c r="S6900" s="183"/>
    </row>
    <row r="6901" spans="1:38">
      <c r="A6901" s="182"/>
      <c r="Q6901" s="183"/>
      <c r="R6901" s="183"/>
      <c r="S6901" s="183"/>
    </row>
    <row r="6902" spans="1:38">
      <c r="A6902" s="182"/>
      <c r="Q6902" s="183"/>
      <c r="R6902" s="183"/>
      <c r="S6902" s="183"/>
    </row>
    <row r="6903" spans="1:38">
      <c r="A6903" s="182"/>
      <c r="Q6903" s="183"/>
      <c r="R6903" s="183"/>
      <c r="S6903" s="183"/>
    </row>
    <row r="6904" spans="1:38">
      <c r="A6904" s="182"/>
      <c r="Q6904" s="183"/>
      <c r="R6904" s="183"/>
      <c r="S6904" s="183"/>
    </row>
    <row r="6905" spans="1:38">
      <c r="A6905" s="182"/>
      <c r="Q6905" s="183"/>
      <c r="R6905" s="183"/>
      <c r="S6905" s="183"/>
    </row>
    <row r="6906" spans="1:38">
      <c r="A6906" s="182"/>
      <c r="Q6906" s="183"/>
      <c r="R6906" s="183"/>
      <c r="S6906" s="183"/>
    </row>
    <row r="6907" spans="1:38">
      <c r="A6907" s="182"/>
      <c r="Q6907" s="183"/>
      <c r="R6907" s="183"/>
      <c r="S6907" s="183"/>
    </row>
    <row r="6908" spans="1:38">
      <c r="A6908" s="182"/>
      <c r="Q6908" s="183"/>
      <c r="R6908" s="183"/>
      <c r="S6908" s="183"/>
    </row>
    <row r="6909" spans="1:38">
      <c r="A6909" s="182"/>
      <c r="Q6909" s="183"/>
      <c r="R6909" s="183"/>
      <c r="S6909" s="183"/>
      <c r="AK6909" s="183"/>
      <c r="AL6909" s="183"/>
    </row>
    <row r="6910" spans="1:38">
      <c r="A6910" s="182"/>
      <c r="Q6910" s="183"/>
      <c r="R6910" s="183"/>
      <c r="S6910" s="183"/>
      <c r="AJ6910" s="183"/>
      <c r="AK6910" s="183"/>
      <c r="AL6910" s="183"/>
    </row>
    <row r="6911" spans="1:38">
      <c r="A6911" s="182"/>
      <c r="Q6911" s="183"/>
      <c r="R6911" s="183"/>
      <c r="S6911" s="183"/>
      <c r="AJ6911" s="183"/>
      <c r="AK6911" s="183"/>
      <c r="AL6911" s="183"/>
    </row>
    <row r="6912" spans="1:38">
      <c r="A6912" s="182"/>
      <c r="Q6912" s="183"/>
      <c r="R6912" s="183"/>
      <c r="S6912" s="183"/>
      <c r="AJ6912" s="183"/>
      <c r="AK6912" s="183"/>
      <c r="AL6912" s="183"/>
    </row>
    <row r="6913" spans="1:38">
      <c r="A6913" s="182"/>
      <c r="Q6913" s="183"/>
      <c r="R6913" s="183"/>
      <c r="S6913" s="183"/>
      <c r="AJ6913" s="183"/>
      <c r="AK6913" s="183"/>
      <c r="AL6913" s="183"/>
    </row>
    <row r="6914" spans="1:38">
      <c r="A6914" s="182"/>
      <c r="Q6914" s="183"/>
      <c r="R6914" s="183"/>
      <c r="S6914" s="183"/>
      <c r="AJ6914" s="183"/>
      <c r="AK6914" s="183"/>
      <c r="AL6914" s="183"/>
    </row>
    <row r="6915" spans="1:38">
      <c r="A6915" s="182"/>
      <c r="Q6915" s="183"/>
      <c r="R6915" s="183"/>
      <c r="S6915" s="183"/>
      <c r="AJ6915" s="183"/>
      <c r="AK6915" s="183"/>
      <c r="AL6915" s="183"/>
    </row>
    <row r="6916" spans="1:38">
      <c r="A6916" s="182"/>
      <c r="Q6916" s="183"/>
      <c r="R6916" s="183"/>
      <c r="S6916" s="183"/>
      <c r="AJ6916" s="183"/>
      <c r="AK6916" s="183"/>
      <c r="AL6916" s="183"/>
    </row>
    <row r="6917" spans="1:38">
      <c r="A6917" s="182"/>
      <c r="Q6917" s="183"/>
      <c r="R6917" s="183"/>
      <c r="S6917" s="183"/>
      <c r="AJ6917" s="183"/>
    </row>
    <row r="6918" spans="1:38">
      <c r="A6918" s="182"/>
      <c r="Q6918" s="183"/>
      <c r="R6918" s="183"/>
      <c r="S6918" s="183"/>
    </row>
    <row r="6919" spans="1:38">
      <c r="A6919" s="182"/>
      <c r="Q6919" s="183"/>
      <c r="R6919" s="183"/>
      <c r="S6919" s="183"/>
    </row>
    <row r="6920" spans="1:38">
      <c r="A6920" s="182"/>
      <c r="Q6920" s="183"/>
      <c r="R6920" s="183"/>
      <c r="S6920" s="183"/>
    </row>
    <row r="6921" spans="1:38">
      <c r="A6921" s="182"/>
      <c r="Q6921" s="183"/>
      <c r="R6921" s="183"/>
      <c r="S6921" s="183"/>
      <c r="AK6921" s="183"/>
      <c r="AL6921" s="183"/>
    </row>
    <row r="6922" spans="1:38">
      <c r="A6922" s="182"/>
      <c r="Q6922" s="183"/>
      <c r="R6922" s="183"/>
      <c r="S6922" s="183"/>
      <c r="AJ6922" s="183"/>
      <c r="AK6922" s="183"/>
      <c r="AL6922" s="183"/>
    </row>
    <row r="6923" spans="1:38">
      <c r="A6923" s="182"/>
      <c r="Q6923" s="183"/>
      <c r="R6923" s="183"/>
      <c r="S6923" s="183"/>
      <c r="AJ6923" s="183"/>
      <c r="AK6923" s="183"/>
      <c r="AL6923" s="183"/>
    </row>
    <row r="6924" spans="1:38">
      <c r="A6924" s="182"/>
      <c r="Q6924" s="183"/>
      <c r="R6924" s="183"/>
      <c r="S6924" s="183"/>
      <c r="AJ6924" s="183"/>
      <c r="AK6924" s="183"/>
      <c r="AL6924" s="183"/>
    </row>
    <row r="6925" spans="1:38">
      <c r="A6925" s="182"/>
      <c r="Q6925" s="183"/>
      <c r="R6925" s="183"/>
      <c r="S6925" s="183"/>
      <c r="AJ6925" s="183"/>
      <c r="AK6925" s="183"/>
      <c r="AL6925" s="183"/>
    </row>
    <row r="6926" spans="1:38">
      <c r="A6926" s="182"/>
      <c r="Q6926" s="183"/>
      <c r="R6926" s="183"/>
      <c r="S6926" s="183"/>
      <c r="AJ6926" s="183"/>
      <c r="AK6926" s="183"/>
      <c r="AL6926" s="183"/>
    </row>
    <row r="6927" spans="1:38">
      <c r="A6927" s="182"/>
      <c r="Q6927" s="183"/>
      <c r="R6927" s="183"/>
      <c r="S6927" s="183"/>
      <c r="AJ6927" s="183"/>
      <c r="AK6927" s="183"/>
      <c r="AL6927" s="183"/>
    </row>
    <row r="6928" spans="1:38">
      <c r="A6928" s="182"/>
      <c r="Q6928" s="183"/>
      <c r="R6928" s="183"/>
      <c r="S6928" s="183"/>
      <c r="AJ6928" s="183"/>
      <c r="AK6928" s="183"/>
      <c r="AL6928" s="183"/>
    </row>
    <row r="6929" spans="1:38">
      <c r="A6929" s="182"/>
      <c r="Q6929" s="183"/>
      <c r="R6929" s="183"/>
      <c r="S6929" s="183"/>
      <c r="AJ6929" s="183"/>
    </row>
    <row r="6930" spans="1:38">
      <c r="A6930" s="182"/>
      <c r="Q6930" s="183"/>
      <c r="R6930" s="183"/>
      <c r="S6930" s="183"/>
    </row>
    <row r="6931" spans="1:38">
      <c r="A6931" s="182"/>
      <c r="Q6931" s="183"/>
      <c r="R6931" s="183"/>
      <c r="S6931" s="183"/>
    </row>
    <row r="6932" spans="1:38">
      <c r="A6932" s="182"/>
      <c r="Q6932" s="183"/>
      <c r="R6932" s="183"/>
      <c r="S6932" s="183"/>
    </row>
    <row r="6933" spans="1:38">
      <c r="A6933" s="182"/>
      <c r="Q6933" s="183"/>
      <c r="R6933" s="183"/>
      <c r="S6933" s="183"/>
      <c r="AK6933" s="183"/>
      <c r="AL6933" s="183"/>
    </row>
    <row r="6934" spans="1:38">
      <c r="A6934" s="182"/>
      <c r="Q6934" s="183"/>
      <c r="R6934" s="183"/>
      <c r="S6934" s="183"/>
      <c r="AJ6934" s="183"/>
      <c r="AK6934" s="183"/>
      <c r="AL6934" s="183"/>
    </row>
    <row r="6935" spans="1:38">
      <c r="A6935" s="182"/>
      <c r="Q6935" s="183"/>
      <c r="R6935" s="183"/>
      <c r="S6935" s="183"/>
      <c r="AJ6935" s="183"/>
      <c r="AK6935" s="183"/>
      <c r="AL6935" s="183"/>
    </row>
    <row r="6936" spans="1:38">
      <c r="A6936" s="182"/>
      <c r="Q6936" s="183"/>
      <c r="R6936" s="183"/>
      <c r="S6936" s="183"/>
      <c r="AJ6936" s="183"/>
      <c r="AK6936" s="183"/>
      <c r="AL6936" s="183"/>
    </row>
    <row r="6937" spans="1:38">
      <c r="A6937" s="182"/>
      <c r="Q6937" s="183"/>
      <c r="R6937" s="183"/>
      <c r="S6937" s="183"/>
      <c r="AJ6937" s="183"/>
      <c r="AK6937" s="183"/>
      <c r="AL6937" s="183"/>
    </row>
    <row r="6938" spans="1:38">
      <c r="A6938" s="182"/>
      <c r="Q6938" s="183"/>
      <c r="R6938" s="183"/>
      <c r="S6938" s="183"/>
      <c r="AJ6938" s="183"/>
      <c r="AK6938" s="183"/>
      <c r="AL6938" s="183"/>
    </row>
    <row r="6939" spans="1:38">
      <c r="A6939" s="182"/>
      <c r="Q6939" s="183"/>
      <c r="R6939" s="183"/>
      <c r="S6939" s="183"/>
      <c r="AJ6939" s="183"/>
      <c r="AK6939" s="183"/>
      <c r="AL6939" s="183"/>
    </row>
    <row r="6940" spans="1:38">
      <c r="A6940" s="182"/>
      <c r="Q6940" s="183"/>
      <c r="R6940" s="183"/>
      <c r="S6940" s="183"/>
      <c r="AJ6940" s="183"/>
      <c r="AK6940" s="183"/>
      <c r="AL6940" s="183"/>
    </row>
    <row r="6941" spans="1:38">
      <c r="A6941" s="182"/>
      <c r="Q6941" s="183"/>
      <c r="R6941" s="183"/>
      <c r="S6941" s="183"/>
      <c r="AJ6941" s="183"/>
      <c r="AK6941" s="183"/>
      <c r="AL6941" s="183"/>
    </row>
    <row r="6942" spans="1:38">
      <c r="A6942" s="182"/>
      <c r="Q6942" s="183"/>
      <c r="R6942" s="183"/>
      <c r="S6942" s="183"/>
      <c r="AJ6942" s="183"/>
      <c r="AK6942" s="183"/>
      <c r="AL6942" s="183"/>
    </row>
    <row r="6943" spans="1:38">
      <c r="A6943" s="182"/>
      <c r="Q6943" s="183"/>
      <c r="R6943" s="183"/>
      <c r="S6943" s="183"/>
      <c r="AJ6943" s="183"/>
      <c r="AK6943" s="183"/>
      <c r="AL6943" s="183"/>
    </row>
    <row r="6944" spans="1:38">
      <c r="A6944" s="182"/>
      <c r="Q6944" s="183"/>
      <c r="R6944" s="183"/>
      <c r="S6944" s="183"/>
      <c r="AJ6944" s="183"/>
      <c r="AK6944" s="183"/>
      <c r="AL6944" s="183"/>
    </row>
    <row r="6945" spans="1:38">
      <c r="A6945" s="182"/>
      <c r="Q6945" s="183"/>
      <c r="R6945" s="183"/>
      <c r="S6945" s="183"/>
      <c r="AJ6945" s="183"/>
      <c r="AK6945" s="183"/>
      <c r="AL6945" s="183"/>
    </row>
    <row r="6946" spans="1:38">
      <c r="A6946" s="182"/>
      <c r="Q6946" s="183"/>
      <c r="R6946" s="183"/>
      <c r="S6946" s="183"/>
      <c r="AJ6946" s="183"/>
      <c r="AK6946" s="183"/>
      <c r="AL6946" s="183"/>
    </row>
    <row r="6947" spans="1:38">
      <c r="A6947" s="182"/>
      <c r="Q6947" s="183"/>
      <c r="R6947" s="183"/>
      <c r="S6947" s="183"/>
      <c r="AJ6947" s="183"/>
      <c r="AK6947" s="183"/>
      <c r="AL6947" s="183"/>
    </row>
    <row r="6948" spans="1:38">
      <c r="A6948" s="182"/>
      <c r="Q6948" s="183"/>
      <c r="R6948" s="183"/>
      <c r="S6948" s="183"/>
      <c r="AJ6948" s="183"/>
      <c r="AK6948" s="183"/>
      <c r="AL6948" s="183"/>
    </row>
    <row r="6949" spans="1:38">
      <c r="A6949" s="182"/>
      <c r="Q6949" s="183"/>
      <c r="R6949" s="183"/>
      <c r="S6949" s="183"/>
      <c r="AJ6949" s="183"/>
    </row>
    <row r="6950" spans="1:38">
      <c r="A6950" s="182"/>
      <c r="Q6950" s="183"/>
      <c r="R6950" s="183"/>
      <c r="S6950" s="183"/>
    </row>
    <row r="6951" spans="1:38">
      <c r="A6951" s="182"/>
      <c r="Q6951" s="183"/>
      <c r="R6951" s="183"/>
      <c r="S6951" s="183"/>
    </row>
    <row r="6952" spans="1:38">
      <c r="A6952" s="182"/>
      <c r="Q6952" s="183"/>
      <c r="R6952" s="183"/>
      <c r="S6952" s="183"/>
    </row>
    <row r="6953" spans="1:38">
      <c r="A6953" s="182"/>
      <c r="Q6953" s="183"/>
      <c r="R6953" s="183"/>
      <c r="S6953" s="183"/>
    </row>
    <row r="6954" spans="1:38">
      <c r="A6954" s="182"/>
      <c r="Q6954" s="183"/>
      <c r="R6954" s="183"/>
      <c r="S6954" s="183"/>
    </row>
    <row r="6955" spans="1:38">
      <c r="A6955" s="182"/>
      <c r="Q6955" s="183"/>
      <c r="R6955" s="183"/>
      <c r="S6955" s="183"/>
    </row>
    <row r="6956" spans="1:38">
      <c r="A6956" s="182"/>
      <c r="Q6956" s="183"/>
      <c r="R6956" s="183"/>
      <c r="S6956" s="183"/>
    </row>
    <row r="6957" spans="1:38">
      <c r="A6957" s="182"/>
      <c r="Q6957" s="183"/>
      <c r="R6957" s="183"/>
      <c r="S6957" s="183"/>
    </row>
    <row r="6958" spans="1:38">
      <c r="A6958" s="182"/>
      <c r="Q6958" s="183"/>
      <c r="R6958" s="183"/>
      <c r="S6958" s="183"/>
    </row>
    <row r="6959" spans="1:38">
      <c r="A6959" s="182"/>
      <c r="Q6959" s="183"/>
      <c r="R6959" s="183"/>
      <c r="S6959" s="183"/>
    </row>
    <row r="6960" spans="1:38">
      <c r="A6960" s="182"/>
      <c r="Q6960" s="183"/>
      <c r="R6960" s="183"/>
      <c r="S6960" s="183"/>
    </row>
    <row r="6961" spans="1:19">
      <c r="A6961" s="182"/>
      <c r="Q6961" s="183"/>
      <c r="R6961" s="183"/>
      <c r="S6961" s="183"/>
    </row>
    <row r="6962" spans="1:19">
      <c r="A6962" s="182"/>
      <c r="Q6962" s="183"/>
      <c r="R6962" s="183"/>
      <c r="S6962" s="183"/>
    </row>
    <row r="6963" spans="1:19">
      <c r="A6963" s="182"/>
      <c r="Q6963" s="183"/>
      <c r="R6963" s="183"/>
      <c r="S6963" s="183"/>
    </row>
    <row r="6964" spans="1:19">
      <c r="A6964" s="182"/>
      <c r="Q6964" s="183"/>
      <c r="R6964" s="183"/>
      <c r="S6964" s="183"/>
    </row>
    <row r="6965" spans="1:19">
      <c r="A6965" s="182"/>
      <c r="Q6965" s="183"/>
      <c r="R6965" s="183"/>
      <c r="S6965" s="183"/>
    </row>
    <row r="6966" spans="1:19">
      <c r="A6966" s="182"/>
      <c r="Q6966" s="183"/>
      <c r="R6966" s="183"/>
      <c r="S6966" s="183"/>
    </row>
    <row r="6967" spans="1:19">
      <c r="A6967" s="182"/>
      <c r="Q6967" s="183"/>
      <c r="R6967" s="183"/>
      <c r="S6967" s="183"/>
    </row>
    <row r="6968" spans="1:19">
      <c r="A6968" s="182"/>
      <c r="Q6968" s="183"/>
      <c r="R6968" s="183"/>
      <c r="S6968" s="183"/>
    </row>
    <row r="6969" spans="1:19">
      <c r="A6969" s="182"/>
      <c r="Q6969" s="183"/>
      <c r="R6969" s="183"/>
      <c r="S6969" s="183"/>
    </row>
    <row r="6970" spans="1:19">
      <c r="A6970" s="182"/>
      <c r="Q6970" s="183"/>
      <c r="R6970" s="183"/>
      <c r="S6970" s="183"/>
    </row>
    <row r="6971" spans="1:19">
      <c r="A6971" s="182"/>
      <c r="Q6971" s="183"/>
      <c r="R6971" s="183"/>
      <c r="S6971" s="183"/>
    </row>
    <row r="6972" spans="1:19">
      <c r="A6972" s="182"/>
      <c r="Q6972" s="183"/>
      <c r="R6972" s="183"/>
      <c r="S6972" s="183"/>
    </row>
    <row r="6973" spans="1:19">
      <c r="A6973" s="182"/>
      <c r="Q6973" s="183"/>
      <c r="R6973" s="183"/>
      <c r="S6973" s="183"/>
    </row>
    <row r="6974" spans="1:19">
      <c r="A6974" s="182"/>
      <c r="Q6974" s="183"/>
      <c r="R6974" s="183"/>
      <c r="S6974" s="183"/>
    </row>
    <row r="6975" spans="1:19">
      <c r="A6975" s="182"/>
      <c r="Q6975" s="183"/>
      <c r="R6975" s="183"/>
      <c r="S6975" s="183"/>
    </row>
    <row r="6976" spans="1:19">
      <c r="A6976" s="182"/>
      <c r="Q6976" s="183"/>
      <c r="R6976" s="183"/>
      <c r="S6976" s="183"/>
    </row>
    <row r="6977" spans="1:19">
      <c r="A6977" s="182"/>
      <c r="Q6977" s="183"/>
      <c r="R6977" s="183"/>
      <c r="S6977" s="183"/>
    </row>
    <row r="6978" spans="1:19">
      <c r="A6978" s="182"/>
      <c r="Q6978" s="183"/>
      <c r="R6978" s="183"/>
      <c r="S6978" s="183"/>
    </row>
    <row r="6979" spans="1:19">
      <c r="A6979" s="182"/>
      <c r="Q6979" s="183"/>
      <c r="R6979" s="183"/>
      <c r="S6979" s="183"/>
    </row>
    <row r="6980" spans="1:19">
      <c r="A6980" s="182"/>
      <c r="Q6980" s="183"/>
      <c r="R6980" s="183"/>
      <c r="S6980" s="183"/>
    </row>
    <row r="6981" spans="1:19">
      <c r="A6981" s="182"/>
      <c r="Q6981" s="183"/>
      <c r="R6981" s="183"/>
      <c r="S6981" s="183"/>
    </row>
    <row r="6982" spans="1:19">
      <c r="A6982" s="182"/>
      <c r="Q6982" s="183"/>
      <c r="R6982" s="183"/>
      <c r="S6982" s="183"/>
    </row>
    <row r="6983" spans="1:19">
      <c r="A6983" s="182"/>
      <c r="Q6983" s="183"/>
      <c r="R6983" s="183"/>
      <c r="S6983" s="183"/>
    </row>
    <row r="6984" spans="1:19">
      <c r="A6984" s="182"/>
      <c r="Q6984" s="183"/>
      <c r="R6984" s="183"/>
      <c r="S6984" s="183"/>
    </row>
    <row r="6985" spans="1:19">
      <c r="A6985" s="182"/>
      <c r="Q6985" s="183"/>
      <c r="R6985" s="183"/>
      <c r="S6985" s="183"/>
    </row>
    <row r="6986" spans="1:19">
      <c r="A6986" s="182"/>
      <c r="Q6986" s="183"/>
      <c r="R6986" s="183"/>
      <c r="S6986" s="183"/>
    </row>
    <row r="6987" spans="1:19">
      <c r="A6987" s="182"/>
      <c r="Q6987" s="183"/>
      <c r="R6987" s="183"/>
      <c r="S6987" s="183"/>
    </row>
    <row r="6988" spans="1:19">
      <c r="A6988" s="182"/>
      <c r="Q6988" s="183"/>
      <c r="R6988" s="183"/>
      <c r="S6988" s="183"/>
    </row>
    <row r="6989" spans="1:19">
      <c r="A6989" s="182"/>
      <c r="Q6989" s="183"/>
      <c r="R6989" s="183"/>
      <c r="S6989" s="183"/>
    </row>
    <row r="6990" spans="1:19">
      <c r="A6990" s="182"/>
      <c r="Q6990" s="183"/>
      <c r="R6990" s="183"/>
      <c r="S6990" s="183"/>
    </row>
    <row r="6991" spans="1:19">
      <c r="A6991" s="182"/>
      <c r="Q6991" s="183"/>
      <c r="R6991" s="183"/>
      <c r="S6991" s="183"/>
    </row>
    <row r="6992" spans="1:19">
      <c r="A6992" s="182"/>
      <c r="Q6992" s="183"/>
      <c r="R6992" s="183"/>
      <c r="S6992" s="183"/>
    </row>
    <row r="6993" spans="1:19">
      <c r="A6993" s="182"/>
      <c r="Q6993" s="183"/>
      <c r="R6993" s="183"/>
      <c r="S6993" s="183"/>
    </row>
    <row r="6994" spans="1:19">
      <c r="A6994" s="182"/>
      <c r="Q6994" s="183"/>
      <c r="R6994" s="183"/>
      <c r="S6994" s="183"/>
    </row>
    <row r="6995" spans="1:19">
      <c r="A6995" s="182"/>
      <c r="Q6995" s="183"/>
      <c r="R6995" s="183"/>
      <c r="S6995" s="183"/>
    </row>
    <row r="6996" spans="1:19">
      <c r="A6996" s="182"/>
      <c r="Q6996" s="183"/>
      <c r="R6996" s="183"/>
      <c r="S6996" s="183"/>
    </row>
    <row r="6997" spans="1:19">
      <c r="A6997" s="182"/>
      <c r="Q6997" s="183"/>
      <c r="R6997" s="183"/>
      <c r="S6997" s="183"/>
    </row>
    <row r="6998" spans="1:19">
      <c r="A6998" s="182"/>
      <c r="Q6998" s="183"/>
      <c r="R6998" s="183"/>
      <c r="S6998" s="183"/>
    </row>
    <row r="6999" spans="1:19">
      <c r="A6999" s="182"/>
      <c r="Q6999" s="183"/>
      <c r="R6999" s="183"/>
      <c r="S6999" s="183"/>
    </row>
    <row r="7000" spans="1:19">
      <c r="A7000" s="182"/>
      <c r="Q7000" s="183"/>
      <c r="R7000" s="183"/>
      <c r="S7000" s="183"/>
    </row>
    <row r="7001" spans="1:19">
      <c r="A7001" s="182"/>
      <c r="Q7001" s="183"/>
      <c r="R7001" s="183"/>
      <c r="S7001" s="183"/>
    </row>
    <row r="7002" spans="1:19">
      <c r="A7002" s="182"/>
      <c r="Q7002" s="183"/>
      <c r="R7002" s="183"/>
      <c r="S7002" s="183"/>
    </row>
    <row r="7003" spans="1:19">
      <c r="A7003" s="182"/>
      <c r="Q7003" s="183"/>
      <c r="R7003" s="183"/>
      <c r="S7003" s="183"/>
    </row>
    <row r="7004" spans="1:19">
      <c r="A7004" s="182"/>
      <c r="Q7004" s="183"/>
      <c r="R7004" s="183"/>
      <c r="S7004" s="183"/>
    </row>
    <row r="7005" spans="1:19">
      <c r="A7005" s="182"/>
      <c r="Q7005" s="183"/>
      <c r="R7005" s="183"/>
      <c r="S7005" s="183"/>
    </row>
    <row r="7006" spans="1:19">
      <c r="A7006" s="182"/>
      <c r="Q7006" s="183"/>
      <c r="R7006" s="183"/>
      <c r="S7006" s="183"/>
    </row>
    <row r="7007" spans="1:19">
      <c r="A7007" s="182"/>
      <c r="Q7007" s="183"/>
      <c r="R7007" s="183"/>
      <c r="S7007" s="183"/>
    </row>
    <row r="7008" spans="1:19">
      <c r="A7008" s="182"/>
      <c r="Q7008" s="183"/>
      <c r="R7008" s="183"/>
      <c r="S7008" s="183"/>
    </row>
    <row r="7009" spans="1:38">
      <c r="A7009" s="182"/>
      <c r="Q7009" s="183"/>
      <c r="R7009" s="183"/>
      <c r="S7009" s="183"/>
      <c r="AK7009" s="183"/>
      <c r="AL7009" s="183"/>
    </row>
    <row r="7010" spans="1:38">
      <c r="A7010" s="182"/>
      <c r="Q7010" s="183"/>
      <c r="R7010" s="183"/>
      <c r="S7010" s="183"/>
      <c r="AJ7010" s="183"/>
      <c r="AK7010" s="183"/>
      <c r="AL7010" s="183"/>
    </row>
    <row r="7011" spans="1:38">
      <c r="A7011" s="182"/>
      <c r="Q7011" s="183"/>
      <c r="R7011" s="183"/>
      <c r="S7011" s="183"/>
      <c r="AJ7011" s="183"/>
      <c r="AK7011" s="183"/>
      <c r="AL7011" s="183"/>
    </row>
    <row r="7012" spans="1:38">
      <c r="A7012" s="182"/>
      <c r="Q7012" s="183"/>
      <c r="R7012" s="183"/>
      <c r="S7012" s="183"/>
      <c r="AJ7012" s="183"/>
      <c r="AK7012" s="183"/>
      <c r="AL7012" s="183"/>
    </row>
    <row r="7013" spans="1:38">
      <c r="A7013" s="182"/>
      <c r="Q7013" s="183"/>
      <c r="R7013" s="183"/>
      <c r="S7013" s="183"/>
      <c r="AJ7013" s="183"/>
    </row>
    <row r="7014" spans="1:38">
      <c r="A7014" s="182"/>
      <c r="Q7014" s="183"/>
      <c r="R7014" s="183"/>
      <c r="S7014" s="183"/>
    </row>
    <row r="7015" spans="1:38">
      <c r="A7015" s="182"/>
      <c r="Q7015" s="183"/>
      <c r="R7015" s="183"/>
      <c r="S7015" s="183"/>
    </row>
    <row r="7016" spans="1:38">
      <c r="A7016" s="182"/>
      <c r="Q7016" s="183"/>
      <c r="R7016" s="183"/>
      <c r="S7016" s="183"/>
    </row>
    <row r="7017" spans="1:38">
      <c r="A7017" s="182"/>
      <c r="Q7017" s="183"/>
      <c r="R7017" s="183"/>
      <c r="S7017" s="183"/>
    </row>
    <row r="7018" spans="1:38">
      <c r="A7018" s="182"/>
      <c r="Q7018" s="183"/>
      <c r="R7018" s="183"/>
      <c r="S7018" s="183"/>
    </row>
    <row r="7019" spans="1:38">
      <c r="A7019" s="182"/>
      <c r="Q7019" s="183"/>
      <c r="R7019" s="183"/>
      <c r="S7019" s="183"/>
    </row>
    <row r="7020" spans="1:38">
      <c r="A7020" s="182"/>
      <c r="Q7020" s="183"/>
      <c r="R7020" s="183"/>
      <c r="S7020" s="183"/>
    </row>
    <row r="7021" spans="1:38">
      <c r="A7021" s="182"/>
      <c r="Q7021" s="183"/>
      <c r="R7021" s="183"/>
      <c r="S7021" s="183"/>
      <c r="AK7021" s="183"/>
      <c r="AL7021" s="183"/>
    </row>
    <row r="7022" spans="1:38">
      <c r="A7022" s="182"/>
      <c r="Q7022" s="183"/>
      <c r="R7022" s="183"/>
      <c r="S7022" s="183"/>
      <c r="AJ7022" s="183"/>
      <c r="AK7022" s="183"/>
      <c r="AL7022" s="183"/>
    </row>
    <row r="7023" spans="1:38">
      <c r="A7023" s="182"/>
      <c r="Q7023" s="183"/>
      <c r="R7023" s="183"/>
      <c r="S7023" s="183"/>
      <c r="AJ7023" s="183"/>
      <c r="AK7023" s="183"/>
      <c r="AL7023" s="183"/>
    </row>
    <row r="7024" spans="1:38">
      <c r="A7024" s="182"/>
      <c r="Q7024" s="183"/>
      <c r="R7024" s="183"/>
      <c r="S7024" s="183"/>
      <c r="AJ7024" s="183"/>
      <c r="AK7024" s="183"/>
      <c r="AL7024" s="183"/>
    </row>
    <row r="7025" spans="1:36">
      <c r="A7025" s="182"/>
      <c r="Q7025" s="183"/>
      <c r="R7025" s="183"/>
      <c r="S7025" s="183"/>
      <c r="AJ7025" s="183"/>
    </row>
    <row r="7026" spans="1:36">
      <c r="A7026" s="182"/>
      <c r="Q7026" s="183"/>
      <c r="R7026" s="183"/>
      <c r="S7026" s="183"/>
    </row>
    <row r="7027" spans="1:36">
      <c r="A7027" s="182"/>
      <c r="Q7027" s="183"/>
      <c r="R7027" s="183"/>
      <c r="S7027" s="183"/>
    </row>
    <row r="7028" spans="1:36">
      <c r="A7028" s="182"/>
      <c r="Q7028" s="183"/>
      <c r="R7028" s="183"/>
      <c r="S7028" s="183"/>
    </row>
    <row r="7029" spans="1:36">
      <c r="A7029" s="182"/>
      <c r="Q7029" s="183"/>
      <c r="R7029" s="183"/>
      <c r="S7029" s="183"/>
    </row>
    <row r="7030" spans="1:36">
      <c r="A7030" s="182"/>
      <c r="Q7030" s="183"/>
      <c r="R7030" s="183"/>
      <c r="S7030" s="183"/>
    </row>
    <row r="7031" spans="1:36">
      <c r="A7031" s="182"/>
      <c r="Q7031" s="183"/>
      <c r="R7031" s="183"/>
      <c r="S7031" s="183"/>
    </row>
    <row r="7032" spans="1:36">
      <c r="A7032" s="182"/>
      <c r="Q7032" s="183"/>
      <c r="R7032" s="183"/>
      <c r="S7032" s="183"/>
    </row>
    <row r="7033" spans="1:36">
      <c r="A7033" s="182"/>
      <c r="Q7033" s="183"/>
      <c r="R7033" s="183"/>
      <c r="S7033" s="183"/>
    </row>
    <row r="7034" spans="1:36">
      <c r="A7034" s="182"/>
      <c r="Q7034" s="183"/>
      <c r="R7034" s="183"/>
      <c r="S7034" s="183"/>
    </row>
    <row r="7035" spans="1:36">
      <c r="A7035" s="182"/>
      <c r="Q7035" s="183"/>
      <c r="R7035" s="183"/>
      <c r="S7035" s="183"/>
    </row>
    <row r="7036" spans="1:36">
      <c r="A7036" s="182"/>
      <c r="Q7036" s="183"/>
      <c r="R7036" s="183"/>
      <c r="S7036" s="183"/>
    </row>
    <row r="7037" spans="1:36">
      <c r="A7037" s="182"/>
      <c r="Q7037" s="183"/>
      <c r="R7037" s="183"/>
      <c r="S7037" s="183"/>
    </row>
    <row r="7038" spans="1:36">
      <c r="A7038" s="182"/>
      <c r="Q7038" s="183"/>
      <c r="R7038" s="183"/>
      <c r="S7038" s="183"/>
    </row>
    <row r="7039" spans="1:36">
      <c r="A7039" s="182"/>
      <c r="Q7039" s="183"/>
      <c r="R7039" s="183"/>
      <c r="S7039" s="183"/>
    </row>
    <row r="7040" spans="1:36">
      <c r="A7040" s="182"/>
      <c r="Q7040" s="183"/>
      <c r="R7040" s="183"/>
      <c r="S7040" s="183"/>
    </row>
    <row r="7041" spans="1:19">
      <c r="A7041" s="182"/>
      <c r="Q7041" s="183"/>
      <c r="R7041" s="183"/>
      <c r="S7041" s="183"/>
    </row>
    <row r="7042" spans="1:19">
      <c r="A7042" s="182"/>
      <c r="Q7042" s="183"/>
      <c r="R7042" s="183"/>
      <c r="S7042" s="183"/>
    </row>
    <row r="7043" spans="1:19">
      <c r="A7043" s="182"/>
      <c r="Q7043" s="183"/>
      <c r="R7043" s="183"/>
      <c r="S7043" s="183"/>
    </row>
    <row r="7044" spans="1:19">
      <c r="A7044" s="182"/>
      <c r="Q7044" s="183"/>
      <c r="R7044" s="183"/>
      <c r="S7044" s="183"/>
    </row>
    <row r="7045" spans="1:19">
      <c r="A7045" s="182"/>
      <c r="Q7045" s="183"/>
      <c r="R7045" s="183"/>
      <c r="S7045" s="183"/>
    </row>
    <row r="7046" spans="1:19">
      <c r="A7046" s="182"/>
      <c r="Q7046" s="183"/>
      <c r="R7046" s="183"/>
      <c r="S7046" s="183"/>
    </row>
    <row r="7047" spans="1:19">
      <c r="A7047" s="182"/>
      <c r="Q7047" s="183"/>
      <c r="R7047" s="183"/>
      <c r="S7047" s="183"/>
    </row>
    <row r="7048" spans="1:19">
      <c r="A7048" s="182"/>
      <c r="Q7048" s="183"/>
      <c r="R7048" s="183"/>
      <c r="S7048" s="183"/>
    </row>
    <row r="7049" spans="1:19">
      <c r="A7049" s="182"/>
      <c r="Q7049" s="183"/>
      <c r="R7049" s="183"/>
      <c r="S7049" s="183"/>
    </row>
    <row r="7050" spans="1:19">
      <c r="A7050" s="182"/>
      <c r="Q7050" s="183"/>
      <c r="R7050" s="183"/>
      <c r="S7050" s="183"/>
    </row>
    <row r="7051" spans="1:19">
      <c r="A7051" s="182"/>
      <c r="Q7051" s="183"/>
      <c r="R7051" s="183"/>
      <c r="S7051" s="183"/>
    </row>
    <row r="7052" spans="1:19">
      <c r="A7052" s="182"/>
      <c r="Q7052" s="183"/>
      <c r="R7052" s="183"/>
      <c r="S7052" s="183"/>
    </row>
    <row r="7053" spans="1:19">
      <c r="A7053" s="182"/>
      <c r="Q7053" s="183"/>
      <c r="R7053" s="183"/>
      <c r="S7053" s="183"/>
    </row>
    <row r="7054" spans="1:19">
      <c r="A7054" s="182"/>
      <c r="Q7054" s="183"/>
      <c r="R7054" s="183"/>
      <c r="S7054" s="183"/>
    </row>
    <row r="7055" spans="1:19">
      <c r="A7055" s="182"/>
      <c r="Q7055" s="183"/>
      <c r="R7055" s="183"/>
      <c r="S7055" s="183"/>
    </row>
    <row r="7056" spans="1:19">
      <c r="A7056" s="182"/>
      <c r="Q7056" s="183"/>
      <c r="R7056" s="183"/>
      <c r="S7056" s="183"/>
    </row>
    <row r="7057" spans="1:38">
      <c r="A7057" s="182"/>
      <c r="Q7057" s="183"/>
      <c r="R7057" s="183"/>
      <c r="S7057" s="183"/>
    </row>
    <row r="7058" spans="1:38">
      <c r="A7058" s="182"/>
      <c r="Q7058" s="183"/>
      <c r="R7058" s="183"/>
      <c r="S7058" s="183"/>
    </row>
    <row r="7059" spans="1:38">
      <c r="A7059" s="182"/>
      <c r="Q7059" s="183"/>
      <c r="R7059" s="183"/>
      <c r="S7059" s="183"/>
    </row>
    <row r="7060" spans="1:38">
      <c r="A7060" s="182"/>
      <c r="Q7060" s="183"/>
      <c r="R7060" s="183"/>
      <c r="S7060" s="183"/>
    </row>
    <row r="7061" spans="1:38">
      <c r="A7061" s="182"/>
      <c r="Q7061" s="183"/>
      <c r="R7061" s="183"/>
      <c r="S7061" s="183"/>
    </row>
    <row r="7062" spans="1:38">
      <c r="A7062" s="182"/>
      <c r="Q7062" s="183"/>
      <c r="R7062" s="183"/>
      <c r="S7062" s="183"/>
    </row>
    <row r="7063" spans="1:38">
      <c r="A7063" s="182"/>
      <c r="Q7063" s="183"/>
      <c r="R7063" s="183"/>
      <c r="S7063" s="183"/>
    </row>
    <row r="7064" spans="1:38">
      <c r="A7064" s="182"/>
      <c r="Q7064" s="183"/>
      <c r="R7064" s="183"/>
      <c r="S7064" s="183"/>
    </row>
    <row r="7065" spans="1:38">
      <c r="A7065" s="182"/>
      <c r="Q7065" s="183"/>
      <c r="R7065" s="183"/>
      <c r="S7065" s="183"/>
    </row>
    <row r="7066" spans="1:38">
      <c r="A7066" s="182"/>
      <c r="Q7066" s="183"/>
      <c r="R7066" s="183"/>
      <c r="S7066" s="183"/>
    </row>
    <row r="7067" spans="1:38">
      <c r="A7067" s="182"/>
      <c r="Q7067" s="183"/>
      <c r="R7067" s="183"/>
      <c r="S7067" s="183"/>
    </row>
    <row r="7068" spans="1:38">
      <c r="A7068" s="182"/>
      <c r="Q7068" s="183"/>
      <c r="R7068" s="183"/>
      <c r="S7068" s="183"/>
    </row>
    <row r="7069" spans="1:38">
      <c r="A7069" s="182"/>
      <c r="Q7069" s="183"/>
      <c r="R7069" s="183"/>
      <c r="S7069" s="183"/>
      <c r="AK7069" s="183"/>
      <c r="AL7069" s="183"/>
    </row>
    <row r="7070" spans="1:38">
      <c r="A7070" s="182"/>
      <c r="Q7070" s="183"/>
      <c r="R7070" s="183"/>
      <c r="S7070" s="183"/>
      <c r="AJ7070" s="183"/>
      <c r="AK7070" s="183"/>
      <c r="AL7070" s="183"/>
    </row>
    <row r="7071" spans="1:38">
      <c r="A7071" s="182"/>
      <c r="Q7071" s="183"/>
      <c r="R7071" s="183"/>
      <c r="S7071" s="183"/>
      <c r="AJ7071" s="183"/>
      <c r="AK7071" s="183"/>
      <c r="AL7071" s="183"/>
    </row>
    <row r="7072" spans="1:38">
      <c r="A7072" s="182"/>
      <c r="Q7072" s="183"/>
      <c r="R7072" s="183"/>
      <c r="S7072" s="183"/>
      <c r="AJ7072" s="183"/>
      <c r="AK7072" s="183"/>
      <c r="AL7072" s="183"/>
    </row>
    <row r="7073" spans="1:38">
      <c r="A7073" s="182"/>
      <c r="Q7073" s="183"/>
      <c r="R7073" s="183"/>
      <c r="S7073" s="183"/>
      <c r="AJ7073" s="183"/>
      <c r="AK7073" s="183"/>
      <c r="AL7073" s="183"/>
    </row>
    <row r="7074" spans="1:38">
      <c r="A7074" s="182"/>
      <c r="Q7074" s="183"/>
      <c r="R7074" s="183"/>
      <c r="S7074" s="183"/>
      <c r="AJ7074" s="183"/>
      <c r="AK7074" s="183"/>
      <c r="AL7074" s="183"/>
    </row>
    <row r="7075" spans="1:38">
      <c r="A7075" s="182"/>
      <c r="Q7075" s="183"/>
      <c r="R7075" s="183"/>
      <c r="S7075" s="183"/>
      <c r="AJ7075" s="183"/>
      <c r="AK7075" s="183"/>
      <c r="AL7075" s="183"/>
    </row>
    <row r="7076" spans="1:38">
      <c r="A7076" s="182"/>
      <c r="Q7076" s="183"/>
      <c r="R7076" s="183"/>
      <c r="S7076" s="183"/>
      <c r="AJ7076" s="183"/>
      <c r="AK7076" s="183"/>
      <c r="AL7076" s="183"/>
    </row>
    <row r="7077" spans="1:38">
      <c r="A7077" s="182"/>
      <c r="Q7077" s="183"/>
      <c r="R7077" s="183"/>
      <c r="S7077" s="183"/>
      <c r="AJ7077" s="183"/>
    </row>
    <row r="7078" spans="1:38">
      <c r="A7078" s="182"/>
      <c r="Q7078" s="183"/>
      <c r="R7078" s="183"/>
      <c r="S7078" s="183"/>
    </row>
    <row r="7079" spans="1:38">
      <c r="A7079" s="182"/>
      <c r="Q7079" s="183"/>
      <c r="R7079" s="183"/>
      <c r="S7079" s="183"/>
    </row>
    <row r="7080" spans="1:38">
      <c r="A7080" s="182"/>
      <c r="Q7080" s="183"/>
      <c r="R7080" s="183"/>
      <c r="S7080" s="183"/>
    </row>
    <row r="7081" spans="1:38">
      <c r="A7081" s="182"/>
      <c r="Q7081" s="183"/>
      <c r="R7081" s="183"/>
      <c r="S7081" s="183"/>
    </row>
    <row r="7082" spans="1:38">
      <c r="A7082" s="182"/>
      <c r="Q7082" s="183"/>
      <c r="R7082" s="183"/>
      <c r="S7082" s="183"/>
    </row>
    <row r="7083" spans="1:38">
      <c r="A7083" s="182"/>
      <c r="Q7083" s="183"/>
      <c r="R7083" s="183"/>
      <c r="S7083" s="183"/>
    </row>
    <row r="7084" spans="1:38">
      <c r="A7084" s="182"/>
      <c r="Q7084" s="183"/>
      <c r="R7084" s="183"/>
      <c r="S7084" s="183"/>
    </row>
    <row r="7085" spans="1:38">
      <c r="A7085" s="182"/>
      <c r="Q7085" s="183"/>
      <c r="R7085" s="183"/>
      <c r="S7085" s="183"/>
    </row>
    <row r="7086" spans="1:38">
      <c r="A7086" s="182"/>
      <c r="Q7086" s="183"/>
      <c r="R7086" s="183"/>
      <c r="S7086" s="183"/>
    </row>
    <row r="7087" spans="1:38">
      <c r="A7087" s="182"/>
      <c r="Q7087" s="183"/>
      <c r="R7087" s="183"/>
      <c r="S7087" s="183"/>
    </row>
    <row r="7088" spans="1:38">
      <c r="A7088" s="182"/>
      <c r="Q7088" s="183"/>
      <c r="R7088" s="183"/>
      <c r="S7088" s="183"/>
    </row>
    <row r="7089" spans="1:19">
      <c r="A7089" s="182"/>
      <c r="Q7089" s="183"/>
      <c r="R7089" s="183"/>
      <c r="S7089" s="183"/>
    </row>
    <row r="7090" spans="1:19">
      <c r="A7090" s="182"/>
      <c r="Q7090" s="183"/>
      <c r="R7090" s="183"/>
      <c r="S7090" s="183"/>
    </row>
    <row r="7091" spans="1:19">
      <c r="A7091" s="182"/>
      <c r="Q7091" s="183"/>
      <c r="R7091" s="183"/>
      <c r="S7091" s="183"/>
    </row>
    <row r="7092" spans="1:19">
      <c r="A7092" s="182"/>
      <c r="Q7092" s="183"/>
      <c r="R7092" s="183"/>
      <c r="S7092" s="183"/>
    </row>
    <row r="7093" spans="1:19">
      <c r="A7093" s="182"/>
      <c r="Q7093" s="183"/>
      <c r="R7093" s="183"/>
      <c r="S7093" s="183"/>
    </row>
    <row r="7094" spans="1:19">
      <c r="A7094" s="182"/>
      <c r="Q7094" s="183"/>
      <c r="R7094" s="183"/>
      <c r="S7094" s="183"/>
    </row>
    <row r="7095" spans="1:19">
      <c r="A7095" s="182"/>
      <c r="Q7095" s="183"/>
      <c r="R7095" s="183"/>
      <c r="S7095" s="183"/>
    </row>
    <row r="7096" spans="1:19">
      <c r="A7096" s="182"/>
      <c r="Q7096" s="183"/>
      <c r="R7096" s="183"/>
      <c r="S7096" s="183"/>
    </row>
    <row r="7097" spans="1:19">
      <c r="A7097" s="182"/>
      <c r="Q7097" s="183"/>
      <c r="R7097" s="183"/>
      <c r="S7097" s="183"/>
    </row>
    <row r="7098" spans="1:19">
      <c r="A7098" s="182"/>
      <c r="Q7098" s="183"/>
      <c r="R7098" s="183"/>
      <c r="S7098" s="183"/>
    </row>
    <row r="7099" spans="1:19">
      <c r="A7099" s="182"/>
      <c r="Q7099" s="183"/>
      <c r="R7099" s="183"/>
      <c r="S7099" s="183"/>
    </row>
    <row r="7100" spans="1:19">
      <c r="A7100" s="182"/>
      <c r="Q7100" s="183"/>
      <c r="R7100" s="183"/>
      <c r="S7100" s="183"/>
    </row>
    <row r="7101" spans="1:19">
      <c r="A7101" s="182"/>
      <c r="Q7101" s="183"/>
      <c r="R7101" s="183"/>
      <c r="S7101" s="183"/>
    </row>
    <row r="7102" spans="1:19">
      <c r="A7102" s="182"/>
      <c r="Q7102" s="183"/>
      <c r="R7102" s="183"/>
      <c r="S7102" s="183"/>
    </row>
    <row r="7103" spans="1:19">
      <c r="A7103" s="182"/>
      <c r="Q7103" s="183"/>
      <c r="R7103" s="183"/>
      <c r="S7103" s="183"/>
    </row>
    <row r="7104" spans="1:19">
      <c r="A7104" s="182"/>
      <c r="Q7104" s="183"/>
      <c r="R7104" s="183"/>
      <c r="S7104" s="183"/>
    </row>
    <row r="7105" spans="1:38">
      <c r="A7105" s="182"/>
      <c r="Q7105" s="183"/>
      <c r="R7105" s="183"/>
      <c r="S7105" s="183"/>
    </row>
    <row r="7106" spans="1:38">
      <c r="A7106" s="182"/>
      <c r="Q7106" s="183"/>
      <c r="R7106" s="183"/>
      <c r="S7106" s="183"/>
    </row>
    <row r="7107" spans="1:38">
      <c r="A7107" s="182"/>
      <c r="Q7107" s="183"/>
      <c r="R7107" s="183"/>
      <c r="S7107" s="183"/>
    </row>
    <row r="7108" spans="1:38">
      <c r="A7108" s="182"/>
      <c r="Q7108" s="183"/>
      <c r="R7108" s="183"/>
      <c r="S7108" s="183"/>
    </row>
    <row r="7109" spans="1:38">
      <c r="A7109" s="182"/>
      <c r="Q7109" s="183"/>
      <c r="R7109" s="183"/>
      <c r="S7109" s="183"/>
      <c r="AK7109" s="183"/>
      <c r="AL7109" s="183"/>
    </row>
    <row r="7110" spans="1:38">
      <c r="A7110" s="182"/>
      <c r="Q7110" s="183"/>
      <c r="R7110" s="183"/>
      <c r="S7110" s="183"/>
      <c r="AJ7110" s="183"/>
      <c r="AK7110" s="183"/>
      <c r="AL7110" s="183"/>
    </row>
    <row r="7111" spans="1:38">
      <c r="A7111" s="182"/>
      <c r="Q7111" s="183"/>
      <c r="R7111" s="183"/>
      <c r="S7111" s="183"/>
      <c r="AJ7111" s="183"/>
      <c r="AK7111" s="183"/>
      <c r="AL7111" s="183"/>
    </row>
    <row r="7112" spans="1:38">
      <c r="A7112" s="182"/>
      <c r="Q7112" s="183"/>
      <c r="R7112" s="183"/>
      <c r="S7112" s="183"/>
      <c r="AJ7112" s="183"/>
      <c r="AK7112" s="183"/>
      <c r="AL7112" s="183"/>
    </row>
    <row r="7113" spans="1:38">
      <c r="A7113" s="182"/>
      <c r="Q7113" s="183"/>
      <c r="R7113" s="183"/>
      <c r="S7113" s="183"/>
      <c r="AJ7113" s="183"/>
    </row>
    <row r="7114" spans="1:38">
      <c r="A7114" s="182"/>
      <c r="Q7114" s="183"/>
      <c r="R7114" s="183"/>
      <c r="S7114" s="183"/>
    </row>
    <row r="7115" spans="1:38">
      <c r="A7115" s="182"/>
      <c r="Q7115" s="183"/>
      <c r="R7115" s="183"/>
      <c r="S7115" s="183"/>
    </row>
    <row r="7116" spans="1:38">
      <c r="A7116" s="182"/>
      <c r="Q7116" s="183"/>
      <c r="R7116" s="183"/>
      <c r="S7116" s="183"/>
    </row>
    <row r="7117" spans="1:38">
      <c r="A7117" s="182"/>
      <c r="Q7117" s="183"/>
      <c r="R7117" s="183"/>
      <c r="S7117" s="183"/>
      <c r="AK7117" s="183"/>
      <c r="AL7117" s="183"/>
    </row>
    <row r="7118" spans="1:38">
      <c r="A7118" s="182"/>
      <c r="Q7118" s="183"/>
      <c r="R7118" s="183"/>
      <c r="S7118" s="183"/>
      <c r="AJ7118" s="183"/>
      <c r="AK7118" s="183"/>
      <c r="AL7118" s="183"/>
    </row>
    <row r="7119" spans="1:38">
      <c r="A7119" s="182"/>
      <c r="Q7119" s="183"/>
      <c r="R7119" s="183"/>
      <c r="S7119" s="183"/>
      <c r="AJ7119" s="183"/>
      <c r="AK7119" s="183"/>
      <c r="AL7119" s="183"/>
    </row>
    <row r="7120" spans="1:38">
      <c r="A7120" s="182"/>
      <c r="Q7120" s="183"/>
      <c r="R7120" s="183"/>
      <c r="S7120" s="183"/>
      <c r="AJ7120" s="183"/>
      <c r="AK7120" s="183"/>
      <c r="AL7120" s="183"/>
    </row>
    <row r="7121" spans="1:36">
      <c r="A7121" s="182"/>
      <c r="Q7121" s="183"/>
      <c r="R7121" s="183"/>
      <c r="S7121" s="183"/>
      <c r="AJ7121" s="183"/>
    </row>
    <row r="7122" spans="1:36">
      <c r="A7122" s="182"/>
      <c r="Q7122" s="183"/>
      <c r="R7122" s="183"/>
      <c r="S7122" s="183"/>
    </row>
    <row r="7123" spans="1:36">
      <c r="A7123" s="182"/>
      <c r="Q7123" s="183"/>
      <c r="R7123" s="183"/>
      <c r="S7123" s="183"/>
    </row>
    <row r="7124" spans="1:36">
      <c r="A7124" s="182"/>
      <c r="Q7124" s="183"/>
      <c r="R7124" s="183"/>
      <c r="S7124" s="183"/>
    </row>
    <row r="7125" spans="1:36">
      <c r="A7125" s="182"/>
      <c r="Q7125" s="183"/>
      <c r="R7125" s="183"/>
      <c r="S7125" s="183"/>
    </row>
    <row r="7126" spans="1:36">
      <c r="A7126" s="182"/>
      <c r="Q7126" s="183"/>
      <c r="R7126" s="183"/>
      <c r="S7126" s="183"/>
    </row>
    <row r="7127" spans="1:36">
      <c r="A7127" s="182"/>
      <c r="Q7127" s="183"/>
      <c r="R7127" s="183"/>
      <c r="S7127" s="183"/>
    </row>
    <row r="7128" spans="1:36">
      <c r="A7128" s="182"/>
      <c r="Q7128" s="183"/>
      <c r="R7128" s="183"/>
      <c r="S7128" s="183"/>
    </row>
    <row r="7129" spans="1:36">
      <c r="A7129" s="182"/>
      <c r="Q7129" s="183"/>
      <c r="R7129" s="183"/>
      <c r="S7129" s="183"/>
    </row>
    <row r="7130" spans="1:36">
      <c r="A7130" s="182"/>
      <c r="Q7130" s="183"/>
      <c r="R7130" s="183"/>
      <c r="S7130" s="183"/>
    </row>
    <row r="7131" spans="1:36">
      <c r="A7131" s="182"/>
      <c r="Q7131" s="183"/>
      <c r="R7131" s="183"/>
      <c r="S7131" s="183"/>
    </row>
    <row r="7132" spans="1:36">
      <c r="A7132" s="182"/>
      <c r="Q7132" s="183"/>
      <c r="R7132" s="183"/>
      <c r="S7132" s="183"/>
    </row>
    <row r="7133" spans="1:36">
      <c r="A7133" s="182"/>
      <c r="Q7133" s="183"/>
      <c r="R7133" s="183"/>
      <c r="S7133" s="183"/>
    </row>
    <row r="7134" spans="1:36">
      <c r="A7134" s="182"/>
      <c r="Q7134" s="183"/>
      <c r="R7134" s="183"/>
      <c r="S7134" s="183"/>
    </row>
    <row r="7135" spans="1:36">
      <c r="A7135" s="182"/>
      <c r="Q7135" s="183"/>
      <c r="R7135" s="183"/>
      <c r="S7135" s="183"/>
    </row>
    <row r="7136" spans="1:36">
      <c r="A7136" s="182"/>
      <c r="Q7136" s="183"/>
      <c r="R7136" s="183"/>
      <c r="S7136" s="183"/>
    </row>
    <row r="7137" spans="1:19">
      <c r="A7137" s="182"/>
      <c r="Q7137" s="183"/>
      <c r="R7137" s="183"/>
      <c r="S7137" s="183"/>
    </row>
    <row r="7138" spans="1:19">
      <c r="A7138" s="182"/>
      <c r="Q7138" s="183"/>
      <c r="R7138" s="183"/>
      <c r="S7138" s="183"/>
    </row>
    <row r="7139" spans="1:19">
      <c r="A7139" s="182"/>
      <c r="Q7139" s="183"/>
      <c r="R7139" s="183"/>
      <c r="S7139" s="183"/>
    </row>
    <row r="7140" spans="1:19">
      <c r="A7140" s="182"/>
      <c r="Q7140" s="183"/>
      <c r="R7140" s="183"/>
      <c r="S7140" s="183"/>
    </row>
    <row r="7141" spans="1:19">
      <c r="A7141" s="182"/>
      <c r="Q7141" s="183"/>
      <c r="R7141" s="183"/>
      <c r="S7141" s="183"/>
    </row>
    <row r="7142" spans="1:19">
      <c r="A7142" s="182"/>
      <c r="Q7142" s="183"/>
      <c r="R7142" s="183"/>
      <c r="S7142" s="183"/>
    </row>
    <row r="7143" spans="1:19">
      <c r="A7143" s="182"/>
      <c r="Q7143" s="183"/>
      <c r="R7143" s="183"/>
      <c r="S7143" s="183"/>
    </row>
    <row r="7144" spans="1:19">
      <c r="A7144" s="182"/>
      <c r="Q7144" s="183"/>
      <c r="R7144" s="183"/>
      <c r="S7144" s="183"/>
    </row>
    <row r="7145" spans="1:19">
      <c r="A7145" s="182"/>
      <c r="Q7145" s="183"/>
      <c r="R7145" s="183"/>
      <c r="S7145" s="183"/>
    </row>
    <row r="7146" spans="1:19">
      <c r="A7146" s="182"/>
      <c r="Q7146" s="183"/>
      <c r="R7146" s="183"/>
      <c r="S7146" s="183"/>
    </row>
    <row r="7147" spans="1:19">
      <c r="A7147" s="182"/>
      <c r="Q7147" s="183"/>
      <c r="R7147" s="183"/>
      <c r="S7147" s="183"/>
    </row>
    <row r="7148" spans="1:19">
      <c r="A7148" s="182"/>
      <c r="Q7148" s="183"/>
      <c r="R7148" s="183"/>
      <c r="S7148" s="183"/>
    </row>
    <row r="7149" spans="1:19">
      <c r="A7149" s="182"/>
      <c r="Q7149" s="183"/>
      <c r="R7149" s="183"/>
      <c r="S7149" s="183"/>
    </row>
    <row r="7150" spans="1:19">
      <c r="A7150" s="182"/>
      <c r="Q7150" s="183"/>
      <c r="R7150" s="183"/>
      <c r="S7150" s="183"/>
    </row>
    <row r="7151" spans="1:19">
      <c r="A7151" s="182"/>
      <c r="Q7151" s="183"/>
      <c r="R7151" s="183"/>
      <c r="S7151" s="183"/>
    </row>
    <row r="7152" spans="1:19">
      <c r="A7152" s="182"/>
      <c r="Q7152" s="183"/>
      <c r="R7152" s="183"/>
      <c r="S7152" s="183"/>
    </row>
    <row r="7153" spans="1:19">
      <c r="A7153" s="182"/>
      <c r="Q7153" s="183"/>
      <c r="R7153" s="183"/>
      <c r="S7153" s="183"/>
    </row>
    <row r="7154" spans="1:19">
      <c r="A7154" s="182"/>
      <c r="Q7154" s="183"/>
      <c r="R7154" s="183"/>
      <c r="S7154" s="183"/>
    </row>
    <row r="7155" spans="1:19">
      <c r="A7155" s="182"/>
      <c r="Q7155" s="183"/>
      <c r="R7155" s="183"/>
      <c r="S7155" s="183"/>
    </row>
    <row r="7156" spans="1:19">
      <c r="A7156" s="182"/>
      <c r="Q7156" s="183"/>
      <c r="R7156" s="183"/>
      <c r="S7156" s="183"/>
    </row>
    <row r="7157" spans="1:19">
      <c r="A7157" s="182"/>
      <c r="Q7157" s="183"/>
      <c r="R7157" s="183"/>
      <c r="S7157" s="183"/>
    </row>
    <row r="7158" spans="1:19">
      <c r="A7158" s="182"/>
      <c r="Q7158" s="183"/>
      <c r="R7158" s="183"/>
      <c r="S7158" s="183"/>
    </row>
    <row r="7159" spans="1:19">
      <c r="A7159" s="182"/>
      <c r="Q7159" s="183"/>
      <c r="R7159" s="183"/>
      <c r="S7159" s="183"/>
    </row>
    <row r="7160" spans="1:19">
      <c r="A7160" s="182"/>
      <c r="Q7160" s="183"/>
      <c r="R7160" s="183"/>
      <c r="S7160" s="183"/>
    </row>
    <row r="7161" spans="1:19">
      <c r="A7161" s="182"/>
      <c r="Q7161" s="183"/>
      <c r="R7161" s="183"/>
      <c r="S7161" s="183"/>
    </row>
    <row r="7162" spans="1:19">
      <c r="A7162" s="182"/>
      <c r="Q7162" s="183"/>
      <c r="R7162" s="183"/>
      <c r="S7162" s="183"/>
    </row>
    <row r="7163" spans="1:19">
      <c r="A7163" s="182"/>
      <c r="Q7163" s="183"/>
      <c r="R7163" s="183"/>
      <c r="S7163" s="183"/>
    </row>
    <row r="7164" spans="1:19">
      <c r="A7164" s="182"/>
      <c r="Q7164" s="183"/>
      <c r="R7164" s="183"/>
      <c r="S7164" s="183"/>
    </row>
    <row r="7165" spans="1:19">
      <c r="A7165" s="182"/>
      <c r="Q7165" s="183"/>
      <c r="R7165" s="183"/>
      <c r="S7165" s="183"/>
    </row>
    <row r="7166" spans="1:19">
      <c r="A7166" s="182"/>
      <c r="Q7166" s="183"/>
      <c r="R7166" s="183"/>
      <c r="S7166" s="183"/>
    </row>
    <row r="7167" spans="1:19">
      <c r="A7167" s="182"/>
      <c r="Q7167" s="183"/>
      <c r="R7167" s="183"/>
      <c r="S7167" s="183"/>
    </row>
    <row r="7168" spans="1:19">
      <c r="A7168" s="182"/>
      <c r="Q7168" s="183"/>
      <c r="R7168" s="183"/>
      <c r="S7168" s="183"/>
    </row>
    <row r="7169" spans="1:38">
      <c r="A7169" s="182"/>
      <c r="Q7169" s="183"/>
      <c r="R7169" s="183"/>
      <c r="S7169" s="183"/>
      <c r="AK7169" s="183"/>
      <c r="AL7169" s="183"/>
    </row>
    <row r="7170" spans="1:38">
      <c r="A7170" s="182"/>
      <c r="Q7170" s="183"/>
      <c r="R7170" s="183"/>
      <c r="S7170" s="183"/>
      <c r="AJ7170" s="183"/>
      <c r="AK7170" s="183"/>
      <c r="AL7170" s="183"/>
    </row>
    <row r="7171" spans="1:38">
      <c r="A7171" s="182"/>
      <c r="Q7171" s="183"/>
      <c r="R7171" s="183"/>
      <c r="S7171" s="183"/>
      <c r="AJ7171" s="183"/>
      <c r="AK7171" s="183"/>
      <c r="AL7171" s="183"/>
    </row>
    <row r="7172" spans="1:38">
      <c r="A7172" s="182"/>
      <c r="Q7172" s="183"/>
      <c r="R7172" s="183"/>
      <c r="S7172" s="183"/>
      <c r="AJ7172" s="183"/>
      <c r="AK7172" s="183"/>
      <c r="AL7172" s="183"/>
    </row>
    <row r="7173" spans="1:38">
      <c r="A7173" s="182"/>
      <c r="Q7173" s="183"/>
      <c r="R7173" s="183"/>
      <c r="S7173" s="183"/>
      <c r="AJ7173" s="183"/>
      <c r="AK7173" s="183"/>
      <c r="AL7173" s="183"/>
    </row>
    <row r="7174" spans="1:38">
      <c r="A7174" s="182"/>
      <c r="Q7174" s="183"/>
      <c r="R7174" s="183"/>
      <c r="S7174" s="183"/>
      <c r="AJ7174" s="183"/>
      <c r="AK7174" s="183"/>
      <c r="AL7174" s="183"/>
    </row>
    <row r="7175" spans="1:38">
      <c r="A7175" s="182"/>
      <c r="Q7175" s="183"/>
      <c r="R7175" s="183"/>
      <c r="S7175" s="183"/>
      <c r="AJ7175" s="183"/>
      <c r="AK7175" s="183"/>
      <c r="AL7175" s="183"/>
    </row>
    <row r="7176" spans="1:38">
      <c r="A7176" s="182"/>
      <c r="Q7176" s="183"/>
      <c r="R7176" s="183"/>
      <c r="S7176" s="183"/>
      <c r="AJ7176" s="183"/>
      <c r="AK7176" s="183"/>
      <c r="AL7176" s="183"/>
    </row>
    <row r="7177" spans="1:38">
      <c r="A7177" s="182"/>
      <c r="Q7177" s="183"/>
      <c r="R7177" s="183"/>
      <c r="S7177" s="183"/>
      <c r="AJ7177" s="183"/>
    </row>
    <row r="7178" spans="1:38">
      <c r="A7178" s="182"/>
      <c r="Q7178" s="183"/>
      <c r="R7178" s="183"/>
      <c r="S7178" s="183"/>
    </row>
    <row r="7179" spans="1:38">
      <c r="A7179" s="182"/>
      <c r="Q7179" s="183"/>
      <c r="R7179" s="183"/>
      <c r="S7179" s="183"/>
    </row>
    <row r="7180" spans="1:38">
      <c r="A7180" s="182"/>
      <c r="Q7180" s="183"/>
      <c r="R7180" s="183"/>
      <c r="S7180" s="183"/>
    </row>
    <row r="7181" spans="1:38">
      <c r="A7181" s="182"/>
      <c r="Q7181" s="183"/>
      <c r="R7181" s="183"/>
      <c r="S7181" s="183"/>
    </row>
    <row r="7182" spans="1:38">
      <c r="A7182" s="182"/>
      <c r="Q7182" s="183"/>
      <c r="R7182" s="183"/>
      <c r="S7182" s="183"/>
    </row>
    <row r="7183" spans="1:38">
      <c r="A7183" s="182"/>
      <c r="Q7183" s="183"/>
      <c r="R7183" s="183"/>
      <c r="S7183" s="183"/>
    </row>
    <row r="7184" spans="1:38">
      <c r="A7184" s="182"/>
      <c r="Q7184" s="183"/>
      <c r="R7184" s="183"/>
      <c r="S7184" s="183"/>
    </row>
    <row r="7185" spans="1:19">
      <c r="A7185" s="182"/>
      <c r="Q7185" s="183"/>
      <c r="R7185" s="183"/>
      <c r="S7185" s="183"/>
    </row>
    <row r="7186" spans="1:19">
      <c r="A7186" s="182"/>
      <c r="Q7186" s="183"/>
      <c r="R7186" s="183"/>
      <c r="S7186" s="183"/>
    </row>
    <row r="7187" spans="1:19">
      <c r="A7187" s="182"/>
      <c r="Q7187" s="183"/>
      <c r="R7187" s="183"/>
      <c r="S7187" s="183"/>
    </row>
    <row r="7188" spans="1:19">
      <c r="A7188" s="182"/>
      <c r="Q7188" s="183"/>
      <c r="R7188" s="183"/>
      <c r="S7188" s="183"/>
    </row>
    <row r="7189" spans="1:19">
      <c r="A7189" s="182"/>
      <c r="Q7189" s="183"/>
      <c r="R7189" s="183"/>
      <c r="S7189" s="183"/>
    </row>
    <row r="7190" spans="1:19">
      <c r="A7190" s="182"/>
      <c r="Q7190" s="183"/>
      <c r="R7190" s="183"/>
      <c r="S7190" s="183"/>
    </row>
    <row r="7191" spans="1:19">
      <c r="A7191" s="182"/>
      <c r="Q7191" s="183"/>
      <c r="R7191" s="183"/>
      <c r="S7191" s="183"/>
    </row>
    <row r="7192" spans="1:19">
      <c r="A7192" s="182"/>
      <c r="Q7192" s="183"/>
      <c r="R7192" s="183"/>
      <c r="S7192" s="183"/>
    </row>
    <row r="7193" spans="1:19">
      <c r="A7193" s="182"/>
      <c r="Q7193" s="183"/>
      <c r="R7193" s="183"/>
      <c r="S7193" s="183"/>
    </row>
    <row r="7194" spans="1:19">
      <c r="A7194" s="182"/>
      <c r="Q7194" s="183"/>
      <c r="R7194" s="183"/>
      <c r="S7194" s="183"/>
    </row>
    <row r="7195" spans="1:19">
      <c r="A7195" s="182"/>
      <c r="Q7195" s="183"/>
      <c r="R7195" s="183"/>
      <c r="S7195" s="183"/>
    </row>
    <row r="7196" spans="1:19">
      <c r="A7196" s="182"/>
      <c r="Q7196" s="183"/>
      <c r="R7196" s="183"/>
      <c r="S7196" s="183"/>
    </row>
    <row r="7197" spans="1:19">
      <c r="A7197" s="182"/>
      <c r="Q7197" s="183"/>
      <c r="R7197" s="183"/>
      <c r="S7197" s="183"/>
    </row>
    <row r="7198" spans="1:19">
      <c r="A7198" s="182"/>
      <c r="Q7198" s="183"/>
      <c r="R7198" s="183"/>
      <c r="S7198" s="183"/>
    </row>
    <row r="7199" spans="1:19">
      <c r="A7199" s="182"/>
      <c r="Q7199" s="183"/>
      <c r="R7199" s="183"/>
      <c r="S7199" s="183"/>
    </row>
    <row r="7200" spans="1:19">
      <c r="A7200" s="182"/>
      <c r="Q7200" s="183"/>
      <c r="R7200" s="183"/>
      <c r="S7200" s="183"/>
    </row>
    <row r="7201" spans="1:38">
      <c r="A7201" s="182"/>
      <c r="Q7201" s="183"/>
      <c r="R7201" s="183"/>
      <c r="S7201" s="183"/>
      <c r="AK7201" s="183"/>
      <c r="AL7201" s="183"/>
    </row>
    <row r="7202" spans="1:38">
      <c r="A7202" s="182"/>
      <c r="Q7202" s="183"/>
      <c r="R7202" s="183"/>
      <c r="S7202" s="183"/>
      <c r="AJ7202" s="183"/>
      <c r="AK7202" s="183"/>
      <c r="AL7202" s="183"/>
    </row>
    <row r="7203" spans="1:38">
      <c r="A7203" s="182"/>
      <c r="Q7203" s="183"/>
      <c r="R7203" s="183"/>
      <c r="S7203" s="183"/>
      <c r="AJ7203" s="183"/>
      <c r="AK7203" s="183"/>
      <c r="AL7203" s="183"/>
    </row>
    <row r="7204" spans="1:38">
      <c r="A7204" s="182"/>
      <c r="Q7204" s="183"/>
      <c r="R7204" s="183"/>
      <c r="S7204" s="183"/>
      <c r="AJ7204" s="183"/>
      <c r="AK7204" s="183"/>
      <c r="AL7204" s="183"/>
    </row>
    <row r="7205" spans="1:38">
      <c r="A7205" s="182"/>
      <c r="Q7205" s="183"/>
      <c r="R7205" s="183"/>
      <c r="S7205" s="183"/>
      <c r="AJ7205" s="183"/>
    </row>
    <row r="7206" spans="1:38">
      <c r="A7206" s="182"/>
      <c r="Q7206" s="183"/>
      <c r="R7206" s="183"/>
      <c r="S7206" s="183"/>
    </row>
    <row r="7207" spans="1:38">
      <c r="A7207" s="182"/>
      <c r="Q7207" s="183"/>
      <c r="R7207" s="183"/>
      <c r="S7207" s="183"/>
    </row>
    <row r="7208" spans="1:38">
      <c r="A7208" s="182"/>
      <c r="Q7208" s="183"/>
      <c r="R7208" s="183"/>
      <c r="S7208" s="183"/>
    </row>
    <row r="7209" spans="1:38">
      <c r="A7209" s="182"/>
      <c r="Q7209" s="183"/>
      <c r="R7209" s="183"/>
      <c r="S7209" s="183"/>
    </row>
    <row r="7210" spans="1:38">
      <c r="A7210" s="182"/>
      <c r="Q7210" s="183"/>
      <c r="R7210" s="183"/>
      <c r="S7210" s="183"/>
    </row>
    <row r="7211" spans="1:38">
      <c r="A7211" s="182"/>
      <c r="Q7211" s="183"/>
      <c r="R7211" s="183"/>
      <c r="S7211" s="183"/>
    </row>
    <row r="7212" spans="1:38">
      <c r="A7212" s="182"/>
      <c r="Q7212" s="183"/>
      <c r="R7212" s="183"/>
      <c r="S7212" s="183"/>
    </row>
    <row r="7213" spans="1:38">
      <c r="A7213" s="182"/>
      <c r="Q7213" s="183"/>
      <c r="R7213" s="183"/>
      <c r="S7213" s="183"/>
    </row>
    <row r="7214" spans="1:38">
      <c r="A7214" s="182"/>
      <c r="Q7214" s="183"/>
      <c r="R7214" s="183"/>
      <c r="S7214" s="183"/>
    </row>
    <row r="7215" spans="1:38">
      <c r="A7215" s="182"/>
      <c r="Q7215" s="183"/>
      <c r="R7215" s="183"/>
      <c r="S7215" s="183"/>
    </row>
    <row r="7216" spans="1:38">
      <c r="A7216" s="182"/>
      <c r="Q7216" s="183"/>
      <c r="R7216" s="183"/>
      <c r="S7216" s="183"/>
    </row>
    <row r="7217" spans="1:38">
      <c r="A7217" s="182"/>
      <c r="Q7217" s="183"/>
      <c r="R7217" s="183"/>
      <c r="S7217" s="183"/>
      <c r="AK7217" s="183"/>
      <c r="AL7217" s="183"/>
    </row>
    <row r="7218" spans="1:38">
      <c r="A7218" s="182"/>
      <c r="Q7218" s="183"/>
      <c r="R7218" s="183"/>
      <c r="S7218" s="183"/>
      <c r="AJ7218" s="183"/>
      <c r="AK7218" s="183"/>
      <c r="AL7218" s="183"/>
    </row>
    <row r="7219" spans="1:38">
      <c r="A7219" s="182"/>
      <c r="Q7219" s="183"/>
      <c r="R7219" s="183"/>
      <c r="S7219" s="183"/>
      <c r="AJ7219" s="183"/>
      <c r="AK7219" s="183"/>
      <c r="AL7219" s="183"/>
    </row>
    <row r="7220" spans="1:38">
      <c r="A7220" s="182"/>
      <c r="Q7220" s="183"/>
      <c r="R7220" s="183"/>
      <c r="S7220" s="183"/>
      <c r="AJ7220" s="183"/>
      <c r="AK7220" s="183"/>
      <c r="AL7220" s="183"/>
    </row>
    <row r="7221" spans="1:38">
      <c r="A7221" s="182"/>
      <c r="Q7221" s="183"/>
      <c r="R7221" s="183"/>
      <c r="S7221" s="183"/>
      <c r="AJ7221" s="183"/>
      <c r="AK7221" s="183"/>
      <c r="AL7221" s="183"/>
    </row>
    <row r="7222" spans="1:38">
      <c r="A7222" s="182"/>
      <c r="Q7222" s="183"/>
      <c r="R7222" s="183"/>
      <c r="S7222" s="183"/>
      <c r="AJ7222" s="183"/>
      <c r="AK7222" s="183"/>
      <c r="AL7222" s="183"/>
    </row>
    <row r="7223" spans="1:38">
      <c r="A7223" s="182"/>
      <c r="Q7223" s="183"/>
      <c r="R7223" s="183"/>
      <c r="S7223" s="183"/>
      <c r="AJ7223" s="183"/>
      <c r="AK7223" s="183"/>
      <c r="AL7223" s="183"/>
    </row>
    <row r="7224" spans="1:38">
      <c r="A7224" s="182"/>
      <c r="Q7224" s="183"/>
      <c r="R7224" s="183"/>
      <c r="S7224" s="183"/>
      <c r="AJ7224" s="183"/>
      <c r="AK7224" s="183"/>
      <c r="AL7224" s="183"/>
    </row>
    <row r="7225" spans="1:38">
      <c r="A7225" s="182"/>
      <c r="Q7225" s="183"/>
      <c r="R7225" s="183"/>
      <c r="S7225" s="183"/>
      <c r="AJ7225" s="183"/>
    </row>
    <row r="7226" spans="1:38">
      <c r="A7226" s="182"/>
      <c r="Q7226" s="183"/>
      <c r="R7226" s="183"/>
      <c r="S7226" s="183"/>
    </row>
    <row r="7227" spans="1:38">
      <c r="A7227" s="182"/>
      <c r="Q7227" s="183"/>
      <c r="R7227" s="183"/>
      <c r="S7227" s="183"/>
    </row>
    <row r="7228" spans="1:38">
      <c r="A7228" s="182"/>
      <c r="Q7228" s="183"/>
      <c r="R7228" s="183"/>
      <c r="S7228" s="183"/>
    </row>
    <row r="7229" spans="1:38">
      <c r="A7229" s="182"/>
      <c r="Q7229" s="183"/>
      <c r="R7229" s="183"/>
      <c r="S7229" s="183"/>
    </row>
    <row r="7230" spans="1:38">
      <c r="A7230" s="182"/>
      <c r="Q7230" s="183"/>
      <c r="R7230" s="183"/>
      <c r="S7230" s="183"/>
    </row>
    <row r="7231" spans="1:38">
      <c r="A7231" s="182"/>
      <c r="Q7231" s="183"/>
      <c r="R7231" s="183"/>
      <c r="S7231" s="183"/>
    </row>
    <row r="7232" spans="1:38">
      <c r="A7232" s="182"/>
      <c r="Q7232" s="183"/>
      <c r="R7232" s="183"/>
      <c r="S7232" s="183"/>
    </row>
    <row r="7233" spans="1:19">
      <c r="A7233" s="182"/>
      <c r="Q7233" s="183"/>
      <c r="R7233" s="183"/>
      <c r="S7233" s="183"/>
    </row>
    <row r="7234" spans="1:19">
      <c r="A7234" s="182"/>
      <c r="Q7234" s="183"/>
      <c r="R7234" s="183"/>
      <c r="S7234" s="183"/>
    </row>
    <row r="7235" spans="1:19">
      <c r="A7235" s="182"/>
      <c r="Q7235" s="183"/>
      <c r="R7235" s="183"/>
      <c r="S7235" s="183"/>
    </row>
    <row r="7236" spans="1:19">
      <c r="A7236" s="182"/>
      <c r="Q7236" s="183"/>
      <c r="R7236" s="183"/>
      <c r="S7236" s="183"/>
    </row>
    <row r="7237" spans="1:19">
      <c r="A7237" s="182"/>
      <c r="Q7237" s="183"/>
      <c r="R7237" s="183"/>
      <c r="S7237" s="183"/>
    </row>
    <row r="7238" spans="1:19">
      <c r="A7238" s="182"/>
      <c r="Q7238" s="183"/>
      <c r="R7238" s="183"/>
      <c r="S7238" s="183"/>
    </row>
    <row r="7239" spans="1:19">
      <c r="A7239" s="182"/>
      <c r="Q7239" s="183"/>
      <c r="R7239" s="183"/>
      <c r="S7239" s="183"/>
    </row>
    <row r="7240" spans="1:19">
      <c r="A7240" s="182"/>
      <c r="Q7240" s="183"/>
      <c r="R7240" s="183"/>
      <c r="S7240" s="183"/>
    </row>
    <row r="7241" spans="1:19">
      <c r="A7241" s="182"/>
      <c r="Q7241" s="183"/>
      <c r="R7241" s="183"/>
      <c r="S7241" s="183"/>
    </row>
    <row r="7242" spans="1:19">
      <c r="A7242" s="182"/>
      <c r="Q7242" s="183"/>
      <c r="R7242" s="183"/>
      <c r="S7242" s="183"/>
    </row>
    <row r="7243" spans="1:19">
      <c r="A7243" s="182"/>
      <c r="Q7243" s="183"/>
      <c r="R7243" s="183"/>
      <c r="S7243" s="183"/>
    </row>
    <row r="7244" spans="1:19">
      <c r="A7244" s="182"/>
      <c r="Q7244" s="183"/>
      <c r="R7244" s="183"/>
      <c r="S7244" s="183"/>
    </row>
    <row r="7245" spans="1:19">
      <c r="A7245" s="182"/>
      <c r="Q7245" s="183"/>
      <c r="R7245" s="183"/>
      <c r="S7245" s="183"/>
    </row>
    <row r="7246" spans="1:19">
      <c r="A7246" s="182"/>
      <c r="Q7246" s="183"/>
      <c r="R7246" s="183"/>
      <c r="S7246" s="183"/>
    </row>
    <row r="7247" spans="1:19">
      <c r="A7247" s="182"/>
      <c r="Q7247" s="183"/>
      <c r="R7247" s="183"/>
      <c r="S7247" s="183"/>
    </row>
    <row r="7248" spans="1:19">
      <c r="A7248" s="182"/>
      <c r="Q7248" s="183"/>
      <c r="R7248" s="183"/>
      <c r="S7248" s="183"/>
    </row>
    <row r="7249" spans="1:19">
      <c r="A7249" s="182"/>
      <c r="Q7249" s="183"/>
      <c r="R7249" s="183"/>
      <c r="S7249" s="183"/>
    </row>
    <row r="7250" spans="1:19">
      <c r="A7250" s="182"/>
      <c r="Q7250" s="183"/>
      <c r="R7250" s="183"/>
      <c r="S7250" s="183"/>
    </row>
    <row r="7251" spans="1:19">
      <c r="A7251" s="182"/>
      <c r="Q7251" s="183"/>
      <c r="R7251" s="183"/>
      <c r="S7251" s="183"/>
    </row>
    <row r="7252" spans="1:19">
      <c r="A7252" s="182"/>
      <c r="Q7252" s="183"/>
      <c r="R7252" s="183"/>
      <c r="S7252" s="183"/>
    </row>
    <row r="7253" spans="1:19">
      <c r="A7253" s="182"/>
      <c r="Q7253" s="183"/>
      <c r="R7253" s="183"/>
      <c r="S7253" s="183"/>
    </row>
    <row r="7254" spans="1:19">
      <c r="A7254" s="182"/>
      <c r="Q7254" s="183"/>
      <c r="R7254" s="183"/>
      <c r="S7254" s="183"/>
    </row>
    <row r="7255" spans="1:19">
      <c r="A7255" s="182"/>
      <c r="Q7255" s="183"/>
      <c r="R7255" s="183"/>
      <c r="S7255" s="183"/>
    </row>
    <row r="7256" spans="1:19">
      <c r="A7256" s="182"/>
      <c r="Q7256" s="183"/>
      <c r="R7256" s="183"/>
      <c r="S7256" s="183"/>
    </row>
    <row r="7257" spans="1:19">
      <c r="A7257" s="182"/>
      <c r="Q7257" s="183"/>
      <c r="R7257" s="183"/>
      <c r="S7257" s="183"/>
    </row>
    <row r="7258" spans="1:19">
      <c r="A7258" s="182"/>
      <c r="Q7258" s="183"/>
      <c r="R7258" s="183"/>
      <c r="S7258" s="183"/>
    </row>
    <row r="7259" spans="1:19">
      <c r="A7259" s="182"/>
      <c r="Q7259" s="183"/>
      <c r="R7259" s="183"/>
      <c r="S7259" s="183"/>
    </row>
    <row r="7260" spans="1:19">
      <c r="A7260" s="182"/>
      <c r="Q7260" s="183"/>
      <c r="R7260" s="183"/>
      <c r="S7260" s="183"/>
    </row>
    <row r="7261" spans="1:19">
      <c r="A7261" s="182"/>
      <c r="Q7261" s="183"/>
      <c r="R7261" s="183"/>
      <c r="S7261" s="183"/>
    </row>
    <row r="7262" spans="1:19">
      <c r="A7262" s="182"/>
      <c r="Q7262" s="183"/>
      <c r="R7262" s="183"/>
      <c r="S7262" s="183"/>
    </row>
    <row r="7263" spans="1:19">
      <c r="A7263" s="182"/>
      <c r="Q7263" s="183"/>
      <c r="R7263" s="183"/>
      <c r="S7263" s="183"/>
    </row>
    <row r="7264" spans="1:19">
      <c r="A7264" s="182"/>
      <c r="Q7264" s="183"/>
      <c r="R7264" s="183"/>
      <c r="S7264" s="183"/>
    </row>
    <row r="7265" spans="1:38">
      <c r="A7265" s="182"/>
      <c r="Q7265" s="183"/>
      <c r="R7265" s="183"/>
      <c r="S7265" s="183"/>
    </row>
    <row r="7266" spans="1:38">
      <c r="A7266" s="182"/>
      <c r="Q7266" s="183"/>
      <c r="R7266" s="183"/>
      <c r="S7266" s="183"/>
    </row>
    <row r="7267" spans="1:38">
      <c r="A7267" s="182"/>
      <c r="Q7267" s="183"/>
      <c r="R7267" s="183"/>
      <c r="S7267" s="183"/>
    </row>
    <row r="7268" spans="1:38">
      <c r="A7268" s="182"/>
      <c r="Q7268" s="183"/>
      <c r="R7268" s="183"/>
      <c r="S7268" s="183"/>
    </row>
    <row r="7269" spans="1:38">
      <c r="A7269" s="182"/>
      <c r="Q7269" s="183"/>
      <c r="R7269" s="183"/>
      <c r="S7269" s="183"/>
      <c r="AK7269" s="183"/>
      <c r="AL7269" s="183"/>
    </row>
    <row r="7270" spans="1:38">
      <c r="A7270" s="182"/>
      <c r="Q7270" s="183"/>
      <c r="R7270" s="183"/>
      <c r="S7270" s="183"/>
      <c r="AJ7270" s="183"/>
      <c r="AK7270" s="183"/>
      <c r="AL7270" s="183"/>
    </row>
    <row r="7271" spans="1:38">
      <c r="A7271" s="182"/>
      <c r="Q7271" s="183"/>
      <c r="R7271" s="183"/>
      <c r="S7271" s="183"/>
      <c r="AJ7271" s="183"/>
      <c r="AK7271" s="183"/>
      <c r="AL7271" s="183"/>
    </row>
    <row r="7272" spans="1:38">
      <c r="A7272" s="182"/>
      <c r="Q7272" s="183"/>
      <c r="R7272" s="183"/>
      <c r="S7272" s="183"/>
      <c r="AJ7272" s="183"/>
      <c r="AK7272" s="183"/>
      <c r="AL7272" s="183"/>
    </row>
    <row r="7273" spans="1:38">
      <c r="A7273" s="182"/>
      <c r="Q7273" s="183"/>
      <c r="R7273" s="183"/>
      <c r="S7273" s="183"/>
      <c r="AJ7273" s="183"/>
    </row>
    <row r="7274" spans="1:38">
      <c r="A7274" s="182"/>
      <c r="Q7274" s="183"/>
      <c r="R7274" s="183"/>
      <c r="S7274" s="183"/>
    </row>
    <row r="7275" spans="1:38">
      <c r="A7275" s="182"/>
      <c r="Q7275" s="183"/>
      <c r="R7275" s="183"/>
      <c r="S7275" s="183"/>
    </row>
    <row r="7276" spans="1:38">
      <c r="A7276" s="182"/>
      <c r="Q7276" s="183"/>
      <c r="R7276" s="183"/>
      <c r="S7276" s="183"/>
    </row>
    <row r="7277" spans="1:38">
      <c r="A7277" s="182"/>
      <c r="Q7277" s="183"/>
      <c r="R7277" s="183"/>
      <c r="S7277" s="183"/>
    </row>
    <row r="7278" spans="1:38">
      <c r="A7278" s="182"/>
      <c r="Q7278" s="183"/>
      <c r="R7278" s="183"/>
      <c r="S7278" s="183"/>
    </row>
    <row r="7279" spans="1:38">
      <c r="A7279" s="182"/>
      <c r="Q7279" s="183"/>
      <c r="R7279" s="183"/>
      <c r="S7279" s="183"/>
    </row>
    <row r="7280" spans="1:38">
      <c r="A7280" s="182"/>
      <c r="Q7280" s="183"/>
      <c r="R7280" s="183"/>
      <c r="S7280" s="183"/>
    </row>
    <row r="7281" spans="1:19">
      <c r="A7281" s="182"/>
      <c r="Q7281" s="183"/>
      <c r="R7281" s="183"/>
      <c r="S7281" s="183"/>
    </row>
    <row r="7282" spans="1:19">
      <c r="A7282" s="182"/>
      <c r="Q7282" s="183"/>
      <c r="R7282" s="183"/>
      <c r="S7282" s="183"/>
    </row>
    <row r="7283" spans="1:19">
      <c r="A7283" s="182"/>
      <c r="Q7283" s="183"/>
      <c r="R7283" s="183"/>
      <c r="S7283" s="183"/>
    </row>
    <row r="7284" spans="1:19">
      <c r="A7284" s="182"/>
      <c r="Q7284" s="183"/>
      <c r="R7284" s="183"/>
      <c r="S7284" s="183"/>
    </row>
    <row r="7285" spans="1:19">
      <c r="A7285" s="182"/>
      <c r="Q7285" s="183"/>
      <c r="R7285" s="183"/>
      <c r="S7285" s="183"/>
    </row>
    <row r="7286" spans="1:19">
      <c r="A7286" s="182"/>
      <c r="Q7286" s="183"/>
      <c r="R7286" s="183"/>
      <c r="S7286" s="183"/>
    </row>
    <row r="7287" spans="1:19">
      <c r="A7287" s="182"/>
      <c r="Q7287" s="183"/>
      <c r="R7287" s="183"/>
      <c r="S7287" s="183"/>
    </row>
    <row r="7288" spans="1:19">
      <c r="A7288" s="182"/>
      <c r="Q7288" s="183"/>
      <c r="R7288" s="183"/>
      <c r="S7288" s="183"/>
    </row>
    <row r="7289" spans="1:19">
      <c r="A7289" s="182"/>
      <c r="Q7289" s="183"/>
      <c r="R7289" s="183"/>
      <c r="S7289" s="183"/>
    </row>
    <row r="7290" spans="1:19">
      <c r="A7290" s="182"/>
      <c r="Q7290" s="183"/>
      <c r="R7290" s="183"/>
      <c r="S7290" s="183"/>
    </row>
    <row r="7291" spans="1:19">
      <c r="A7291" s="182"/>
      <c r="Q7291" s="183"/>
      <c r="R7291" s="183"/>
      <c r="S7291" s="183"/>
    </row>
    <row r="7292" spans="1:19">
      <c r="A7292" s="182"/>
      <c r="Q7292" s="183"/>
      <c r="R7292" s="183"/>
      <c r="S7292" s="183"/>
    </row>
    <row r="7293" spans="1:19">
      <c r="A7293" s="182"/>
      <c r="Q7293" s="183"/>
      <c r="R7293" s="183"/>
      <c r="S7293" s="183"/>
    </row>
    <row r="7294" spans="1:19">
      <c r="A7294" s="182"/>
      <c r="Q7294" s="183"/>
      <c r="R7294" s="183"/>
      <c r="S7294" s="183"/>
    </row>
    <row r="7295" spans="1:19">
      <c r="A7295" s="182"/>
      <c r="Q7295" s="183"/>
      <c r="R7295" s="183"/>
      <c r="S7295" s="183"/>
    </row>
    <row r="7296" spans="1:19">
      <c r="A7296" s="182"/>
      <c r="Q7296" s="183"/>
      <c r="R7296" s="183"/>
      <c r="S7296" s="183"/>
    </row>
    <row r="7297" spans="1:38">
      <c r="A7297" s="182"/>
      <c r="Q7297" s="183"/>
      <c r="R7297" s="183"/>
      <c r="S7297" s="183"/>
      <c r="AK7297" s="183"/>
      <c r="AL7297" s="183"/>
    </row>
    <row r="7298" spans="1:38">
      <c r="A7298" s="182"/>
      <c r="Q7298" s="183"/>
      <c r="R7298" s="183"/>
      <c r="S7298" s="183"/>
      <c r="AJ7298" s="183"/>
      <c r="AK7298" s="183"/>
      <c r="AL7298" s="183"/>
    </row>
    <row r="7299" spans="1:38">
      <c r="A7299" s="182"/>
      <c r="Q7299" s="183"/>
      <c r="R7299" s="183"/>
      <c r="S7299" s="183"/>
      <c r="AJ7299" s="183"/>
      <c r="AK7299" s="183"/>
      <c r="AL7299" s="183"/>
    </row>
    <row r="7300" spans="1:38">
      <c r="A7300" s="182"/>
      <c r="Q7300" s="183"/>
      <c r="R7300" s="183"/>
      <c r="S7300" s="183"/>
      <c r="AJ7300" s="183"/>
      <c r="AK7300" s="183"/>
      <c r="AL7300" s="183"/>
    </row>
    <row r="7301" spans="1:38">
      <c r="A7301" s="182"/>
      <c r="Q7301" s="183"/>
      <c r="R7301" s="183"/>
      <c r="S7301" s="183"/>
      <c r="AJ7301" s="183"/>
    </row>
    <row r="7302" spans="1:38">
      <c r="A7302" s="182"/>
      <c r="Q7302" s="183"/>
      <c r="R7302" s="183"/>
      <c r="S7302" s="183"/>
    </row>
    <row r="7303" spans="1:38">
      <c r="A7303" s="182"/>
      <c r="Q7303" s="183"/>
      <c r="R7303" s="183"/>
      <c r="S7303" s="183"/>
    </row>
    <row r="7304" spans="1:38">
      <c r="A7304" s="182"/>
      <c r="Q7304" s="183"/>
      <c r="R7304" s="183"/>
      <c r="S7304" s="183"/>
    </row>
    <row r="7305" spans="1:38">
      <c r="A7305" s="182"/>
      <c r="Q7305" s="183"/>
      <c r="R7305" s="183"/>
      <c r="S7305" s="183"/>
      <c r="AK7305" s="183"/>
      <c r="AL7305" s="183"/>
    </row>
    <row r="7306" spans="1:38">
      <c r="A7306" s="182"/>
      <c r="Q7306" s="183"/>
      <c r="R7306" s="183"/>
      <c r="S7306" s="183"/>
      <c r="AJ7306" s="183"/>
      <c r="AK7306" s="183"/>
      <c r="AL7306" s="183"/>
    </row>
    <row r="7307" spans="1:38">
      <c r="A7307" s="182"/>
      <c r="Q7307" s="183"/>
      <c r="R7307" s="183"/>
      <c r="S7307" s="183"/>
      <c r="AJ7307" s="183"/>
      <c r="AK7307" s="183"/>
      <c r="AL7307" s="183"/>
    </row>
    <row r="7308" spans="1:38">
      <c r="A7308" s="182"/>
      <c r="Q7308" s="183"/>
      <c r="R7308" s="183"/>
      <c r="S7308" s="183"/>
      <c r="AJ7308" s="183"/>
      <c r="AK7308" s="183"/>
      <c r="AL7308" s="183"/>
    </row>
    <row r="7309" spans="1:38">
      <c r="A7309" s="182"/>
      <c r="Q7309" s="183"/>
      <c r="R7309" s="183"/>
      <c r="S7309" s="183"/>
      <c r="AJ7309" s="183"/>
    </row>
    <row r="7310" spans="1:38">
      <c r="A7310" s="182"/>
      <c r="Q7310" s="183"/>
      <c r="R7310" s="183"/>
      <c r="S7310" s="183"/>
    </row>
    <row r="7311" spans="1:38">
      <c r="A7311" s="182"/>
      <c r="Q7311" s="183"/>
      <c r="R7311" s="183"/>
      <c r="S7311" s="183"/>
    </row>
    <row r="7312" spans="1:38">
      <c r="A7312" s="182"/>
      <c r="Q7312" s="183"/>
      <c r="R7312" s="183"/>
      <c r="S7312" s="183"/>
    </row>
    <row r="7313" spans="1:19">
      <c r="A7313" s="182"/>
      <c r="Q7313" s="183"/>
      <c r="R7313" s="183"/>
      <c r="S7313" s="183"/>
    </row>
    <row r="7314" spans="1:19">
      <c r="A7314" s="182"/>
      <c r="Q7314" s="183"/>
      <c r="R7314" s="183"/>
      <c r="S7314" s="183"/>
    </row>
    <row r="7315" spans="1:19">
      <c r="A7315" s="182"/>
      <c r="Q7315" s="183"/>
      <c r="R7315" s="183"/>
      <c r="S7315" s="183"/>
    </row>
    <row r="7316" spans="1:19">
      <c r="A7316" s="182"/>
      <c r="Q7316" s="183"/>
      <c r="R7316" s="183"/>
      <c r="S7316" s="183"/>
    </row>
    <row r="7317" spans="1:19">
      <c r="A7317" s="182"/>
      <c r="Q7317" s="183"/>
      <c r="R7317" s="183"/>
      <c r="S7317" s="183"/>
    </row>
    <row r="7318" spans="1:19">
      <c r="A7318" s="182"/>
      <c r="Q7318" s="183"/>
      <c r="R7318" s="183"/>
      <c r="S7318" s="183"/>
    </row>
    <row r="7319" spans="1:19">
      <c r="A7319" s="182"/>
      <c r="Q7319" s="183"/>
      <c r="R7319" s="183"/>
      <c r="S7319" s="183"/>
    </row>
    <row r="7320" spans="1:19">
      <c r="A7320" s="182"/>
      <c r="Q7320" s="183"/>
      <c r="R7320" s="183"/>
      <c r="S7320" s="183"/>
    </row>
    <row r="7321" spans="1:19">
      <c r="A7321" s="182"/>
      <c r="Q7321" s="183"/>
      <c r="R7321" s="183"/>
      <c r="S7321" s="183"/>
    </row>
    <row r="7322" spans="1:19">
      <c r="A7322" s="182"/>
      <c r="Q7322" s="183"/>
      <c r="R7322" s="183"/>
      <c r="S7322" s="183"/>
    </row>
    <row r="7323" spans="1:19">
      <c r="A7323" s="182"/>
      <c r="Q7323" s="183"/>
      <c r="R7323" s="183"/>
      <c r="S7323" s="183"/>
    </row>
    <row r="7324" spans="1:19">
      <c r="A7324" s="182"/>
      <c r="Q7324" s="183"/>
      <c r="R7324" s="183"/>
      <c r="S7324" s="183"/>
    </row>
    <row r="7325" spans="1:19">
      <c r="A7325" s="182"/>
      <c r="Q7325" s="183"/>
      <c r="R7325" s="183"/>
      <c r="S7325" s="183"/>
    </row>
    <row r="7326" spans="1:19">
      <c r="A7326" s="182"/>
      <c r="Q7326" s="183"/>
      <c r="R7326" s="183"/>
      <c r="S7326" s="183"/>
    </row>
    <row r="7327" spans="1:19">
      <c r="A7327" s="182"/>
      <c r="Q7327" s="183"/>
      <c r="R7327" s="183"/>
      <c r="S7327" s="183"/>
    </row>
    <row r="7328" spans="1:19">
      <c r="A7328" s="182"/>
      <c r="Q7328" s="183"/>
      <c r="R7328" s="183"/>
      <c r="S7328" s="183"/>
    </row>
    <row r="7329" spans="1:19">
      <c r="A7329" s="182"/>
      <c r="Q7329" s="183"/>
      <c r="R7329" s="183"/>
      <c r="S7329" s="183"/>
    </row>
    <row r="7330" spans="1:19">
      <c r="A7330" s="182"/>
      <c r="Q7330" s="183"/>
      <c r="R7330" s="183"/>
      <c r="S7330" s="183"/>
    </row>
    <row r="7331" spans="1:19">
      <c r="A7331" s="182"/>
      <c r="Q7331" s="183"/>
      <c r="R7331" s="183"/>
      <c r="S7331" s="183"/>
    </row>
    <row r="7332" spans="1:19">
      <c r="A7332" s="182"/>
      <c r="Q7332" s="183"/>
      <c r="R7332" s="183"/>
      <c r="S7332" s="183"/>
    </row>
    <row r="7333" spans="1:19">
      <c r="A7333" s="182"/>
      <c r="Q7333" s="183"/>
      <c r="R7333" s="183"/>
      <c r="S7333" s="183"/>
    </row>
    <row r="7334" spans="1:19">
      <c r="A7334" s="182"/>
      <c r="Q7334" s="183"/>
      <c r="R7334" s="183"/>
      <c r="S7334" s="183"/>
    </row>
    <row r="7335" spans="1:19">
      <c r="A7335" s="182"/>
      <c r="Q7335" s="183"/>
      <c r="R7335" s="183"/>
      <c r="S7335" s="183"/>
    </row>
    <row r="7336" spans="1:19">
      <c r="A7336" s="182"/>
      <c r="Q7336" s="183"/>
      <c r="R7336" s="183"/>
      <c r="S7336" s="183"/>
    </row>
    <row r="7337" spans="1:19">
      <c r="A7337" s="182"/>
      <c r="Q7337" s="183"/>
      <c r="R7337" s="183"/>
      <c r="S7337" s="183"/>
    </row>
    <row r="7338" spans="1:19">
      <c r="A7338" s="182"/>
      <c r="Q7338" s="183"/>
      <c r="R7338" s="183"/>
      <c r="S7338" s="183"/>
    </row>
    <row r="7339" spans="1:19">
      <c r="A7339" s="182"/>
      <c r="Q7339" s="183"/>
      <c r="R7339" s="183"/>
      <c r="S7339" s="183"/>
    </row>
    <row r="7340" spans="1:19">
      <c r="A7340" s="182"/>
      <c r="Q7340" s="183"/>
      <c r="R7340" s="183"/>
      <c r="S7340" s="183"/>
    </row>
    <row r="7341" spans="1:19">
      <c r="A7341" s="182"/>
      <c r="Q7341" s="183"/>
      <c r="R7341" s="183"/>
      <c r="S7341" s="183"/>
    </row>
    <row r="7342" spans="1:19">
      <c r="A7342" s="182"/>
      <c r="Q7342" s="183"/>
      <c r="R7342" s="183"/>
      <c r="S7342" s="183"/>
    </row>
    <row r="7343" spans="1:19">
      <c r="A7343" s="182"/>
      <c r="Q7343" s="183"/>
      <c r="R7343" s="183"/>
      <c r="S7343" s="183"/>
    </row>
    <row r="7344" spans="1:19">
      <c r="A7344" s="182"/>
      <c r="Q7344" s="183"/>
      <c r="R7344" s="183"/>
      <c r="S7344" s="183"/>
    </row>
    <row r="7345" spans="1:19">
      <c r="A7345" s="182"/>
      <c r="Q7345" s="183"/>
      <c r="R7345" s="183"/>
      <c r="S7345" s="183"/>
    </row>
    <row r="7346" spans="1:19">
      <c r="A7346" s="182"/>
      <c r="Q7346" s="183"/>
      <c r="R7346" s="183"/>
      <c r="S7346" s="183"/>
    </row>
    <row r="7347" spans="1:19">
      <c r="A7347" s="182"/>
      <c r="Q7347" s="183"/>
      <c r="R7347" s="183"/>
      <c r="S7347" s="183"/>
    </row>
    <row r="7348" spans="1:19">
      <c r="A7348" s="182"/>
      <c r="Q7348" s="183"/>
      <c r="R7348" s="183"/>
      <c r="S7348" s="183"/>
    </row>
    <row r="7349" spans="1:19">
      <c r="A7349" s="182"/>
      <c r="Q7349" s="183"/>
      <c r="R7349" s="183"/>
      <c r="S7349" s="183"/>
    </row>
    <row r="7350" spans="1:19">
      <c r="A7350" s="182"/>
      <c r="Q7350" s="183"/>
      <c r="R7350" s="183"/>
      <c r="S7350" s="183"/>
    </row>
    <row r="7351" spans="1:19">
      <c r="A7351" s="182"/>
      <c r="Q7351" s="183"/>
      <c r="R7351" s="183"/>
      <c r="S7351" s="183"/>
    </row>
    <row r="7352" spans="1:19">
      <c r="A7352" s="182"/>
      <c r="Q7352" s="183"/>
      <c r="R7352" s="183"/>
      <c r="S7352" s="183"/>
    </row>
    <row r="7353" spans="1:19">
      <c r="A7353" s="182"/>
      <c r="Q7353" s="183"/>
      <c r="R7353" s="183"/>
      <c r="S7353" s="183"/>
    </row>
    <row r="7354" spans="1:19">
      <c r="A7354" s="182"/>
      <c r="Q7354" s="183"/>
      <c r="R7354" s="183"/>
      <c r="S7354" s="183"/>
    </row>
    <row r="7355" spans="1:19">
      <c r="A7355" s="182"/>
      <c r="Q7355" s="183"/>
      <c r="R7355" s="183"/>
      <c r="S7355" s="183"/>
    </row>
    <row r="7356" spans="1:19">
      <c r="A7356" s="182"/>
      <c r="Q7356" s="183"/>
      <c r="R7356" s="183"/>
      <c r="S7356" s="183"/>
    </row>
    <row r="7357" spans="1:19">
      <c r="A7357" s="182"/>
      <c r="Q7357" s="183"/>
      <c r="R7357" s="183"/>
      <c r="S7357" s="183"/>
    </row>
    <row r="7358" spans="1:19">
      <c r="A7358" s="182"/>
      <c r="Q7358" s="183"/>
      <c r="R7358" s="183"/>
      <c r="S7358" s="183"/>
    </row>
    <row r="7359" spans="1:19">
      <c r="A7359" s="182"/>
      <c r="Q7359" s="183"/>
      <c r="R7359" s="183"/>
      <c r="S7359" s="183"/>
    </row>
    <row r="7360" spans="1:19">
      <c r="A7360" s="182"/>
      <c r="Q7360" s="183"/>
      <c r="R7360" s="183"/>
      <c r="S7360" s="183"/>
    </row>
    <row r="7361" spans="1:19">
      <c r="A7361" s="182"/>
      <c r="Q7361" s="183"/>
      <c r="R7361" s="183"/>
      <c r="S7361" s="183"/>
    </row>
    <row r="7362" spans="1:19">
      <c r="A7362" s="182"/>
      <c r="Q7362" s="183"/>
      <c r="R7362" s="183"/>
      <c r="S7362" s="183"/>
    </row>
    <row r="7363" spans="1:19">
      <c r="A7363" s="182"/>
      <c r="Q7363" s="183"/>
      <c r="R7363" s="183"/>
      <c r="S7363" s="183"/>
    </row>
    <row r="7364" spans="1:19">
      <c r="A7364" s="182"/>
      <c r="Q7364" s="183"/>
      <c r="R7364" s="183"/>
      <c r="S7364" s="183"/>
    </row>
    <row r="7365" spans="1:19">
      <c r="A7365" s="182"/>
      <c r="Q7365" s="183"/>
      <c r="R7365" s="183"/>
      <c r="S7365" s="183"/>
    </row>
    <row r="7366" spans="1:19">
      <c r="A7366" s="182"/>
      <c r="Q7366" s="183"/>
      <c r="R7366" s="183"/>
      <c r="S7366" s="183"/>
    </row>
    <row r="7367" spans="1:19">
      <c r="A7367" s="182"/>
      <c r="Q7367" s="183"/>
      <c r="R7367" s="183"/>
      <c r="S7367" s="183"/>
    </row>
    <row r="7368" spans="1:19">
      <c r="A7368" s="182"/>
      <c r="Q7368" s="183"/>
      <c r="R7368" s="183"/>
      <c r="S7368" s="183"/>
    </row>
    <row r="7369" spans="1:19">
      <c r="A7369" s="182"/>
      <c r="Q7369" s="183"/>
      <c r="R7369" s="183"/>
      <c r="S7369" s="183"/>
    </row>
    <row r="7370" spans="1:19">
      <c r="A7370" s="182"/>
      <c r="Q7370" s="183"/>
      <c r="R7370" s="183"/>
      <c r="S7370" s="183"/>
    </row>
    <row r="7371" spans="1:19">
      <c r="A7371" s="182"/>
      <c r="Q7371" s="183"/>
      <c r="R7371" s="183"/>
      <c r="S7371" s="183"/>
    </row>
    <row r="7372" spans="1:19">
      <c r="A7372" s="182"/>
      <c r="Q7372" s="183"/>
      <c r="R7372" s="183"/>
      <c r="S7372" s="183"/>
    </row>
    <row r="7373" spans="1:19">
      <c r="A7373" s="182"/>
      <c r="Q7373" s="183"/>
      <c r="R7373" s="183"/>
      <c r="S7373" s="183"/>
    </row>
    <row r="7374" spans="1:19">
      <c r="A7374" s="182"/>
      <c r="Q7374" s="183"/>
      <c r="R7374" s="183"/>
      <c r="S7374" s="183"/>
    </row>
    <row r="7375" spans="1:19">
      <c r="A7375" s="182"/>
      <c r="Q7375" s="183"/>
      <c r="R7375" s="183"/>
      <c r="S7375" s="183"/>
    </row>
    <row r="7376" spans="1:19">
      <c r="A7376" s="182"/>
      <c r="Q7376" s="183"/>
      <c r="R7376" s="183"/>
      <c r="S7376" s="183"/>
    </row>
    <row r="7377" spans="1:19">
      <c r="A7377" s="182"/>
      <c r="Q7377" s="183"/>
      <c r="R7377" s="183"/>
      <c r="S7377" s="183"/>
    </row>
    <row r="7378" spans="1:19">
      <c r="A7378" s="182"/>
      <c r="Q7378" s="183"/>
      <c r="R7378" s="183"/>
      <c r="S7378" s="183"/>
    </row>
    <row r="7379" spans="1:19">
      <c r="A7379" s="182"/>
      <c r="Q7379" s="183"/>
      <c r="R7379" s="183"/>
      <c r="S7379" s="183"/>
    </row>
    <row r="7380" spans="1:19">
      <c r="A7380" s="182"/>
      <c r="Q7380" s="183"/>
      <c r="R7380" s="183"/>
      <c r="S7380" s="183"/>
    </row>
    <row r="7381" spans="1:19">
      <c r="A7381" s="182"/>
      <c r="Q7381" s="183"/>
      <c r="R7381" s="183"/>
      <c r="S7381" s="183"/>
    </row>
    <row r="7382" spans="1:19">
      <c r="A7382" s="182"/>
      <c r="Q7382" s="183"/>
      <c r="R7382" s="183"/>
      <c r="S7382" s="183"/>
    </row>
    <row r="7383" spans="1:19">
      <c r="A7383" s="182"/>
      <c r="Q7383" s="183"/>
      <c r="R7383" s="183"/>
      <c r="S7383" s="183"/>
    </row>
    <row r="7384" spans="1:19">
      <c r="A7384" s="182"/>
      <c r="Q7384" s="183"/>
      <c r="R7384" s="183"/>
      <c r="S7384" s="183"/>
    </row>
    <row r="7385" spans="1:19">
      <c r="A7385" s="182"/>
      <c r="Q7385" s="183"/>
      <c r="R7385" s="183"/>
      <c r="S7385" s="183"/>
    </row>
    <row r="7386" spans="1:19">
      <c r="A7386" s="182"/>
      <c r="Q7386" s="183"/>
      <c r="R7386" s="183"/>
      <c r="S7386" s="183"/>
    </row>
    <row r="7387" spans="1:19">
      <c r="A7387" s="182"/>
      <c r="Q7387" s="183"/>
      <c r="R7387" s="183"/>
      <c r="S7387" s="183"/>
    </row>
    <row r="7388" spans="1:19">
      <c r="A7388" s="182"/>
      <c r="Q7388" s="183"/>
      <c r="R7388" s="183"/>
      <c r="S7388" s="183"/>
    </row>
    <row r="7389" spans="1:19">
      <c r="A7389" s="182"/>
      <c r="Q7389" s="183"/>
      <c r="R7389" s="183"/>
      <c r="S7389" s="183"/>
    </row>
    <row r="7390" spans="1:19">
      <c r="A7390" s="182"/>
      <c r="Q7390" s="183"/>
      <c r="R7390" s="183"/>
      <c r="S7390" s="183"/>
    </row>
    <row r="7391" spans="1:19">
      <c r="A7391" s="182"/>
      <c r="Q7391" s="183"/>
      <c r="R7391" s="183"/>
      <c r="S7391" s="183"/>
    </row>
    <row r="7392" spans="1:19">
      <c r="A7392" s="182"/>
      <c r="Q7392" s="183"/>
      <c r="R7392" s="183"/>
      <c r="S7392" s="183"/>
    </row>
    <row r="7393" spans="1:38">
      <c r="A7393" s="182"/>
      <c r="Q7393" s="183"/>
      <c r="R7393" s="183"/>
      <c r="S7393" s="183"/>
    </row>
    <row r="7394" spans="1:38">
      <c r="A7394" s="182"/>
      <c r="Q7394" s="183"/>
      <c r="R7394" s="183"/>
      <c r="S7394" s="183"/>
    </row>
    <row r="7395" spans="1:38">
      <c r="A7395" s="182"/>
      <c r="Q7395" s="183"/>
      <c r="R7395" s="183"/>
      <c r="S7395" s="183"/>
    </row>
    <row r="7396" spans="1:38">
      <c r="A7396" s="182"/>
      <c r="Q7396" s="183"/>
      <c r="R7396" s="183"/>
      <c r="S7396" s="183"/>
    </row>
    <row r="7397" spans="1:38">
      <c r="A7397" s="182"/>
      <c r="Q7397" s="183"/>
      <c r="R7397" s="183"/>
      <c r="S7397" s="183"/>
      <c r="AK7397" s="183"/>
      <c r="AL7397" s="183"/>
    </row>
    <row r="7398" spans="1:38">
      <c r="A7398" s="182"/>
      <c r="Q7398" s="183"/>
      <c r="R7398" s="183"/>
      <c r="S7398" s="183"/>
      <c r="AJ7398" s="183"/>
      <c r="AK7398" s="183"/>
      <c r="AL7398" s="183"/>
    </row>
    <row r="7399" spans="1:38">
      <c r="A7399" s="182"/>
      <c r="Q7399" s="183"/>
      <c r="R7399" s="183"/>
      <c r="S7399" s="183"/>
      <c r="AJ7399" s="183"/>
      <c r="AK7399" s="183"/>
      <c r="AL7399" s="183"/>
    </row>
    <row r="7400" spans="1:38">
      <c r="A7400" s="182"/>
      <c r="Q7400" s="183"/>
      <c r="R7400" s="183"/>
      <c r="S7400" s="183"/>
      <c r="AJ7400" s="183"/>
      <c r="AK7400" s="183"/>
      <c r="AL7400" s="183"/>
    </row>
    <row r="7401" spans="1:38">
      <c r="A7401" s="182"/>
      <c r="Q7401" s="183"/>
      <c r="R7401" s="183"/>
      <c r="S7401" s="183"/>
      <c r="AJ7401" s="183"/>
    </row>
    <row r="7402" spans="1:38">
      <c r="A7402" s="182"/>
      <c r="Q7402" s="183"/>
      <c r="R7402" s="183"/>
      <c r="S7402" s="183"/>
    </row>
    <row r="7403" spans="1:38">
      <c r="A7403" s="182"/>
      <c r="Q7403" s="183"/>
      <c r="R7403" s="183"/>
      <c r="S7403" s="183"/>
    </row>
    <row r="7404" spans="1:38">
      <c r="A7404" s="182"/>
      <c r="Q7404" s="183"/>
      <c r="R7404" s="183"/>
      <c r="S7404" s="183"/>
    </row>
    <row r="7405" spans="1:38">
      <c r="A7405" s="182"/>
      <c r="Q7405" s="183"/>
      <c r="R7405" s="183"/>
      <c r="S7405" s="183"/>
      <c r="AK7405" s="183"/>
      <c r="AL7405" s="183"/>
    </row>
    <row r="7406" spans="1:38">
      <c r="A7406" s="182"/>
      <c r="Q7406" s="183"/>
      <c r="R7406" s="183"/>
      <c r="S7406" s="183"/>
      <c r="AJ7406" s="183"/>
      <c r="AK7406" s="183"/>
      <c r="AL7406" s="183"/>
    </row>
    <row r="7407" spans="1:38">
      <c r="A7407" s="182"/>
      <c r="Q7407" s="183"/>
      <c r="R7407" s="183"/>
      <c r="S7407" s="183"/>
      <c r="AJ7407" s="183"/>
      <c r="AK7407" s="183"/>
      <c r="AL7407" s="183"/>
    </row>
    <row r="7408" spans="1:38">
      <c r="A7408" s="182"/>
      <c r="Q7408" s="183"/>
      <c r="R7408" s="183"/>
      <c r="S7408" s="183"/>
      <c r="AJ7408" s="183"/>
      <c r="AK7408" s="183"/>
      <c r="AL7408" s="183"/>
    </row>
    <row r="7409" spans="1:38">
      <c r="A7409" s="182"/>
      <c r="Q7409" s="183"/>
      <c r="R7409" s="183"/>
      <c r="S7409" s="183"/>
      <c r="AJ7409" s="183"/>
    </row>
    <row r="7410" spans="1:38">
      <c r="A7410" s="182"/>
      <c r="Q7410" s="183"/>
      <c r="R7410" s="183"/>
      <c r="S7410" s="183"/>
    </row>
    <row r="7411" spans="1:38">
      <c r="A7411" s="182"/>
      <c r="Q7411" s="183"/>
      <c r="R7411" s="183"/>
      <c r="S7411" s="183"/>
    </row>
    <row r="7412" spans="1:38">
      <c r="A7412" s="182"/>
      <c r="Q7412" s="183"/>
      <c r="R7412" s="183"/>
      <c r="S7412" s="183"/>
    </row>
    <row r="7413" spans="1:38">
      <c r="A7413" s="182"/>
      <c r="Q7413" s="183"/>
      <c r="R7413" s="183"/>
      <c r="S7413" s="183"/>
    </row>
    <row r="7414" spans="1:38">
      <c r="A7414" s="182"/>
      <c r="Q7414" s="183"/>
      <c r="R7414" s="183"/>
      <c r="S7414" s="183"/>
    </row>
    <row r="7415" spans="1:38">
      <c r="A7415" s="182"/>
      <c r="Q7415" s="183"/>
      <c r="R7415" s="183"/>
      <c r="S7415" s="183"/>
    </row>
    <row r="7416" spans="1:38">
      <c r="A7416" s="182"/>
      <c r="Q7416" s="183"/>
      <c r="R7416" s="183"/>
      <c r="S7416" s="183"/>
    </row>
    <row r="7417" spans="1:38">
      <c r="A7417" s="182"/>
      <c r="Q7417" s="183"/>
      <c r="R7417" s="183"/>
      <c r="S7417" s="183"/>
      <c r="AK7417" s="183"/>
      <c r="AL7417" s="183"/>
    </row>
    <row r="7418" spans="1:38">
      <c r="A7418" s="182"/>
      <c r="Q7418" s="183"/>
      <c r="R7418" s="183"/>
      <c r="S7418" s="183"/>
      <c r="AJ7418" s="183"/>
      <c r="AK7418" s="183"/>
      <c r="AL7418" s="183"/>
    </row>
    <row r="7419" spans="1:38">
      <c r="A7419" s="182"/>
      <c r="Q7419" s="183"/>
      <c r="R7419" s="183"/>
      <c r="S7419" s="183"/>
      <c r="AJ7419" s="183"/>
      <c r="AK7419" s="183"/>
      <c r="AL7419" s="183"/>
    </row>
    <row r="7420" spans="1:38">
      <c r="A7420" s="182"/>
      <c r="Q7420" s="183"/>
      <c r="R7420" s="183"/>
      <c r="S7420" s="183"/>
      <c r="AJ7420" s="183"/>
      <c r="AK7420" s="183"/>
      <c r="AL7420" s="183"/>
    </row>
    <row r="7421" spans="1:38">
      <c r="A7421" s="182"/>
      <c r="Q7421" s="183"/>
      <c r="R7421" s="183"/>
      <c r="S7421" s="183"/>
      <c r="AJ7421" s="183"/>
      <c r="AK7421" s="183"/>
      <c r="AL7421" s="183"/>
    </row>
    <row r="7422" spans="1:38">
      <c r="A7422" s="182"/>
      <c r="Q7422" s="183"/>
      <c r="R7422" s="183"/>
      <c r="S7422" s="183"/>
      <c r="AJ7422" s="183"/>
      <c r="AK7422" s="183"/>
      <c r="AL7422" s="183"/>
    </row>
    <row r="7423" spans="1:38">
      <c r="A7423" s="182"/>
      <c r="Q7423" s="183"/>
      <c r="R7423" s="183"/>
      <c r="S7423" s="183"/>
      <c r="AJ7423" s="183"/>
      <c r="AK7423" s="183"/>
      <c r="AL7423" s="183"/>
    </row>
    <row r="7424" spans="1:38">
      <c r="A7424" s="182"/>
      <c r="Q7424" s="183"/>
      <c r="R7424" s="183"/>
      <c r="S7424" s="183"/>
      <c r="AJ7424" s="183"/>
      <c r="AK7424" s="183"/>
      <c r="AL7424" s="183"/>
    </row>
    <row r="7425" spans="1:38">
      <c r="A7425" s="182"/>
      <c r="Q7425" s="183"/>
      <c r="R7425" s="183"/>
      <c r="S7425" s="183"/>
      <c r="AJ7425" s="183"/>
    </row>
    <row r="7426" spans="1:38">
      <c r="A7426" s="182"/>
      <c r="Q7426" s="183"/>
      <c r="R7426" s="183"/>
      <c r="S7426" s="183"/>
    </row>
    <row r="7427" spans="1:38">
      <c r="A7427" s="182"/>
      <c r="Q7427" s="183"/>
      <c r="R7427" s="183"/>
      <c r="S7427" s="183"/>
    </row>
    <row r="7428" spans="1:38">
      <c r="A7428" s="182"/>
      <c r="Q7428" s="183"/>
      <c r="R7428" s="183"/>
      <c r="S7428" s="183"/>
    </row>
    <row r="7429" spans="1:38">
      <c r="A7429" s="182"/>
      <c r="Q7429" s="183"/>
      <c r="R7429" s="183"/>
      <c r="S7429" s="183"/>
      <c r="AK7429" s="183"/>
      <c r="AL7429" s="183"/>
    </row>
    <row r="7430" spans="1:38">
      <c r="A7430" s="182"/>
      <c r="Q7430" s="183"/>
      <c r="R7430" s="183"/>
      <c r="S7430" s="183"/>
      <c r="AJ7430" s="183"/>
      <c r="AK7430" s="183"/>
      <c r="AL7430" s="183"/>
    </row>
    <row r="7431" spans="1:38">
      <c r="A7431" s="182"/>
      <c r="Q7431" s="183"/>
      <c r="R7431" s="183"/>
      <c r="S7431" s="183"/>
      <c r="AJ7431" s="183"/>
      <c r="AK7431" s="183"/>
      <c r="AL7431" s="183"/>
    </row>
    <row r="7432" spans="1:38">
      <c r="A7432" s="182"/>
      <c r="Q7432" s="183"/>
      <c r="R7432" s="183"/>
      <c r="S7432" s="183"/>
      <c r="AJ7432" s="183"/>
      <c r="AK7432" s="183"/>
      <c r="AL7432" s="183"/>
    </row>
    <row r="7433" spans="1:38">
      <c r="A7433" s="182"/>
      <c r="Q7433" s="183"/>
      <c r="AJ7433" s="183"/>
    </row>
    <row r="7434" spans="1:38">
      <c r="A7434" s="182"/>
      <c r="R7434" s="183"/>
      <c r="S7434" s="183"/>
    </row>
    <row r="7435" spans="1:38">
      <c r="A7435" s="182"/>
      <c r="Q7435" s="183"/>
      <c r="R7435" s="183"/>
      <c r="S7435" s="183"/>
    </row>
    <row r="7436" spans="1:38">
      <c r="A7436" s="182"/>
      <c r="Q7436" s="183"/>
      <c r="R7436" s="183"/>
      <c r="S7436" s="183"/>
    </row>
    <row r="7437" spans="1:38">
      <c r="A7437" s="182"/>
      <c r="Q7437" s="183"/>
      <c r="R7437" s="183"/>
      <c r="S7437" s="183"/>
    </row>
    <row r="7438" spans="1:38">
      <c r="A7438" s="182"/>
      <c r="Q7438" s="183"/>
      <c r="R7438" s="183"/>
      <c r="S7438" s="183"/>
    </row>
    <row r="7439" spans="1:38">
      <c r="A7439" s="182"/>
      <c r="Q7439" s="183"/>
      <c r="R7439" s="183"/>
      <c r="S7439" s="183"/>
    </row>
    <row r="7440" spans="1:38">
      <c r="A7440" s="182"/>
      <c r="Q7440" s="183"/>
      <c r="R7440" s="183"/>
      <c r="S7440" s="183"/>
    </row>
    <row r="7441" spans="1:19">
      <c r="A7441" s="182"/>
      <c r="Q7441" s="183"/>
      <c r="R7441" s="183"/>
      <c r="S7441" s="183"/>
    </row>
    <row r="7442" spans="1:19">
      <c r="A7442" s="182"/>
      <c r="Q7442" s="183"/>
      <c r="R7442" s="183"/>
      <c r="S7442" s="183"/>
    </row>
    <row r="7443" spans="1:19">
      <c r="A7443" s="182"/>
      <c r="Q7443" s="183"/>
      <c r="R7443" s="183"/>
      <c r="S7443" s="183"/>
    </row>
    <row r="7444" spans="1:19">
      <c r="A7444" s="182"/>
      <c r="Q7444" s="183"/>
      <c r="R7444" s="183"/>
      <c r="S7444" s="183"/>
    </row>
    <row r="7445" spans="1:19">
      <c r="A7445" s="182"/>
      <c r="Q7445" s="183"/>
      <c r="R7445" s="183"/>
      <c r="S7445" s="183"/>
    </row>
    <row r="7446" spans="1:19">
      <c r="A7446" s="182"/>
      <c r="Q7446" s="183"/>
      <c r="R7446" s="183"/>
      <c r="S7446" s="183"/>
    </row>
    <row r="7447" spans="1:19">
      <c r="A7447" s="182"/>
      <c r="Q7447" s="183"/>
      <c r="R7447" s="183"/>
      <c r="S7447" s="183"/>
    </row>
    <row r="7448" spans="1:19">
      <c r="A7448" s="182"/>
      <c r="Q7448" s="183"/>
      <c r="R7448" s="183"/>
      <c r="S7448" s="183"/>
    </row>
    <row r="7449" spans="1:19">
      <c r="A7449" s="182"/>
      <c r="Q7449" s="183"/>
      <c r="R7449" s="183"/>
      <c r="S7449" s="183"/>
    </row>
    <row r="7450" spans="1:19">
      <c r="A7450" s="182"/>
      <c r="Q7450" s="183"/>
      <c r="R7450" s="183"/>
      <c r="S7450" s="183"/>
    </row>
    <row r="7451" spans="1:19">
      <c r="A7451" s="182"/>
      <c r="Q7451" s="183"/>
      <c r="R7451" s="183"/>
      <c r="S7451" s="183"/>
    </row>
    <row r="7452" spans="1:19">
      <c r="A7452" s="182"/>
      <c r="Q7452" s="183"/>
      <c r="R7452" s="183"/>
      <c r="S7452" s="183"/>
    </row>
    <row r="7453" spans="1:19">
      <c r="A7453" s="182"/>
      <c r="Q7453" s="183"/>
      <c r="R7453" s="183"/>
      <c r="S7453" s="183"/>
    </row>
    <row r="7454" spans="1:19">
      <c r="A7454" s="182"/>
      <c r="Q7454" s="183"/>
      <c r="R7454" s="183"/>
      <c r="S7454" s="183"/>
    </row>
    <row r="7455" spans="1:19">
      <c r="A7455" s="182"/>
      <c r="Q7455" s="183"/>
      <c r="R7455" s="183"/>
      <c r="S7455" s="183"/>
    </row>
    <row r="7456" spans="1:19">
      <c r="A7456" s="182"/>
      <c r="Q7456" s="183"/>
      <c r="R7456" s="183"/>
      <c r="S7456" s="183"/>
    </row>
    <row r="7457" spans="1:19">
      <c r="A7457" s="182"/>
      <c r="Q7457" s="183"/>
      <c r="R7457" s="183"/>
      <c r="S7457" s="183"/>
    </row>
    <row r="7458" spans="1:19">
      <c r="A7458" s="182"/>
      <c r="Q7458" s="183"/>
      <c r="R7458" s="183"/>
      <c r="S7458" s="183"/>
    </row>
    <row r="7459" spans="1:19">
      <c r="A7459" s="182"/>
      <c r="Q7459" s="183"/>
      <c r="R7459" s="183"/>
      <c r="S7459" s="183"/>
    </row>
    <row r="7460" spans="1:19">
      <c r="A7460" s="182"/>
      <c r="Q7460" s="183"/>
      <c r="R7460" s="183"/>
      <c r="S7460" s="183"/>
    </row>
    <row r="7461" spans="1:19">
      <c r="A7461" s="182"/>
      <c r="Q7461" s="183"/>
      <c r="R7461" s="183"/>
      <c r="S7461" s="183"/>
    </row>
    <row r="7462" spans="1:19">
      <c r="A7462" s="182"/>
      <c r="Q7462" s="183"/>
      <c r="R7462" s="183"/>
      <c r="S7462" s="183"/>
    </row>
    <row r="7463" spans="1:19">
      <c r="A7463" s="182"/>
      <c r="Q7463" s="183"/>
      <c r="R7463" s="183"/>
      <c r="S7463" s="183"/>
    </row>
    <row r="7464" spans="1:19">
      <c r="A7464" s="182"/>
      <c r="Q7464" s="183"/>
      <c r="R7464" s="183"/>
      <c r="S7464" s="183"/>
    </row>
    <row r="7465" spans="1:19">
      <c r="A7465" s="182"/>
      <c r="Q7465" s="183"/>
      <c r="R7465" s="183"/>
      <c r="S7465" s="183"/>
    </row>
    <row r="7466" spans="1:19">
      <c r="A7466" s="182"/>
      <c r="Q7466" s="183"/>
      <c r="R7466" s="183"/>
      <c r="S7466" s="183"/>
    </row>
    <row r="7467" spans="1:19">
      <c r="A7467" s="182"/>
      <c r="Q7467" s="183"/>
      <c r="R7467" s="183"/>
      <c r="S7467" s="183"/>
    </row>
    <row r="7468" spans="1:19">
      <c r="A7468" s="182"/>
      <c r="Q7468" s="183"/>
      <c r="R7468" s="183"/>
      <c r="S7468" s="183"/>
    </row>
    <row r="7469" spans="1:19">
      <c r="A7469" s="182"/>
      <c r="Q7469" s="183"/>
      <c r="R7469" s="183"/>
      <c r="S7469" s="183"/>
    </row>
    <row r="7470" spans="1:19">
      <c r="A7470" s="182"/>
      <c r="Q7470" s="183"/>
      <c r="R7470" s="183"/>
      <c r="S7470" s="183"/>
    </row>
    <row r="7471" spans="1:19">
      <c r="A7471" s="182"/>
      <c r="Q7471" s="183"/>
      <c r="R7471" s="183"/>
      <c r="S7471" s="183"/>
    </row>
    <row r="7472" spans="1:19">
      <c r="A7472" s="182"/>
      <c r="Q7472" s="183"/>
      <c r="R7472" s="183"/>
      <c r="S7472" s="183"/>
    </row>
    <row r="7473" spans="1:19">
      <c r="A7473" s="182"/>
      <c r="Q7473" s="183"/>
      <c r="R7473" s="183"/>
      <c r="S7473" s="183"/>
    </row>
    <row r="7474" spans="1:19">
      <c r="A7474" s="182"/>
      <c r="Q7474" s="183"/>
      <c r="R7474" s="183"/>
      <c r="S7474" s="183"/>
    </row>
    <row r="7475" spans="1:19">
      <c r="A7475" s="182"/>
      <c r="Q7475" s="183"/>
      <c r="R7475" s="183"/>
      <c r="S7475" s="183"/>
    </row>
    <row r="7476" spans="1:19">
      <c r="A7476" s="182"/>
      <c r="Q7476" s="183"/>
      <c r="R7476" s="183"/>
      <c r="S7476" s="183"/>
    </row>
    <row r="7477" spans="1:19">
      <c r="A7477" s="182"/>
      <c r="Q7477" s="183"/>
      <c r="R7477" s="183"/>
      <c r="S7477" s="183"/>
    </row>
    <row r="7478" spans="1:19">
      <c r="A7478" s="182"/>
      <c r="Q7478" s="183"/>
      <c r="R7478" s="183"/>
      <c r="S7478" s="183"/>
    </row>
    <row r="7479" spans="1:19">
      <c r="A7479" s="182"/>
      <c r="Q7479" s="183"/>
      <c r="R7479" s="183"/>
      <c r="S7479" s="183"/>
    </row>
    <row r="7480" spans="1:19">
      <c r="A7480" s="182"/>
      <c r="Q7480" s="183"/>
      <c r="R7480" s="183"/>
      <c r="S7480" s="183"/>
    </row>
    <row r="7481" spans="1:19">
      <c r="A7481" s="182"/>
      <c r="Q7481" s="183"/>
      <c r="R7481" s="183"/>
      <c r="S7481" s="183"/>
    </row>
    <row r="7482" spans="1:19">
      <c r="A7482" s="182"/>
      <c r="Q7482" s="183"/>
      <c r="R7482" s="183"/>
      <c r="S7482" s="183"/>
    </row>
    <row r="7483" spans="1:19">
      <c r="A7483" s="182"/>
      <c r="Q7483" s="183"/>
      <c r="R7483" s="183"/>
      <c r="S7483" s="183"/>
    </row>
    <row r="7484" spans="1:19">
      <c r="A7484" s="182"/>
      <c r="Q7484" s="183"/>
      <c r="R7484" s="183"/>
      <c r="S7484" s="183"/>
    </row>
    <row r="7485" spans="1:19">
      <c r="A7485" s="182"/>
      <c r="Q7485" s="183"/>
      <c r="R7485" s="183"/>
      <c r="S7485" s="183"/>
    </row>
    <row r="7486" spans="1:19">
      <c r="A7486" s="182"/>
      <c r="Q7486" s="183"/>
      <c r="R7486" s="183"/>
      <c r="S7486" s="183"/>
    </row>
    <row r="7487" spans="1:19">
      <c r="A7487" s="182"/>
      <c r="Q7487" s="183"/>
      <c r="R7487" s="183"/>
      <c r="S7487" s="183"/>
    </row>
    <row r="7488" spans="1:19">
      <c r="A7488" s="182"/>
      <c r="Q7488" s="183"/>
      <c r="R7488" s="183"/>
      <c r="S7488" s="183"/>
    </row>
    <row r="7489" spans="1:19">
      <c r="A7489" s="182"/>
      <c r="Q7489" s="183"/>
      <c r="R7489" s="183"/>
      <c r="S7489" s="183"/>
    </row>
    <row r="7490" spans="1:19">
      <c r="A7490" s="182"/>
      <c r="Q7490" s="183"/>
      <c r="R7490" s="183"/>
      <c r="S7490" s="183"/>
    </row>
    <row r="7491" spans="1:19">
      <c r="A7491" s="182"/>
      <c r="Q7491" s="183"/>
      <c r="R7491" s="183"/>
      <c r="S7491" s="183"/>
    </row>
    <row r="7492" spans="1:19">
      <c r="A7492" s="182"/>
      <c r="Q7492" s="183"/>
      <c r="R7492" s="183"/>
      <c r="S7492" s="183"/>
    </row>
    <row r="7493" spans="1:19">
      <c r="A7493" s="182"/>
      <c r="Q7493" s="183"/>
      <c r="R7493" s="183"/>
      <c r="S7493" s="183"/>
    </row>
    <row r="7494" spans="1:19">
      <c r="A7494" s="182"/>
      <c r="Q7494" s="183"/>
      <c r="R7494" s="183"/>
      <c r="S7494" s="183"/>
    </row>
    <row r="7495" spans="1:19">
      <c r="A7495" s="182"/>
      <c r="Q7495" s="183"/>
      <c r="R7495" s="183"/>
      <c r="S7495" s="183"/>
    </row>
    <row r="7496" spans="1:19">
      <c r="A7496" s="182"/>
      <c r="Q7496" s="183"/>
      <c r="R7496" s="183"/>
      <c r="S7496" s="183"/>
    </row>
    <row r="7497" spans="1:19">
      <c r="A7497" s="182"/>
      <c r="Q7497" s="183"/>
      <c r="R7497" s="183"/>
      <c r="S7497" s="183"/>
    </row>
    <row r="7498" spans="1:19">
      <c r="A7498" s="182"/>
      <c r="Q7498" s="183"/>
      <c r="R7498" s="183"/>
      <c r="S7498" s="183"/>
    </row>
    <row r="7499" spans="1:19">
      <c r="A7499" s="182"/>
      <c r="Q7499" s="183"/>
      <c r="R7499" s="183"/>
      <c r="S7499" s="183"/>
    </row>
    <row r="7500" spans="1:19">
      <c r="A7500" s="182"/>
      <c r="Q7500" s="183"/>
      <c r="R7500" s="183"/>
      <c r="S7500" s="183"/>
    </row>
    <row r="7501" spans="1:19">
      <c r="A7501" s="182"/>
      <c r="Q7501" s="183"/>
      <c r="R7501" s="183"/>
      <c r="S7501" s="183"/>
    </row>
    <row r="7502" spans="1:19">
      <c r="A7502" s="182"/>
      <c r="Q7502" s="183"/>
      <c r="R7502" s="183"/>
      <c r="S7502" s="183"/>
    </row>
    <row r="7503" spans="1:19">
      <c r="A7503" s="182"/>
      <c r="Q7503" s="183"/>
      <c r="R7503" s="183"/>
      <c r="S7503" s="183"/>
    </row>
    <row r="7504" spans="1:19">
      <c r="A7504" s="182"/>
      <c r="Q7504" s="183"/>
      <c r="R7504" s="183"/>
      <c r="S7504" s="183"/>
    </row>
    <row r="7505" spans="1:19">
      <c r="A7505" s="182"/>
      <c r="Q7505" s="183"/>
      <c r="R7505" s="183"/>
      <c r="S7505" s="183"/>
    </row>
    <row r="7506" spans="1:19">
      <c r="A7506" s="182"/>
      <c r="Q7506" s="183"/>
      <c r="R7506" s="183"/>
      <c r="S7506" s="183"/>
    </row>
    <row r="7507" spans="1:19">
      <c r="A7507" s="182"/>
      <c r="Q7507" s="183"/>
      <c r="R7507" s="183"/>
      <c r="S7507" s="183"/>
    </row>
    <row r="7508" spans="1:19">
      <c r="A7508" s="182"/>
      <c r="Q7508" s="183"/>
      <c r="R7508" s="183"/>
      <c r="S7508" s="183"/>
    </row>
    <row r="7509" spans="1:19">
      <c r="A7509" s="182"/>
      <c r="Q7509" s="183"/>
      <c r="R7509" s="183"/>
      <c r="S7509" s="183"/>
    </row>
    <row r="7510" spans="1:19">
      <c r="A7510" s="182"/>
      <c r="Q7510" s="183"/>
      <c r="R7510" s="183"/>
      <c r="S7510" s="183"/>
    </row>
    <row r="7511" spans="1:19">
      <c r="A7511" s="182"/>
      <c r="Q7511" s="183"/>
      <c r="R7511" s="183"/>
      <c r="S7511" s="183"/>
    </row>
    <row r="7512" spans="1:19">
      <c r="A7512" s="182"/>
      <c r="Q7512" s="183"/>
      <c r="R7512" s="183"/>
      <c r="S7512" s="183"/>
    </row>
    <row r="7513" spans="1:19">
      <c r="A7513" s="182"/>
      <c r="Q7513" s="183"/>
      <c r="R7513" s="183"/>
      <c r="S7513" s="183"/>
    </row>
    <row r="7514" spans="1:19">
      <c r="A7514" s="182"/>
      <c r="Q7514" s="183"/>
      <c r="R7514" s="183"/>
      <c r="S7514" s="183"/>
    </row>
    <row r="7515" spans="1:19">
      <c r="A7515" s="182"/>
      <c r="Q7515" s="183"/>
      <c r="R7515" s="183"/>
      <c r="S7515" s="183"/>
    </row>
    <row r="7516" spans="1:19">
      <c r="A7516" s="182"/>
      <c r="Q7516" s="183"/>
      <c r="R7516" s="183"/>
      <c r="S7516" s="183"/>
    </row>
    <row r="7517" spans="1:19">
      <c r="A7517" s="182"/>
      <c r="Q7517" s="183"/>
      <c r="R7517" s="183"/>
      <c r="S7517" s="183"/>
    </row>
    <row r="7518" spans="1:19">
      <c r="A7518" s="182"/>
      <c r="Q7518" s="183"/>
      <c r="R7518" s="183"/>
      <c r="S7518" s="183"/>
    </row>
    <row r="7519" spans="1:19">
      <c r="A7519" s="182"/>
      <c r="Q7519" s="183"/>
      <c r="R7519" s="183"/>
      <c r="S7519" s="183"/>
    </row>
    <row r="7520" spans="1:19">
      <c r="A7520" s="182"/>
      <c r="Q7520" s="183"/>
      <c r="R7520" s="183"/>
      <c r="S7520" s="183"/>
    </row>
    <row r="7521" spans="1:19">
      <c r="A7521" s="182"/>
      <c r="Q7521" s="183"/>
      <c r="R7521" s="183"/>
      <c r="S7521" s="183"/>
    </row>
    <row r="7522" spans="1:19">
      <c r="A7522" s="182"/>
      <c r="Q7522" s="183"/>
      <c r="R7522" s="183"/>
      <c r="S7522" s="183"/>
    </row>
    <row r="7523" spans="1:19">
      <c r="A7523" s="182"/>
      <c r="Q7523" s="183"/>
      <c r="R7523" s="183"/>
      <c r="S7523" s="183"/>
    </row>
    <row r="7524" spans="1:19">
      <c r="A7524" s="182"/>
      <c r="Q7524" s="183"/>
      <c r="R7524" s="183"/>
      <c r="S7524" s="183"/>
    </row>
    <row r="7525" spans="1:19">
      <c r="A7525" s="182"/>
      <c r="Q7525" s="183"/>
      <c r="R7525" s="183"/>
      <c r="S7525" s="183"/>
    </row>
    <row r="7526" spans="1:19">
      <c r="A7526" s="182"/>
      <c r="Q7526" s="183"/>
      <c r="R7526" s="183"/>
      <c r="S7526" s="183"/>
    </row>
    <row r="7527" spans="1:19">
      <c r="A7527" s="182"/>
      <c r="Q7527" s="183"/>
      <c r="R7527" s="183"/>
      <c r="S7527" s="183"/>
    </row>
    <row r="7528" spans="1:19">
      <c r="A7528" s="182"/>
      <c r="Q7528" s="183"/>
      <c r="R7528" s="183"/>
      <c r="S7528" s="183"/>
    </row>
    <row r="7529" spans="1:19">
      <c r="A7529" s="182"/>
      <c r="Q7529" s="183"/>
      <c r="R7529" s="183"/>
      <c r="S7529" s="183"/>
    </row>
    <row r="7530" spans="1:19">
      <c r="A7530" s="182"/>
      <c r="Q7530" s="183"/>
      <c r="R7530" s="183"/>
      <c r="S7530" s="183"/>
    </row>
    <row r="7531" spans="1:19">
      <c r="A7531" s="182"/>
      <c r="Q7531" s="183"/>
      <c r="R7531" s="183"/>
      <c r="S7531" s="183"/>
    </row>
    <row r="7532" spans="1:19">
      <c r="A7532" s="182"/>
      <c r="Q7532" s="183"/>
      <c r="R7532" s="183"/>
      <c r="S7532" s="183"/>
    </row>
    <row r="7533" spans="1:19">
      <c r="A7533" s="182"/>
      <c r="Q7533" s="183"/>
      <c r="R7533" s="183"/>
      <c r="S7533" s="183"/>
    </row>
    <row r="7534" spans="1:19">
      <c r="A7534" s="182"/>
      <c r="Q7534" s="183"/>
      <c r="R7534" s="183"/>
      <c r="S7534" s="183"/>
    </row>
    <row r="7535" spans="1:19">
      <c r="A7535" s="182"/>
      <c r="Q7535" s="183"/>
      <c r="R7535" s="183"/>
      <c r="S7535" s="183"/>
    </row>
    <row r="7536" spans="1:19">
      <c r="A7536" s="182"/>
      <c r="Q7536" s="183"/>
      <c r="R7536" s="183"/>
      <c r="S7536" s="183"/>
    </row>
    <row r="7537" spans="1:19">
      <c r="A7537" s="182"/>
      <c r="Q7537" s="183"/>
      <c r="R7537" s="183"/>
      <c r="S7537" s="183"/>
    </row>
    <row r="7538" spans="1:19">
      <c r="A7538" s="182"/>
      <c r="Q7538" s="183"/>
      <c r="R7538" s="183"/>
      <c r="S7538" s="183"/>
    </row>
    <row r="7539" spans="1:19">
      <c r="A7539" s="182"/>
      <c r="Q7539" s="183"/>
      <c r="R7539" s="183"/>
      <c r="S7539" s="183"/>
    </row>
    <row r="7540" spans="1:19">
      <c r="A7540" s="182"/>
      <c r="Q7540" s="183"/>
      <c r="R7540" s="183"/>
      <c r="S7540" s="183"/>
    </row>
    <row r="7541" spans="1:19">
      <c r="A7541" s="182"/>
      <c r="Q7541" s="183"/>
      <c r="R7541" s="183"/>
      <c r="S7541" s="183"/>
    </row>
    <row r="7542" spans="1:19">
      <c r="A7542" s="182"/>
      <c r="Q7542" s="183"/>
      <c r="R7542" s="183"/>
      <c r="S7542" s="183"/>
    </row>
    <row r="7543" spans="1:19">
      <c r="A7543" s="182"/>
      <c r="Q7543" s="183"/>
      <c r="R7543" s="183"/>
      <c r="S7543" s="183"/>
    </row>
    <row r="7544" spans="1:19">
      <c r="A7544" s="182"/>
      <c r="Q7544" s="183"/>
      <c r="R7544" s="183"/>
      <c r="S7544" s="183"/>
    </row>
    <row r="7545" spans="1:19">
      <c r="A7545" s="182"/>
      <c r="Q7545" s="183"/>
      <c r="R7545" s="183"/>
      <c r="S7545" s="183"/>
    </row>
    <row r="7546" spans="1:19">
      <c r="A7546" s="182"/>
      <c r="Q7546" s="183"/>
      <c r="R7546" s="183"/>
      <c r="S7546" s="183"/>
    </row>
    <row r="7547" spans="1:19">
      <c r="A7547" s="182"/>
      <c r="Q7547" s="183"/>
      <c r="R7547" s="183"/>
      <c r="S7547" s="183"/>
    </row>
    <row r="7548" spans="1:19">
      <c r="A7548" s="182"/>
      <c r="Q7548" s="183"/>
      <c r="R7548" s="183"/>
      <c r="S7548" s="183"/>
    </row>
    <row r="7549" spans="1:19">
      <c r="A7549" s="182"/>
      <c r="Q7549" s="183"/>
      <c r="R7549" s="183"/>
      <c r="S7549" s="183"/>
    </row>
    <row r="7550" spans="1:19">
      <c r="A7550" s="182"/>
      <c r="Q7550" s="183"/>
      <c r="R7550" s="183"/>
      <c r="S7550" s="183"/>
    </row>
    <row r="7551" spans="1:19">
      <c r="A7551" s="182"/>
      <c r="Q7551" s="183"/>
      <c r="R7551" s="183"/>
      <c r="S7551" s="183"/>
    </row>
    <row r="7552" spans="1:19">
      <c r="A7552" s="182"/>
      <c r="Q7552" s="183"/>
      <c r="R7552" s="183"/>
      <c r="S7552" s="183"/>
    </row>
    <row r="7553" spans="1:19">
      <c r="A7553" s="182"/>
      <c r="Q7553" s="183"/>
      <c r="R7553" s="183"/>
      <c r="S7553" s="183"/>
    </row>
    <row r="7554" spans="1:19">
      <c r="A7554" s="182"/>
      <c r="Q7554" s="183"/>
      <c r="R7554" s="183"/>
      <c r="S7554" s="183"/>
    </row>
    <row r="7555" spans="1:19">
      <c r="A7555" s="182"/>
      <c r="Q7555" s="183"/>
      <c r="R7555" s="183"/>
      <c r="S7555" s="183"/>
    </row>
    <row r="7556" spans="1:19">
      <c r="A7556" s="182"/>
      <c r="Q7556" s="183"/>
      <c r="R7556" s="183"/>
      <c r="S7556" s="183"/>
    </row>
    <row r="7557" spans="1:19">
      <c r="A7557" s="182"/>
      <c r="Q7557" s="183"/>
      <c r="R7557" s="183"/>
      <c r="S7557" s="183"/>
    </row>
    <row r="7558" spans="1:19">
      <c r="A7558" s="182"/>
      <c r="Q7558" s="183"/>
      <c r="R7558" s="183"/>
      <c r="S7558" s="183"/>
    </row>
    <row r="7559" spans="1:19">
      <c r="A7559" s="182"/>
      <c r="Q7559" s="183"/>
      <c r="R7559" s="183"/>
      <c r="S7559" s="183"/>
    </row>
    <row r="7560" spans="1:19">
      <c r="A7560" s="182"/>
      <c r="Q7560" s="183"/>
      <c r="R7560" s="183"/>
      <c r="S7560" s="183"/>
    </row>
    <row r="7561" spans="1:19">
      <c r="A7561" s="182"/>
      <c r="Q7561" s="183"/>
      <c r="R7561" s="183"/>
      <c r="S7561" s="183"/>
    </row>
    <row r="7562" spans="1:19">
      <c r="A7562" s="182"/>
      <c r="Q7562" s="183"/>
      <c r="R7562" s="183"/>
      <c r="S7562" s="183"/>
    </row>
    <row r="7563" spans="1:19">
      <c r="A7563" s="182"/>
      <c r="Q7563" s="183"/>
      <c r="R7563" s="183"/>
      <c r="S7563" s="183"/>
    </row>
    <row r="7564" spans="1:19">
      <c r="A7564" s="182"/>
      <c r="Q7564" s="183"/>
      <c r="R7564" s="183"/>
      <c r="S7564" s="183"/>
    </row>
    <row r="7565" spans="1:19">
      <c r="A7565" s="182"/>
      <c r="Q7565" s="183"/>
      <c r="R7565" s="183"/>
      <c r="S7565" s="183"/>
    </row>
    <row r="7566" spans="1:19">
      <c r="A7566" s="182"/>
      <c r="Q7566" s="183"/>
      <c r="R7566" s="183"/>
      <c r="S7566" s="183"/>
    </row>
    <row r="7567" spans="1:19">
      <c r="A7567" s="182"/>
      <c r="Q7567" s="183"/>
      <c r="R7567" s="183"/>
      <c r="S7567" s="183"/>
    </row>
    <row r="7568" spans="1:19">
      <c r="A7568" s="182"/>
      <c r="Q7568" s="183"/>
      <c r="R7568" s="183"/>
      <c r="S7568" s="183"/>
    </row>
    <row r="7569" spans="1:19">
      <c r="A7569" s="182"/>
      <c r="Q7569" s="183"/>
      <c r="R7569" s="183"/>
      <c r="S7569" s="183"/>
    </row>
    <row r="7570" spans="1:19">
      <c r="A7570" s="182"/>
      <c r="Q7570" s="183"/>
      <c r="R7570" s="183"/>
      <c r="S7570" s="183"/>
    </row>
    <row r="7571" spans="1:19">
      <c r="A7571" s="182"/>
      <c r="Q7571" s="183"/>
      <c r="R7571" s="183"/>
      <c r="S7571" s="183"/>
    </row>
    <row r="7572" spans="1:19">
      <c r="A7572" s="182"/>
      <c r="Q7572" s="183"/>
      <c r="R7572" s="183"/>
      <c r="S7572" s="183"/>
    </row>
    <row r="7573" spans="1:19">
      <c r="A7573" s="182"/>
      <c r="Q7573" s="183"/>
      <c r="R7573" s="183"/>
      <c r="S7573" s="183"/>
    </row>
    <row r="7574" spans="1:19">
      <c r="A7574" s="182"/>
      <c r="Q7574" s="183"/>
      <c r="R7574" s="183"/>
      <c r="S7574" s="183"/>
    </row>
    <row r="7575" spans="1:19">
      <c r="A7575" s="182"/>
      <c r="Q7575" s="183"/>
      <c r="R7575" s="183"/>
      <c r="S7575" s="183"/>
    </row>
    <row r="7576" spans="1:19">
      <c r="A7576" s="182"/>
      <c r="Q7576" s="183"/>
      <c r="R7576" s="183"/>
      <c r="S7576" s="183"/>
    </row>
    <row r="7577" spans="1:19">
      <c r="A7577" s="182"/>
      <c r="Q7577" s="183"/>
      <c r="R7577" s="183"/>
      <c r="S7577" s="183"/>
    </row>
    <row r="7578" spans="1:19">
      <c r="A7578" s="182"/>
      <c r="Q7578" s="183"/>
      <c r="R7578" s="183"/>
      <c r="S7578" s="183"/>
    </row>
    <row r="7579" spans="1:19">
      <c r="A7579" s="182"/>
      <c r="Q7579" s="183"/>
      <c r="R7579" s="183"/>
      <c r="S7579" s="183"/>
    </row>
    <row r="7580" spans="1:19">
      <c r="A7580" s="182"/>
      <c r="Q7580" s="183"/>
      <c r="R7580" s="183"/>
      <c r="S7580" s="183"/>
    </row>
    <row r="7581" spans="1:19">
      <c r="A7581" s="182"/>
      <c r="Q7581" s="183"/>
      <c r="R7581" s="183"/>
      <c r="S7581" s="183"/>
    </row>
    <row r="7582" spans="1:19">
      <c r="A7582" s="182"/>
      <c r="Q7582" s="183"/>
      <c r="R7582" s="183"/>
      <c r="S7582" s="183"/>
    </row>
    <row r="7583" spans="1:19">
      <c r="A7583" s="182"/>
      <c r="Q7583" s="183"/>
      <c r="R7583" s="183"/>
      <c r="S7583" s="183"/>
    </row>
    <row r="7584" spans="1:19">
      <c r="A7584" s="182"/>
      <c r="Q7584" s="183"/>
      <c r="R7584" s="183"/>
      <c r="S7584" s="183"/>
    </row>
    <row r="7585" spans="1:38">
      <c r="A7585" s="182"/>
      <c r="Q7585" s="183"/>
      <c r="R7585" s="183"/>
      <c r="S7585" s="183"/>
    </row>
    <row r="7586" spans="1:38">
      <c r="A7586" s="182"/>
      <c r="Q7586" s="183"/>
      <c r="R7586" s="183"/>
      <c r="S7586" s="183"/>
    </row>
    <row r="7587" spans="1:38">
      <c r="A7587" s="182"/>
      <c r="Q7587" s="183"/>
      <c r="R7587" s="183"/>
      <c r="S7587" s="183"/>
    </row>
    <row r="7588" spans="1:38">
      <c r="A7588" s="182"/>
      <c r="Q7588" s="183"/>
      <c r="R7588" s="183"/>
      <c r="S7588" s="183"/>
    </row>
    <row r="7589" spans="1:38">
      <c r="A7589" s="182"/>
      <c r="Q7589" s="183"/>
      <c r="R7589" s="183"/>
      <c r="S7589" s="183"/>
      <c r="AK7589" s="183"/>
      <c r="AL7589" s="183"/>
    </row>
    <row r="7590" spans="1:38">
      <c r="A7590" s="182"/>
      <c r="Q7590" s="183"/>
      <c r="R7590" s="183"/>
      <c r="S7590" s="183"/>
      <c r="AJ7590" s="183"/>
      <c r="AK7590" s="183"/>
      <c r="AL7590" s="183"/>
    </row>
    <row r="7591" spans="1:38">
      <c r="A7591" s="182"/>
      <c r="Q7591" s="183"/>
      <c r="R7591" s="183"/>
      <c r="S7591" s="183"/>
      <c r="AJ7591" s="183"/>
      <c r="AK7591" s="183"/>
      <c r="AL7591" s="183"/>
    </row>
    <row r="7592" spans="1:38">
      <c r="A7592" s="182"/>
      <c r="Q7592" s="183"/>
      <c r="R7592" s="183"/>
      <c r="S7592" s="183"/>
      <c r="AJ7592" s="183"/>
      <c r="AK7592" s="183"/>
      <c r="AL7592" s="183"/>
    </row>
    <row r="7593" spans="1:38">
      <c r="A7593" s="182"/>
      <c r="Q7593" s="183"/>
      <c r="R7593" s="183"/>
      <c r="S7593" s="183"/>
      <c r="AJ7593" s="183"/>
    </row>
    <row r="7594" spans="1:38">
      <c r="A7594" s="182"/>
      <c r="Q7594" s="183"/>
      <c r="R7594" s="183"/>
      <c r="S7594" s="183"/>
    </row>
    <row r="7595" spans="1:38">
      <c r="A7595" s="182"/>
      <c r="Q7595" s="183"/>
      <c r="R7595" s="183"/>
      <c r="S7595" s="183"/>
    </row>
    <row r="7596" spans="1:38">
      <c r="A7596" s="182"/>
      <c r="Q7596" s="183"/>
      <c r="R7596" s="183"/>
      <c r="S7596" s="183"/>
    </row>
    <row r="7597" spans="1:38">
      <c r="A7597" s="182"/>
      <c r="Q7597" s="183"/>
      <c r="R7597" s="183"/>
      <c r="S7597" s="183"/>
      <c r="AK7597" s="183"/>
      <c r="AL7597" s="183"/>
    </row>
    <row r="7598" spans="1:38">
      <c r="A7598" s="182"/>
      <c r="Q7598" s="183"/>
      <c r="R7598" s="183"/>
      <c r="S7598" s="183"/>
      <c r="AJ7598" s="183"/>
      <c r="AK7598" s="183"/>
      <c r="AL7598" s="183"/>
    </row>
    <row r="7599" spans="1:38">
      <c r="A7599" s="182"/>
      <c r="Q7599" s="183"/>
      <c r="R7599" s="183"/>
      <c r="S7599" s="183"/>
      <c r="AJ7599" s="183"/>
      <c r="AK7599" s="183"/>
      <c r="AL7599" s="183"/>
    </row>
    <row r="7600" spans="1:38">
      <c r="A7600" s="182"/>
      <c r="Q7600" s="183"/>
      <c r="R7600" s="183"/>
      <c r="S7600" s="183"/>
      <c r="AJ7600" s="183"/>
      <c r="AK7600" s="183"/>
      <c r="AL7600" s="183"/>
    </row>
    <row r="7601" spans="1:38">
      <c r="A7601" s="182"/>
      <c r="Q7601" s="183"/>
      <c r="R7601" s="183"/>
      <c r="S7601" s="183"/>
      <c r="AJ7601" s="183"/>
    </row>
    <row r="7602" spans="1:38">
      <c r="A7602" s="182"/>
      <c r="Q7602" s="183"/>
      <c r="R7602" s="183"/>
      <c r="S7602" s="183"/>
    </row>
    <row r="7603" spans="1:38">
      <c r="A7603" s="182"/>
      <c r="Q7603" s="183"/>
      <c r="R7603" s="183"/>
      <c r="S7603" s="183"/>
    </row>
    <row r="7604" spans="1:38">
      <c r="A7604" s="182"/>
      <c r="Q7604" s="183"/>
      <c r="R7604" s="183"/>
      <c r="S7604" s="183"/>
    </row>
    <row r="7605" spans="1:38">
      <c r="A7605" s="182"/>
      <c r="Q7605" s="183"/>
      <c r="R7605" s="183"/>
      <c r="S7605" s="183"/>
      <c r="AK7605" s="183"/>
      <c r="AL7605" s="183"/>
    </row>
    <row r="7606" spans="1:38">
      <c r="A7606" s="182"/>
      <c r="Q7606" s="183"/>
      <c r="R7606" s="183"/>
      <c r="S7606" s="183"/>
      <c r="AJ7606" s="183"/>
      <c r="AK7606" s="183"/>
      <c r="AL7606" s="183"/>
    </row>
    <row r="7607" spans="1:38">
      <c r="A7607" s="182"/>
      <c r="Q7607" s="183"/>
      <c r="R7607" s="183"/>
      <c r="S7607" s="183"/>
      <c r="AJ7607" s="183"/>
      <c r="AK7607" s="183"/>
      <c r="AL7607" s="183"/>
    </row>
    <row r="7608" spans="1:38">
      <c r="A7608" s="182"/>
      <c r="Q7608" s="183"/>
      <c r="R7608" s="183"/>
      <c r="S7608" s="183"/>
      <c r="AJ7608" s="183"/>
      <c r="AK7608" s="183"/>
      <c r="AL7608" s="183"/>
    </row>
    <row r="7609" spans="1:38">
      <c r="A7609" s="182"/>
      <c r="Q7609" s="183"/>
      <c r="R7609" s="183"/>
      <c r="S7609" s="183"/>
      <c r="AJ7609" s="183"/>
    </row>
    <row r="7610" spans="1:38">
      <c r="A7610" s="182"/>
      <c r="Q7610" s="183"/>
      <c r="R7610" s="183"/>
      <c r="S7610" s="183"/>
    </row>
    <row r="7611" spans="1:38">
      <c r="A7611" s="182"/>
      <c r="Q7611" s="183"/>
      <c r="R7611" s="183"/>
      <c r="S7611" s="183"/>
    </row>
    <row r="7612" spans="1:38">
      <c r="A7612" s="182"/>
      <c r="Q7612" s="183"/>
      <c r="R7612" s="183"/>
      <c r="S7612" s="183"/>
    </row>
    <row r="7613" spans="1:38">
      <c r="A7613" s="182"/>
      <c r="Q7613" s="183"/>
      <c r="R7613" s="183"/>
      <c r="S7613" s="183"/>
      <c r="AK7613" s="183"/>
      <c r="AL7613" s="183"/>
    </row>
    <row r="7614" spans="1:38">
      <c r="A7614" s="182"/>
      <c r="Q7614" s="183"/>
      <c r="R7614" s="183"/>
      <c r="S7614" s="183"/>
      <c r="AJ7614" s="183"/>
      <c r="AK7614" s="183"/>
      <c r="AL7614" s="183"/>
    </row>
    <row r="7615" spans="1:38">
      <c r="A7615" s="182"/>
      <c r="Q7615" s="183"/>
      <c r="R7615" s="183"/>
      <c r="S7615" s="183"/>
      <c r="AJ7615" s="183"/>
      <c r="AK7615" s="183"/>
      <c r="AL7615" s="183"/>
    </row>
    <row r="7616" spans="1:38">
      <c r="A7616" s="182"/>
      <c r="Q7616" s="183"/>
      <c r="R7616" s="183"/>
      <c r="S7616" s="183"/>
      <c r="AJ7616" s="183"/>
      <c r="AK7616" s="183"/>
      <c r="AL7616" s="183"/>
    </row>
    <row r="7617" spans="1:36">
      <c r="A7617" s="182"/>
      <c r="Q7617" s="183"/>
      <c r="R7617" s="183"/>
      <c r="S7617" s="183"/>
      <c r="AJ7617" s="183"/>
    </row>
    <row r="7618" spans="1:36">
      <c r="A7618" s="182"/>
      <c r="Q7618" s="183"/>
      <c r="R7618" s="183"/>
      <c r="S7618" s="183"/>
    </row>
    <row r="7619" spans="1:36">
      <c r="A7619" s="182"/>
      <c r="Q7619" s="183"/>
      <c r="R7619" s="183"/>
      <c r="S7619" s="183"/>
    </row>
    <row r="7620" spans="1:36">
      <c r="A7620" s="182"/>
      <c r="Q7620" s="183"/>
      <c r="R7620" s="183"/>
      <c r="S7620" s="183"/>
    </row>
    <row r="7621" spans="1:36">
      <c r="A7621" s="182"/>
      <c r="Q7621" s="183"/>
      <c r="R7621" s="183"/>
      <c r="S7621" s="183"/>
    </row>
    <row r="7622" spans="1:36">
      <c r="A7622" s="182"/>
      <c r="Q7622" s="183"/>
      <c r="R7622" s="183"/>
      <c r="S7622" s="183"/>
    </row>
    <row r="7623" spans="1:36">
      <c r="A7623" s="182"/>
      <c r="Q7623" s="183"/>
      <c r="R7623" s="183"/>
      <c r="S7623" s="183"/>
    </row>
    <row r="7624" spans="1:36">
      <c r="A7624" s="182"/>
      <c r="Q7624" s="183"/>
      <c r="R7624" s="183"/>
      <c r="S7624" s="183"/>
    </row>
    <row r="7625" spans="1:36">
      <c r="A7625" s="182"/>
      <c r="Q7625" s="183"/>
      <c r="R7625" s="183"/>
      <c r="S7625" s="183"/>
    </row>
    <row r="7626" spans="1:36">
      <c r="A7626" s="182"/>
      <c r="Q7626" s="183"/>
      <c r="R7626" s="183"/>
      <c r="S7626" s="183"/>
    </row>
    <row r="7627" spans="1:36">
      <c r="A7627" s="182"/>
      <c r="Q7627" s="183"/>
      <c r="R7627" s="183"/>
      <c r="S7627" s="183"/>
    </row>
    <row r="7628" spans="1:36">
      <c r="A7628" s="182"/>
      <c r="Q7628" s="183"/>
    </row>
    <row r="7629" spans="1:36">
      <c r="A7629" s="182"/>
    </row>
    <row r="7630" spans="1:36">
      <c r="A7630" s="182"/>
    </row>
    <row r="7631" spans="1:36">
      <c r="A7631" s="182"/>
      <c r="R7631" s="183"/>
      <c r="S7631" s="183"/>
    </row>
    <row r="7632" spans="1:36">
      <c r="A7632" s="182"/>
      <c r="Q7632" s="183"/>
      <c r="R7632" s="183"/>
      <c r="S7632" s="183"/>
    </row>
    <row r="7633" spans="1:19">
      <c r="A7633" s="182"/>
      <c r="Q7633" s="183"/>
      <c r="R7633" s="183"/>
      <c r="S7633" s="183"/>
    </row>
    <row r="7634" spans="1:19">
      <c r="A7634" s="182"/>
      <c r="Q7634" s="183"/>
      <c r="R7634" s="183"/>
      <c r="S7634" s="183"/>
    </row>
    <row r="7635" spans="1:19">
      <c r="A7635" s="182"/>
      <c r="Q7635" s="183"/>
      <c r="R7635" s="183"/>
      <c r="S7635" s="183"/>
    </row>
    <row r="7636" spans="1:19">
      <c r="A7636" s="182"/>
      <c r="Q7636" s="183"/>
      <c r="R7636" s="183"/>
      <c r="S7636" s="183"/>
    </row>
    <row r="7637" spans="1:19">
      <c r="A7637" s="182"/>
      <c r="Q7637" s="183"/>
      <c r="R7637" s="183"/>
      <c r="S7637" s="183"/>
    </row>
    <row r="7638" spans="1:19">
      <c r="A7638" s="182"/>
      <c r="Q7638" s="183"/>
      <c r="R7638" s="183"/>
      <c r="S7638" s="183"/>
    </row>
    <row r="7639" spans="1:19">
      <c r="A7639" s="182"/>
      <c r="Q7639" s="183"/>
      <c r="R7639" s="183"/>
      <c r="S7639" s="183"/>
    </row>
    <row r="7640" spans="1:19">
      <c r="A7640" s="182"/>
      <c r="Q7640" s="183"/>
      <c r="R7640" s="183"/>
      <c r="S7640" s="183"/>
    </row>
    <row r="7641" spans="1:19">
      <c r="A7641" s="182"/>
      <c r="Q7641" s="183"/>
      <c r="R7641" s="183"/>
      <c r="S7641" s="183"/>
    </row>
    <row r="7642" spans="1:19">
      <c r="A7642" s="182"/>
      <c r="Q7642" s="183"/>
      <c r="R7642" s="183"/>
      <c r="S7642" s="183"/>
    </row>
    <row r="7643" spans="1:19">
      <c r="A7643" s="182"/>
      <c r="Q7643" s="183"/>
      <c r="R7643" s="183"/>
      <c r="S7643" s="183"/>
    </row>
    <row r="7644" spans="1:19">
      <c r="A7644" s="182"/>
      <c r="Q7644" s="183"/>
      <c r="R7644" s="183"/>
      <c r="S7644" s="183"/>
    </row>
    <row r="7645" spans="1:19">
      <c r="A7645" s="182"/>
      <c r="Q7645" s="183"/>
      <c r="R7645" s="183"/>
      <c r="S7645" s="183"/>
    </row>
    <row r="7646" spans="1:19">
      <c r="A7646" s="182"/>
      <c r="Q7646" s="183"/>
      <c r="R7646" s="183"/>
      <c r="S7646" s="183"/>
    </row>
    <row r="7647" spans="1:19">
      <c r="A7647" s="182"/>
      <c r="Q7647" s="183"/>
      <c r="R7647" s="183"/>
      <c r="S7647" s="183"/>
    </row>
    <row r="7648" spans="1:19">
      <c r="A7648" s="182"/>
      <c r="Q7648" s="183"/>
      <c r="R7648" s="183"/>
      <c r="S7648" s="183"/>
    </row>
    <row r="7649" spans="1:19">
      <c r="A7649" s="182"/>
      <c r="Q7649" s="183"/>
      <c r="R7649" s="183"/>
      <c r="S7649" s="183"/>
    </row>
    <row r="7650" spans="1:19">
      <c r="A7650" s="182"/>
      <c r="Q7650" s="183"/>
      <c r="R7650" s="183"/>
      <c r="S7650" s="183"/>
    </row>
    <row r="7651" spans="1:19">
      <c r="A7651" s="182"/>
      <c r="Q7651" s="183"/>
      <c r="R7651" s="183"/>
      <c r="S7651" s="183"/>
    </row>
    <row r="7652" spans="1:19">
      <c r="A7652" s="182"/>
      <c r="Q7652" s="183"/>
      <c r="R7652" s="183"/>
      <c r="S7652" s="183"/>
    </row>
    <row r="7653" spans="1:19">
      <c r="A7653" s="182"/>
      <c r="Q7653" s="183"/>
      <c r="R7653" s="183"/>
      <c r="S7653" s="183"/>
    </row>
    <row r="7654" spans="1:19">
      <c r="A7654" s="182"/>
      <c r="Q7654" s="183"/>
      <c r="R7654" s="183"/>
      <c r="S7654" s="183"/>
    </row>
    <row r="7655" spans="1:19">
      <c r="A7655" s="182"/>
      <c r="Q7655" s="183"/>
      <c r="R7655" s="183"/>
      <c r="S7655" s="183"/>
    </row>
    <row r="7656" spans="1:19">
      <c r="A7656" s="182"/>
      <c r="Q7656" s="183"/>
      <c r="R7656" s="183"/>
      <c r="S7656" s="183"/>
    </row>
    <row r="7657" spans="1:19">
      <c r="A7657" s="182"/>
      <c r="Q7657" s="183"/>
      <c r="R7657" s="183"/>
      <c r="S7657" s="183"/>
    </row>
    <row r="7658" spans="1:19">
      <c r="A7658" s="182"/>
      <c r="Q7658" s="183"/>
      <c r="R7658" s="183"/>
      <c r="S7658" s="183"/>
    </row>
    <row r="7659" spans="1:19">
      <c r="A7659" s="182"/>
      <c r="Q7659" s="183"/>
      <c r="R7659" s="183"/>
      <c r="S7659" s="183"/>
    </row>
    <row r="7660" spans="1:19">
      <c r="A7660" s="182"/>
      <c r="Q7660" s="183"/>
      <c r="R7660" s="183"/>
      <c r="S7660" s="183"/>
    </row>
    <row r="7661" spans="1:19">
      <c r="A7661" s="182"/>
      <c r="Q7661" s="183"/>
      <c r="R7661" s="183"/>
      <c r="S7661" s="183"/>
    </row>
    <row r="7662" spans="1:19">
      <c r="A7662" s="182"/>
      <c r="Q7662" s="183"/>
      <c r="R7662" s="183"/>
      <c r="S7662" s="183"/>
    </row>
    <row r="7663" spans="1:19">
      <c r="A7663" s="182"/>
      <c r="Q7663" s="183"/>
      <c r="R7663" s="183"/>
      <c r="S7663" s="183"/>
    </row>
    <row r="7664" spans="1:19">
      <c r="A7664" s="182"/>
      <c r="Q7664" s="183"/>
      <c r="R7664" s="183"/>
      <c r="S7664" s="183"/>
    </row>
    <row r="7665" spans="1:19">
      <c r="A7665" s="182"/>
      <c r="Q7665" s="183"/>
      <c r="R7665" s="183"/>
      <c r="S7665" s="183"/>
    </row>
    <row r="7666" spans="1:19">
      <c r="A7666" s="182"/>
      <c r="Q7666" s="183"/>
      <c r="R7666" s="183"/>
      <c r="S7666" s="183"/>
    </row>
    <row r="7667" spans="1:19">
      <c r="A7667" s="182"/>
      <c r="Q7667" s="183"/>
      <c r="R7667" s="183"/>
      <c r="S7667" s="183"/>
    </row>
    <row r="7668" spans="1:19">
      <c r="A7668" s="182"/>
      <c r="Q7668" s="183"/>
      <c r="R7668" s="183"/>
      <c r="S7668" s="183"/>
    </row>
    <row r="7669" spans="1:19">
      <c r="A7669" s="182"/>
      <c r="Q7669" s="183"/>
      <c r="R7669" s="183"/>
      <c r="S7669" s="183"/>
    </row>
    <row r="7670" spans="1:19">
      <c r="A7670" s="182"/>
      <c r="Q7670" s="183"/>
      <c r="R7670" s="183"/>
      <c r="S7670" s="183"/>
    </row>
    <row r="7671" spans="1:19">
      <c r="A7671" s="182"/>
      <c r="Q7671" s="183"/>
      <c r="R7671" s="183"/>
      <c r="S7671" s="183"/>
    </row>
    <row r="7672" spans="1:19">
      <c r="A7672" s="182"/>
      <c r="Q7672" s="183"/>
      <c r="R7672" s="183"/>
      <c r="S7672" s="183"/>
    </row>
    <row r="7673" spans="1:19">
      <c r="A7673" s="182"/>
      <c r="Q7673" s="183"/>
      <c r="R7673" s="183"/>
      <c r="S7673" s="183"/>
    </row>
    <row r="7674" spans="1:19">
      <c r="A7674" s="182"/>
      <c r="Q7674" s="183"/>
      <c r="R7674" s="183"/>
      <c r="S7674" s="183"/>
    </row>
    <row r="7675" spans="1:19">
      <c r="A7675" s="182"/>
      <c r="Q7675" s="183"/>
      <c r="R7675" s="183"/>
      <c r="S7675" s="183"/>
    </row>
    <row r="7676" spans="1:19">
      <c r="A7676" s="182"/>
      <c r="Q7676" s="183"/>
      <c r="R7676" s="183"/>
      <c r="S7676" s="183"/>
    </row>
    <row r="7677" spans="1:19">
      <c r="A7677" s="182"/>
      <c r="Q7677" s="183"/>
      <c r="R7677" s="183"/>
      <c r="S7677" s="183"/>
    </row>
    <row r="7678" spans="1:19">
      <c r="A7678" s="182"/>
      <c r="Q7678" s="183"/>
      <c r="R7678" s="183"/>
      <c r="S7678" s="183"/>
    </row>
    <row r="7679" spans="1:19">
      <c r="A7679" s="182"/>
      <c r="Q7679" s="183"/>
      <c r="R7679" s="183"/>
      <c r="S7679" s="183"/>
    </row>
    <row r="7680" spans="1:19">
      <c r="A7680" s="182"/>
      <c r="Q7680" s="183"/>
      <c r="R7680" s="183"/>
      <c r="S7680" s="183"/>
    </row>
    <row r="7681" spans="1:38">
      <c r="A7681" s="182"/>
      <c r="Q7681" s="183"/>
      <c r="R7681" s="183"/>
      <c r="S7681" s="183"/>
    </row>
    <row r="7682" spans="1:38">
      <c r="A7682" s="182"/>
      <c r="Q7682" s="183"/>
      <c r="R7682" s="183"/>
      <c r="S7682" s="183"/>
    </row>
    <row r="7683" spans="1:38">
      <c r="A7683" s="182"/>
      <c r="Q7683" s="183"/>
      <c r="R7683" s="183"/>
      <c r="S7683" s="183"/>
    </row>
    <row r="7684" spans="1:38">
      <c r="A7684" s="182"/>
      <c r="Q7684" s="183"/>
      <c r="R7684" s="183"/>
      <c r="S7684" s="183"/>
    </row>
    <row r="7685" spans="1:38">
      <c r="A7685" s="182"/>
      <c r="Q7685" s="183"/>
      <c r="R7685" s="183"/>
      <c r="S7685" s="183"/>
    </row>
    <row r="7686" spans="1:38">
      <c r="A7686" s="182"/>
      <c r="Q7686" s="183"/>
      <c r="R7686" s="183"/>
      <c r="S7686" s="183"/>
    </row>
    <row r="7687" spans="1:38">
      <c r="A7687" s="182"/>
      <c r="Q7687" s="183"/>
      <c r="R7687" s="183"/>
      <c r="S7687" s="183"/>
    </row>
    <row r="7688" spans="1:38">
      <c r="A7688" s="182"/>
      <c r="Q7688" s="183"/>
      <c r="R7688" s="183"/>
      <c r="S7688" s="183"/>
    </row>
    <row r="7689" spans="1:38">
      <c r="A7689" s="182"/>
      <c r="Q7689" s="183"/>
      <c r="R7689" s="183"/>
      <c r="S7689" s="183"/>
      <c r="AK7689" s="183"/>
      <c r="AL7689" s="183"/>
    </row>
    <row r="7690" spans="1:38">
      <c r="A7690" s="182"/>
      <c r="Q7690" s="183"/>
      <c r="R7690" s="183"/>
      <c r="S7690" s="183"/>
      <c r="AJ7690" s="183"/>
      <c r="AK7690" s="183"/>
      <c r="AL7690" s="183"/>
    </row>
    <row r="7691" spans="1:38">
      <c r="A7691" s="182"/>
      <c r="Q7691" s="183"/>
      <c r="R7691" s="183"/>
      <c r="S7691" s="183"/>
      <c r="AJ7691" s="183"/>
      <c r="AK7691" s="183"/>
      <c r="AL7691" s="183"/>
    </row>
    <row r="7692" spans="1:38">
      <c r="A7692" s="182"/>
      <c r="Q7692" s="183"/>
      <c r="R7692" s="183"/>
      <c r="S7692" s="183"/>
      <c r="AJ7692" s="183"/>
      <c r="AK7692" s="183"/>
      <c r="AL7692" s="183"/>
    </row>
    <row r="7693" spans="1:38">
      <c r="A7693" s="182"/>
      <c r="Q7693" s="183"/>
      <c r="R7693" s="183"/>
      <c r="S7693" s="183"/>
      <c r="AJ7693" s="183"/>
    </row>
    <row r="7694" spans="1:38">
      <c r="A7694" s="182"/>
      <c r="Q7694" s="183"/>
      <c r="R7694" s="183"/>
      <c r="S7694" s="183"/>
    </row>
    <row r="7695" spans="1:38">
      <c r="A7695" s="182"/>
      <c r="Q7695" s="183"/>
      <c r="R7695" s="183"/>
      <c r="S7695" s="183"/>
    </row>
    <row r="7696" spans="1:38">
      <c r="A7696" s="182"/>
      <c r="Q7696" s="183"/>
      <c r="R7696" s="183"/>
      <c r="S7696" s="183"/>
    </row>
    <row r="7697" spans="1:19">
      <c r="A7697" s="182"/>
      <c r="Q7697" s="183"/>
      <c r="R7697" s="183"/>
      <c r="S7697" s="183"/>
    </row>
    <row r="7698" spans="1:19">
      <c r="A7698" s="182"/>
      <c r="Q7698" s="183"/>
      <c r="R7698" s="183"/>
      <c r="S7698" s="183"/>
    </row>
    <row r="7699" spans="1:19">
      <c r="A7699" s="182"/>
      <c r="Q7699" s="183"/>
      <c r="R7699" s="183"/>
      <c r="S7699" s="183"/>
    </row>
    <row r="7700" spans="1:19">
      <c r="A7700" s="182"/>
      <c r="Q7700" s="183"/>
      <c r="R7700" s="183"/>
      <c r="S7700" s="183"/>
    </row>
    <row r="7701" spans="1:19">
      <c r="A7701" s="182"/>
      <c r="Q7701" s="183"/>
      <c r="R7701" s="183"/>
      <c r="S7701" s="183"/>
    </row>
    <row r="7702" spans="1:19">
      <c r="A7702" s="182"/>
      <c r="Q7702" s="183"/>
      <c r="R7702" s="183"/>
      <c r="S7702" s="183"/>
    </row>
    <row r="7703" spans="1:19">
      <c r="A7703" s="182"/>
      <c r="Q7703" s="183"/>
      <c r="R7703" s="183"/>
      <c r="S7703" s="183"/>
    </row>
    <row r="7704" spans="1:19">
      <c r="A7704" s="182"/>
      <c r="Q7704" s="183"/>
      <c r="R7704" s="183"/>
      <c r="S7704" s="183"/>
    </row>
    <row r="7705" spans="1:19">
      <c r="A7705" s="182"/>
      <c r="Q7705" s="183"/>
      <c r="R7705" s="183"/>
      <c r="S7705" s="183"/>
    </row>
    <row r="7706" spans="1:19">
      <c r="A7706" s="182"/>
      <c r="Q7706" s="183"/>
      <c r="R7706" s="183"/>
      <c r="S7706" s="183"/>
    </row>
    <row r="7707" spans="1:19">
      <c r="A7707" s="182"/>
      <c r="Q7707" s="183"/>
      <c r="R7707" s="183"/>
      <c r="S7707" s="183"/>
    </row>
    <row r="7708" spans="1:19">
      <c r="A7708" s="182"/>
      <c r="Q7708" s="183"/>
      <c r="R7708" s="183"/>
      <c r="S7708" s="183"/>
    </row>
    <row r="7709" spans="1:19">
      <c r="A7709" s="182"/>
      <c r="Q7709" s="183"/>
      <c r="R7709" s="183"/>
      <c r="S7709" s="183"/>
    </row>
    <row r="7710" spans="1:19">
      <c r="A7710" s="182"/>
      <c r="Q7710" s="183"/>
      <c r="R7710" s="183"/>
      <c r="S7710" s="183"/>
    </row>
    <row r="7711" spans="1:19">
      <c r="A7711" s="182"/>
      <c r="Q7711" s="183"/>
      <c r="R7711" s="183"/>
      <c r="S7711" s="183"/>
    </row>
    <row r="7712" spans="1:19">
      <c r="A7712" s="182"/>
      <c r="Q7712" s="183"/>
      <c r="R7712" s="183"/>
      <c r="S7712" s="183"/>
    </row>
    <row r="7713" spans="1:19">
      <c r="A7713" s="182"/>
      <c r="Q7713" s="183"/>
      <c r="R7713" s="183"/>
      <c r="S7713" s="183"/>
    </row>
    <row r="7714" spans="1:19">
      <c r="A7714" s="182"/>
      <c r="Q7714" s="183"/>
      <c r="R7714" s="183"/>
      <c r="S7714" s="183"/>
    </row>
    <row r="7715" spans="1:19">
      <c r="A7715" s="182"/>
      <c r="Q7715" s="183"/>
      <c r="R7715" s="183"/>
      <c r="S7715" s="183"/>
    </row>
    <row r="7716" spans="1:19">
      <c r="A7716" s="182"/>
      <c r="Q7716" s="183"/>
      <c r="R7716" s="183"/>
      <c r="S7716" s="183"/>
    </row>
    <row r="7717" spans="1:19">
      <c r="A7717" s="182"/>
      <c r="Q7717" s="183"/>
      <c r="R7717" s="183"/>
      <c r="S7717" s="183"/>
    </row>
    <row r="7718" spans="1:19">
      <c r="A7718" s="182"/>
      <c r="Q7718" s="183"/>
      <c r="R7718" s="183"/>
      <c r="S7718" s="183"/>
    </row>
    <row r="7719" spans="1:19">
      <c r="A7719" s="182"/>
      <c r="Q7719" s="183"/>
      <c r="R7719" s="183"/>
      <c r="S7719" s="183"/>
    </row>
    <row r="7720" spans="1:19">
      <c r="A7720" s="182"/>
      <c r="Q7720" s="183"/>
      <c r="R7720" s="183"/>
      <c r="S7720" s="183"/>
    </row>
    <row r="7721" spans="1:19">
      <c r="A7721" s="182"/>
      <c r="Q7721" s="183"/>
      <c r="R7721" s="183"/>
      <c r="S7721" s="183"/>
    </row>
    <row r="7722" spans="1:19">
      <c r="A7722" s="182"/>
      <c r="Q7722" s="183"/>
      <c r="R7722" s="183"/>
      <c r="S7722" s="183"/>
    </row>
    <row r="7723" spans="1:19">
      <c r="A7723" s="182"/>
      <c r="Q7723" s="183"/>
    </row>
    <row r="7724" spans="1:19">
      <c r="A7724" s="182"/>
      <c r="R7724" s="183"/>
      <c r="S7724" s="183"/>
    </row>
    <row r="7725" spans="1:19">
      <c r="A7725" s="182"/>
      <c r="Q7725" s="183"/>
    </row>
    <row r="7726" spans="1:19">
      <c r="A7726" s="182"/>
    </row>
    <row r="7727" spans="1:19">
      <c r="A7727" s="182"/>
    </row>
    <row r="7728" spans="1:19">
      <c r="A7728" s="182"/>
      <c r="R7728" s="183"/>
      <c r="S7728" s="183"/>
    </row>
    <row r="7729" spans="1:19">
      <c r="A7729" s="182"/>
      <c r="Q7729" s="183"/>
      <c r="R7729" s="183"/>
      <c r="S7729" s="183"/>
    </row>
    <row r="7730" spans="1:19">
      <c r="A7730" s="182"/>
      <c r="Q7730" s="183"/>
      <c r="R7730" s="183"/>
      <c r="S7730" s="183"/>
    </row>
    <row r="7731" spans="1:19">
      <c r="A7731" s="182"/>
      <c r="Q7731" s="183"/>
      <c r="R7731" s="183"/>
      <c r="S7731" s="183"/>
    </row>
    <row r="7732" spans="1:19">
      <c r="A7732" s="182"/>
      <c r="Q7732" s="183"/>
      <c r="R7732" s="183"/>
      <c r="S7732" s="183"/>
    </row>
    <row r="7733" spans="1:19">
      <c r="A7733" s="182"/>
      <c r="Q7733" s="183"/>
      <c r="R7733" s="183"/>
      <c r="S7733" s="183"/>
    </row>
    <row r="7734" spans="1:19">
      <c r="A7734" s="182"/>
      <c r="Q7734" s="183"/>
      <c r="R7734" s="183"/>
      <c r="S7734" s="183"/>
    </row>
    <row r="7735" spans="1:19">
      <c r="A7735" s="182"/>
      <c r="Q7735" s="183"/>
      <c r="R7735" s="183"/>
      <c r="S7735" s="183"/>
    </row>
    <row r="7736" spans="1:19">
      <c r="A7736" s="182"/>
      <c r="Q7736" s="183"/>
      <c r="R7736" s="183"/>
      <c r="S7736" s="183"/>
    </row>
    <row r="7737" spans="1:19">
      <c r="A7737" s="182"/>
      <c r="Q7737" s="183"/>
      <c r="R7737" s="183"/>
      <c r="S7737" s="183"/>
    </row>
    <row r="7738" spans="1:19">
      <c r="A7738" s="182"/>
      <c r="Q7738" s="183"/>
      <c r="R7738" s="183"/>
      <c r="S7738" s="183"/>
    </row>
    <row r="7739" spans="1:19">
      <c r="A7739" s="182"/>
      <c r="Q7739" s="183"/>
      <c r="R7739" s="183"/>
      <c r="S7739" s="183"/>
    </row>
    <row r="7740" spans="1:19">
      <c r="A7740" s="182"/>
      <c r="Q7740" s="183"/>
      <c r="R7740" s="183"/>
      <c r="S7740" s="183"/>
    </row>
    <row r="7741" spans="1:19">
      <c r="A7741" s="182"/>
      <c r="Q7741" s="183"/>
      <c r="R7741" s="183"/>
      <c r="S7741" s="183"/>
    </row>
    <row r="7742" spans="1:19">
      <c r="A7742" s="182"/>
      <c r="Q7742" s="183"/>
      <c r="R7742" s="183"/>
      <c r="S7742" s="183"/>
    </row>
    <row r="7743" spans="1:19">
      <c r="A7743" s="182"/>
      <c r="Q7743" s="183"/>
      <c r="R7743" s="183"/>
      <c r="S7743" s="183"/>
    </row>
    <row r="7744" spans="1:19">
      <c r="A7744" s="182"/>
      <c r="Q7744" s="183"/>
      <c r="R7744" s="183"/>
      <c r="S7744" s="183"/>
    </row>
    <row r="7745" spans="1:38">
      <c r="A7745" s="182"/>
      <c r="Q7745" s="183"/>
      <c r="R7745" s="183"/>
      <c r="S7745" s="183"/>
    </row>
    <row r="7746" spans="1:38">
      <c r="A7746" s="182"/>
      <c r="Q7746" s="183"/>
      <c r="R7746" s="183"/>
      <c r="S7746" s="183"/>
    </row>
    <row r="7747" spans="1:38">
      <c r="A7747" s="182"/>
      <c r="Q7747" s="183"/>
      <c r="R7747" s="183"/>
      <c r="S7747" s="183"/>
    </row>
    <row r="7748" spans="1:38">
      <c r="A7748" s="182"/>
      <c r="Q7748" s="183"/>
      <c r="R7748" s="183"/>
      <c r="S7748" s="183"/>
    </row>
    <row r="7749" spans="1:38">
      <c r="A7749" s="182"/>
      <c r="Q7749" s="183"/>
      <c r="R7749" s="183"/>
      <c r="S7749" s="183"/>
    </row>
    <row r="7750" spans="1:38">
      <c r="A7750" s="182"/>
      <c r="Q7750" s="183"/>
      <c r="R7750" s="183"/>
      <c r="S7750" s="183"/>
    </row>
    <row r="7751" spans="1:38">
      <c r="A7751" s="182"/>
      <c r="Q7751" s="183"/>
      <c r="R7751" s="183"/>
      <c r="S7751" s="183"/>
    </row>
    <row r="7752" spans="1:38">
      <c r="A7752" s="182"/>
      <c r="Q7752" s="183"/>
      <c r="R7752" s="183"/>
      <c r="S7752" s="183"/>
    </row>
    <row r="7753" spans="1:38">
      <c r="A7753" s="182"/>
      <c r="Q7753" s="183"/>
      <c r="R7753" s="183"/>
      <c r="S7753" s="183"/>
      <c r="AK7753" s="183"/>
      <c r="AL7753" s="183"/>
    </row>
    <row r="7754" spans="1:38">
      <c r="A7754" s="182"/>
      <c r="Q7754" s="183"/>
      <c r="R7754" s="183"/>
      <c r="S7754" s="183"/>
      <c r="AJ7754" s="183"/>
      <c r="AK7754" s="183"/>
      <c r="AL7754" s="183"/>
    </row>
    <row r="7755" spans="1:38">
      <c r="A7755" s="182"/>
      <c r="Q7755" s="183"/>
      <c r="R7755" s="183"/>
      <c r="S7755" s="183"/>
      <c r="AJ7755" s="183"/>
      <c r="AK7755" s="183"/>
      <c r="AL7755" s="183"/>
    </row>
    <row r="7756" spans="1:38">
      <c r="A7756" s="182"/>
      <c r="Q7756" s="183"/>
      <c r="R7756" s="183"/>
      <c r="S7756" s="183"/>
      <c r="AJ7756" s="183"/>
      <c r="AK7756" s="183"/>
      <c r="AL7756" s="183"/>
    </row>
    <row r="7757" spans="1:38">
      <c r="A7757" s="182"/>
      <c r="Q7757" s="183"/>
      <c r="R7757" s="183"/>
      <c r="S7757" s="183"/>
      <c r="AJ7757" s="183"/>
    </row>
    <row r="7758" spans="1:38">
      <c r="A7758" s="182"/>
      <c r="Q7758" s="183"/>
      <c r="R7758" s="183"/>
      <c r="S7758" s="183"/>
    </row>
    <row r="7759" spans="1:38">
      <c r="A7759" s="182"/>
      <c r="Q7759" s="183"/>
      <c r="R7759" s="183"/>
      <c r="S7759" s="183"/>
    </row>
    <row r="7760" spans="1:38">
      <c r="A7760" s="182"/>
      <c r="Q7760" s="183"/>
      <c r="R7760" s="183"/>
      <c r="S7760" s="183"/>
    </row>
    <row r="7761" spans="1:19">
      <c r="A7761" s="182"/>
      <c r="Q7761" s="183"/>
      <c r="R7761" s="183"/>
      <c r="S7761" s="183"/>
    </row>
    <row r="7762" spans="1:19">
      <c r="A7762" s="182"/>
      <c r="Q7762" s="183"/>
      <c r="R7762" s="183"/>
      <c r="S7762" s="183"/>
    </row>
    <row r="7763" spans="1:19">
      <c r="A7763" s="182"/>
      <c r="Q7763" s="183"/>
      <c r="R7763" s="183"/>
      <c r="S7763" s="183"/>
    </row>
    <row r="7764" spans="1:19">
      <c r="A7764" s="182"/>
      <c r="Q7764" s="183"/>
      <c r="R7764" s="183"/>
      <c r="S7764" s="183"/>
    </row>
    <row r="7765" spans="1:19">
      <c r="A7765" s="182"/>
      <c r="Q7765" s="183"/>
      <c r="R7765" s="183"/>
      <c r="S7765" s="183"/>
    </row>
    <row r="7766" spans="1:19">
      <c r="A7766" s="182"/>
      <c r="Q7766" s="183"/>
      <c r="R7766" s="183"/>
      <c r="S7766" s="183"/>
    </row>
    <row r="7767" spans="1:19">
      <c r="A7767" s="182"/>
      <c r="Q7767" s="183"/>
      <c r="R7767" s="183"/>
      <c r="S7767" s="183"/>
    </row>
    <row r="7768" spans="1:19">
      <c r="A7768" s="182"/>
      <c r="Q7768" s="183"/>
      <c r="R7768" s="183"/>
      <c r="S7768" s="183"/>
    </row>
    <row r="7769" spans="1:19">
      <c r="A7769" s="182"/>
      <c r="Q7769" s="183"/>
      <c r="R7769" s="183"/>
      <c r="S7769" s="183"/>
    </row>
    <row r="7770" spans="1:19">
      <c r="A7770" s="182"/>
      <c r="Q7770" s="183"/>
      <c r="R7770" s="183"/>
      <c r="S7770" s="183"/>
    </row>
    <row r="7771" spans="1:19">
      <c r="A7771" s="182"/>
      <c r="Q7771" s="183"/>
      <c r="R7771" s="183"/>
      <c r="S7771" s="183"/>
    </row>
    <row r="7772" spans="1:19">
      <c r="A7772" s="182"/>
      <c r="Q7772" s="183"/>
      <c r="R7772" s="183"/>
      <c r="S7772" s="183"/>
    </row>
    <row r="7773" spans="1:19">
      <c r="A7773" s="182"/>
      <c r="Q7773" s="183"/>
      <c r="R7773" s="183"/>
      <c r="S7773" s="183"/>
    </row>
    <row r="7774" spans="1:19">
      <c r="A7774" s="182"/>
      <c r="Q7774" s="183"/>
      <c r="R7774" s="183"/>
      <c r="S7774" s="183"/>
    </row>
    <row r="7775" spans="1:19">
      <c r="A7775" s="182"/>
      <c r="Q7775" s="183"/>
      <c r="R7775" s="183"/>
      <c r="S7775" s="183"/>
    </row>
    <row r="7776" spans="1:19">
      <c r="A7776" s="182"/>
      <c r="Q7776" s="183"/>
      <c r="R7776" s="183"/>
      <c r="S7776" s="183"/>
    </row>
    <row r="7777" spans="1:38">
      <c r="A7777" s="182"/>
      <c r="Q7777" s="183"/>
      <c r="R7777" s="183"/>
      <c r="S7777" s="183"/>
    </row>
    <row r="7778" spans="1:38">
      <c r="A7778" s="182"/>
      <c r="Q7778" s="183"/>
      <c r="R7778" s="183"/>
      <c r="S7778" s="183"/>
    </row>
    <row r="7779" spans="1:38">
      <c r="A7779" s="182"/>
      <c r="Q7779" s="183"/>
      <c r="R7779" s="183"/>
      <c r="S7779" s="183"/>
    </row>
    <row r="7780" spans="1:38">
      <c r="A7780" s="182"/>
      <c r="Q7780" s="183"/>
      <c r="R7780" s="183"/>
      <c r="S7780" s="183"/>
    </row>
    <row r="7781" spans="1:38">
      <c r="A7781" s="182"/>
      <c r="Q7781" s="183"/>
      <c r="R7781" s="183"/>
      <c r="S7781" s="183"/>
    </row>
    <row r="7782" spans="1:38">
      <c r="A7782" s="182"/>
      <c r="Q7782" s="183"/>
      <c r="R7782" s="183"/>
      <c r="S7782" s="183"/>
    </row>
    <row r="7783" spans="1:38">
      <c r="A7783" s="182"/>
      <c r="Q7783" s="183"/>
      <c r="R7783" s="183"/>
      <c r="S7783" s="183"/>
    </row>
    <row r="7784" spans="1:38">
      <c r="A7784" s="182"/>
      <c r="Q7784" s="183"/>
      <c r="R7784" s="183"/>
      <c r="S7784" s="183"/>
    </row>
    <row r="7785" spans="1:38">
      <c r="A7785" s="182"/>
      <c r="Q7785" s="183"/>
      <c r="R7785" s="183"/>
      <c r="S7785" s="183"/>
    </row>
    <row r="7786" spans="1:38">
      <c r="A7786" s="182"/>
      <c r="Q7786" s="183"/>
      <c r="R7786" s="183"/>
      <c r="S7786" s="183"/>
    </row>
    <row r="7787" spans="1:38">
      <c r="A7787" s="182"/>
      <c r="Q7787" s="183"/>
      <c r="R7787" s="183"/>
      <c r="S7787" s="183"/>
    </row>
    <row r="7788" spans="1:38">
      <c r="A7788" s="182"/>
      <c r="Q7788" s="183"/>
      <c r="R7788" s="183"/>
      <c r="S7788" s="183"/>
    </row>
    <row r="7789" spans="1:38">
      <c r="A7789" s="182"/>
      <c r="Q7789" s="183"/>
      <c r="R7789" s="183"/>
      <c r="S7789" s="183"/>
      <c r="AK7789" s="183"/>
      <c r="AL7789" s="183"/>
    </row>
    <row r="7790" spans="1:38">
      <c r="A7790" s="182"/>
      <c r="Q7790" s="183"/>
      <c r="R7790" s="183"/>
      <c r="S7790" s="183"/>
      <c r="AJ7790" s="183"/>
      <c r="AK7790" s="183"/>
      <c r="AL7790" s="183"/>
    </row>
    <row r="7791" spans="1:38">
      <c r="A7791" s="182"/>
      <c r="Q7791" s="183"/>
      <c r="R7791" s="183"/>
      <c r="S7791" s="183"/>
      <c r="AJ7791" s="183"/>
      <c r="AK7791" s="183"/>
      <c r="AL7791" s="183"/>
    </row>
    <row r="7792" spans="1:38">
      <c r="A7792" s="182"/>
      <c r="Q7792" s="183"/>
      <c r="R7792" s="183"/>
      <c r="S7792" s="183"/>
      <c r="AJ7792" s="183"/>
      <c r="AK7792" s="183"/>
      <c r="AL7792" s="183"/>
    </row>
    <row r="7793" spans="1:38">
      <c r="A7793" s="182"/>
      <c r="Q7793" s="183"/>
      <c r="R7793" s="183"/>
      <c r="S7793" s="183"/>
      <c r="AJ7793" s="183"/>
    </row>
    <row r="7794" spans="1:38">
      <c r="A7794" s="182"/>
      <c r="Q7794" s="183"/>
      <c r="R7794" s="183"/>
      <c r="S7794" s="183"/>
    </row>
    <row r="7795" spans="1:38">
      <c r="A7795" s="182"/>
      <c r="Q7795" s="183"/>
      <c r="R7795" s="183"/>
      <c r="S7795" s="183"/>
    </row>
    <row r="7796" spans="1:38">
      <c r="A7796" s="182"/>
      <c r="Q7796" s="183"/>
      <c r="R7796" s="183"/>
      <c r="S7796" s="183"/>
    </row>
    <row r="7797" spans="1:38">
      <c r="A7797" s="182"/>
      <c r="Q7797" s="183"/>
      <c r="R7797" s="183"/>
      <c r="S7797" s="183"/>
      <c r="AK7797" s="183"/>
      <c r="AL7797" s="183"/>
    </row>
    <row r="7798" spans="1:38">
      <c r="A7798" s="182"/>
      <c r="Q7798" s="183"/>
      <c r="R7798" s="183"/>
      <c r="S7798" s="183"/>
      <c r="AJ7798" s="183"/>
      <c r="AK7798" s="183"/>
      <c r="AL7798" s="183"/>
    </row>
    <row r="7799" spans="1:38">
      <c r="A7799" s="182"/>
      <c r="Q7799" s="183"/>
      <c r="R7799" s="183"/>
      <c r="S7799" s="183"/>
      <c r="AJ7799" s="183"/>
      <c r="AK7799" s="183"/>
      <c r="AL7799" s="183"/>
    </row>
    <row r="7800" spans="1:38">
      <c r="A7800" s="182"/>
      <c r="Q7800" s="183"/>
      <c r="R7800" s="183"/>
      <c r="S7800" s="183"/>
      <c r="AJ7800" s="183"/>
      <c r="AK7800" s="183"/>
      <c r="AL7800" s="183"/>
    </row>
    <row r="7801" spans="1:38">
      <c r="A7801" s="182"/>
      <c r="Q7801" s="183"/>
      <c r="R7801" s="183"/>
      <c r="S7801" s="183"/>
      <c r="AJ7801" s="183"/>
    </row>
    <row r="7802" spans="1:38">
      <c r="A7802" s="182"/>
      <c r="Q7802" s="183"/>
      <c r="R7802" s="183"/>
      <c r="S7802" s="183"/>
    </row>
    <row r="7803" spans="1:38">
      <c r="A7803" s="182"/>
      <c r="Q7803" s="183"/>
      <c r="R7803" s="183"/>
      <c r="S7803" s="183"/>
    </row>
    <row r="7804" spans="1:38">
      <c r="A7804" s="182"/>
      <c r="Q7804" s="183"/>
      <c r="R7804" s="183"/>
      <c r="S7804" s="183"/>
    </row>
    <row r="7805" spans="1:38">
      <c r="A7805" s="182"/>
      <c r="Q7805" s="183"/>
      <c r="R7805" s="183"/>
      <c r="S7805" s="183"/>
    </row>
    <row r="7806" spans="1:38">
      <c r="A7806" s="182"/>
      <c r="Q7806" s="183"/>
      <c r="R7806" s="183"/>
      <c r="S7806" s="183"/>
    </row>
    <row r="7807" spans="1:38">
      <c r="A7807" s="182"/>
      <c r="Q7807" s="183"/>
      <c r="R7807" s="183"/>
      <c r="S7807" s="183"/>
    </row>
    <row r="7808" spans="1:38">
      <c r="A7808" s="182"/>
      <c r="Q7808" s="183"/>
      <c r="R7808" s="183"/>
      <c r="S7808" s="183"/>
    </row>
    <row r="7809" spans="1:38">
      <c r="A7809" s="182"/>
      <c r="Q7809" s="183"/>
      <c r="R7809" s="183"/>
      <c r="S7809" s="183"/>
      <c r="AK7809" s="183"/>
      <c r="AL7809" s="183"/>
    </row>
    <row r="7810" spans="1:38">
      <c r="A7810" s="182"/>
      <c r="Q7810" s="183"/>
      <c r="R7810" s="183"/>
      <c r="S7810" s="183"/>
      <c r="AJ7810" s="183"/>
      <c r="AK7810" s="183"/>
      <c r="AL7810" s="183"/>
    </row>
    <row r="7811" spans="1:38">
      <c r="A7811" s="182"/>
      <c r="Q7811" s="183"/>
      <c r="R7811" s="183"/>
      <c r="S7811" s="183"/>
      <c r="AJ7811" s="183"/>
      <c r="AK7811" s="183"/>
      <c r="AL7811" s="183"/>
    </row>
    <row r="7812" spans="1:38">
      <c r="A7812" s="182"/>
      <c r="Q7812" s="183"/>
      <c r="R7812" s="183"/>
      <c r="S7812" s="183"/>
      <c r="AJ7812" s="183"/>
      <c r="AK7812" s="183"/>
      <c r="AL7812" s="183"/>
    </row>
    <row r="7813" spans="1:38">
      <c r="A7813" s="182"/>
      <c r="Q7813" s="183"/>
      <c r="R7813" s="183"/>
      <c r="S7813" s="183"/>
      <c r="AJ7813" s="183"/>
    </row>
    <row r="7814" spans="1:38">
      <c r="A7814" s="182"/>
      <c r="Q7814" s="183"/>
      <c r="R7814" s="183"/>
      <c r="S7814" s="183"/>
    </row>
    <row r="7815" spans="1:38">
      <c r="A7815" s="182"/>
      <c r="Q7815" s="183"/>
      <c r="R7815" s="183"/>
      <c r="S7815" s="183"/>
    </row>
    <row r="7816" spans="1:38">
      <c r="A7816" s="182"/>
      <c r="Q7816" s="183"/>
      <c r="R7816" s="183"/>
      <c r="S7816" s="183"/>
    </row>
    <row r="7817" spans="1:38">
      <c r="A7817" s="182"/>
      <c r="Q7817" s="183"/>
      <c r="R7817" s="183"/>
      <c r="S7817" s="183"/>
    </row>
    <row r="7818" spans="1:38">
      <c r="A7818" s="182"/>
      <c r="Q7818" s="183"/>
      <c r="R7818" s="183"/>
      <c r="S7818" s="183"/>
    </row>
    <row r="7819" spans="1:38">
      <c r="A7819" s="182"/>
      <c r="Q7819" s="183"/>
      <c r="R7819" s="183"/>
      <c r="S7819" s="183"/>
    </row>
    <row r="7820" spans="1:38">
      <c r="A7820" s="182"/>
      <c r="Q7820" s="183"/>
      <c r="R7820" s="183"/>
      <c r="S7820" s="183"/>
    </row>
    <row r="7821" spans="1:38">
      <c r="A7821" s="182"/>
      <c r="Q7821" s="183"/>
      <c r="R7821" s="183"/>
      <c r="S7821" s="183"/>
    </row>
    <row r="7822" spans="1:38">
      <c r="A7822" s="182"/>
      <c r="Q7822" s="183"/>
      <c r="R7822" s="183"/>
      <c r="S7822" s="183"/>
    </row>
    <row r="7823" spans="1:38">
      <c r="A7823" s="182"/>
      <c r="Q7823" s="183"/>
      <c r="R7823" s="183"/>
      <c r="S7823" s="183"/>
    </row>
    <row r="7824" spans="1:38">
      <c r="A7824" s="182"/>
      <c r="Q7824" s="183"/>
      <c r="R7824" s="183"/>
      <c r="S7824" s="183"/>
    </row>
    <row r="7825" spans="1:19">
      <c r="A7825" s="182"/>
      <c r="Q7825" s="183"/>
      <c r="R7825" s="183"/>
      <c r="S7825" s="183"/>
    </row>
    <row r="7826" spans="1:19">
      <c r="A7826" s="182"/>
      <c r="Q7826" s="183"/>
      <c r="R7826" s="183"/>
      <c r="S7826" s="183"/>
    </row>
    <row r="7827" spans="1:19">
      <c r="A7827" s="182"/>
      <c r="Q7827" s="183"/>
      <c r="R7827" s="183"/>
      <c r="S7827" s="183"/>
    </row>
    <row r="7828" spans="1:19">
      <c r="A7828" s="182"/>
      <c r="Q7828" s="183"/>
      <c r="R7828" s="183"/>
      <c r="S7828" s="183"/>
    </row>
    <row r="7829" spans="1:19">
      <c r="A7829" s="182"/>
      <c r="Q7829" s="183"/>
      <c r="R7829" s="183"/>
      <c r="S7829" s="183"/>
    </row>
    <row r="7830" spans="1:19">
      <c r="A7830" s="182"/>
      <c r="Q7830" s="183"/>
      <c r="R7830" s="183"/>
      <c r="S7830" s="183"/>
    </row>
    <row r="7831" spans="1:19">
      <c r="A7831" s="182"/>
      <c r="Q7831" s="183"/>
      <c r="R7831" s="183"/>
      <c r="S7831" s="183"/>
    </row>
    <row r="7832" spans="1:19">
      <c r="A7832" s="182"/>
      <c r="Q7832" s="183"/>
      <c r="R7832" s="183"/>
      <c r="S7832" s="183"/>
    </row>
    <row r="7833" spans="1:19">
      <c r="A7833" s="182"/>
      <c r="Q7833" s="183"/>
      <c r="R7833" s="183"/>
      <c r="S7833" s="183"/>
    </row>
    <row r="7834" spans="1:19">
      <c r="A7834" s="182"/>
      <c r="Q7834" s="183"/>
    </row>
    <row r="7835" spans="1:19">
      <c r="A7835" s="182"/>
      <c r="R7835" s="183"/>
      <c r="S7835" s="183"/>
    </row>
    <row r="7836" spans="1:19">
      <c r="A7836" s="182"/>
      <c r="Q7836" s="183"/>
    </row>
    <row r="7837" spans="1:19">
      <c r="A7837" s="182"/>
      <c r="R7837" s="183"/>
      <c r="S7837" s="183"/>
    </row>
    <row r="7838" spans="1:19">
      <c r="A7838" s="182"/>
      <c r="Q7838" s="183"/>
      <c r="R7838" s="183"/>
      <c r="S7838" s="183"/>
    </row>
    <row r="7839" spans="1:19">
      <c r="A7839" s="182"/>
      <c r="Q7839" s="183"/>
      <c r="R7839" s="183"/>
      <c r="S7839" s="183"/>
    </row>
    <row r="7840" spans="1:19">
      <c r="A7840" s="182"/>
      <c r="Q7840" s="183"/>
      <c r="R7840" s="183"/>
      <c r="S7840" s="183"/>
    </row>
    <row r="7841" spans="1:38">
      <c r="A7841" s="182"/>
      <c r="Q7841" s="183"/>
      <c r="R7841" s="183"/>
      <c r="S7841" s="183"/>
    </row>
    <row r="7842" spans="1:38">
      <c r="A7842" s="182"/>
      <c r="Q7842" s="183"/>
      <c r="R7842" s="183"/>
      <c r="S7842" s="183"/>
    </row>
    <row r="7843" spans="1:38">
      <c r="A7843" s="182"/>
      <c r="Q7843" s="183"/>
      <c r="R7843" s="183"/>
      <c r="S7843" s="183"/>
    </row>
    <row r="7844" spans="1:38">
      <c r="A7844" s="182"/>
      <c r="Q7844" s="183"/>
      <c r="R7844" s="183"/>
      <c r="S7844" s="183"/>
    </row>
    <row r="7845" spans="1:38">
      <c r="A7845" s="182"/>
      <c r="Q7845" s="183"/>
      <c r="R7845" s="183"/>
      <c r="S7845" s="183"/>
      <c r="AK7845" s="183"/>
      <c r="AL7845" s="183"/>
    </row>
    <row r="7846" spans="1:38">
      <c r="A7846" s="182"/>
      <c r="Q7846" s="183"/>
      <c r="R7846" s="183"/>
      <c r="S7846" s="183"/>
      <c r="AJ7846" s="183"/>
      <c r="AK7846" s="183"/>
      <c r="AL7846" s="183"/>
    </row>
    <row r="7847" spans="1:38">
      <c r="A7847" s="182"/>
      <c r="Q7847" s="183"/>
      <c r="R7847" s="183"/>
      <c r="S7847" s="183"/>
      <c r="AJ7847" s="183"/>
      <c r="AK7847" s="183"/>
      <c r="AL7847" s="183"/>
    </row>
    <row r="7848" spans="1:38">
      <c r="A7848" s="182"/>
      <c r="Q7848" s="183"/>
      <c r="R7848" s="183"/>
      <c r="S7848" s="183"/>
      <c r="AJ7848" s="183"/>
      <c r="AK7848" s="183"/>
      <c r="AL7848" s="183"/>
    </row>
    <row r="7849" spans="1:38">
      <c r="A7849" s="182"/>
      <c r="Q7849" s="183"/>
      <c r="R7849" s="183"/>
      <c r="S7849" s="183"/>
      <c r="AJ7849" s="183"/>
    </row>
    <row r="7850" spans="1:38">
      <c r="A7850" s="182"/>
      <c r="Q7850" s="183"/>
      <c r="R7850" s="183"/>
      <c r="S7850" s="183"/>
    </row>
    <row r="7851" spans="1:38">
      <c r="A7851" s="182"/>
      <c r="Q7851" s="183"/>
      <c r="R7851" s="183"/>
      <c r="S7851" s="183"/>
    </row>
    <row r="7852" spans="1:38">
      <c r="A7852" s="182"/>
      <c r="Q7852" s="183"/>
      <c r="R7852" s="183"/>
      <c r="S7852" s="183"/>
    </row>
    <row r="7853" spans="1:38">
      <c r="A7853" s="182"/>
      <c r="Q7853" s="183"/>
      <c r="R7853" s="183"/>
      <c r="S7853" s="183"/>
      <c r="AK7853" s="183"/>
      <c r="AL7853" s="183"/>
    </row>
    <row r="7854" spans="1:38">
      <c r="A7854" s="182"/>
      <c r="Q7854" s="183"/>
      <c r="R7854" s="183"/>
      <c r="S7854" s="183"/>
      <c r="AJ7854" s="183"/>
      <c r="AK7854" s="183"/>
      <c r="AL7854" s="183"/>
    </row>
    <row r="7855" spans="1:38">
      <c r="A7855" s="182"/>
      <c r="Q7855" s="183"/>
      <c r="R7855" s="183"/>
      <c r="S7855" s="183"/>
      <c r="AJ7855" s="183"/>
      <c r="AK7855" s="183"/>
      <c r="AL7855" s="183"/>
    </row>
    <row r="7856" spans="1:38">
      <c r="A7856" s="182"/>
      <c r="Q7856" s="183"/>
      <c r="R7856" s="183"/>
      <c r="S7856" s="183"/>
      <c r="AJ7856" s="183"/>
      <c r="AK7856" s="183"/>
      <c r="AL7856" s="183"/>
    </row>
    <row r="7857" spans="1:38">
      <c r="A7857" s="182"/>
      <c r="Q7857" s="183"/>
      <c r="R7857" s="183"/>
      <c r="S7857" s="183"/>
      <c r="AJ7857" s="183"/>
      <c r="AK7857" s="183"/>
      <c r="AL7857" s="183"/>
    </row>
    <row r="7858" spans="1:38">
      <c r="A7858" s="182"/>
      <c r="Q7858" s="183"/>
      <c r="R7858" s="183"/>
      <c r="S7858" s="183"/>
      <c r="AJ7858" s="183"/>
      <c r="AK7858" s="183"/>
      <c r="AL7858" s="183"/>
    </row>
    <row r="7859" spans="1:38">
      <c r="A7859" s="182"/>
      <c r="Q7859" s="183"/>
      <c r="R7859" s="183"/>
      <c r="S7859" s="183"/>
      <c r="AJ7859" s="183"/>
      <c r="AK7859" s="183"/>
      <c r="AL7859" s="183"/>
    </row>
    <row r="7860" spans="1:38">
      <c r="A7860" s="182"/>
      <c r="Q7860" s="183"/>
      <c r="R7860" s="183"/>
      <c r="S7860" s="183"/>
      <c r="AJ7860" s="183"/>
      <c r="AK7860" s="183"/>
      <c r="AL7860" s="183"/>
    </row>
    <row r="7861" spans="1:38">
      <c r="A7861" s="182"/>
      <c r="Q7861" s="183"/>
      <c r="R7861" s="183"/>
      <c r="S7861" s="183"/>
      <c r="AJ7861" s="183"/>
    </row>
    <row r="7862" spans="1:38">
      <c r="A7862" s="182"/>
      <c r="Q7862" s="183"/>
      <c r="R7862" s="183"/>
      <c r="S7862" s="183"/>
    </row>
    <row r="7863" spans="1:38">
      <c r="A7863" s="182"/>
      <c r="Q7863" s="183"/>
      <c r="R7863" s="183"/>
      <c r="S7863" s="183"/>
    </row>
    <row r="7864" spans="1:38">
      <c r="A7864" s="182"/>
      <c r="Q7864" s="183"/>
      <c r="R7864" s="183"/>
      <c r="S7864" s="183"/>
    </row>
    <row r="7865" spans="1:38">
      <c r="A7865" s="182"/>
      <c r="Q7865" s="183"/>
      <c r="R7865" s="183"/>
      <c r="S7865" s="183"/>
      <c r="AK7865" s="183"/>
      <c r="AL7865" s="183"/>
    </row>
    <row r="7866" spans="1:38">
      <c r="A7866" s="182"/>
      <c r="Q7866" s="183"/>
      <c r="R7866" s="183"/>
      <c r="S7866" s="183"/>
      <c r="AJ7866" s="183"/>
      <c r="AK7866" s="183"/>
      <c r="AL7866" s="183"/>
    </row>
    <row r="7867" spans="1:38">
      <c r="A7867" s="182"/>
      <c r="Q7867" s="183"/>
      <c r="R7867" s="183"/>
      <c r="S7867" s="183"/>
      <c r="AJ7867" s="183"/>
      <c r="AK7867" s="183"/>
      <c r="AL7867" s="183"/>
    </row>
    <row r="7868" spans="1:38">
      <c r="A7868" s="182"/>
      <c r="Q7868" s="183"/>
      <c r="R7868" s="183"/>
      <c r="S7868" s="183"/>
      <c r="AJ7868" s="183"/>
      <c r="AK7868" s="183"/>
      <c r="AL7868" s="183"/>
    </row>
    <row r="7869" spans="1:38">
      <c r="A7869" s="182"/>
      <c r="Q7869" s="183"/>
      <c r="R7869" s="183"/>
      <c r="S7869" s="183"/>
      <c r="AJ7869" s="183"/>
    </row>
    <row r="7870" spans="1:38">
      <c r="A7870" s="182"/>
      <c r="Q7870" s="183"/>
      <c r="R7870" s="183"/>
      <c r="S7870" s="183"/>
    </row>
    <row r="7871" spans="1:38">
      <c r="A7871" s="182"/>
      <c r="Q7871" s="183"/>
      <c r="R7871" s="183"/>
      <c r="S7871" s="183"/>
    </row>
    <row r="7872" spans="1:38">
      <c r="A7872" s="182"/>
      <c r="Q7872" s="183"/>
      <c r="R7872" s="183"/>
      <c r="S7872" s="183"/>
    </row>
    <row r="7873" spans="1:19">
      <c r="A7873" s="182"/>
      <c r="Q7873" s="183"/>
      <c r="R7873" s="183"/>
      <c r="S7873" s="183"/>
    </row>
    <row r="7874" spans="1:19">
      <c r="A7874" s="182"/>
      <c r="Q7874" s="183"/>
      <c r="R7874" s="183"/>
      <c r="S7874" s="183"/>
    </row>
    <row r="7875" spans="1:19">
      <c r="A7875" s="182"/>
      <c r="Q7875" s="183"/>
    </row>
    <row r="7876" spans="1:19">
      <c r="A7876" s="182"/>
    </row>
    <row r="7877" spans="1:19">
      <c r="A7877" s="182"/>
    </row>
    <row r="7878" spans="1:19">
      <c r="A7878" s="182"/>
    </row>
    <row r="7879" spans="1:19">
      <c r="A7879" s="182"/>
    </row>
    <row r="7880" spans="1:19">
      <c r="A7880" s="182"/>
    </row>
    <row r="7881" spans="1:19">
      <c r="A7881" s="182"/>
    </row>
    <row r="7882" spans="1:19">
      <c r="A7882" s="182"/>
    </row>
    <row r="7883" spans="1:19">
      <c r="A7883" s="182"/>
    </row>
    <row r="7884" spans="1:19">
      <c r="A7884" s="182"/>
    </row>
    <row r="7885" spans="1:19">
      <c r="A7885" s="182"/>
    </row>
    <row r="7886" spans="1:19">
      <c r="A7886" s="182"/>
    </row>
    <row r="7887" spans="1:19">
      <c r="A7887" s="182"/>
    </row>
    <row r="7888" spans="1:19">
      <c r="A7888" s="182"/>
    </row>
    <row r="7889" spans="1:38">
      <c r="A7889" s="182"/>
    </row>
    <row r="7890" spans="1:38">
      <c r="A7890" s="182"/>
    </row>
    <row r="7891" spans="1:38">
      <c r="A7891" s="182"/>
    </row>
    <row r="7892" spans="1:38">
      <c r="A7892" s="182"/>
    </row>
    <row r="7893" spans="1:38">
      <c r="A7893" s="182"/>
      <c r="AK7893" s="183"/>
      <c r="AL7893" s="183"/>
    </row>
    <row r="7894" spans="1:38">
      <c r="A7894" s="182"/>
      <c r="AJ7894" s="183"/>
      <c r="AK7894" s="183"/>
      <c r="AL7894" s="183"/>
    </row>
    <row r="7895" spans="1:38">
      <c r="A7895" s="182"/>
      <c r="AJ7895" s="183"/>
      <c r="AK7895" s="183"/>
      <c r="AL7895" s="183"/>
    </row>
    <row r="7896" spans="1:38">
      <c r="A7896" s="182"/>
      <c r="AJ7896" s="183"/>
      <c r="AK7896" s="183"/>
      <c r="AL7896" s="183"/>
    </row>
    <row r="7897" spans="1:38">
      <c r="A7897" s="182"/>
      <c r="AJ7897" s="183"/>
      <c r="AK7897" s="183"/>
      <c r="AL7897" s="183"/>
    </row>
    <row r="7898" spans="1:38">
      <c r="A7898" s="182"/>
      <c r="AJ7898" s="183"/>
      <c r="AK7898" s="183"/>
      <c r="AL7898" s="183"/>
    </row>
    <row r="7899" spans="1:38">
      <c r="A7899" s="182"/>
      <c r="AJ7899" s="183"/>
      <c r="AK7899" s="183"/>
      <c r="AL7899" s="183"/>
    </row>
    <row r="7900" spans="1:38">
      <c r="A7900" s="182"/>
      <c r="AJ7900" s="183"/>
      <c r="AK7900" s="183"/>
      <c r="AL7900" s="183"/>
    </row>
    <row r="7901" spans="1:38">
      <c r="A7901" s="182"/>
      <c r="AJ7901" s="183"/>
      <c r="AK7901" s="183"/>
      <c r="AL7901" s="183"/>
    </row>
    <row r="7902" spans="1:38">
      <c r="A7902" s="182"/>
      <c r="AJ7902" s="183"/>
      <c r="AK7902" s="183"/>
      <c r="AL7902" s="183"/>
    </row>
    <row r="7903" spans="1:38">
      <c r="A7903" s="182"/>
      <c r="AJ7903" s="183"/>
      <c r="AK7903" s="183"/>
      <c r="AL7903" s="183"/>
    </row>
    <row r="7904" spans="1:38">
      <c r="A7904" s="182"/>
      <c r="AJ7904" s="183"/>
      <c r="AK7904" s="183"/>
      <c r="AL7904" s="183"/>
    </row>
    <row r="7905" spans="1:38">
      <c r="A7905" s="182"/>
      <c r="AJ7905" s="183"/>
    </row>
    <row r="7906" spans="1:38">
      <c r="A7906" s="182"/>
    </row>
    <row r="7907" spans="1:38">
      <c r="A7907" s="182"/>
    </row>
    <row r="7908" spans="1:38">
      <c r="A7908" s="182"/>
    </row>
    <row r="7909" spans="1:38">
      <c r="A7909" s="182"/>
      <c r="AK7909" s="183"/>
      <c r="AL7909" s="183"/>
    </row>
    <row r="7910" spans="1:38">
      <c r="A7910" s="182"/>
      <c r="AJ7910" s="183"/>
      <c r="AK7910" s="183"/>
      <c r="AL7910" s="183"/>
    </row>
    <row r="7911" spans="1:38">
      <c r="A7911" s="182"/>
      <c r="AJ7911" s="183"/>
      <c r="AK7911" s="183"/>
      <c r="AL7911" s="183"/>
    </row>
    <row r="7912" spans="1:38">
      <c r="A7912" s="182"/>
      <c r="AJ7912" s="183"/>
      <c r="AK7912" s="183"/>
      <c r="AL7912" s="183"/>
    </row>
    <row r="7913" spans="1:38">
      <c r="A7913" s="182"/>
      <c r="AJ7913" s="183"/>
    </row>
    <row r="7914" spans="1:38">
      <c r="A7914" s="182"/>
    </row>
    <row r="7915" spans="1:38">
      <c r="A7915" s="182"/>
    </row>
    <row r="7916" spans="1:38">
      <c r="A7916" s="182"/>
    </row>
    <row r="7917" spans="1:38">
      <c r="A7917" s="182"/>
      <c r="AK7917" s="183"/>
      <c r="AL7917" s="183"/>
    </row>
    <row r="7918" spans="1:38">
      <c r="A7918" s="182"/>
      <c r="AJ7918" s="183"/>
      <c r="AK7918" s="183"/>
      <c r="AL7918" s="183"/>
    </row>
    <row r="7919" spans="1:38">
      <c r="A7919" s="182"/>
      <c r="AJ7919" s="183"/>
      <c r="AK7919" s="183"/>
      <c r="AL7919" s="183"/>
    </row>
    <row r="7920" spans="1:38">
      <c r="A7920" s="182"/>
      <c r="R7920" s="183"/>
      <c r="S7920" s="183"/>
      <c r="AJ7920" s="183"/>
      <c r="AK7920" s="183"/>
      <c r="AL7920" s="183"/>
    </row>
    <row r="7921" spans="1:36">
      <c r="A7921" s="182"/>
      <c r="Q7921" s="183"/>
      <c r="AJ7921" s="183"/>
    </row>
    <row r="7922" spans="1:36">
      <c r="A7922" s="182"/>
    </row>
    <row r="7923" spans="1:36">
      <c r="A7923" s="182"/>
      <c r="R7923" s="183"/>
      <c r="S7923" s="183"/>
    </row>
    <row r="7924" spans="1:36">
      <c r="A7924" s="182"/>
      <c r="Q7924" s="183"/>
    </row>
    <row r="7925" spans="1:36">
      <c r="A7925" s="182"/>
    </row>
    <row r="7926" spans="1:36">
      <c r="A7926" s="182"/>
      <c r="R7926" s="183"/>
      <c r="S7926" s="183"/>
    </row>
    <row r="7927" spans="1:36">
      <c r="A7927" s="182"/>
      <c r="Q7927" s="183"/>
    </row>
    <row r="7928" spans="1:36">
      <c r="A7928" s="182"/>
    </row>
    <row r="7929" spans="1:36">
      <c r="A7929" s="182"/>
    </row>
    <row r="7930" spans="1:36">
      <c r="A7930" s="182"/>
      <c r="R7930" s="183"/>
      <c r="S7930" s="183"/>
    </row>
    <row r="7931" spans="1:36">
      <c r="A7931" s="182"/>
      <c r="Q7931" s="183"/>
      <c r="R7931" s="183"/>
      <c r="S7931" s="183"/>
    </row>
    <row r="7932" spans="1:36">
      <c r="A7932" s="182"/>
      <c r="Q7932" s="183"/>
      <c r="R7932" s="183"/>
      <c r="S7932" s="183"/>
    </row>
    <row r="7933" spans="1:36">
      <c r="A7933" s="182"/>
      <c r="Q7933" s="183"/>
    </row>
    <row r="7934" spans="1:36">
      <c r="A7934" s="182"/>
    </row>
    <row r="7935" spans="1:36">
      <c r="A7935" s="182"/>
    </row>
    <row r="7936" spans="1:36">
      <c r="A7936" s="182"/>
    </row>
    <row r="7937" spans="1:38">
      <c r="A7937" s="182"/>
      <c r="AK7937" s="183"/>
      <c r="AL7937" s="183"/>
    </row>
    <row r="7938" spans="1:38">
      <c r="A7938" s="182"/>
      <c r="AJ7938" s="183"/>
      <c r="AK7938" s="183"/>
      <c r="AL7938" s="183"/>
    </row>
    <row r="7939" spans="1:38">
      <c r="A7939" s="182"/>
      <c r="AJ7939" s="183"/>
      <c r="AK7939" s="183"/>
      <c r="AL7939" s="183"/>
    </row>
    <row r="7940" spans="1:38">
      <c r="A7940" s="182"/>
      <c r="AJ7940" s="183"/>
      <c r="AK7940" s="183"/>
      <c r="AL7940" s="183"/>
    </row>
    <row r="7941" spans="1:38">
      <c r="A7941" s="182"/>
      <c r="R7941" s="183"/>
      <c r="S7941" s="183"/>
      <c r="AJ7941" s="183"/>
    </row>
    <row r="7942" spans="1:38">
      <c r="A7942" s="182"/>
      <c r="Q7942" s="183"/>
    </row>
    <row r="7943" spans="1:38">
      <c r="A7943" s="182"/>
    </row>
    <row r="7944" spans="1:38">
      <c r="A7944" s="182"/>
    </row>
    <row r="7945" spans="1:38">
      <c r="A7945" s="182"/>
    </row>
    <row r="7946" spans="1:38">
      <c r="A7946" s="182"/>
    </row>
    <row r="7947" spans="1:38">
      <c r="A7947" s="182"/>
    </row>
    <row r="7948" spans="1:38">
      <c r="A7948" s="182"/>
    </row>
    <row r="7949" spans="1:38">
      <c r="A7949" s="182"/>
    </row>
    <row r="7950" spans="1:38">
      <c r="A7950" s="182"/>
    </row>
    <row r="7951" spans="1:38">
      <c r="A7951" s="182"/>
    </row>
    <row r="7952" spans="1:38">
      <c r="A7952" s="182"/>
    </row>
    <row r="7953" spans="1:1">
      <c r="A7953" s="182"/>
    </row>
    <row r="7954" spans="1:1">
      <c r="A7954" s="182"/>
    </row>
    <row r="7955" spans="1:1">
      <c r="A7955" s="182"/>
    </row>
    <row r="7956" spans="1:1">
      <c r="A7956" s="182"/>
    </row>
    <row r="7957" spans="1:1">
      <c r="A7957" s="182"/>
    </row>
    <row r="7958" spans="1:1">
      <c r="A7958" s="182"/>
    </row>
    <row r="7959" spans="1:1">
      <c r="A7959" s="182"/>
    </row>
    <row r="7960" spans="1:1">
      <c r="A7960" s="182"/>
    </row>
    <row r="7961" spans="1:1">
      <c r="A7961" s="182"/>
    </row>
    <row r="7962" spans="1:1">
      <c r="A7962" s="182"/>
    </row>
    <row r="7963" spans="1:1">
      <c r="A7963" s="182"/>
    </row>
    <row r="7964" spans="1:1">
      <c r="A7964" s="182"/>
    </row>
    <row r="7965" spans="1:1">
      <c r="A7965" s="182"/>
    </row>
    <row r="7966" spans="1:1">
      <c r="A7966" s="182"/>
    </row>
    <row r="7967" spans="1:1">
      <c r="A7967" s="182"/>
    </row>
    <row r="7968" spans="1:1">
      <c r="A7968" s="182"/>
    </row>
    <row r="7969" spans="1:38">
      <c r="A7969" s="182"/>
    </row>
    <row r="7970" spans="1:38">
      <c r="A7970" s="182"/>
    </row>
    <row r="7971" spans="1:38">
      <c r="A7971" s="182"/>
    </row>
    <row r="7972" spans="1:38">
      <c r="A7972" s="182"/>
    </row>
    <row r="7973" spans="1:38">
      <c r="A7973" s="182"/>
    </row>
    <row r="7974" spans="1:38">
      <c r="A7974" s="182"/>
    </row>
    <row r="7975" spans="1:38">
      <c r="A7975" s="182"/>
    </row>
    <row r="7976" spans="1:38">
      <c r="A7976" s="182"/>
    </row>
    <row r="7977" spans="1:38">
      <c r="A7977" s="182"/>
      <c r="AK7977" s="183"/>
      <c r="AL7977" s="183"/>
    </row>
    <row r="7978" spans="1:38">
      <c r="A7978" s="182"/>
      <c r="AJ7978" s="183"/>
      <c r="AK7978" s="183"/>
      <c r="AL7978" s="183"/>
    </row>
    <row r="7979" spans="1:38">
      <c r="A7979" s="182"/>
      <c r="AJ7979" s="183"/>
      <c r="AK7979" s="183"/>
      <c r="AL7979" s="183"/>
    </row>
    <row r="7980" spans="1:38">
      <c r="A7980" s="182"/>
      <c r="AJ7980" s="183"/>
      <c r="AK7980" s="183"/>
      <c r="AL7980" s="183"/>
    </row>
    <row r="7981" spans="1:38">
      <c r="A7981" s="182"/>
      <c r="AJ7981" s="183"/>
    </row>
    <row r="7982" spans="1:38">
      <c r="A7982" s="182"/>
    </row>
    <row r="7983" spans="1:38">
      <c r="A7983" s="182"/>
    </row>
    <row r="7984" spans="1:38">
      <c r="A7984" s="182"/>
    </row>
    <row r="7985" spans="1:38">
      <c r="A7985" s="182"/>
    </row>
    <row r="7986" spans="1:38">
      <c r="A7986" s="182"/>
    </row>
    <row r="7987" spans="1:38">
      <c r="A7987" s="182"/>
    </row>
    <row r="7988" spans="1:38">
      <c r="A7988" s="182"/>
    </row>
    <row r="7989" spans="1:38">
      <c r="A7989" s="182"/>
      <c r="AK7989" s="183"/>
      <c r="AL7989" s="183"/>
    </row>
    <row r="7990" spans="1:38">
      <c r="A7990" s="182"/>
      <c r="AJ7990" s="183"/>
      <c r="AK7990" s="183"/>
      <c r="AL7990" s="183"/>
    </row>
    <row r="7991" spans="1:38">
      <c r="A7991" s="182"/>
      <c r="AJ7991" s="183"/>
      <c r="AK7991" s="183"/>
      <c r="AL7991" s="183"/>
    </row>
    <row r="7992" spans="1:38">
      <c r="A7992" s="182"/>
      <c r="AJ7992" s="183"/>
      <c r="AK7992" s="183"/>
      <c r="AL7992" s="183"/>
    </row>
    <row r="7993" spans="1:38">
      <c r="A7993" s="182"/>
      <c r="AJ7993" s="183"/>
    </row>
    <row r="7994" spans="1:38">
      <c r="A7994" s="182"/>
    </row>
    <row r="7995" spans="1:38">
      <c r="A7995" s="182"/>
    </row>
    <row r="7996" spans="1:38">
      <c r="A7996" s="182"/>
    </row>
    <row r="7997" spans="1:38">
      <c r="A7997" s="182"/>
      <c r="AK7997" s="183"/>
      <c r="AL7997" s="183"/>
    </row>
    <row r="7998" spans="1:38">
      <c r="A7998" s="182"/>
      <c r="AJ7998" s="183"/>
      <c r="AK7998" s="183"/>
      <c r="AL7998" s="183"/>
    </row>
    <row r="7999" spans="1:38">
      <c r="A7999" s="182"/>
      <c r="AJ7999" s="183"/>
      <c r="AK7999" s="183"/>
      <c r="AL7999" s="183"/>
    </row>
    <row r="8000" spans="1:38">
      <c r="A8000" s="182"/>
      <c r="AJ8000" s="183"/>
      <c r="AK8000" s="183"/>
      <c r="AL8000" s="183"/>
    </row>
    <row r="8001" spans="1:38">
      <c r="A8001" s="182"/>
      <c r="AJ8001" s="183"/>
    </row>
    <row r="8002" spans="1:38">
      <c r="A8002" s="182"/>
    </row>
    <row r="8003" spans="1:38">
      <c r="A8003" s="182"/>
    </row>
    <row r="8004" spans="1:38">
      <c r="A8004" s="182"/>
    </row>
    <row r="8005" spans="1:38">
      <c r="A8005" s="182"/>
      <c r="AK8005" s="183"/>
      <c r="AL8005" s="183"/>
    </row>
    <row r="8006" spans="1:38">
      <c r="A8006" s="182"/>
      <c r="AJ8006" s="183"/>
      <c r="AK8006" s="183"/>
      <c r="AL8006" s="183"/>
    </row>
    <row r="8007" spans="1:38">
      <c r="A8007" s="182"/>
      <c r="AJ8007" s="183"/>
      <c r="AK8007" s="183"/>
      <c r="AL8007" s="183"/>
    </row>
    <row r="8008" spans="1:38">
      <c r="A8008" s="182"/>
      <c r="AJ8008" s="183"/>
      <c r="AK8008" s="183"/>
      <c r="AL8008" s="183"/>
    </row>
    <row r="8009" spans="1:38">
      <c r="A8009" s="182"/>
      <c r="AJ8009" s="183"/>
    </row>
    <row r="8010" spans="1:38">
      <c r="A8010" s="182"/>
    </row>
    <row r="8011" spans="1:38">
      <c r="A8011" s="182"/>
    </row>
    <row r="8012" spans="1:38">
      <c r="A8012" s="182"/>
    </row>
    <row r="8013" spans="1:38">
      <c r="A8013" s="182"/>
    </row>
    <row r="8014" spans="1:38">
      <c r="A8014" s="182"/>
    </row>
    <row r="8015" spans="1:38">
      <c r="A8015" s="182"/>
    </row>
    <row r="8016" spans="1:38">
      <c r="A8016" s="182"/>
    </row>
    <row r="8017" spans="1:19">
      <c r="A8017" s="182"/>
    </row>
    <row r="8018" spans="1:19">
      <c r="A8018" s="182"/>
    </row>
    <row r="8019" spans="1:19">
      <c r="A8019" s="182"/>
    </row>
    <row r="8020" spans="1:19">
      <c r="A8020" s="182"/>
    </row>
    <row r="8021" spans="1:19">
      <c r="A8021" s="182"/>
    </row>
    <row r="8022" spans="1:19">
      <c r="A8022" s="182"/>
    </row>
    <row r="8023" spans="1:19">
      <c r="A8023" s="182"/>
    </row>
    <row r="8024" spans="1:19">
      <c r="A8024" s="182"/>
      <c r="R8024" s="183"/>
      <c r="S8024" s="183"/>
    </row>
    <row r="8025" spans="1:19">
      <c r="A8025" s="182"/>
      <c r="Q8025" s="183"/>
    </row>
    <row r="8026" spans="1:19">
      <c r="A8026" s="182"/>
    </row>
    <row r="8027" spans="1:19">
      <c r="A8027" s="182"/>
    </row>
    <row r="8028" spans="1:19">
      <c r="A8028" s="182"/>
    </row>
    <row r="8029" spans="1:19">
      <c r="A8029" s="182"/>
    </row>
    <row r="8030" spans="1:19">
      <c r="A8030" s="182"/>
    </row>
    <row r="8031" spans="1:19">
      <c r="A8031" s="182"/>
    </row>
    <row r="8032" spans="1:19">
      <c r="A8032" s="182"/>
    </row>
    <row r="8033" spans="1:38">
      <c r="A8033" s="182"/>
    </row>
    <row r="8034" spans="1:38">
      <c r="A8034" s="182"/>
    </row>
    <row r="8035" spans="1:38">
      <c r="A8035" s="182"/>
    </row>
    <row r="8036" spans="1:38">
      <c r="A8036" s="182"/>
    </row>
    <row r="8037" spans="1:38">
      <c r="A8037" s="182"/>
    </row>
    <row r="8038" spans="1:38">
      <c r="A8038" s="182"/>
    </row>
    <row r="8039" spans="1:38">
      <c r="A8039" s="182"/>
    </row>
    <row r="8040" spans="1:38">
      <c r="A8040" s="182"/>
    </row>
    <row r="8041" spans="1:38">
      <c r="A8041" s="182"/>
      <c r="AK8041" s="183"/>
      <c r="AL8041" s="183"/>
    </row>
    <row r="8042" spans="1:38">
      <c r="A8042" s="182"/>
      <c r="AJ8042" s="183"/>
      <c r="AK8042" s="183"/>
      <c r="AL8042" s="183"/>
    </row>
    <row r="8043" spans="1:38">
      <c r="A8043" s="182"/>
      <c r="AJ8043" s="183"/>
      <c r="AK8043" s="183"/>
      <c r="AL8043" s="183"/>
    </row>
    <row r="8044" spans="1:38">
      <c r="A8044" s="182"/>
      <c r="AJ8044" s="183"/>
      <c r="AK8044" s="183"/>
      <c r="AL8044" s="183"/>
    </row>
    <row r="8045" spans="1:38">
      <c r="A8045" s="182"/>
      <c r="AJ8045" s="183"/>
    </row>
    <row r="8046" spans="1:38">
      <c r="A8046" s="182"/>
    </row>
    <row r="8047" spans="1:38">
      <c r="A8047" s="182"/>
    </row>
    <row r="8048" spans="1:38">
      <c r="A8048" s="182"/>
    </row>
    <row r="8049" spans="1:1">
      <c r="A8049" s="182"/>
    </row>
    <row r="8050" spans="1:1">
      <c r="A8050" s="182"/>
    </row>
    <row r="8051" spans="1:1">
      <c r="A8051" s="182"/>
    </row>
    <row r="8052" spans="1:1">
      <c r="A8052" s="182"/>
    </row>
    <row r="8053" spans="1:1">
      <c r="A8053" s="182"/>
    </row>
    <row r="8054" spans="1:1">
      <c r="A8054" s="182"/>
    </row>
    <row r="8055" spans="1:1">
      <c r="A8055" s="182"/>
    </row>
    <row r="8056" spans="1:1">
      <c r="A8056" s="182"/>
    </row>
    <row r="8057" spans="1:1">
      <c r="A8057" s="182"/>
    </row>
    <row r="8058" spans="1:1">
      <c r="A8058" s="182"/>
    </row>
    <row r="8059" spans="1:1">
      <c r="A8059" s="182"/>
    </row>
    <row r="8060" spans="1:1">
      <c r="A8060" s="182"/>
    </row>
    <row r="8061" spans="1:1">
      <c r="A8061" s="182"/>
    </row>
    <row r="8062" spans="1:1">
      <c r="A8062" s="182"/>
    </row>
    <row r="8063" spans="1:1">
      <c r="A8063" s="182"/>
    </row>
    <row r="8064" spans="1:1">
      <c r="A8064" s="182"/>
    </row>
    <row r="8065" spans="1:38">
      <c r="A8065" s="182"/>
    </row>
    <row r="8066" spans="1:38">
      <c r="A8066" s="182"/>
    </row>
    <row r="8067" spans="1:38">
      <c r="A8067" s="182"/>
    </row>
    <row r="8068" spans="1:38">
      <c r="A8068" s="182"/>
    </row>
    <row r="8069" spans="1:38">
      <c r="A8069" s="182"/>
    </row>
    <row r="8070" spans="1:38">
      <c r="A8070" s="182"/>
    </row>
    <row r="8071" spans="1:38">
      <c r="A8071" s="182"/>
    </row>
    <row r="8072" spans="1:38">
      <c r="A8072" s="182"/>
    </row>
    <row r="8073" spans="1:38">
      <c r="A8073" s="182"/>
    </row>
    <row r="8074" spans="1:38">
      <c r="A8074" s="182"/>
    </row>
    <row r="8075" spans="1:38">
      <c r="A8075" s="182"/>
    </row>
    <row r="8076" spans="1:38">
      <c r="A8076" s="182"/>
    </row>
    <row r="8077" spans="1:38">
      <c r="A8077" s="182"/>
      <c r="AK8077" s="183"/>
      <c r="AL8077" s="183"/>
    </row>
    <row r="8078" spans="1:38">
      <c r="A8078" s="182"/>
      <c r="AJ8078" s="183"/>
      <c r="AK8078" s="183"/>
      <c r="AL8078" s="183"/>
    </row>
    <row r="8079" spans="1:38">
      <c r="A8079" s="182"/>
      <c r="AJ8079" s="183"/>
      <c r="AK8079" s="183"/>
      <c r="AL8079" s="183"/>
    </row>
    <row r="8080" spans="1:38">
      <c r="A8080" s="182"/>
      <c r="AJ8080" s="183"/>
      <c r="AK8080" s="183"/>
      <c r="AL8080" s="183"/>
    </row>
    <row r="8081" spans="1:38">
      <c r="A8081" s="182"/>
      <c r="AJ8081" s="183"/>
    </row>
    <row r="8082" spans="1:38">
      <c r="A8082" s="182"/>
    </row>
    <row r="8083" spans="1:38">
      <c r="A8083" s="182"/>
    </row>
    <row r="8084" spans="1:38">
      <c r="A8084" s="182"/>
    </row>
    <row r="8085" spans="1:38">
      <c r="A8085" s="182"/>
    </row>
    <row r="8086" spans="1:38">
      <c r="A8086" s="182"/>
    </row>
    <row r="8087" spans="1:38">
      <c r="A8087" s="182"/>
    </row>
    <row r="8088" spans="1:38">
      <c r="A8088" s="182"/>
    </row>
    <row r="8089" spans="1:38">
      <c r="A8089" s="182"/>
      <c r="AK8089" s="183"/>
      <c r="AL8089" s="183"/>
    </row>
    <row r="8090" spans="1:38">
      <c r="A8090" s="182"/>
      <c r="AJ8090" s="183"/>
      <c r="AK8090" s="183"/>
      <c r="AL8090" s="183"/>
    </row>
    <row r="8091" spans="1:38">
      <c r="A8091" s="182"/>
      <c r="AJ8091" s="183"/>
      <c r="AK8091" s="183"/>
      <c r="AL8091" s="183"/>
    </row>
    <row r="8092" spans="1:38">
      <c r="A8092" s="182"/>
      <c r="AJ8092" s="183"/>
      <c r="AK8092" s="183"/>
      <c r="AL8092" s="183"/>
    </row>
    <row r="8093" spans="1:38">
      <c r="A8093" s="182"/>
      <c r="AJ8093" s="183"/>
      <c r="AK8093" s="183"/>
      <c r="AL8093" s="183"/>
    </row>
    <row r="8094" spans="1:38">
      <c r="A8094" s="182"/>
      <c r="AJ8094" s="183"/>
      <c r="AK8094" s="183"/>
      <c r="AL8094" s="183"/>
    </row>
    <row r="8095" spans="1:38">
      <c r="A8095" s="182"/>
      <c r="AJ8095" s="183"/>
      <c r="AK8095" s="183"/>
      <c r="AL8095" s="183"/>
    </row>
    <row r="8096" spans="1:38">
      <c r="A8096" s="182"/>
      <c r="AJ8096" s="183"/>
      <c r="AK8096" s="183"/>
      <c r="AL8096" s="183"/>
    </row>
    <row r="8097" spans="1:36">
      <c r="A8097" s="182"/>
      <c r="AJ8097" s="183"/>
    </row>
    <row r="8098" spans="1:36">
      <c r="A8098" s="182"/>
    </row>
    <row r="8099" spans="1:36">
      <c r="A8099" s="182"/>
    </row>
    <row r="8100" spans="1:36">
      <c r="A8100" s="182"/>
    </row>
    <row r="8101" spans="1:36">
      <c r="A8101" s="182"/>
    </row>
    <row r="8102" spans="1:36">
      <c r="A8102" s="182"/>
    </row>
    <row r="8103" spans="1:36">
      <c r="A8103" s="182"/>
    </row>
    <row r="8104" spans="1:36">
      <c r="A8104" s="182"/>
    </row>
    <row r="8105" spans="1:36">
      <c r="A8105" s="182"/>
    </row>
    <row r="8106" spans="1:36">
      <c r="A8106" s="182"/>
    </row>
    <row r="8107" spans="1:36">
      <c r="A8107" s="182"/>
    </row>
    <row r="8108" spans="1:36">
      <c r="A8108" s="182"/>
    </row>
    <row r="8109" spans="1:36">
      <c r="A8109" s="182"/>
    </row>
    <row r="8110" spans="1:36">
      <c r="A8110" s="182"/>
    </row>
    <row r="8111" spans="1:36">
      <c r="A8111" s="182"/>
    </row>
    <row r="8112" spans="1:36">
      <c r="A8112" s="182"/>
    </row>
    <row r="8113" spans="1:38">
      <c r="A8113" s="182"/>
    </row>
    <row r="8114" spans="1:38">
      <c r="A8114" s="182"/>
    </row>
    <row r="8115" spans="1:38">
      <c r="A8115" s="182"/>
    </row>
    <row r="8116" spans="1:38">
      <c r="A8116" s="182"/>
    </row>
    <row r="8117" spans="1:38">
      <c r="A8117" s="182"/>
    </row>
    <row r="8118" spans="1:38">
      <c r="A8118" s="182"/>
    </row>
    <row r="8119" spans="1:38">
      <c r="A8119" s="182"/>
    </row>
    <row r="8120" spans="1:38">
      <c r="A8120" s="182"/>
    </row>
    <row r="8121" spans="1:38">
      <c r="A8121" s="182"/>
      <c r="AK8121" s="183"/>
      <c r="AL8121" s="183"/>
    </row>
    <row r="8122" spans="1:38">
      <c r="A8122" s="182"/>
      <c r="AJ8122" s="183"/>
      <c r="AK8122" s="183"/>
      <c r="AL8122" s="183"/>
    </row>
    <row r="8123" spans="1:38">
      <c r="A8123" s="182"/>
      <c r="AJ8123" s="183"/>
      <c r="AK8123" s="183"/>
      <c r="AL8123" s="183"/>
    </row>
    <row r="8124" spans="1:38">
      <c r="A8124" s="182"/>
      <c r="AJ8124" s="183"/>
      <c r="AK8124" s="183"/>
      <c r="AL8124" s="183"/>
    </row>
    <row r="8125" spans="1:38">
      <c r="A8125" s="182"/>
      <c r="AJ8125" s="183"/>
    </row>
    <row r="8126" spans="1:38">
      <c r="A8126" s="182"/>
    </row>
    <row r="8127" spans="1:38">
      <c r="A8127" s="182"/>
    </row>
    <row r="8128" spans="1:38">
      <c r="A8128" s="182"/>
    </row>
    <row r="8129" spans="1:38">
      <c r="A8129" s="182"/>
      <c r="AK8129" s="183"/>
      <c r="AL8129" s="183"/>
    </row>
    <row r="8130" spans="1:38">
      <c r="A8130" s="182"/>
      <c r="AJ8130" s="183"/>
      <c r="AK8130" s="183"/>
      <c r="AL8130" s="183"/>
    </row>
    <row r="8131" spans="1:38">
      <c r="A8131" s="182"/>
      <c r="AJ8131" s="183"/>
      <c r="AK8131" s="183"/>
      <c r="AL8131" s="183"/>
    </row>
    <row r="8132" spans="1:38">
      <c r="A8132" s="182"/>
      <c r="AJ8132" s="183"/>
      <c r="AK8132" s="183"/>
      <c r="AL8132" s="183"/>
    </row>
    <row r="8133" spans="1:38">
      <c r="A8133" s="182"/>
      <c r="AJ8133" s="183"/>
      <c r="AK8133" s="183"/>
      <c r="AL8133" s="183"/>
    </row>
    <row r="8134" spans="1:38">
      <c r="A8134" s="182"/>
      <c r="AJ8134" s="183"/>
      <c r="AK8134" s="183"/>
      <c r="AL8134" s="183"/>
    </row>
    <row r="8135" spans="1:38">
      <c r="A8135" s="182"/>
      <c r="AJ8135" s="183"/>
      <c r="AK8135" s="183"/>
      <c r="AL8135" s="183"/>
    </row>
    <row r="8136" spans="1:38">
      <c r="A8136" s="182"/>
      <c r="AJ8136" s="183"/>
      <c r="AK8136" s="183"/>
      <c r="AL8136" s="183"/>
    </row>
    <row r="8137" spans="1:38">
      <c r="A8137" s="182"/>
      <c r="AJ8137" s="183"/>
    </row>
    <row r="8138" spans="1:38">
      <c r="A8138" s="182"/>
    </row>
    <row r="8139" spans="1:38">
      <c r="A8139" s="182"/>
    </row>
    <row r="8140" spans="1:38">
      <c r="A8140" s="182"/>
    </row>
    <row r="8141" spans="1:38">
      <c r="A8141" s="182"/>
    </row>
    <row r="8142" spans="1:38">
      <c r="A8142" s="182"/>
    </row>
    <row r="8143" spans="1:38">
      <c r="A8143" s="182"/>
    </row>
    <row r="8144" spans="1:38">
      <c r="A8144" s="182"/>
    </row>
    <row r="8145" spans="1:38">
      <c r="A8145" s="182"/>
    </row>
    <row r="8146" spans="1:38">
      <c r="A8146" s="182"/>
    </row>
    <row r="8147" spans="1:38">
      <c r="A8147" s="182"/>
    </row>
    <row r="8148" spans="1:38">
      <c r="A8148" s="182"/>
    </row>
    <row r="8149" spans="1:38">
      <c r="A8149" s="182"/>
    </row>
    <row r="8150" spans="1:38">
      <c r="A8150" s="182"/>
    </row>
    <row r="8151" spans="1:38">
      <c r="A8151" s="182"/>
    </row>
    <row r="8152" spans="1:38">
      <c r="A8152" s="182"/>
    </row>
    <row r="8153" spans="1:38">
      <c r="A8153" s="182"/>
      <c r="AK8153" s="183"/>
      <c r="AL8153" s="183"/>
    </row>
    <row r="8154" spans="1:38">
      <c r="A8154" s="182"/>
      <c r="AJ8154" s="183"/>
      <c r="AK8154" s="183"/>
      <c r="AL8154" s="183"/>
    </row>
    <row r="8155" spans="1:38">
      <c r="A8155" s="182"/>
      <c r="AJ8155" s="183"/>
      <c r="AK8155" s="183"/>
      <c r="AL8155" s="183"/>
    </row>
    <row r="8156" spans="1:38">
      <c r="A8156" s="182"/>
      <c r="AJ8156" s="183"/>
      <c r="AK8156" s="183"/>
      <c r="AL8156" s="183"/>
    </row>
    <row r="8157" spans="1:38">
      <c r="A8157" s="182"/>
      <c r="AJ8157" s="183"/>
    </row>
    <row r="8158" spans="1:38">
      <c r="A8158" s="182"/>
    </row>
    <row r="8159" spans="1:38">
      <c r="A8159" s="182"/>
    </row>
    <row r="8160" spans="1:38">
      <c r="A8160" s="182"/>
    </row>
    <row r="8161" spans="1:1">
      <c r="A8161" s="182"/>
    </row>
    <row r="8162" spans="1:1">
      <c r="A8162" s="182"/>
    </row>
    <row r="8163" spans="1:1">
      <c r="A8163" s="182"/>
    </row>
    <row r="8164" spans="1:1">
      <c r="A8164" s="182"/>
    </row>
    <row r="8165" spans="1:1">
      <c r="A8165" s="182"/>
    </row>
    <row r="8166" spans="1:1">
      <c r="A8166" s="182"/>
    </row>
    <row r="8167" spans="1:1">
      <c r="A8167" s="182"/>
    </row>
    <row r="8168" spans="1:1">
      <c r="A8168" s="182"/>
    </row>
    <row r="8169" spans="1:1">
      <c r="A8169" s="182"/>
    </row>
    <row r="8170" spans="1:1">
      <c r="A8170" s="182"/>
    </row>
    <row r="8171" spans="1:1">
      <c r="A8171" s="182"/>
    </row>
    <row r="8172" spans="1:1">
      <c r="A8172" s="182"/>
    </row>
    <row r="8173" spans="1:1">
      <c r="A8173" s="182"/>
    </row>
    <row r="8174" spans="1:1">
      <c r="A8174" s="182"/>
    </row>
    <row r="8175" spans="1:1">
      <c r="A8175" s="182"/>
    </row>
    <row r="8176" spans="1:1">
      <c r="A8176" s="182"/>
    </row>
    <row r="8177" spans="1:38">
      <c r="A8177" s="182"/>
    </row>
    <row r="8178" spans="1:38">
      <c r="A8178" s="182"/>
    </row>
    <row r="8179" spans="1:38">
      <c r="A8179" s="182"/>
    </row>
    <row r="8180" spans="1:38">
      <c r="A8180" s="182"/>
    </row>
    <row r="8181" spans="1:38">
      <c r="A8181" s="182"/>
    </row>
    <row r="8182" spans="1:38">
      <c r="A8182" s="182"/>
    </row>
    <row r="8183" spans="1:38">
      <c r="A8183" s="182"/>
    </row>
    <row r="8184" spans="1:38">
      <c r="A8184" s="182"/>
    </row>
    <row r="8185" spans="1:38">
      <c r="A8185" s="182"/>
      <c r="AK8185" s="183"/>
      <c r="AL8185" s="183"/>
    </row>
    <row r="8186" spans="1:38">
      <c r="A8186" s="182"/>
      <c r="AJ8186" s="183"/>
      <c r="AK8186" s="183"/>
      <c r="AL8186" s="183"/>
    </row>
    <row r="8187" spans="1:38">
      <c r="A8187" s="182"/>
      <c r="AJ8187" s="183"/>
      <c r="AK8187" s="183"/>
      <c r="AL8187" s="183"/>
    </row>
    <row r="8188" spans="1:38">
      <c r="A8188" s="182"/>
      <c r="AJ8188" s="183"/>
      <c r="AK8188" s="183"/>
      <c r="AL8188" s="183"/>
    </row>
    <row r="8189" spans="1:38">
      <c r="A8189" s="182"/>
      <c r="AJ8189" s="183"/>
      <c r="AK8189" s="183"/>
      <c r="AL8189" s="183"/>
    </row>
    <row r="8190" spans="1:38">
      <c r="A8190" s="182"/>
      <c r="AJ8190" s="183"/>
      <c r="AK8190" s="183"/>
      <c r="AL8190" s="183"/>
    </row>
    <row r="8191" spans="1:38">
      <c r="A8191" s="182"/>
      <c r="AJ8191" s="183"/>
      <c r="AK8191" s="183"/>
      <c r="AL8191" s="183"/>
    </row>
    <row r="8192" spans="1:38">
      <c r="A8192" s="182"/>
      <c r="AJ8192" s="183"/>
      <c r="AK8192" s="183"/>
      <c r="AL8192" s="183"/>
    </row>
    <row r="8193" spans="1:36">
      <c r="A8193" s="182"/>
      <c r="AJ8193" s="183"/>
    </row>
    <row r="8194" spans="1:36">
      <c r="A8194" s="182"/>
    </row>
    <row r="8195" spans="1:36">
      <c r="A8195" s="182"/>
    </row>
    <row r="8196" spans="1:36">
      <c r="A8196" s="182"/>
    </row>
    <row r="8197" spans="1:36">
      <c r="A8197" s="182"/>
    </row>
    <row r="8198" spans="1:36">
      <c r="A8198" s="182"/>
    </row>
    <row r="8199" spans="1:36">
      <c r="A8199" s="182"/>
    </row>
    <row r="8200" spans="1:36">
      <c r="A8200" s="182"/>
    </row>
    <row r="8201" spans="1:36">
      <c r="A8201" s="182"/>
    </row>
    <row r="8202" spans="1:36">
      <c r="A8202" s="182"/>
    </row>
    <row r="8203" spans="1:36">
      <c r="A8203" s="182"/>
    </row>
    <row r="8204" spans="1:36">
      <c r="A8204" s="182"/>
    </row>
    <row r="8205" spans="1:36">
      <c r="A8205" s="182"/>
    </row>
    <row r="8206" spans="1:36">
      <c r="A8206" s="182"/>
    </row>
    <row r="8207" spans="1:36">
      <c r="A8207" s="182"/>
    </row>
    <row r="8208" spans="1:36">
      <c r="A8208" s="182"/>
    </row>
    <row r="8209" spans="1:1">
      <c r="A8209" s="182"/>
    </row>
    <row r="8210" spans="1:1">
      <c r="A8210" s="182"/>
    </row>
    <row r="8211" spans="1:1">
      <c r="A8211" s="182"/>
    </row>
    <row r="8212" spans="1:1">
      <c r="A8212" s="182"/>
    </row>
    <row r="8213" spans="1:1">
      <c r="A8213" s="182"/>
    </row>
    <row r="8214" spans="1:1">
      <c r="A8214" s="182"/>
    </row>
    <row r="8215" spans="1:1">
      <c r="A8215" s="182"/>
    </row>
    <row r="8216" spans="1:1">
      <c r="A8216" s="182"/>
    </row>
    <row r="8217" spans="1:1">
      <c r="A8217" s="182"/>
    </row>
    <row r="8218" spans="1:1">
      <c r="A8218" s="182"/>
    </row>
    <row r="8219" spans="1:1">
      <c r="A8219" s="182"/>
    </row>
    <row r="8220" spans="1:1">
      <c r="A8220" s="182"/>
    </row>
    <row r="8221" spans="1:1">
      <c r="A8221" s="182"/>
    </row>
    <row r="8222" spans="1:1">
      <c r="A8222" s="182"/>
    </row>
    <row r="8223" spans="1:1">
      <c r="A8223" s="182"/>
    </row>
    <row r="8224" spans="1:1">
      <c r="A8224" s="182"/>
    </row>
    <row r="8225" spans="1:38">
      <c r="A8225" s="182"/>
      <c r="AK8225" s="183"/>
      <c r="AL8225" s="183"/>
    </row>
    <row r="8226" spans="1:38">
      <c r="A8226" s="182"/>
      <c r="AJ8226" s="183"/>
      <c r="AK8226" s="183"/>
      <c r="AL8226" s="183"/>
    </row>
    <row r="8227" spans="1:38">
      <c r="A8227" s="182"/>
      <c r="AJ8227" s="183"/>
      <c r="AK8227" s="183"/>
      <c r="AL8227" s="183"/>
    </row>
    <row r="8228" spans="1:38">
      <c r="A8228" s="182"/>
      <c r="AJ8228" s="183"/>
      <c r="AK8228" s="183"/>
      <c r="AL8228" s="183"/>
    </row>
    <row r="8229" spans="1:38">
      <c r="A8229" s="182"/>
      <c r="AJ8229" s="183"/>
    </row>
    <row r="8230" spans="1:38">
      <c r="A8230" s="182"/>
    </row>
    <row r="8231" spans="1:38">
      <c r="A8231" s="182"/>
    </row>
    <row r="8232" spans="1:38">
      <c r="A8232" s="182"/>
    </row>
    <row r="8233" spans="1:38">
      <c r="A8233" s="182"/>
    </row>
    <row r="8234" spans="1:38">
      <c r="A8234" s="182"/>
    </row>
    <row r="8235" spans="1:38">
      <c r="A8235" s="182"/>
    </row>
    <row r="8236" spans="1:38">
      <c r="A8236" s="182"/>
    </row>
    <row r="8237" spans="1:38">
      <c r="A8237" s="182"/>
    </row>
    <row r="8238" spans="1:38">
      <c r="A8238" s="182"/>
    </row>
    <row r="8239" spans="1:38">
      <c r="A8239" s="182"/>
    </row>
    <row r="8240" spans="1:38">
      <c r="A8240" s="182"/>
    </row>
    <row r="8241" spans="1:1">
      <c r="A8241" s="182"/>
    </row>
    <row r="8242" spans="1:1">
      <c r="A8242" s="182"/>
    </row>
    <row r="8243" spans="1:1">
      <c r="A8243" s="182"/>
    </row>
    <row r="8244" spans="1:1">
      <c r="A8244" s="182"/>
    </row>
    <row r="8245" spans="1:1">
      <c r="A8245" s="182"/>
    </row>
    <row r="8246" spans="1:1">
      <c r="A8246" s="182"/>
    </row>
    <row r="8247" spans="1:1">
      <c r="A8247" s="182"/>
    </row>
    <row r="8248" spans="1:1">
      <c r="A8248" s="182"/>
    </row>
    <row r="8249" spans="1:1">
      <c r="A8249" s="182"/>
    </row>
    <row r="8250" spans="1:1">
      <c r="A8250" s="182"/>
    </row>
    <row r="8251" spans="1:1">
      <c r="A8251" s="182"/>
    </row>
    <row r="8252" spans="1:1">
      <c r="A8252" s="182"/>
    </row>
    <row r="8253" spans="1:1">
      <c r="A8253" s="182"/>
    </row>
    <row r="8254" spans="1:1">
      <c r="A8254" s="182"/>
    </row>
    <row r="8255" spans="1:1">
      <c r="A8255" s="182"/>
    </row>
    <row r="8256" spans="1:1">
      <c r="A8256" s="182"/>
    </row>
    <row r="8257" spans="1:38">
      <c r="A8257" s="182"/>
    </row>
    <row r="8258" spans="1:38">
      <c r="A8258" s="182"/>
    </row>
    <row r="8259" spans="1:38">
      <c r="A8259" s="182"/>
    </row>
    <row r="8260" spans="1:38">
      <c r="A8260" s="182"/>
    </row>
    <row r="8261" spans="1:38">
      <c r="A8261" s="182"/>
    </row>
    <row r="8262" spans="1:38">
      <c r="A8262" s="182"/>
    </row>
    <row r="8263" spans="1:38">
      <c r="A8263" s="182"/>
    </row>
    <row r="8264" spans="1:38">
      <c r="A8264" s="182"/>
    </row>
    <row r="8265" spans="1:38">
      <c r="A8265" s="182"/>
    </row>
    <row r="8266" spans="1:38">
      <c r="A8266" s="182"/>
    </row>
    <row r="8267" spans="1:38">
      <c r="A8267" s="182"/>
    </row>
    <row r="8268" spans="1:38">
      <c r="A8268" s="182"/>
    </row>
    <row r="8269" spans="1:38">
      <c r="A8269" s="182"/>
      <c r="AK8269" s="183"/>
      <c r="AL8269" s="183"/>
    </row>
    <row r="8270" spans="1:38">
      <c r="A8270" s="182"/>
      <c r="AJ8270" s="183"/>
      <c r="AK8270" s="183"/>
      <c r="AL8270" s="183"/>
    </row>
    <row r="8271" spans="1:38">
      <c r="A8271" s="182"/>
      <c r="AJ8271" s="183"/>
      <c r="AK8271" s="183"/>
      <c r="AL8271" s="183"/>
    </row>
    <row r="8272" spans="1:38">
      <c r="A8272" s="182"/>
      <c r="AJ8272" s="183"/>
      <c r="AK8272" s="183"/>
      <c r="AL8272" s="183"/>
    </row>
    <row r="8273" spans="1:38">
      <c r="A8273" s="182"/>
      <c r="AJ8273" s="183"/>
    </row>
    <row r="8274" spans="1:38">
      <c r="A8274" s="182"/>
    </row>
    <row r="8275" spans="1:38">
      <c r="A8275" s="182"/>
    </row>
    <row r="8276" spans="1:38">
      <c r="A8276" s="182"/>
    </row>
    <row r="8277" spans="1:38">
      <c r="A8277" s="182"/>
    </row>
    <row r="8278" spans="1:38">
      <c r="A8278" s="182"/>
    </row>
    <row r="8279" spans="1:38">
      <c r="A8279" s="182"/>
    </row>
    <row r="8280" spans="1:38">
      <c r="A8280" s="182"/>
    </row>
    <row r="8281" spans="1:38">
      <c r="A8281" s="182"/>
      <c r="AK8281" s="183"/>
      <c r="AL8281" s="183"/>
    </row>
    <row r="8282" spans="1:38">
      <c r="A8282" s="182"/>
      <c r="AJ8282" s="183"/>
      <c r="AK8282" s="183"/>
      <c r="AL8282" s="183"/>
    </row>
    <row r="8283" spans="1:38">
      <c r="A8283" s="182"/>
      <c r="AJ8283" s="183"/>
      <c r="AK8283" s="183"/>
      <c r="AL8283" s="183"/>
    </row>
    <row r="8284" spans="1:38">
      <c r="A8284" s="182"/>
      <c r="AJ8284" s="183"/>
      <c r="AK8284" s="183"/>
      <c r="AL8284" s="183"/>
    </row>
    <row r="8285" spans="1:38">
      <c r="A8285" s="182"/>
      <c r="AJ8285" s="183"/>
    </row>
    <row r="8286" spans="1:38">
      <c r="A8286" s="182"/>
    </row>
    <row r="8287" spans="1:38">
      <c r="A8287" s="182"/>
    </row>
    <row r="8288" spans="1:38">
      <c r="A8288" s="182"/>
    </row>
    <row r="8289" spans="1:38">
      <c r="A8289" s="182"/>
      <c r="AK8289" s="183"/>
      <c r="AL8289" s="183"/>
    </row>
    <row r="8290" spans="1:38">
      <c r="A8290" s="182"/>
      <c r="AJ8290" s="183"/>
      <c r="AK8290" s="183"/>
      <c r="AL8290" s="183"/>
    </row>
    <row r="8291" spans="1:38">
      <c r="A8291" s="182"/>
      <c r="AJ8291" s="183"/>
      <c r="AK8291" s="183"/>
      <c r="AL8291" s="183"/>
    </row>
    <row r="8292" spans="1:38">
      <c r="A8292" s="182"/>
      <c r="AJ8292" s="183"/>
      <c r="AK8292" s="183"/>
      <c r="AL8292" s="183"/>
    </row>
    <row r="8293" spans="1:38">
      <c r="A8293" s="182"/>
      <c r="AJ8293" s="183"/>
    </row>
    <row r="8294" spans="1:38">
      <c r="A8294" s="182"/>
    </row>
    <row r="8295" spans="1:38">
      <c r="A8295" s="182"/>
    </row>
    <row r="8296" spans="1:38">
      <c r="A8296" s="182"/>
    </row>
    <row r="8297" spans="1:38">
      <c r="A8297" s="182"/>
    </row>
    <row r="8298" spans="1:38">
      <c r="A8298" s="182"/>
    </row>
    <row r="8299" spans="1:38">
      <c r="A8299" s="182"/>
    </row>
    <row r="8300" spans="1:38">
      <c r="A8300" s="182"/>
    </row>
    <row r="8301" spans="1:38">
      <c r="A8301" s="182"/>
      <c r="R8301" s="183"/>
      <c r="S8301" s="183"/>
    </row>
    <row r="8302" spans="1:38">
      <c r="A8302" s="182"/>
      <c r="Q8302" s="183"/>
      <c r="R8302" s="183"/>
      <c r="S8302" s="183"/>
    </row>
    <row r="8303" spans="1:38">
      <c r="A8303" s="182"/>
      <c r="Q8303" s="183"/>
      <c r="R8303" s="183"/>
      <c r="S8303" s="183"/>
    </row>
    <row r="8304" spans="1:38">
      <c r="A8304" s="182"/>
      <c r="Q8304" s="183"/>
      <c r="R8304" s="183"/>
      <c r="S8304" s="183"/>
    </row>
    <row r="8305" spans="1:19">
      <c r="A8305" s="182"/>
      <c r="Q8305" s="183"/>
    </row>
    <row r="8306" spans="1:19">
      <c r="A8306" s="182"/>
      <c r="R8306" s="183"/>
      <c r="S8306" s="183"/>
    </row>
    <row r="8307" spans="1:19">
      <c r="A8307" s="182"/>
      <c r="Q8307" s="183"/>
      <c r="R8307" s="183"/>
      <c r="S8307" s="183"/>
    </row>
    <row r="8308" spans="1:19">
      <c r="A8308" s="182"/>
      <c r="Q8308" s="183"/>
      <c r="R8308" s="183"/>
      <c r="S8308" s="183"/>
    </row>
    <row r="8309" spans="1:19">
      <c r="A8309" s="182"/>
      <c r="Q8309" s="183"/>
      <c r="R8309" s="183"/>
      <c r="S8309" s="183"/>
    </row>
    <row r="8310" spans="1:19">
      <c r="A8310" s="182"/>
      <c r="Q8310" s="183"/>
      <c r="R8310" s="183"/>
      <c r="S8310" s="183"/>
    </row>
    <row r="8311" spans="1:19">
      <c r="A8311" s="182"/>
      <c r="Q8311" s="183"/>
      <c r="R8311" s="183"/>
      <c r="S8311" s="183"/>
    </row>
    <row r="8312" spans="1:19">
      <c r="A8312" s="182"/>
      <c r="Q8312" s="183"/>
      <c r="R8312" s="183"/>
      <c r="S8312" s="183"/>
    </row>
    <row r="8313" spans="1:19">
      <c r="A8313" s="182"/>
      <c r="Q8313" s="183"/>
      <c r="R8313" s="183"/>
      <c r="S8313" s="183"/>
    </row>
    <row r="8314" spans="1:19">
      <c r="A8314" s="182"/>
      <c r="Q8314" s="183"/>
      <c r="R8314" s="183"/>
      <c r="S8314" s="183"/>
    </row>
    <row r="8315" spans="1:19">
      <c r="A8315" s="182"/>
      <c r="Q8315" s="183"/>
      <c r="R8315" s="183"/>
      <c r="S8315" s="183"/>
    </row>
    <row r="8316" spans="1:19">
      <c r="A8316" s="182"/>
      <c r="Q8316" s="183"/>
      <c r="R8316" s="183"/>
      <c r="S8316" s="183"/>
    </row>
    <row r="8317" spans="1:19">
      <c r="A8317" s="182"/>
      <c r="Q8317" s="183"/>
      <c r="R8317" s="183"/>
      <c r="S8317" s="183"/>
    </row>
    <row r="8318" spans="1:19">
      <c r="A8318" s="182"/>
      <c r="Q8318" s="183"/>
      <c r="R8318" s="183"/>
      <c r="S8318" s="183"/>
    </row>
    <row r="8319" spans="1:19">
      <c r="A8319" s="182"/>
      <c r="Q8319" s="183"/>
      <c r="R8319" s="183"/>
      <c r="S8319" s="183"/>
    </row>
    <row r="8320" spans="1:19">
      <c r="A8320" s="182"/>
      <c r="Q8320" s="183"/>
      <c r="R8320" s="183"/>
      <c r="S8320" s="183"/>
    </row>
    <row r="8321" spans="1:38">
      <c r="A8321" s="182"/>
      <c r="Q8321" s="183"/>
      <c r="R8321" s="183"/>
      <c r="S8321" s="183"/>
      <c r="AK8321" s="183"/>
      <c r="AL8321" s="183"/>
    </row>
    <row r="8322" spans="1:38">
      <c r="A8322" s="182"/>
      <c r="Q8322" s="183"/>
      <c r="R8322" s="183"/>
      <c r="S8322" s="183"/>
      <c r="AJ8322" s="183"/>
      <c r="AK8322" s="183"/>
      <c r="AL8322" s="183"/>
    </row>
    <row r="8323" spans="1:38">
      <c r="A8323" s="182"/>
      <c r="Q8323" s="183"/>
      <c r="R8323" s="183"/>
      <c r="S8323" s="183"/>
      <c r="AJ8323" s="183"/>
      <c r="AK8323" s="183"/>
      <c r="AL8323" s="183"/>
    </row>
    <row r="8324" spans="1:38">
      <c r="A8324" s="182"/>
      <c r="Q8324" s="183"/>
      <c r="R8324" s="183"/>
      <c r="S8324" s="183"/>
      <c r="AJ8324" s="183"/>
      <c r="AK8324" s="183"/>
      <c r="AL8324" s="183"/>
    </row>
    <row r="8325" spans="1:38">
      <c r="A8325" s="182"/>
      <c r="Q8325" s="183"/>
      <c r="R8325" s="183"/>
      <c r="S8325" s="183"/>
      <c r="AJ8325" s="183"/>
      <c r="AK8325" s="183"/>
      <c r="AL8325" s="183"/>
    </row>
    <row r="8326" spans="1:38">
      <c r="A8326" s="182"/>
      <c r="Q8326" s="183"/>
      <c r="R8326" s="183"/>
      <c r="S8326" s="183"/>
      <c r="AJ8326" s="183"/>
      <c r="AK8326" s="183"/>
      <c r="AL8326" s="183"/>
    </row>
    <row r="8327" spans="1:38">
      <c r="A8327" s="182"/>
      <c r="Q8327" s="183"/>
      <c r="R8327" s="183"/>
      <c r="S8327" s="183"/>
      <c r="AJ8327" s="183"/>
      <c r="AK8327" s="183"/>
      <c r="AL8327" s="183"/>
    </row>
    <row r="8328" spans="1:38">
      <c r="A8328" s="182"/>
      <c r="Q8328" s="183"/>
      <c r="R8328" s="183"/>
      <c r="S8328" s="183"/>
      <c r="AJ8328" s="183"/>
      <c r="AK8328" s="183"/>
      <c r="AL8328" s="183"/>
    </row>
    <row r="8329" spans="1:38">
      <c r="A8329" s="182"/>
      <c r="Q8329" s="183"/>
      <c r="R8329" s="183"/>
      <c r="S8329" s="183"/>
      <c r="AJ8329" s="183"/>
    </row>
    <row r="8330" spans="1:38">
      <c r="A8330" s="182"/>
      <c r="Q8330" s="183"/>
      <c r="R8330" s="183"/>
      <c r="S8330" s="183"/>
    </row>
    <row r="8331" spans="1:38">
      <c r="A8331" s="182"/>
      <c r="Q8331" s="183"/>
      <c r="R8331" s="183"/>
      <c r="S8331" s="183"/>
    </row>
    <row r="8332" spans="1:38">
      <c r="A8332" s="182"/>
      <c r="Q8332" s="183"/>
      <c r="R8332" s="183"/>
      <c r="S8332" s="183"/>
    </row>
    <row r="8333" spans="1:38">
      <c r="A8333" s="182"/>
      <c r="Q8333" s="183"/>
      <c r="R8333" s="183"/>
      <c r="S8333" s="183"/>
    </row>
    <row r="8334" spans="1:38">
      <c r="A8334" s="182"/>
      <c r="Q8334" s="183"/>
      <c r="R8334" s="183"/>
      <c r="S8334" s="183"/>
    </row>
    <row r="8335" spans="1:38">
      <c r="A8335" s="182"/>
      <c r="Q8335" s="183"/>
      <c r="R8335" s="183"/>
      <c r="S8335" s="183"/>
    </row>
    <row r="8336" spans="1:38">
      <c r="A8336" s="182"/>
      <c r="Q8336" s="183"/>
      <c r="R8336" s="183"/>
      <c r="S8336" s="183"/>
    </row>
    <row r="8337" spans="1:38">
      <c r="A8337" s="182"/>
      <c r="Q8337" s="183"/>
      <c r="R8337" s="183"/>
      <c r="S8337" s="183"/>
    </row>
    <row r="8338" spans="1:38">
      <c r="A8338" s="182"/>
      <c r="Q8338" s="183"/>
      <c r="R8338" s="183"/>
      <c r="S8338" s="183"/>
    </row>
    <row r="8339" spans="1:38">
      <c r="A8339" s="182"/>
      <c r="Q8339" s="183"/>
      <c r="R8339" s="183"/>
      <c r="S8339" s="183"/>
    </row>
    <row r="8340" spans="1:38">
      <c r="A8340" s="182"/>
      <c r="Q8340" s="183"/>
      <c r="R8340" s="183"/>
      <c r="S8340" s="183"/>
    </row>
    <row r="8341" spans="1:38">
      <c r="A8341" s="182"/>
      <c r="Q8341" s="183"/>
      <c r="R8341" s="183"/>
      <c r="S8341" s="183"/>
    </row>
    <row r="8342" spans="1:38">
      <c r="A8342" s="182"/>
      <c r="Q8342" s="183"/>
      <c r="R8342" s="183"/>
      <c r="S8342" s="183"/>
    </row>
    <row r="8343" spans="1:38">
      <c r="A8343" s="182"/>
      <c r="Q8343" s="183"/>
      <c r="R8343" s="183"/>
      <c r="S8343" s="183"/>
    </row>
    <row r="8344" spans="1:38">
      <c r="A8344" s="182"/>
      <c r="Q8344" s="183"/>
      <c r="R8344" s="183"/>
      <c r="S8344" s="183"/>
    </row>
    <row r="8345" spans="1:38">
      <c r="A8345" s="182"/>
      <c r="Q8345" s="183"/>
      <c r="R8345" s="183"/>
      <c r="S8345" s="183"/>
      <c r="AK8345" s="183"/>
      <c r="AL8345" s="183"/>
    </row>
    <row r="8346" spans="1:38">
      <c r="A8346" s="182"/>
      <c r="Q8346" s="183"/>
      <c r="R8346" s="183"/>
      <c r="S8346" s="183"/>
      <c r="AJ8346" s="183"/>
      <c r="AK8346" s="183"/>
      <c r="AL8346" s="183"/>
    </row>
    <row r="8347" spans="1:38">
      <c r="A8347" s="182"/>
      <c r="Q8347" s="183"/>
      <c r="R8347" s="183"/>
      <c r="S8347" s="183"/>
      <c r="AJ8347" s="183"/>
      <c r="AK8347" s="183"/>
      <c r="AL8347" s="183"/>
    </row>
    <row r="8348" spans="1:38">
      <c r="A8348" s="182"/>
      <c r="Q8348" s="183"/>
      <c r="R8348" s="183"/>
      <c r="S8348" s="183"/>
      <c r="AJ8348" s="183"/>
      <c r="AK8348" s="183"/>
      <c r="AL8348" s="183"/>
    </row>
    <row r="8349" spans="1:38">
      <c r="A8349" s="182"/>
      <c r="Q8349" s="183"/>
      <c r="R8349" s="183"/>
      <c r="S8349" s="183"/>
      <c r="AJ8349" s="183"/>
    </row>
    <row r="8350" spans="1:38">
      <c r="A8350" s="182"/>
      <c r="Q8350" s="183"/>
      <c r="R8350" s="183"/>
      <c r="S8350" s="183"/>
    </row>
    <row r="8351" spans="1:38">
      <c r="A8351" s="182"/>
      <c r="Q8351" s="183"/>
      <c r="R8351" s="183"/>
      <c r="S8351" s="183"/>
    </row>
    <row r="8352" spans="1:38">
      <c r="A8352" s="182"/>
      <c r="Q8352" s="183"/>
      <c r="R8352" s="183"/>
      <c r="S8352" s="183"/>
    </row>
    <row r="8353" spans="1:19">
      <c r="A8353" s="182"/>
      <c r="Q8353" s="183"/>
      <c r="R8353" s="183"/>
      <c r="S8353" s="183"/>
    </row>
    <row r="8354" spans="1:19">
      <c r="A8354" s="182"/>
      <c r="Q8354" s="183"/>
      <c r="R8354" s="183"/>
      <c r="S8354" s="183"/>
    </row>
    <row r="8355" spans="1:19">
      <c r="A8355" s="182"/>
      <c r="Q8355" s="183"/>
      <c r="R8355" s="183"/>
      <c r="S8355" s="183"/>
    </row>
    <row r="8356" spans="1:19">
      <c r="A8356" s="182"/>
      <c r="Q8356" s="183"/>
      <c r="R8356" s="183"/>
      <c r="S8356" s="183"/>
    </row>
    <row r="8357" spans="1:19">
      <c r="A8357" s="182"/>
      <c r="Q8357" s="183"/>
      <c r="R8357" s="183"/>
      <c r="S8357" s="183"/>
    </row>
    <row r="8358" spans="1:19">
      <c r="A8358" s="182"/>
      <c r="Q8358" s="183"/>
      <c r="R8358" s="183"/>
      <c r="S8358" s="183"/>
    </row>
    <row r="8359" spans="1:19">
      <c r="A8359" s="182"/>
      <c r="Q8359" s="183"/>
      <c r="R8359" s="183"/>
      <c r="S8359" s="183"/>
    </row>
    <row r="8360" spans="1:19">
      <c r="A8360" s="182"/>
      <c r="Q8360" s="183"/>
      <c r="R8360" s="183"/>
      <c r="S8360" s="183"/>
    </row>
    <row r="8361" spans="1:19">
      <c r="A8361" s="182"/>
      <c r="Q8361" s="183"/>
      <c r="R8361" s="183"/>
      <c r="S8361" s="183"/>
    </row>
    <row r="8362" spans="1:19">
      <c r="A8362" s="182"/>
      <c r="Q8362" s="183"/>
      <c r="R8362" s="183"/>
      <c r="S8362" s="183"/>
    </row>
    <row r="8363" spans="1:19">
      <c r="A8363" s="182"/>
      <c r="Q8363" s="183"/>
      <c r="R8363" s="183"/>
      <c r="S8363" s="183"/>
    </row>
    <row r="8364" spans="1:19">
      <c r="A8364" s="182"/>
      <c r="Q8364" s="183"/>
      <c r="R8364" s="183"/>
      <c r="S8364" s="183"/>
    </row>
    <row r="8365" spans="1:19">
      <c r="A8365" s="182"/>
      <c r="Q8365" s="183"/>
      <c r="R8365" s="183"/>
      <c r="S8365" s="183"/>
    </row>
    <row r="8366" spans="1:19">
      <c r="A8366" s="182"/>
      <c r="Q8366" s="183"/>
      <c r="R8366" s="183"/>
      <c r="S8366" s="183"/>
    </row>
    <row r="8367" spans="1:19">
      <c r="A8367" s="182"/>
      <c r="Q8367" s="183"/>
      <c r="R8367" s="183"/>
      <c r="S8367" s="183"/>
    </row>
    <row r="8368" spans="1:19">
      <c r="A8368" s="182"/>
      <c r="Q8368" s="183"/>
      <c r="R8368" s="183"/>
      <c r="S8368" s="183"/>
    </row>
    <row r="8369" spans="1:38">
      <c r="A8369" s="182"/>
      <c r="Q8369" s="183"/>
      <c r="R8369" s="183"/>
      <c r="S8369" s="183"/>
      <c r="AK8369" s="183"/>
      <c r="AL8369" s="183"/>
    </row>
    <row r="8370" spans="1:38">
      <c r="A8370" s="182"/>
      <c r="Q8370" s="183"/>
      <c r="R8370" s="183"/>
      <c r="S8370" s="183"/>
      <c r="AJ8370" s="183"/>
      <c r="AK8370" s="183"/>
      <c r="AL8370" s="183"/>
    </row>
    <row r="8371" spans="1:38">
      <c r="A8371" s="182"/>
      <c r="Q8371" s="183"/>
      <c r="R8371" s="183"/>
      <c r="S8371" s="183"/>
      <c r="AJ8371" s="183"/>
      <c r="AK8371" s="183"/>
      <c r="AL8371" s="183"/>
    </row>
    <row r="8372" spans="1:38">
      <c r="A8372" s="182"/>
      <c r="Q8372" s="183"/>
      <c r="R8372" s="183"/>
      <c r="S8372" s="183"/>
      <c r="AJ8372" s="183"/>
      <c r="AK8372" s="183"/>
      <c r="AL8372" s="183"/>
    </row>
    <row r="8373" spans="1:38">
      <c r="A8373" s="182"/>
      <c r="Q8373" s="183"/>
      <c r="R8373" s="183"/>
      <c r="S8373" s="183"/>
      <c r="AJ8373" s="183"/>
      <c r="AK8373" s="183"/>
      <c r="AL8373" s="183"/>
    </row>
    <row r="8374" spans="1:38">
      <c r="A8374" s="182"/>
      <c r="Q8374" s="183"/>
      <c r="R8374" s="183"/>
      <c r="S8374" s="183"/>
      <c r="AJ8374" s="183"/>
      <c r="AK8374" s="183"/>
      <c r="AL8374" s="183"/>
    </row>
    <row r="8375" spans="1:38">
      <c r="A8375" s="182"/>
      <c r="Q8375" s="183"/>
      <c r="R8375" s="183"/>
      <c r="S8375" s="183"/>
      <c r="AJ8375" s="183"/>
      <c r="AK8375" s="183"/>
      <c r="AL8375" s="183"/>
    </row>
    <row r="8376" spans="1:38">
      <c r="A8376" s="182"/>
      <c r="Q8376" s="183"/>
      <c r="R8376" s="183"/>
      <c r="S8376" s="183"/>
      <c r="AJ8376" s="183"/>
      <c r="AK8376" s="183"/>
      <c r="AL8376" s="183"/>
    </row>
    <row r="8377" spans="1:38">
      <c r="A8377" s="182"/>
      <c r="Q8377" s="183"/>
      <c r="R8377" s="183"/>
      <c r="S8377" s="183"/>
      <c r="AJ8377" s="183"/>
    </row>
    <row r="8378" spans="1:38">
      <c r="A8378" s="182"/>
      <c r="Q8378" s="183"/>
      <c r="R8378" s="183"/>
      <c r="S8378" s="183"/>
    </row>
    <row r="8379" spans="1:38">
      <c r="A8379" s="182"/>
      <c r="Q8379" s="183"/>
      <c r="R8379" s="183"/>
      <c r="S8379" s="183"/>
    </row>
    <row r="8380" spans="1:38">
      <c r="A8380" s="182"/>
      <c r="Q8380" s="183"/>
      <c r="R8380" s="183"/>
      <c r="S8380" s="183"/>
    </row>
    <row r="8381" spans="1:38">
      <c r="A8381" s="182"/>
      <c r="Q8381" s="183"/>
      <c r="R8381" s="183"/>
      <c r="S8381" s="183"/>
      <c r="AK8381" s="183"/>
      <c r="AL8381" s="183"/>
    </row>
    <row r="8382" spans="1:38">
      <c r="A8382" s="182"/>
      <c r="Q8382" s="183"/>
      <c r="R8382" s="183"/>
      <c r="S8382" s="183"/>
      <c r="AJ8382" s="183"/>
      <c r="AK8382" s="183"/>
      <c r="AL8382" s="183"/>
    </row>
    <row r="8383" spans="1:38">
      <c r="A8383" s="182"/>
      <c r="Q8383" s="183"/>
      <c r="R8383" s="183"/>
      <c r="S8383" s="183"/>
      <c r="AJ8383" s="183"/>
      <c r="AK8383" s="183"/>
      <c r="AL8383" s="183"/>
    </row>
    <row r="8384" spans="1:38">
      <c r="A8384" s="182"/>
      <c r="Q8384" s="183"/>
      <c r="R8384" s="183"/>
      <c r="S8384" s="183"/>
      <c r="AJ8384" s="183"/>
      <c r="AK8384" s="183"/>
      <c r="AL8384" s="183"/>
    </row>
    <row r="8385" spans="1:38">
      <c r="A8385" s="182"/>
      <c r="Q8385" s="183"/>
      <c r="R8385" s="183"/>
      <c r="S8385" s="183"/>
      <c r="AJ8385" s="183"/>
      <c r="AK8385" s="183"/>
      <c r="AL8385" s="183"/>
    </row>
    <row r="8386" spans="1:38">
      <c r="A8386" s="182"/>
      <c r="Q8386" s="183"/>
      <c r="R8386" s="183"/>
      <c r="S8386" s="183"/>
      <c r="AJ8386" s="183"/>
      <c r="AK8386" s="183"/>
      <c r="AL8386" s="183"/>
    </row>
    <row r="8387" spans="1:38">
      <c r="A8387" s="182"/>
      <c r="Q8387" s="183"/>
      <c r="R8387" s="183"/>
      <c r="S8387" s="183"/>
      <c r="AJ8387" s="183"/>
      <c r="AK8387" s="183"/>
      <c r="AL8387" s="183"/>
    </row>
    <row r="8388" spans="1:38">
      <c r="A8388" s="182"/>
      <c r="Q8388" s="183"/>
      <c r="R8388" s="183"/>
      <c r="S8388" s="183"/>
      <c r="AJ8388" s="183"/>
      <c r="AK8388" s="183"/>
      <c r="AL8388" s="183"/>
    </row>
    <row r="8389" spans="1:38">
      <c r="A8389" s="182"/>
      <c r="Q8389" s="183"/>
      <c r="R8389" s="183"/>
      <c r="S8389" s="183"/>
      <c r="AJ8389" s="183"/>
    </row>
    <row r="8390" spans="1:38">
      <c r="A8390" s="182"/>
      <c r="Q8390" s="183"/>
      <c r="R8390" s="183"/>
      <c r="S8390" s="183"/>
    </row>
    <row r="8391" spans="1:38">
      <c r="A8391" s="182"/>
      <c r="Q8391" s="183"/>
      <c r="R8391" s="183"/>
      <c r="S8391" s="183"/>
    </row>
    <row r="8392" spans="1:38">
      <c r="A8392" s="182"/>
      <c r="Q8392" s="183"/>
      <c r="R8392" s="183"/>
      <c r="S8392" s="183"/>
    </row>
    <row r="8393" spans="1:38">
      <c r="A8393" s="182"/>
      <c r="Q8393" s="183"/>
      <c r="R8393" s="183"/>
      <c r="S8393" s="183"/>
    </row>
    <row r="8394" spans="1:38">
      <c r="A8394" s="182"/>
      <c r="Q8394" s="183"/>
      <c r="R8394" s="183"/>
      <c r="S8394" s="183"/>
    </row>
    <row r="8395" spans="1:38">
      <c r="A8395" s="182"/>
      <c r="Q8395" s="183"/>
      <c r="R8395" s="183"/>
      <c r="S8395" s="183"/>
    </row>
    <row r="8396" spans="1:38">
      <c r="A8396" s="182"/>
      <c r="Q8396" s="183"/>
      <c r="R8396" s="183"/>
      <c r="S8396" s="183"/>
    </row>
    <row r="8397" spans="1:38">
      <c r="A8397" s="182"/>
      <c r="Q8397" s="183"/>
      <c r="R8397" s="183"/>
      <c r="S8397" s="183"/>
    </row>
    <row r="8398" spans="1:38">
      <c r="A8398" s="182"/>
      <c r="Q8398" s="183"/>
      <c r="R8398" s="183"/>
      <c r="S8398" s="183"/>
    </row>
    <row r="8399" spans="1:38">
      <c r="A8399" s="182"/>
      <c r="Q8399" s="183"/>
      <c r="R8399" s="183"/>
      <c r="S8399" s="183"/>
    </row>
    <row r="8400" spans="1:38">
      <c r="A8400" s="182"/>
      <c r="Q8400" s="183"/>
      <c r="R8400" s="183"/>
      <c r="S8400" s="183"/>
    </row>
    <row r="8401" spans="1:38">
      <c r="A8401" s="182"/>
      <c r="Q8401" s="183"/>
      <c r="R8401" s="183"/>
      <c r="S8401" s="183"/>
    </row>
    <row r="8402" spans="1:38">
      <c r="A8402" s="182"/>
      <c r="Q8402" s="183"/>
      <c r="R8402" s="183"/>
      <c r="S8402" s="183"/>
    </row>
    <row r="8403" spans="1:38">
      <c r="A8403" s="182"/>
      <c r="Q8403" s="183"/>
      <c r="R8403" s="183"/>
      <c r="S8403" s="183"/>
    </row>
    <row r="8404" spans="1:38">
      <c r="A8404" s="182"/>
      <c r="Q8404" s="183"/>
      <c r="R8404" s="183"/>
      <c r="S8404" s="183"/>
    </row>
    <row r="8405" spans="1:38">
      <c r="A8405" s="182"/>
      <c r="Q8405" s="183"/>
      <c r="R8405" s="183"/>
      <c r="S8405" s="183"/>
    </row>
    <row r="8406" spans="1:38">
      <c r="A8406" s="182"/>
      <c r="Q8406" s="183"/>
      <c r="R8406" s="183"/>
      <c r="S8406" s="183"/>
    </row>
    <row r="8407" spans="1:38">
      <c r="A8407" s="182"/>
      <c r="Q8407" s="183"/>
      <c r="R8407" s="183"/>
      <c r="S8407" s="183"/>
    </row>
    <row r="8408" spans="1:38">
      <c r="A8408" s="182"/>
      <c r="Q8408" s="183"/>
      <c r="R8408" s="183"/>
      <c r="S8408" s="183"/>
    </row>
    <row r="8409" spans="1:38">
      <c r="A8409" s="182"/>
      <c r="Q8409" s="183"/>
      <c r="R8409" s="183"/>
      <c r="S8409" s="183"/>
    </row>
    <row r="8410" spans="1:38">
      <c r="A8410" s="182"/>
      <c r="Q8410" s="183"/>
      <c r="R8410" s="183"/>
      <c r="S8410" s="183"/>
    </row>
    <row r="8411" spans="1:38">
      <c r="A8411" s="182"/>
      <c r="Q8411" s="183"/>
      <c r="R8411" s="183"/>
      <c r="S8411" s="183"/>
    </row>
    <row r="8412" spans="1:38">
      <c r="A8412" s="182"/>
      <c r="Q8412" s="183"/>
      <c r="R8412" s="183"/>
      <c r="S8412" s="183"/>
    </row>
    <row r="8413" spans="1:38">
      <c r="A8413" s="182"/>
      <c r="Q8413" s="183"/>
      <c r="R8413" s="183"/>
      <c r="S8413" s="183"/>
      <c r="AK8413" s="183"/>
      <c r="AL8413" s="183"/>
    </row>
    <row r="8414" spans="1:38">
      <c r="A8414" s="182"/>
      <c r="Q8414" s="183"/>
      <c r="R8414" s="183"/>
      <c r="S8414" s="183"/>
      <c r="AJ8414" s="183"/>
      <c r="AK8414" s="183"/>
      <c r="AL8414" s="183"/>
    </row>
    <row r="8415" spans="1:38">
      <c r="A8415" s="182"/>
      <c r="Q8415" s="183"/>
      <c r="R8415" s="183"/>
      <c r="S8415" s="183"/>
      <c r="AJ8415" s="183"/>
      <c r="AK8415" s="183"/>
      <c r="AL8415" s="183"/>
    </row>
    <row r="8416" spans="1:38">
      <c r="A8416" s="182"/>
      <c r="Q8416" s="183"/>
      <c r="R8416" s="183"/>
      <c r="S8416" s="183"/>
      <c r="AJ8416" s="183"/>
      <c r="AK8416" s="183"/>
      <c r="AL8416" s="183"/>
    </row>
    <row r="8417" spans="1:38">
      <c r="A8417" s="182"/>
      <c r="Q8417" s="183"/>
      <c r="R8417" s="183"/>
      <c r="S8417" s="183"/>
      <c r="AJ8417" s="183"/>
    </row>
    <row r="8418" spans="1:38">
      <c r="A8418" s="182"/>
      <c r="Q8418" s="183"/>
      <c r="R8418" s="183"/>
      <c r="S8418" s="183"/>
    </row>
    <row r="8419" spans="1:38">
      <c r="A8419" s="182"/>
      <c r="Q8419" s="183"/>
      <c r="R8419" s="183"/>
      <c r="S8419" s="183"/>
    </row>
    <row r="8420" spans="1:38">
      <c r="A8420" s="182"/>
      <c r="Q8420" s="183"/>
      <c r="R8420" s="183"/>
      <c r="S8420" s="183"/>
    </row>
    <row r="8421" spans="1:38">
      <c r="A8421" s="182"/>
      <c r="Q8421" s="183"/>
      <c r="R8421" s="183"/>
      <c r="S8421" s="183"/>
      <c r="AK8421" s="183"/>
      <c r="AL8421" s="183"/>
    </row>
    <row r="8422" spans="1:38">
      <c r="A8422" s="182"/>
      <c r="Q8422" s="183"/>
      <c r="R8422" s="183"/>
      <c r="S8422" s="183"/>
      <c r="AJ8422" s="183"/>
      <c r="AK8422" s="183"/>
      <c r="AL8422" s="183"/>
    </row>
    <row r="8423" spans="1:38">
      <c r="A8423" s="182"/>
      <c r="Q8423" s="183"/>
      <c r="R8423" s="183"/>
      <c r="S8423" s="183"/>
      <c r="AJ8423" s="183"/>
      <c r="AK8423" s="183"/>
      <c r="AL8423" s="183"/>
    </row>
    <row r="8424" spans="1:38">
      <c r="A8424" s="182"/>
      <c r="Q8424" s="183"/>
      <c r="R8424" s="183"/>
      <c r="S8424" s="183"/>
      <c r="AJ8424" s="183"/>
      <c r="AK8424" s="183"/>
      <c r="AL8424" s="183"/>
    </row>
    <row r="8425" spans="1:38">
      <c r="A8425" s="182"/>
      <c r="Q8425" s="183"/>
      <c r="R8425" s="183"/>
      <c r="S8425" s="183"/>
      <c r="AJ8425" s="183"/>
      <c r="AK8425" s="183"/>
      <c r="AL8425" s="183"/>
    </row>
    <row r="8426" spans="1:38">
      <c r="A8426" s="182"/>
      <c r="Q8426" s="183"/>
      <c r="R8426" s="183"/>
      <c r="S8426" s="183"/>
      <c r="AJ8426" s="183"/>
      <c r="AK8426" s="183"/>
      <c r="AL8426" s="183"/>
    </row>
    <row r="8427" spans="1:38">
      <c r="A8427" s="182"/>
      <c r="Q8427" s="183"/>
      <c r="R8427" s="183"/>
      <c r="S8427" s="183"/>
      <c r="AJ8427" s="183"/>
      <c r="AK8427" s="183"/>
      <c r="AL8427" s="183"/>
    </row>
    <row r="8428" spans="1:38">
      <c r="A8428" s="182"/>
      <c r="Q8428" s="183"/>
      <c r="R8428" s="183"/>
      <c r="S8428" s="183"/>
      <c r="AJ8428" s="183"/>
      <c r="AK8428" s="183"/>
      <c r="AL8428" s="183"/>
    </row>
    <row r="8429" spans="1:38">
      <c r="A8429" s="182"/>
      <c r="Q8429" s="183"/>
      <c r="R8429" s="183"/>
      <c r="S8429" s="183"/>
      <c r="AJ8429" s="183"/>
    </row>
    <row r="8430" spans="1:38">
      <c r="A8430" s="182"/>
      <c r="Q8430" s="183"/>
      <c r="R8430" s="183"/>
      <c r="S8430" s="183"/>
    </row>
    <row r="8431" spans="1:38">
      <c r="A8431" s="182"/>
      <c r="Q8431" s="183"/>
      <c r="R8431" s="183"/>
      <c r="S8431" s="183"/>
    </row>
    <row r="8432" spans="1:38">
      <c r="A8432" s="182"/>
      <c r="Q8432" s="183"/>
      <c r="R8432" s="183"/>
      <c r="S8432" s="183"/>
    </row>
    <row r="8433" spans="1:38">
      <c r="A8433" s="182"/>
      <c r="Q8433" s="183"/>
      <c r="R8433" s="183"/>
      <c r="S8433" s="183"/>
    </row>
    <row r="8434" spans="1:38">
      <c r="A8434" s="182"/>
      <c r="Q8434" s="183"/>
      <c r="R8434" s="183"/>
      <c r="S8434" s="183"/>
    </row>
    <row r="8435" spans="1:38">
      <c r="A8435" s="182"/>
      <c r="Q8435" s="183"/>
      <c r="R8435" s="183"/>
      <c r="S8435" s="183"/>
    </row>
    <row r="8436" spans="1:38">
      <c r="A8436" s="182"/>
      <c r="Q8436" s="183"/>
      <c r="R8436" s="183"/>
      <c r="S8436" s="183"/>
    </row>
    <row r="8437" spans="1:38">
      <c r="A8437" s="182"/>
      <c r="Q8437" s="183"/>
      <c r="R8437" s="183"/>
      <c r="S8437" s="183"/>
    </row>
    <row r="8438" spans="1:38">
      <c r="A8438" s="182"/>
      <c r="Q8438" s="183"/>
      <c r="R8438" s="183"/>
      <c r="S8438" s="183"/>
    </row>
    <row r="8439" spans="1:38">
      <c r="A8439" s="182"/>
      <c r="Q8439" s="183"/>
      <c r="R8439" s="183"/>
      <c r="S8439" s="183"/>
    </row>
    <row r="8440" spans="1:38">
      <c r="A8440" s="182"/>
      <c r="Q8440" s="183"/>
      <c r="R8440" s="183"/>
      <c r="S8440" s="183"/>
    </row>
    <row r="8441" spans="1:38">
      <c r="A8441" s="182"/>
      <c r="Q8441" s="183"/>
      <c r="R8441" s="183"/>
      <c r="S8441" s="183"/>
    </row>
    <row r="8442" spans="1:38">
      <c r="A8442" s="182"/>
      <c r="Q8442" s="183"/>
      <c r="R8442" s="183"/>
      <c r="S8442" s="183"/>
    </row>
    <row r="8443" spans="1:38">
      <c r="A8443" s="182"/>
      <c r="Q8443" s="183"/>
      <c r="R8443" s="183"/>
      <c r="S8443" s="183"/>
    </row>
    <row r="8444" spans="1:38">
      <c r="A8444" s="182"/>
      <c r="Q8444" s="183"/>
      <c r="R8444" s="183"/>
      <c r="S8444" s="183"/>
    </row>
    <row r="8445" spans="1:38">
      <c r="A8445" s="182"/>
      <c r="Q8445" s="183"/>
      <c r="R8445" s="183"/>
      <c r="S8445" s="183"/>
      <c r="AK8445" s="183"/>
      <c r="AL8445" s="183"/>
    </row>
    <row r="8446" spans="1:38">
      <c r="A8446" s="182"/>
      <c r="Q8446" s="183"/>
      <c r="R8446" s="183"/>
      <c r="S8446" s="183"/>
      <c r="AJ8446" s="183"/>
      <c r="AK8446" s="183"/>
      <c r="AL8446" s="183"/>
    </row>
    <row r="8447" spans="1:38">
      <c r="A8447" s="182"/>
      <c r="Q8447" s="183"/>
      <c r="R8447" s="183"/>
      <c r="S8447" s="183"/>
      <c r="AJ8447" s="183"/>
      <c r="AK8447" s="183"/>
      <c r="AL8447" s="183"/>
    </row>
    <row r="8448" spans="1:38">
      <c r="A8448" s="182"/>
      <c r="Q8448" s="183"/>
      <c r="R8448" s="183"/>
      <c r="S8448" s="183"/>
      <c r="AJ8448" s="183"/>
      <c r="AK8448" s="183"/>
      <c r="AL8448" s="183"/>
    </row>
    <row r="8449" spans="1:38">
      <c r="A8449" s="182"/>
      <c r="Q8449" s="183"/>
      <c r="R8449" s="183"/>
      <c r="S8449" s="183"/>
      <c r="AJ8449" s="183"/>
      <c r="AK8449" s="183"/>
      <c r="AL8449" s="183"/>
    </row>
    <row r="8450" spans="1:38">
      <c r="A8450" s="182"/>
      <c r="Q8450" s="183"/>
      <c r="R8450" s="183"/>
      <c r="S8450" s="183"/>
      <c r="AJ8450" s="183"/>
      <c r="AK8450" s="183"/>
      <c r="AL8450" s="183"/>
    </row>
    <row r="8451" spans="1:38">
      <c r="A8451" s="182"/>
      <c r="Q8451" s="183"/>
      <c r="R8451" s="183"/>
      <c r="S8451" s="183"/>
      <c r="AJ8451" s="183"/>
      <c r="AK8451" s="183"/>
      <c r="AL8451" s="183"/>
    </row>
    <row r="8452" spans="1:38">
      <c r="A8452" s="182"/>
      <c r="Q8452" s="183"/>
      <c r="R8452" s="183"/>
      <c r="S8452" s="183"/>
      <c r="AJ8452" s="183"/>
      <c r="AK8452" s="183"/>
      <c r="AL8452" s="183"/>
    </row>
    <row r="8453" spans="1:38">
      <c r="A8453" s="182"/>
      <c r="Q8453" s="183"/>
      <c r="R8453" s="183"/>
      <c r="S8453" s="183"/>
      <c r="AJ8453" s="183"/>
    </row>
    <row r="8454" spans="1:38">
      <c r="A8454" s="182"/>
      <c r="Q8454" s="183"/>
      <c r="R8454" s="183"/>
      <c r="S8454" s="183"/>
    </row>
    <row r="8455" spans="1:38">
      <c r="A8455" s="182"/>
      <c r="Q8455" s="183"/>
      <c r="R8455" s="183"/>
      <c r="S8455" s="183"/>
    </row>
    <row r="8456" spans="1:38">
      <c r="A8456" s="182"/>
      <c r="Q8456" s="183"/>
      <c r="R8456" s="183"/>
      <c r="S8456" s="183"/>
    </row>
    <row r="8457" spans="1:38">
      <c r="A8457" s="182"/>
      <c r="Q8457" s="183"/>
      <c r="R8457" s="183"/>
      <c r="S8457" s="183"/>
    </row>
    <row r="8458" spans="1:38">
      <c r="A8458" s="182"/>
      <c r="Q8458" s="183"/>
      <c r="R8458" s="183"/>
      <c r="S8458" s="183"/>
    </row>
    <row r="8459" spans="1:38">
      <c r="A8459" s="182"/>
      <c r="Q8459" s="183"/>
      <c r="R8459" s="183"/>
      <c r="S8459" s="183"/>
    </row>
    <row r="8460" spans="1:38">
      <c r="A8460" s="182"/>
      <c r="Q8460" s="183"/>
      <c r="R8460" s="183"/>
      <c r="S8460" s="183"/>
    </row>
    <row r="8461" spans="1:38">
      <c r="A8461" s="182"/>
      <c r="Q8461" s="183"/>
      <c r="R8461" s="183"/>
      <c r="S8461" s="183"/>
    </row>
    <row r="8462" spans="1:38">
      <c r="A8462" s="182"/>
      <c r="Q8462" s="183"/>
      <c r="R8462" s="183"/>
      <c r="S8462" s="183"/>
    </row>
    <row r="8463" spans="1:38">
      <c r="A8463" s="182"/>
      <c r="Q8463" s="183"/>
      <c r="R8463" s="183"/>
      <c r="S8463" s="183"/>
    </row>
    <row r="8464" spans="1:38">
      <c r="A8464" s="182"/>
      <c r="Q8464" s="183"/>
      <c r="R8464" s="183"/>
      <c r="S8464" s="183"/>
    </row>
    <row r="8465" spans="1:38">
      <c r="A8465" s="182"/>
      <c r="Q8465" s="183"/>
      <c r="R8465" s="183"/>
      <c r="S8465" s="183"/>
      <c r="AK8465" s="183"/>
      <c r="AL8465" s="183"/>
    </row>
    <row r="8466" spans="1:38">
      <c r="A8466" s="182"/>
      <c r="Q8466" s="183"/>
      <c r="R8466" s="183"/>
      <c r="S8466" s="183"/>
      <c r="AJ8466" s="183"/>
      <c r="AK8466" s="183"/>
      <c r="AL8466" s="183"/>
    </row>
    <row r="8467" spans="1:38">
      <c r="A8467" s="182"/>
      <c r="Q8467" s="183"/>
      <c r="R8467" s="183"/>
      <c r="S8467" s="183"/>
      <c r="AJ8467" s="183"/>
      <c r="AK8467" s="183"/>
      <c r="AL8467" s="183"/>
    </row>
    <row r="8468" spans="1:38">
      <c r="A8468" s="182"/>
      <c r="Q8468" s="183"/>
      <c r="R8468" s="183"/>
      <c r="S8468" s="183"/>
      <c r="AJ8468" s="183"/>
      <c r="AK8468" s="183"/>
      <c r="AL8468" s="183"/>
    </row>
    <row r="8469" spans="1:38">
      <c r="A8469" s="182"/>
      <c r="Q8469" s="183"/>
      <c r="R8469" s="183"/>
      <c r="S8469" s="183"/>
      <c r="AJ8469" s="183"/>
    </row>
    <row r="8470" spans="1:38">
      <c r="A8470" s="182"/>
      <c r="Q8470" s="183"/>
      <c r="R8470" s="183"/>
      <c r="S8470" s="183"/>
    </row>
    <row r="8471" spans="1:38">
      <c r="A8471" s="182"/>
      <c r="Q8471" s="183"/>
      <c r="R8471" s="183"/>
      <c r="S8471" s="183"/>
    </row>
    <row r="8472" spans="1:38">
      <c r="A8472" s="182"/>
      <c r="Q8472" s="183"/>
      <c r="R8472" s="183"/>
      <c r="S8472" s="183"/>
    </row>
    <row r="8473" spans="1:38">
      <c r="A8473" s="182"/>
      <c r="Q8473" s="183"/>
      <c r="R8473" s="183"/>
      <c r="S8473" s="183"/>
    </row>
    <row r="8474" spans="1:38">
      <c r="A8474" s="182"/>
      <c r="Q8474" s="183"/>
      <c r="R8474" s="183"/>
      <c r="S8474" s="183"/>
    </row>
    <row r="8475" spans="1:38">
      <c r="A8475" s="182"/>
      <c r="Q8475" s="183"/>
      <c r="R8475" s="183"/>
      <c r="S8475" s="183"/>
    </row>
    <row r="8476" spans="1:38">
      <c r="A8476" s="182"/>
      <c r="Q8476" s="183"/>
      <c r="R8476" s="183"/>
      <c r="S8476" s="183"/>
    </row>
    <row r="8477" spans="1:38">
      <c r="A8477" s="182"/>
      <c r="Q8477" s="183"/>
      <c r="R8477" s="183"/>
      <c r="S8477" s="183"/>
    </row>
    <row r="8478" spans="1:38">
      <c r="A8478" s="182"/>
      <c r="Q8478" s="183"/>
      <c r="R8478" s="183"/>
      <c r="S8478" s="183"/>
    </row>
    <row r="8479" spans="1:38">
      <c r="A8479" s="182"/>
      <c r="Q8479" s="183"/>
      <c r="R8479" s="183"/>
      <c r="S8479" s="183"/>
    </row>
    <row r="8480" spans="1:38">
      <c r="A8480" s="182"/>
      <c r="Q8480" s="183"/>
      <c r="R8480" s="183"/>
      <c r="S8480" s="183"/>
    </row>
    <row r="8481" spans="1:19">
      <c r="A8481" s="182"/>
      <c r="Q8481" s="183"/>
      <c r="R8481" s="183"/>
      <c r="S8481" s="183"/>
    </row>
    <row r="8482" spans="1:19">
      <c r="A8482" s="182"/>
      <c r="Q8482" s="183"/>
      <c r="R8482" s="183"/>
      <c r="S8482" s="183"/>
    </row>
    <row r="8483" spans="1:19">
      <c r="A8483" s="182"/>
      <c r="Q8483" s="183"/>
      <c r="R8483" s="183"/>
      <c r="S8483" s="183"/>
    </row>
    <row r="8484" spans="1:19">
      <c r="A8484" s="182"/>
      <c r="Q8484" s="183"/>
      <c r="R8484" s="183"/>
      <c r="S8484" s="183"/>
    </row>
    <row r="8485" spans="1:19">
      <c r="A8485" s="182"/>
      <c r="Q8485" s="183"/>
      <c r="R8485" s="183"/>
      <c r="S8485" s="183"/>
    </row>
    <row r="8486" spans="1:19">
      <c r="A8486" s="182"/>
      <c r="Q8486" s="183"/>
      <c r="R8486" s="183"/>
      <c r="S8486" s="183"/>
    </row>
    <row r="8487" spans="1:19">
      <c r="A8487" s="182"/>
      <c r="Q8487" s="183"/>
      <c r="R8487" s="183"/>
      <c r="S8487" s="183"/>
    </row>
    <row r="8488" spans="1:19">
      <c r="A8488" s="182"/>
      <c r="Q8488" s="183"/>
      <c r="R8488" s="183"/>
      <c r="S8488" s="183"/>
    </row>
    <row r="8489" spans="1:19">
      <c r="A8489" s="182"/>
      <c r="Q8489" s="183"/>
      <c r="R8489" s="183"/>
      <c r="S8489" s="183"/>
    </row>
    <row r="8490" spans="1:19">
      <c r="A8490" s="182"/>
      <c r="Q8490" s="183"/>
      <c r="R8490" s="183"/>
      <c r="S8490" s="183"/>
    </row>
    <row r="8491" spans="1:19">
      <c r="A8491" s="182"/>
      <c r="Q8491" s="183"/>
      <c r="R8491" s="183"/>
      <c r="S8491" s="183"/>
    </row>
    <row r="8492" spans="1:19">
      <c r="A8492" s="182"/>
      <c r="Q8492" s="183"/>
      <c r="R8492" s="183"/>
      <c r="S8492" s="183"/>
    </row>
    <row r="8493" spans="1:19">
      <c r="A8493" s="182"/>
      <c r="Q8493" s="183"/>
      <c r="R8493" s="183"/>
      <c r="S8493" s="183"/>
    </row>
    <row r="8494" spans="1:19">
      <c r="A8494" s="182"/>
      <c r="Q8494" s="183"/>
      <c r="R8494" s="183"/>
      <c r="S8494" s="183"/>
    </row>
    <row r="8495" spans="1:19">
      <c r="A8495" s="182"/>
      <c r="Q8495" s="183"/>
      <c r="R8495" s="183"/>
      <c r="S8495" s="183"/>
    </row>
    <row r="8496" spans="1:19">
      <c r="A8496" s="182"/>
      <c r="Q8496" s="183"/>
      <c r="R8496" s="183"/>
      <c r="S8496" s="183"/>
    </row>
    <row r="8497" spans="1:19">
      <c r="A8497" s="182"/>
      <c r="Q8497" s="183"/>
      <c r="R8497" s="183"/>
      <c r="S8497" s="183"/>
    </row>
    <row r="8498" spans="1:19">
      <c r="A8498" s="182"/>
      <c r="Q8498" s="183"/>
      <c r="R8498" s="183"/>
      <c r="S8498" s="183"/>
    </row>
    <row r="8499" spans="1:19">
      <c r="A8499" s="182"/>
      <c r="Q8499" s="183"/>
      <c r="R8499" s="183"/>
      <c r="S8499" s="183"/>
    </row>
    <row r="8500" spans="1:19">
      <c r="A8500" s="182"/>
      <c r="Q8500" s="183"/>
      <c r="R8500" s="183"/>
      <c r="S8500" s="183"/>
    </row>
    <row r="8501" spans="1:19">
      <c r="A8501" s="182"/>
      <c r="Q8501" s="183"/>
      <c r="R8501" s="183"/>
      <c r="S8501" s="183"/>
    </row>
    <row r="8502" spans="1:19">
      <c r="A8502" s="182"/>
      <c r="Q8502" s="183"/>
      <c r="R8502" s="183"/>
      <c r="S8502" s="183"/>
    </row>
    <row r="8503" spans="1:19">
      <c r="A8503" s="182"/>
      <c r="Q8503" s="183"/>
      <c r="R8503" s="183"/>
      <c r="S8503" s="183"/>
    </row>
    <row r="8504" spans="1:19">
      <c r="A8504" s="182"/>
      <c r="Q8504" s="183"/>
      <c r="R8504" s="183"/>
      <c r="S8504" s="183"/>
    </row>
    <row r="8505" spans="1:19">
      <c r="A8505" s="182"/>
      <c r="Q8505" s="183"/>
      <c r="R8505" s="183"/>
      <c r="S8505" s="183"/>
    </row>
    <row r="8506" spans="1:19">
      <c r="A8506" s="182"/>
      <c r="Q8506" s="183"/>
      <c r="R8506" s="183"/>
      <c r="S8506" s="183"/>
    </row>
    <row r="8507" spans="1:19">
      <c r="A8507" s="182"/>
      <c r="Q8507" s="183"/>
      <c r="R8507" s="183"/>
      <c r="S8507" s="183"/>
    </row>
    <row r="8508" spans="1:19">
      <c r="A8508" s="182"/>
      <c r="Q8508" s="183"/>
      <c r="R8508" s="183"/>
      <c r="S8508" s="183"/>
    </row>
    <row r="8509" spans="1:19">
      <c r="A8509" s="182"/>
      <c r="Q8509" s="183"/>
      <c r="R8509" s="183"/>
      <c r="S8509" s="183"/>
    </row>
    <row r="8510" spans="1:19">
      <c r="A8510" s="182"/>
      <c r="Q8510" s="183"/>
      <c r="R8510" s="183"/>
      <c r="S8510" s="183"/>
    </row>
    <row r="8511" spans="1:19">
      <c r="A8511" s="182"/>
      <c r="Q8511" s="183"/>
      <c r="R8511" s="183"/>
      <c r="S8511" s="183"/>
    </row>
    <row r="8512" spans="1:19">
      <c r="A8512" s="182"/>
      <c r="Q8512" s="183"/>
      <c r="R8512" s="183"/>
      <c r="S8512" s="183"/>
    </row>
    <row r="8513" spans="1:38">
      <c r="A8513" s="182"/>
      <c r="Q8513" s="183"/>
      <c r="R8513" s="183"/>
      <c r="S8513" s="183"/>
      <c r="AK8513" s="183"/>
      <c r="AL8513" s="183"/>
    </row>
    <row r="8514" spans="1:38">
      <c r="A8514" s="182"/>
      <c r="Q8514" s="183"/>
      <c r="R8514" s="183"/>
      <c r="S8514" s="183"/>
      <c r="AJ8514" s="183"/>
      <c r="AK8514" s="183"/>
      <c r="AL8514" s="183"/>
    </row>
    <row r="8515" spans="1:38">
      <c r="A8515" s="182"/>
      <c r="Q8515" s="183"/>
      <c r="R8515" s="183"/>
      <c r="S8515" s="183"/>
      <c r="AJ8515" s="183"/>
      <c r="AK8515" s="183"/>
      <c r="AL8515" s="183"/>
    </row>
    <row r="8516" spans="1:38">
      <c r="A8516" s="182"/>
      <c r="Q8516" s="183"/>
      <c r="R8516" s="183"/>
      <c r="S8516" s="183"/>
      <c r="AJ8516" s="183"/>
      <c r="AK8516" s="183"/>
      <c r="AL8516" s="183"/>
    </row>
    <row r="8517" spans="1:38">
      <c r="A8517" s="182"/>
      <c r="Q8517" s="183"/>
      <c r="R8517" s="183"/>
      <c r="S8517" s="183"/>
      <c r="AJ8517" s="183"/>
    </row>
    <row r="8518" spans="1:38">
      <c r="A8518" s="182"/>
      <c r="Q8518" s="183"/>
      <c r="R8518" s="183"/>
      <c r="S8518" s="183"/>
    </row>
    <row r="8519" spans="1:38">
      <c r="A8519" s="182"/>
      <c r="Q8519" s="183"/>
      <c r="R8519" s="183"/>
      <c r="S8519" s="183"/>
    </row>
    <row r="8520" spans="1:38">
      <c r="A8520" s="182"/>
      <c r="Q8520" s="183"/>
      <c r="R8520" s="183"/>
      <c r="S8520" s="183"/>
    </row>
    <row r="8521" spans="1:38">
      <c r="A8521" s="182"/>
      <c r="Q8521" s="183"/>
      <c r="R8521" s="183"/>
      <c r="S8521" s="183"/>
    </row>
    <row r="8522" spans="1:38">
      <c r="A8522" s="182"/>
      <c r="Q8522" s="183"/>
      <c r="R8522" s="183"/>
      <c r="S8522" s="183"/>
    </row>
    <row r="8523" spans="1:38">
      <c r="A8523" s="182"/>
      <c r="Q8523" s="183"/>
      <c r="R8523" s="183"/>
      <c r="S8523" s="183"/>
    </row>
    <row r="8524" spans="1:38">
      <c r="A8524" s="182"/>
      <c r="Q8524" s="183"/>
      <c r="R8524" s="183"/>
      <c r="S8524" s="183"/>
    </row>
    <row r="8525" spans="1:38">
      <c r="A8525" s="182"/>
      <c r="Q8525" s="183"/>
      <c r="R8525" s="183"/>
      <c r="S8525" s="183"/>
    </row>
    <row r="8526" spans="1:38">
      <c r="A8526" s="182"/>
      <c r="Q8526" s="183"/>
      <c r="R8526" s="183"/>
      <c r="S8526" s="183"/>
    </row>
    <row r="8527" spans="1:38">
      <c r="A8527" s="182"/>
      <c r="Q8527" s="183"/>
      <c r="R8527" s="183"/>
      <c r="S8527" s="183"/>
    </row>
    <row r="8528" spans="1:38">
      <c r="A8528" s="182"/>
      <c r="Q8528" s="183"/>
      <c r="R8528" s="183"/>
      <c r="S8528" s="183"/>
    </row>
    <row r="8529" spans="1:19">
      <c r="A8529" s="182"/>
      <c r="Q8529" s="183"/>
      <c r="R8529" s="183"/>
      <c r="S8529" s="183"/>
    </row>
    <row r="8530" spans="1:19">
      <c r="A8530" s="182"/>
      <c r="Q8530" s="183"/>
      <c r="R8530" s="183"/>
      <c r="S8530" s="183"/>
    </row>
    <row r="8531" spans="1:19">
      <c r="A8531" s="182"/>
      <c r="Q8531" s="183"/>
      <c r="R8531" s="183"/>
      <c r="S8531" s="183"/>
    </row>
    <row r="8532" spans="1:19">
      <c r="A8532" s="182"/>
      <c r="Q8532" s="183"/>
      <c r="R8532" s="183"/>
      <c r="S8532" s="183"/>
    </row>
    <row r="8533" spans="1:19">
      <c r="A8533" s="182"/>
      <c r="Q8533" s="183"/>
      <c r="R8533" s="183"/>
      <c r="S8533" s="183"/>
    </row>
    <row r="8534" spans="1:19">
      <c r="A8534" s="182"/>
      <c r="Q8534" s="183"/>
      <c r="R8534" s="183"/>
      <c r="S8534" s="183"/>
    </row>
    <row r="8535" spans="1:19">
      <c r="A8535" s="182"/>
      <c r="Q8535" s="183"/>
      <c r="R8535" s="183"/>
      <c r="S8535" s="183"/>
    </row>
    <row r="8536" spans="1:19">
      <c r="A8536" s="182"/>
      <c r="Q8536" s="183"/>
      <c r="R8536" s="183"/>
      <c r="S8536" s="183"/>
    </row>
    <row r="8537" spans="1:19">
      <c r="A8537" s="182"/>
      <c r="Q8537" s="183"/>
      <c r="R8537" s="183"/>
      <c r="S8537" s="183"/>
    </row>
    <row r="8538" spans="1:19">
      <c r="A8538" s="182"/>
      <c r="Q8538" s="183"/>
      <c r="R8538" s="183"/>
      <c r="S8538" s="183"/>
    </row>
    <row r="8539" spans="1:19">
      <c r="A8539" s="182"/>
      <c r="Q8539" s="183"/>
      <c r="R8539" s="183"/>
      <c r="S8539" s="183"/>
    </row>
    <row r="8540" spans="1:19">
      <c r="A8540" s="182"/>
      <c r="Q8540" s="183"/>
      <c r="R8540" s="183"/>
      <c r="S8540" s="183"/>
    </row>
    <row r="8541" spans="1:19">
      <c r="A8541" s="182"/>
      <c r="Q8541" s="183"/>
      <c r="R8541" s="183"/>
      <c r="S8541" s="183"/>
    </row>
    <row r="8542" spans="1:19">
      <c r="A8542" s="182"/>
      <c r="Q8542" s="183"/>
      <c r="R8542" s="183"/>
      <c r="S8542" s="183"/>
    </row>
    <row r="8543" spans="1:19">
      <c r="A8543" s="182"/>
      <c r="Q8543" s="183"/>
      <c r="R8543" s="183"/>
      <c r="S8543" s="183"/>
    </row>
    <row r="8544" spans="1:19">
      <c r="A8544" s="182"/>
      <c r="Q8544" s="183"/>
      <c r="R8544" s="183"/>
      <c r="S8544" s="183"/>
    </row>
    <row r="8545" spans="1:38">
      <c r="A8545" s="182"/>
      <c r="Q8545" s="183"/>
      <c r="R8545" s="183"/>
      <c r="S8545" s="183"/>
    </row>
    <row r="8546" spans="1:38">
      <c r="A8546" s="182"/>
      <c r="Q8546" s="183"/>
      <c r="R8546" s="183"/>
      <c r="S8546" s="183"/>
    </row>
    <row r="8547" spans="1:38">
      <c r="A8547" s="182"/>
      <c r="Q8547" s="183"/>
      <c r="R8547" s="183"/>
      <c r="S8547" s="183"/>
    </row>
    <row r="8548" spans="1:38">
      <c r="A8548" s="182"/>
      <c r="Q8548" s="183"/>
      <c r="R8548" s="183"/>
      <c r="S8548" s="183"/>
    </row>
    <row r="8549" spans="1:38">
      <c r="A8549" s="182"/>
      <c r="Q8549" s="183"/>
      <c r="R8549" s="183"/>
      <c r="S8549" s="183"/>
    </row>
    <row r="8550" spans="1:38">
      <c r="A8550" s="182"/>
      <c r="Q8550" s="183"/>
      <c r="R8550" s="183"/>
      <c r="S8550" s="183"/>
    </row>
    <row r="8551" spans="1:38">
      <c r="A8551" s="182"/>
      <c r="Q8551" s="183"/>
      <c r="R8551" s="183"/>
      <c r="S8551" s="183"/>
    </row>
    <row r="8552" spans="1:38">
      <c r="A8552" s="182"/>
      <c r="Q8552" s="183"/>
      <c r="R8552" s="183"/>
      <c r="S8552" s="183"/>
    </row>
    <row r="8553" spans="1:38">
      <c r="A8553" s="182"/>
      <c r="Q8553" s="183"/>
      <c r="R8553" s="183"/>
      <c r="S8553" s="183"/>
    </row>
    <row r="8554" spans="1:38">
      <c r="A8554" s="182"/>
      <c r="Q8554" s="183"/>
      <c r="R8554" s="183"/>
      <c r="S8554" s="183"/>
    </row>
    <row r="8555" spans="1:38">
      <c r="A8555" s="182"/>
      <c r="Q8555" s="183"/>
      <c r="R8555" s="183"/>
      <c r="S8555" s="183"/>
    </row>
    <row r="8556" spans="1:38">
      <c r="A8556" s="182"/>
      <c r="Q8556" s="183"/>
      <c r="R8556" s="183"/>
      <c r="S8556" s="183"/>
    </row>
    <row r="8557" spans="1:38">
      <c r="A8557" s="182"/>
      <c r="Q8557" s="183"/>
      <c r="R8557" s="183"/>
      <c r="S8557" s="183"/>
      <c r="AK8557" s="183"/>
      <c r="AL8557" s="183"/>
    </row>
    <row r="8558" spans="1:38">
      <c r="A8558" s="182"/>
      <c r="Q8558" s="183"/>
      <c r="R8558" s="183"/>
      <c r="S8558" s="183"/>
      <c r="AJ8558" s="183"/>
      <c r="AK8558" s="183"/>
      <c r="AL8558" s="183"/>
    </row>
    <row r="8559" spans="1:38">
      <c r="A8559" s="182"/>
      <c r="Q8559" s="183"/>
      <c r="R8559" s="183"/>
      <c r="S8559" s="183"/>
      <c r="AJ8559" s="183"/>
      <c r="AK8559" s="183"/>
      <c r="AL8559" s="183"/>
    </row>
    <row r="8560" spans="1:38">
      <c r="A8560" s="182"/>
      <c r="Q8560" s="183"/>
      <c r="R8560" s="183"/>
      <c r="S8560" s="183"/>
      <c r="AJ8560" s="183"/>
      <c r="AK8560" s="183"/>
      <c r="AL8560" s="183"/>
    </row>
    <row r="8561" spans="1:36">
      <c r="A8561" s="182"/>
      <c r="Q8561" s="183"/>
      <c r="R8561" s="183"/>
      <c r="S8561" s="183"/>
      <c r="AJ8561" s="183"/>
    </row>
    <row r="8562" spans="1:36">
      <c r="A8562" s="182"/>
      <c r="Q8562" s="183"/>
      <c r="R8562" s="183"/>
      <c r="S8562" s="183"/>
    </row>
    <row r="8563" spans="1:36">
      <c r="A8563" s="182"/>
      <c r="Q8563" s="183"/>
      <c r="R8563" s="183"/>
      <c r="S8563" s="183"/>
    </row>
    <row r="8564" spans="1:36">
      <c r="A8564" s="182"/>
      <c r="Q8564" s="183"/>
      <c r="R8564" s="183"/>
      <c r="S8564" s="183"/>
    </row>
    <row r="8565" spans="1:36">
      <c r="A8565" s="182"/>
      <c r="Q8565" s="183"/>
      <c r="R8565" s="183"/>
      <c r="S8565" s="183"/>
    </row>
    <row r="8566" spans="1:36">
      <c r="A8566" s="182"/>
      <c r="Q8566" s="183"/>
      <c r="R8566" s="183"/>
      <c r="S8566" s="183"/>
    </row>
    <row r="8567" spans="1:36">
      <c r="A8567" s="182"/>
      <c r="Q8567" s="183"/>
      <c r="R8567" s="183"/>
      <c r="S8567" s="183"/>
    </row>
    <row r="8568" spans="1:36">
      <c r="A8568" s="182"/>
      <c r="Q8568" s="183"/>
      <c r="R8568" s="183"/>
      <c r="S8568" s="183"/>
    </row>
    <row r="8569" spans="1:36">
      <c r="A8569" s="182"/>
      <c r="Q8569" s="183"/>
      <c r="R8569" s="183"/>
      <c r="S8569" s="183"/>
    </row>
    <row r="8570" spans="1:36">
      <c r="A8570" s="182"/>
      <c r="Q8570" s="183"/>
      <c r="R8570" s="183"/>
      <c r="S8570" s="183"/>
    </row>
    <row r="8571" spans="1:36">
      <c r="A8571" s="182"/>
      <c r="Q8571" s="183"/>
      <c r="R8571" s="183"/>
      <c r="S8571" s="183"/>
    </row>
    <row r="8572" spans="1:36">
      <c r="A8572" s="182"/>
      <c r="Q8572" s="183"/>
      <c r="R8572" s="183"/>
      <c r="S8572" s="183"/>
    </row>
    <row r="8573" spans="1:36">
      <c r="A8573" s="182"/>
      <c r="Q8573" s="183"/>
      <c r="R8573" s="183"/>
      <c r="S8573" s="183"/>
    </row>
    <row r="8574" spans="1:36">
      <c r="A8574" s="182"/>
      <c r="Q8574" s="183"/>
      <c r="R8574" s="183"/>
      <c r="S8574" s="183"/>
    </row>
    <row r="8575" spans="1:36">
      <c r="A8575" s="182"/>
      <c r="Q8575" s="183"/>
      <c r="R8575" s="183"/>
      <c r="S8575" s="183"/>
    </row>
    <row r="8576" spans="1:36">
      <c r="A8576" s="182"/>
      <c r="Q8576" s="183"/>
      <c r="R8576" s="183"/>
      <c r="S8576" s="183"/>
    </row>
    <row r="8577" spans="1:19">
      <c r="A8577" s="182"/>
      <c r="Q8577" s="183"/>
      <c r="R8577" s="183"/>
      <c r="S8577" s="183"/>
    </row>
    <row r="8578" spans="1:19">
      <c r="A8578" s="182"/>
      <c r="Q8578" s="183"/>
      <c r="R8578" s="183"/>
      <c r="S8578" s="183"/>
    </row>
    <row r="8579" spans="1:19">
      <c r="A8579" s="182"/>
      <c r="Q8579" s="183"/>
      <c r="R8579" s="183"/>
      <c r="S8579" s="183"/>
    </row>
    <row r="8580" spans="1:19">
      <c r="A8580" s="182"/>
      <c r="Q8580" s="183"/>
      <c r="R8580" s="183"/>
      <c r="S8580" s="183"/>
    </row>
    <row r="8581" spans="1:19">
      <c r="A8581" s="182"/>
      <c r="Q8581" s="183"/>
      <c r="R8581" s="183"/>
      <c r="S8581" s="183"/>
    </row>
    <row r="8582" spans="1:19">
      <c r="A8582" s="182"/>
      <c r="Q8582" s="183"/>
    </row>
    <row r="8583" spans="1:19">
      <c r="A8583" s="182"/>
      <c r="R8583" s="183"/>
      <c r="S8583" s="183"/>
    </row>
    <row r="8584" spans="1:19">
      <c r="A8584" s="182"/>
      <c r="Q8584" s="183"/>
      <c r="R8584" s="183"/>
      <c r="S8584" s="183"/>
    </row>
    <row r="8585" spans="1:19">
      <c r="A8585" s="182"/>
      <c r="Q8585" s="183"/>
      <c r="R8585" s="183"/>
      <c r="S8585" s="183"/>
    </row>
    <row r="8586" spans="1:19">
      <c r="A8586" s="182"/>
      <c r="Q8586" s="183"/>
      <c r="R8586" s="183"/>
      <c r="S8586" s="183"/>
    </row>
    <row r="8587" spans="1:19">
      <c r="A8587" s="182"/>
      <c r="Q8587" s="183"/>
      <c r="R8587" s="183"/>
      <c r="S8587" s="183"/>
    </row>
    <row r="8588" spans="1:19">
      <c r="A8588" s="182"/>
      <c r="Q8588" s="183"/>
      <c r="R8588" s="183"/>
      <c r="S8588" s="183"/>
    </row>
    <row r="8589" spans="1:19">
      <c r="A8589" s="182"/>
      <c r="Q8589" s="183"/>
      <c r="R8589" s="183"/>
      <c r="S8589" s="183"/>
    </row>
    <row r="8590" spans="1:19">
      <c r="A8590" s="182"/>
      <c r="Q8590" s="183"/>
      <c r="R8590" s="183"/>
      <c r="S8590" s="183"/>
    </row>
    <row r="8591" spans="1:19">
      <c r="A8591" s="182"/>
      <c r="Q8591" s="183"/>
      <c r="R8591" s="183"/>
      <c r="S8591" s="183"/>
    </row>
    <row r="8592" spans="1:19">
      <c r="A8592" s="182"/>
      <c r="Q8592" s="183"/>
      <c r="R8592" s="183"/>
      <c r="S8592" s="183"/>
    </row>
    <row r="8593" spans="1:19">
      <c r="A8593" s="182"/>
      <c r="Q8593" s="183"/>
      <c r="R8593" s="183"/>
      <c r="S8593" s="183"/>
    </row>
    <row r="8594" spans="1:19">
      <c r="A8594" s="182"/>
      <c r="Q8594" s="183"/>
      <c r="R8594" s="183"/>
      <c r="S8594" s="183"/>
    </row>
    <row r="8595" spans="1:19">
      <c r="A8595" s="182"/>
      <c r="Q8595" s="183"/>
      <c r="R8595" s="183"/>
      <c r="S8595" s="183"/>
    </row>
    <row r="8596" spans="1:19">
      <c r="A8596" s="182"/>
      <c r="Q8596" s="183"/>
      <c r="R8596" s="183"/>
      <c r="S8596" s="183"/>
    </row>
    <row r="8597" spans="1:19">
      <c r="A8597" s="182"/>
      <c r="Q8597" s="183"/>
      <c r="R8597" s="183"/>
      <c r="S8597" s="183"/>
    </row>
    <row r="8598" spans="1:19">
      <c r="A8598" s="182"/>
      <c r="Q8598" s="183"/>
      <c r="R8598" s="183"/>
      <c r="S8598" s="183"/>
    </row>
    <row r="8599" spans="1:19">
      <c r="A8599" s="182"/>
      <c r="Q8599" s="183"/>
      <c r="R8599" s="183"/>
      <c r="S8599" s="183"/>
    </row>
    <row r="8600" spans="1:19">
      <c r="A8600" s="182"/>
      <c r="Q8600" s="183"/>
      <c r="R8600" s="183"/>
      <c r="S8600" s="183"/>
    </row>
    <row r="8601" spans="1:19">
      <c r="A8601" s="182"/>
      <c r="Q8601" s="183"/>
      <c r="R8601" s="183"/>
      <c r="S8601" s="183"/>
    </row>
    <row r="8602" spans="1:19">
      <c r="A8602" s="182"/>
      <c r="Q8602" s="183"/>
      <c r="R8602" s="183"/>
      <c r="S8602" s="183"/>
    </row>
    <row r="8603" spans="1:19">
      <c r="A8603" s="182"/>
      <c r="Q8603" s="183"/>
      <c r="R8603" s="183"/>
      <c r="S8603" s="183"/>
    </row>
    <row r="8604" spans="1:19">
      <c r="A8604" s="182"/>
      <c r="Q8604" s="183"/>
      <c r="R8604" s="183"/>
      <c r="S8604" s="183"/>
    </row>
    <row r="8605" spans="1:19">
      <c r="A8605" s="182"/>
      <c r="Q8605" s="183"/>
      <c r="R8605" s="183"/>
      <c r="S8605" s="183"/>
    </row>
    <row r="8606" spans="1:19">
      <c r="A8606" s="182"/>
      <c r="Q8606" s="183"/>
      <c r="R8606" s="183"/>
      <c r="S8606" s="183"/>
    </row>
    <row r="8607" spans="1:19">
      <c r="A8607" s="182"/>
      <c r="Q8607" s="183"/>
      <c r="R8607" s="183"/>
      <c r="S8607" s="183"/>
    </row>
    <row r="8608" spans="1:19">
      <c r="A8608" s="182"/>
      <c r="Q8608" s="183"/>
      <c r="R8608" s="183"/>
      <c r="S8608" s="183"/>
    </row>
    <row r="8609" spans="1:19">
      <c r="A8609" s="182"/>
      <c r="Q8609" s="183"/>
      <c r="R8609" s="183"/>
      <c r="S8609" s="183"/>
    </row>
    <row r="8610" spans="1:19">
      <c r="A8610" s="182"/>
      <c r="Q8610" s="183"/>
      <c r="R8610" s="183"/>
      <c r="S8610" s="183"/>
    </row>
    <row r="8611" spans="1:19">
      <c r="A8611" s="182"/>
      <c r="Q8611" s="183"/>
      <c r="R8611" s="183"/>
      <c r="S8611" s="183"/>
    </row>
    <row r="8612" spans="1:19">
      <c r="A8612" s="182"/>
      <c r="Q8612" s="183"/>
      <c r="R8612" s="183"/>
      <c r="S8612" s="183"/>
    </row>
    <row r="8613" spans="1:19">
      <c r="A8613" s="182"/>
      <c r="Q8613" s="183"/>
      <c r="R8613" s="183"/>
      <c r="S8613" s="183"/>
    </row>
    <row r="8614" spans="1:19">
      <c r="A8614" s="182"/>
      <c r="Q8614" s="183"/>
      <c r="R8614" s="183"/>
      <c r="S8614" s="183"/>
    </row>
    <row r="8615" spans="1:19">
      <c r="A8615" s="182"/>
      <c r="Q8615" s="183"/>
    </row>
    <row r="8616" spans="1:19">
      <c r="A8616" s="182"/>
      <c r="R8616" s="183"/>
      <c r="S8616" s="183"/>
    </row>
    <row r="8617" spans="1:19">
      <c r="A8617" s="182"/>
      <c r="Q8617" s="183"/>
      <c r="R8617" s="183"/>
      <c r="S8617" s="183"/>
    </row>
    <row r="8618" spans="1:19">
      <c r="A8618" s="182"/>
      <c r="Q8618" s="183"/>
      <c r="R8618" s="183"/>
      <c r="S8618" s="183"/>
    </row>
    <row r="8619" spans="1:19">
      <c r="A8619" s="182"/>
      <c r="Q8619" s="183"/>
      <c r="R8619" s="183"/>
      <c r="S8619" s="183"/>
    </row>
    <row r="8620" spans="1:19">
      <c r="A8620" s="182"/>
      <c r="Q8620" s="183"/>
      <c r="R8620" s="183"/>
      <c r="S8620" s="183"/>
    </row>
    <row r="8621" spans="1:19">
      <c r="A8621" s="182"/>
      <c r="Q8621" s="183"/>
      <c r="R8621" s="183"/>
      <c r="S8621" s="183"/>
    </row>
    <row r="8622" spans="1:19">
      <c r="A8622" s="182"/>
      <c r="Q8622" s="183"/>
      <c r="R8622" s="183"/>
      <c r="S8622" s="183"/>
    </row>
    <row r="8623" spans="1:19">
      <c r="A8623" s="182"/>
      <c r="Q8623" s="183"/>
      <c r="R8623" s="183"/>
      <c r="S8623" s="183"/>
    </row>
    <row r="8624" spans="1:19">
      <c r="A8624" s="182"/>
      <c r="Q8624" s="183"/>
      <c r="R8624" s="183"/>
      <c r="S8624" s="183"/>
    </row>
    <row r="8625" spans="1:19">
      <c r="A8625" s="182"/>
      <c r="Q8625" s="183"/>
      <c r="R8625" s="183"/>
      <c r="S8625" s="183"/>
    </row>
    <row r="8626" spans="1:19">
      <c r="A8626" s="182"/>
      <c r="Q8626" s="183"/>
      <c r="R8626" s="183"/>
      <c r="S8626" s="183"/>
    </row>
    <row r="8627" spans="1:19">
      <c r="A8627" s="182"/>
      <c r="Q8627" s="183"/>
      <c r="R8627" s="183"/>
      <c r="S8627" s="183"/>
    </row>
    <row r="8628" spans="1:19">
      <c r="A8628" s="182"/>
      <c r="Q8628" s="183"/>
      <c r="R8628" s="183"/>
      <c r="S8628" s="183"/>
    </row>
    <row r="8629" spans="1:19">
      <c r="A8629" s="182"/>
      <c r="Q8629" s="183"/>
      <c r="R8629" s="183"/>
      <c r="S8629" s="183"/>
    </row>
    <row r="8630" spans="1:19">
      <c r="A8630" s="182"/>
      <c r="Q8630" s="183"/>
      <c r="R8630" s="183"/>
      <c r="S8630" s="183"/>
    </row>
    <row r="8631" spans="1:19">
      <c r="A8631" s="182"/>
      <c r="Q8631" s="183"/>
      <c r="R8631" s="183"/>
      <c r="S8631" s="183"/>
    </row>
    <row r="8632" spans="1:19">
      <c r="A8632" s="182"/>
      <c r="Q8632" s="183"/>
      <c r="R8632" s="183"/>
      <c r="S8632" s="183"/>
    </row>
    <row r="8633" spans="1:19">
      <c r="A8633" s="182"/>
      <c r="Q8633" s="183"/>
      <c r="R8633" s="183"/>
      <c r="S8633" s="183"/>
    </row>
    <row r="8634" spans="1:19">
      <c r="A8634" s="182"/>
      <c r="Q8634" s="183"/>
      <c r="R8634" s="183"/>
      <c r="S8634" s="183"/>
    </row>
    <row r="8635" spans="1:19">
      <c r="A8635" s="182"/>
      <c r="Q8635" s="183"/>
      <c r="R8635" s="183"/>
      <c r="S8635" s="183"/>
    </row>
    <row r="8636" spans="1:19">
      <c r="A8636" s="182"/>
      <c r="Q8636" s="183"/>
      <c r="R8636" s="183"/>
      <c r="S8636" s="183"/>
    </row>
    <row r="8637" spans="1:19">
      <c r="A8637" s="182"/>
      <c r="Q8637" s="183"/>
      <c r="R8637" s="183"/>
      <c r="S8637" s="183"/>
    </row>
    <row r="8638" spans="1:19">
      <c r="A8638" s="182"/>
      <c r="Q8638" s="183"/>
      <c r="R8638" s="183"/>
      <c r="S8638" s="183"/>
    </row>
    <row r="8639" spans="1:19">
      <c r="A8639" s="182"/>
      <c r="Q8639" s="183"/>
      <c r="R8639" s="183"/>
      <c r="S8639" s="183"/>
    </row>
    <row r="8640" spans="1:19">
      <c r="A8640" s="182"/>
      <c r="Q8640" s="183"/>
      <c r="R8640" s="183"/>
      <c r="S8640" s="183"/>
    </row>
    <row r="8641" spans="1:19">
      <c r="A8641" s="182"/>
      <c r="Q8641" s="183"/>
      <c r="R8641" s="183"/>
      <c r="S8641" s="183"/>
    </row>
    <row r="8642" spans="1:19">
      <c r="A8642" s="182"/>
      <c r="Q8642" s="183"/>
      <c r="R8642" s="183"/>
      <c r="S8642" s="183"/>
    </row>
    <row r="8643" spans="1:19">
      <c r="A8643" s="182"/>
      <c r="Q8643" s="183"/>
      <c r="R8643" s="183"/>
      <c r="S8643" s="183"/>
    </row>
    <row r="8644" spans="1:19">
      <c r="A8644" s="182"/>
      <c r="Q8644" s="183"/>
      <c r="R8644" s="183"/>
      <c r="S8644" s="183"/>
    </row>
    <row r="8645" spans="1:19">
      <c r="A8645" s="182"/>
      <c r="Q8645" s="183"/>
      <c r="R8645" s="183"/>
      <c r="S8645" s="183"/>
    </row>
    <row r="8646" spans="1:19">
      <c r="A8646" s="182"/>
      <c r="Q8646" s="183"/>
      <c r="R8646" s="183"/>
      <c r="S8646" s="183"/>
    </row>
    <row r="8647" spans="1:19">
      <c r="A8647" s="182"/>
      <c r="Q8647" s="183"/>
      <c r="R8647" s="183"/>
      <c r="S8647" s="183"/>
    </row>
    <row r="8648" spans="1:19">
      <c r="A8648" s="182"/>
      <c r="Q8648" s="183"/>
      <c r="R8648" s="183"/>
      <c r="S8648" s="183"/>
    </row>
    <row r="8649" spans="1:19">
      <c r="A8649" s="182"/>
      <c r="Q8649" s="183"/>
      <c r="R8649" s="183"/>
      <c r="S8649" s="183"/>
    </row>
    <row r="8650" spans="1:19">
      <c r="A8650" s="182"/>
      <c r="Q8650" s="183"/>
      <c r="R8650" s="183"/>
      <c r="S8650" s="183"/>
    </row>
    <row r="8651" spans="1:19">
      <c r="A8651" s="182"/>
      <c r="Q8651" s="183"/>
      <c r="R8651" s="183"/>
      <c r="S8651" s="183"/>
    </row>
    <row r="8652" spans="1:19">
      <c r="A8652" s="182"/>
      <c r="Q8652" s="183"/>
      <c r="R8652" s="183"/>
      <c r="S8652" s="183"/>
    </row>
    <row r="8653" spans="1:19">
      <c r="A8653" s="182"/>
      <c r="Q8653" s="183"/>
      <c r="R8653" s="183"/>
      <c r="S8653" s="183"/>
    </row>
    <row r="8654" spans="1:19">
      <c r="A8654" s="182"/>
      <c r="Q8654" s="183"/>
      <c r="R8654" s="183"/>
      <c r="S8654" s="183"/>
    </row>
    <row r="8655" spans="1:19">
      <c r="A8655" s="182"/>
      <c r="Q8655" s="183"/>
      <c r="R8655" s="183"/>
      <c r="S8655" s="183"/>
    </row>
    <row r="8656" spans="1:19">
      <c r="A8656" s="182"/>
      <c r="Q8656" s="183"/>
      <c r="R8656" s="183"/>
      <c r="S8656" s="183"/>
    </row>
    <row r="8657" spans="1:38">
      <c r="A8657" s="182"/>
      <c r="Q8657" s="183"/>
      <c r="R8657" s="183"/>
      <c r="S8657" s="183"/>
    </row>
    <row r="8658" spans="1:38">
      <c r="A8658" s="182"/>
      <c r="Q8658" s="183"/>
      <c r="R8658" s="183"/>
      <c r="S8658" s="183"/>
    </row>
    <row r="8659" spans="1:38">
      <c r="A8659" s="182"/>
      <c r="Q8659" s="183"/>
      <c r="R8659" s="183"/>
      <c r="S8659" s="183"/>
    </row>
    <row r="8660" spans="1:38">
      <c r="A8660" s="182"/>
      <c r="Q8660" s="183"/>
      <c r="R8660" s="183"/>
      <c r="S8660" s="183"/>
    </row>
    <row r="8661" spans="1:38">
      <c r="A8661" s="182"/>
      <c r="Q8661" s="183"/>
      <c r="R8661" s="183"/>
      <c r="S8661" s="183"/>
    </row>
    <row r="8662" spans="1:38">
      <c r="A8662" s="182"/>
      <c r="Q8662" s="183"/>
      <c r="R8662" s="183"/>
      <c r="S8662" s="183"/>
    </row>
    <row r="8663" spans="1:38">
      <c r="A8663" s="182"/>
      <c r="Q8663" s="183"/>
      <c r="R8663" s="183"/>
      <c r="S8663" s="183"/>
    </row>
    <row r="8664" spans="1:38">
      <c r="A8664" s="182"/>
      <c r="Q8664" s="183"/>
      <c r="R8664" s="183"/>
      <c r="S8664" s="183"/>
    </row>
    <row r="8665" spans="1:38">
      <c r="A8665" s="182"/>
      <c r="Q8665" s="183"/>
      <c r="R8665" s="183"/>
      <c r="S8665" s="183"/>
    </row>
    <row r="8666" spans="1:38">
      <c r="A8666" s="182"/>
      <c r="Q8666" s="183"/>
      <c r="R8666" s="183"/>
      <c r="S8666" s="183"/>
    </row>
    <row r="8667" spans="1:38">
      <c r="A8667" s="182"/>
      <c r="Q8667" s="183"/>
      <c r="R8667" s="183"/>
      <c r="S8667" s="183"/>
    </row>
    <row r="8668" spans="1:38">
      <c r="A8668" s="182"/>
      <c r="Q8668" s="183"/>
      <c r="R8668" s="183"/>
      <c r="S8668" s="183"/>
    </row>
    <row r="8669" spans="1:38">
      <c r="A8669" s="182"/>
      <c r="Q8669" s="183"/>
      <c r="R8669" s="183"/>
      <c r="S8669" s="183"/>
      <c r="AK8669" s="183"/>
      <c r="AL8669" s="183"/>
    </row>
    <row r="8670" spans="1:38">
      <c r="A8670" s="182"/>
      <c r="Q8670" s="183"/>
      <c r="R8670" s="183"/>
      <c r="S8670" s="183"/>
      <c r="AJ8670" s="183"/>
      <c r="AK8670" s="183"/>
      <c r="AL8670" s="183"/>
    </row>
    <row r="8671" spans="1:38">
      <c r="A8671" s="182"/>
      <c r="Q8671" s="183"/>
      <c r="R8671" s="183"/>
      <c r="S8671" s="183"/>
      <c r="AJ8671" s="183"/>
      <c r="AK8671" s="183"/>
      <c r="AL8671" s="183"/>
    </row>
    <row r="8672" spans="1:38">
      <c r="A8672" s="182"/>
      <c r="Q8672" s="183"/>
      <c r="R8672" s="183"/>
      <c r="S8672" s="183"/>
      <c r="AJ8672" s="183"/>
      <c r="AK8672" s="183"/>
      <c r="AL8672" s="183"/>
    </row>
    <row r="8673" spans="1:36">
      <c r="A8673" s="182"/>
      <c r="Q8673" s="183"/>
      <c r="R8673" s="183"/>
      <c r="S8673" s="183"/>
      <c r="AJ8673" s="183"/>
    </row>
    <row r="8674" spans="1:36">
      <c r="A8674" s="182"/>
      <c r="Q8674" s="183"/>
      <c r="R8674" s="183"/>
      <c r="S8674" s="183"/>
    </row>
    <row r="8675" spans="1:36">
      <c r="A8675" s="182"/>
      <c r="Q8675" s="183"/>
    </row>
    <row r="8676" spans="1:36">
      <c r="A8676" s="182"/>
      <c r="R8676" s="183"/>
      <c r="S8676" s="183"/>
    </row>
    <row r="8677" spans="1:36">
      <c r="A8677" s="182"/>
      <c r="Q8677" s="183"/>
      <c r="R8677" s="183"/>
      <c r="S8677" s="183"/>
    </row>
    <row r="8678" spans="1:36">
      <c r="A8678" s="182"/>
      <c r="Q8678" s="183"/>
      <c r="R8678" s="183"/>
      <c r="S8678" s="183"/>
    </row>
    <row r="8679" spans="1:36">
      <c r="A8679" s="182"/>
      <c r="Q8679" s="183"/>
      <c r="R8679" s="183"/>
      <c r="S8679" s="183"/>
    </row>
    <row r="8680" spans="1:36">
      <c r="A8680" s="182"/>
      <c r="Q8680" s="183"/>
      <c r="R8680" s="183"/>
      <c r="S8680" s="183"/>
    </row>
    <row r="8681" spans="1:36">
      <c r="A8681" s="182"/>
      <c r="Q8681" s="183"/>
      <c r="R8681" s="183"/>
      <c r="S8681" s="183"/>
    </row>
    <row r="8682" spans="1:36">
      <c r="A8682" s="182"/>
      <c r="Q8682" s="183"/>
      <c r="R8682" s="183"/>
      <c r="S8682" s="183"/>
    </row>
    <row r="8683" spans="1:36">
      <c r="A8683" s="182"/>
      <c r="Q8683" s="183"/>
      <c r="R8683" s="183"/>
      <c r="S8683" s="183"/>
    </row>
    <row r="8684" spans="1:36">
      <c r="A8684" s="182"/>
      <c r="Q8684" s="183"/>
      <c r="R8684" s="183"/>
      <c r="S8684" s="183"/>
    </row>
    <row r="8685" spans="1:36">
      <c r="A8685" s="182"/>
      <c r="Q8685" s="183"/>
    </row>
    <row r="8686" spans="1:36">
      <c r="A8686" s="182"/>
    </row>
    <row r="8687" spans="1:36">
      <c r="A8687" s="182"/>
      <c r="R8687" s="183"/>
      <c r="S8687" s="183"/>
    </row>
    <row r="8688" spans="1:36">
      <c r="A8688" s="182"/>
      <c r="Q8688" s="183"/>
      <c r="R8688" s="183"/>
      <c r="S8688" s="183"/>
    </row>
    <row r="8689" spans="1:19">
      <c r="A8689" s="182"/>
      <c r="Q8689" s="183"/>
      <c r="R8689" s="183"/>
      <c r="S8689" s="183"/>
    </row>
    <row r="8690" spans="1:19">
      <c r="A8690" s="182"/>
      <c r="Q8690" s="183"/>
      <c r="R8690" s="183"/>
      <c r="S8690" s="183"/>
    </row>
    <row r="8691" spans="1:19">
      <c r="A8691" s="182"/>
      <c r="Q8691" s="183"/>
      <c r="R8691" s="183"/>
      <c r="S8691" s="183"/>
    </row>
    <row r="8692" spans="1:19">
      <c r="A8692" s="182"/>
      <c r="Q8692" s="183"/>
      <c r="R8692" s="183"/>
      <c r="S8692" s="183"/>
    </row>
    <row r="8693" spans="1:19">
      <c r="A8693" s="182"/>
      <c r="Q8693" s="183"/>
      <c r="R8693" s="183"/>
      <c r="S8693" s="183"/>
    </row>
    <row r="8694" spans="1:19">
      <c r="A8694" s="182"/>
      <c r="Q8694" s="183"/>
      <c r="R8694" s="183"/>
      <c r="S8694" s="183"/>
    </row>
    <row r="8695" spans="1:19">
      <c r="A8695" s="182"/>
      <c r="Q8695" s="183"/>
      <c r="R8695" s="183"/>
      <c r="S8695" s="183"/>
    </row>
    <row r="8696" spans="1:19">
      <c r="A8696" s="182"/>
      <c r="Q8696" s="183"/>
      <c r="R8696" s="183"/>
      <c r="S8696" s="183"/>
    </row>
    <row r="8697" spans="1:19">
      <c r="A8697" s="182"/>
      <c r="Q8697" s="183"/>
      <c r="R8697" s="183"/>
      <c r="S8697" s="183"/>
    </row>
    <row r="8698" spans="1:19">
      <c r="A8698" s="182"/>
      <c r="Q8698" s="183"/>
      <c r="R8698" s="183"/>
      <c r="S8698" s="183"/>
    </row>
    <row r="8699" spans="1:19">
      <c r="A8699" s="182"/>
      <c r="Q8699" s="183"/>
      <c r="R8699" s="183"/>
      <c r="S8699" s="183"/>
    </row>
    <row r="8700" spans="1:19">
      <c r="A8700" s="182"/>
      <c r="Q8700" s="183"/>
      <c r="R8700" s="183"/>
      <c r="S8700" s="183"/>
    </row>
    <row r="8701" spans="1:19">
      <c r="A8701" s="182"/>
      <c r="Q8701" s="183"/>
      <c r="R8701" s="183"/>
      <c r="S8701" s="183"/>
    </row>
    <row r="8702" spans="1:19">
      <c r="A8702" s="182"/>
      <c r="Q8702" s="183"/>
      <c r="R8702" s="183"/>
      <c r="S8702" s="183"/>
    </row>
    <row r="8703" spans="1:19">
      <c r="A8703" s="182"/>
      <c r="Q8703" s="183"/>
      <c r="R8703" s="183"/>
      <c r="S8703" s="183"/>
    </row>
    <row r="8704" spans="1:19">
      <c r="A8704" s="182"/>
      <c r="Q8704" s="183"/>
      <c r="R8704" s="183"/>
      <c r="S8704" s="183"/>
    </row>
    <row r="8705" spans="1:19">
      <c r="A8705" s="182"/>
      <c r="Q8705" s="183"/>
      <c r="R8705" s="183"/>
      <c r="S8705" s="183"/>
    </row>
    <row r="8706" spans="1:19">
      <c r="A8706" s="182"/>
      <c r="Q8706" s="183"/>
      <c r="R8706" s="183"/>
      <c r="S8706" s="183"/>
    </row>
    <row r="8707" spans="1:19">
      <c r="A8707" s="182"/>
      <c r="Q8707" s="183"/>
      <c r="R8707" s="183"/>
      <c r="S8707" s="183"/>
    </row>
    <row r="8708" spans="1:19">
      <c r="A8708" s="182"/>
      <c r="Q8708" s="183"/>
      <c r="R8708" s="183"/>
      <c r="S8708" s="183"/>
    </row>
    <row r="8709" spans="1:19">
      <c r="A8709" s="182"/>
      <c r="Q8709" s="183"/>
      <c r="R8709" s="183"/>
      <c r="S8709" s="183"/>
    </row>
    <row r="8710" spans="1:19">
      <c r="A8710" s="182"/>
      <c r="Q8710" s="183"/>
      <c r="R8710" s="183"/>
      <c r="S8710" s="183"/>
    </row>
    <row r="8711" spans="1:19">
      <c r="A8711" s="182"/>
      <c r="Q8711" s="183"/>
      <c r="R8711" s="183"/>
      <c r="S8711" s="183"/>
    </row>
    <row r="8712" spans="1:19">
      <c r="A8712" s="182"/>
      <c r="Q8712" s="183"/>
      <c r="R8712" s="183"/>
      <c r="S8712" s="183"/>
    </row>
    <row r="8713" spans="1:19">
      <c r="A8713" s="182"/>
      <c r="Q8713" s="183"/>
      <c r="R8713" s="183"/>
      <c r="S8713" s="183"/>
    </row>
    <row r="8714" spans="1:19">
      <c r="A8714" s="182"/>
      <c r="Q8714" s="183"/>
      <c r="R8714" s="183"/>
      <c r="S8714" s="183"/>
    </row>
    <row r="8715" spans="1:19">
      <c r="A8715" s="182"/>
      <c r="Q8715" s="183"/>
      <c r="R8715" s="183"/>
      <c r="S8715" s="183"/>
    </row>
    <row r="8716" spans="1:19">
      <c r="A8716" s="182"/>
      <c r="Q8716" s="183"/>
      <c r="R8716" s="183"/>
      <c r="S8716" s="183"/>
    </row>
    <row r="8717" spans="1:19">
      <c r="A8717" s="182"/>
      <c r="Q8717" s="183"/>
      <c r="R8717" s="183"/>
      <c r="S8717" s="183"/>
    </row>
    <row r="8718" spans="1:19">
      <c r="A8718" s="182"/>
      <c r="Q8718" s="183"/>
      <c r="R8718" s="183"/>
      <c r="S8718" s="183"/>
    </row>
    <row r="8719" spans="1:19">
      <c r="A8719" s="182"/>
      <c r="Q8719" s="183"/>
      <c r="R8719" s="183"/>
      <c r="S8719" s="183"/>
    </row>
    <row r="8720" spans="1:19">
      <c r="A8720" s="182"/>
      <c r="Q8720" s="183"/>
      <c r="R8720" s="183"/>
      <c r="S8720" s="183"/>
    </row>
    <row r="8721" spans="1:19">
      <c r="A8721" s="182"/>
      <c r="Q8721" s="183"/>
      <c r="R8721" s="183"/>
      <c r="S8721" s="183"/>
    </row>
    <row r="8722" spans="1:19">
      <c r="A8722" s="182"/>
      <c r="Q8722" s="183"/>
      <c r="R8722" s="183"/>
      <c r="S8722" s="183"/>
    </row>
    <row r="8723" spans="1:19">
      <c r="A8723" s="182"/>
      <c r="Q8723" s="183"/>
      <c r="R8723" s="183"/>
      <c r="S8723" s="183"/>
    </row>
    <row r="8724" spans="1:19">
      <c r="A8724" s="182"/>
      <c r="Q8724" s="183"/>
      <c r="R8724" s="183"/>
      <c r="S8724" s="183"/>
    </row>
    <row r="8725" spans="1:19">
      <c r="A8725" s="182"/>
      <c r="Q8725" s="183"/>
      <c r="R8725" s="183"/>
      <c r="S8725" s="183"/>
    </row>
    <row r="8726" spans="1:19">
      <c r="A8726" s="182"/>
      <c r="Q8726" s="183"/>
      <c r="R8726" s="183"/>
      <c r="S8726" s="183"/>
    </row>
    <row r="8727" spans="1:19">
      <c r="A8727" s="182"/>
      <c r="Q8727" s="183"/>
      <c r="R8727" s="183"/>
      <c r="S8727" s="183"/>
    </row>
    <row r="8728" spans="1:19">
      <c r="A8728" s="182"/>
      <c r="Q8728" s="183"/>
      <c r="R8728" s="183"/>
      <c r="S8728" s="183"/>
    </row>
    <row r="8729" spans="1:19">
      <c r="A8729" s="182"/>
      <c r="Q8729" s="183"/>
      <c r="R8729" s="183"/>
      <c r="S8729" s="183"/>
    </row>
    <row r="8730" spans="1:19">
      <c r="A8730" s="182"/>
      <c r="Q8730" s="183"/>
      <c r="R8730" s="183"/>
      <c r="S8730" s="183"/>
    </row>
    <row r="8731" spans="1:19">
      <c r="A8731" s="182"/>
      <c r="Q8731" s="183"/>
      <c r="R8731" s="183"/>
      <c r="S8731" s="183"/>
    </row>
    <row r="8732" spans="1:19">
      <c r="A8732" s="182"/>
      <c r="Q8732" s="183"/>
      <c r="R8732" s="183"/>
      <c r="S8732" s="183"/>
    </row>
    <row r="8733" spans="1:19">
      <c r="A8733" s="182"/>
      <c r="Q8733" s="183"/>
      <c r="R8733" s="183"/>
      <c r="S8733" s="183"/>
    </row>
    <row r="8734" spans="1:19">
      <c r="A8734" s="182"/>
      <c r="Q8734" s="183"/>
      <c r="R8734" s="183"/>
      <c r="S8734" s="183"/>
    </row>
    <row r="8735" spans="1:19">
      <c r="A8735" s="182"/>
      <c r="Q8735" s="183"/>
      <c r="R8735" s="183"/>
      <c r="S8735" s="183"/>
    </row>
    <row r="8736" spans="1:19">
      <c r="A8736" s="182"/>
      <c r="Q8736" s="183"/>
      <c r="R8736" s="183"/>
      <c r="S8736" s="183"/>
    </row>
    <row r="8737" spans="1:19">
      <c r="A8737" s="182"/>
      <c r="Q8737" s="183"/>
      <c r="R8737" s="183"/>
      <c r="S8737" s="183"/>
    </row>
    <row r="8738" spans="1:19">
      <c r="A8738" s="182"/>
      <c r="Q8738" s="183"/>
      <c r="R8738" s="183"/>
      <c r="S8738" s="183"/>
    </row>
    <row r="8739" spans="1:19">
      <c r="A8739" s="182"/>
      <c r="Q8739" s="183"/>
      <c r="R8739" s="183"/>
      <c r="S8739" s="183"/>
    </row>
    <row r="8740" spans="1:19">
      <c r="A8740" s="182"/>
      <c r="Q8740" s="183"/>
      <c r="R8740" s="183"/>
      <c r="S8740" s="183"/>
    </row>
    <row r="8741" spans="1:19">
      <c r="A8741" s="182"/>
      <c r="Q8741" s="183"/>
      <c r="R8741" s="183"/>
      <c r="S8741" s="183"/>
    </row>
    <row r="8742" spans="1:19">
      <c r="A8742" s="182"/>
      <c r="Q8742" s="183"/>
      <c r="R8742" s="183"/>
      <c r="S8742" s="183"/>
    </row>
    <row r="8743" spans="1:19">
      <c r="A8743" s="182"/>
      <c r="Q8743" s="183"/>
      <c r="R8743" s="183"/>
      <c r="S8743" s="183"/>
    </row>
    <row r="8744" spans="1:19">
      <c r="A8744" s="182"/>
      <c r="Q8744" s="183"/>
      <c r="R8744" s="183"/>
      <c r="S8744" s="183"/>
    </row>
    <row r="8745" spans="1:19">
      <c r="A8745" s="182"/>
      <c r="Q8745" s="183"/>
      <c r="R8745" s="183"/>
      <c r="S8745" s="183"/>
    </row>
    <row r="8746" spans="1:19">
      <c r="A8746" s="182"/>
      <c r="Q8746" s="183"/>
      <c r="R8746" s="183"/>
      <c r="S8746" s="183"/>
    </row>
    <row r="8747" spans="1:19">
      <c r="A8747" s="182"/>
      <c r="Q8747" s="183"/>
      <c r="R8747" s="183"/>
      <c r="S8747" s="183"/>
    </row>
    <row r="8748" spans="1:19">
      <c r="A8748" s="182"/>
      <c r="Q8748" s="183"/>
      <c r="R8748" s="183"/>
      <c r="S8748" s="183"/>
    </row>
    <row r="8749" spans="1:19">
      <c r="A8749" s="182"/>
      <c r="Q8749" s="183"/>
      <c r="R8749" s="183"/>
      <c r="S8749" s="183"/>
    </row>
    <row r="8750" spans="1:19">
      <c r="A8750" s="182"/>
      <c r="Q8750" s="183"/>
      <c r="R8750" s="183"/>
      <c r="S8750" s="183"/>
    </row>
    <row r="8751" spans="1:19">
      <c r="A8751" s="182"/>
      <c r="Q8751" s="183"/>
      <c r="R8751" s="183"/>
      <c r="S8751" s="183"/>
    </row>
    <row r="8752" spans="1:19">
      <c r="A8752" s="182"/>
      <c r="Q8752" s="183"/>
      <c r="R8752" s="183"/>
      <c r="S8752" s="183"/>
    </row>
    <row r="8753" spans="1:38">
      <c r="A8753" s="182"/>
      <c r="Q8753" s="183"/>
      <c r="R8753" s="183"/>
      <c r="S8753" s="183"/>
      <c r="AK8753" s="183"/>
      <c r="AL8753" s="183"/>
    </row>
    <row r="8754" spans="1:38">
      <c r="A8754" s="182"/>
      <c r="Q8754" s="183"/>
      <c r="R8754" s="183"/>
      <c r="S8754" s="183"/>
      <c r="AJ8754" s="183"/>
      <c r="AK8754" s="183"/>
      <c r="AL8754" s="183"/>
    </row>
    <row r="8755" spans="1:38">
      <c r="A8755" s="182"/>
      <c r="Q8755" s="183"/>
      <c r="R8755" s="183"/>
      <c r="S8755" s="183"/>
      <c r="AJ8755" s="183"/>
      <c r="AK8755" s="183"/>
      <c r="AL8755" s="183"/>
    </row>
    <row r="8756" spans="1:38">
      <c r="A8756" s="182"/>
      <c r="Q8756" s="183"/>
      <c r="R8756" s="183"/>
      <c r="S8756" s="183"/>
      <c r="AJ8756" s="183"/>
      <c r="AK8756" s="183"/>
      <c r="AL8756" s="183"/>
    </row>
    <row r="8757" spans="1:38">
      <c r="A8757" s="182"/>
      <c r="Q8757" s="183"/>
      <c r="R8757" s="183"/>
      <c r="S8757" s="183"/>
      <c r="AJ8757" s="183"/>
      <c r="AK8757" s="183"/>
      <c r="AL8757" s="183"/>
    </row>
    <row r="8758" spans="1:38">
      <c r="A8758" s="182"/>
      <c r="Q8758" s="183"/>
      <c r="R8758" s="183"/>
      <c r="S8758" s="183"/>
      <c r="AJ8758" s="183"/>
      <c r="AK8758" s="183"/>
      <c r="AL8758" s="183"/>
    </row>
    <row r="8759" spans="1:38">
      <c r="A8759" s="182"/>
      <c r="Q8759" s="183"/>
      <c r="R8759" s="183"/>
      <c r="S8759" s="183"/>
      <c r="AJ8759" s="183"/>
      <c r="AK8759" s="183"/>
      <c r="AL8759" s="183"/>
    </row>
    <row r="8760" spans="1:38">
      <c r="A8760" s="182"/>
      <c r="Q8760" s="183"/>
      <c r="R8760" s="183"/>
      <c r="S8760" s="183"/>
      <c r="AJ8760" s="183"/>
      <c r="AK8760" s="183"/>
      <c r="AL8760" s="183"/>
    </row>
    <row r="8761" spans="1:38">
      <c r="A8761" s="182"/>
      <c r="Q8761" s="183"/>
      <c r="R8761" s="183"/>
      <c r="S8761" s="183"/>
      <c r="AJ8761" s="183"/>
    </row>
    <row r="8762" spans="1:38">
      <c r="A8762" s="182"/>
      <c r="Q8762" s="183"/>
      <c r="R8762" s="183"/>
      <c r="S8762" s="183"/>
    </row>
    <row r="8763" spans="1:38">
      <c r="A8763" s="182"/>
      <c r="Q8763" s="183"/>
      <c r="R8763" s="183"/>
      <c r="S8763" s="183"/>
    </row>
    <row r="8764" spans="1:38">
      <c r="A8764" s="182"/>
      <c r="Q8764" s="183"/>
      <c r="R8764" s="183"/>
      <c r="S8764" s="183"/>
    </row>
    <row r="8765" spans="1:38">
      <c r="A8765" s="182"/>
      <c r="Q8765" s="183"/>
      <c r="R8765" s="183"/>
      <c r="S8765" s="183"/>
    </row>
    <row r="8766" spans="1:38">
      <c r="A8766" s="182"/>
      <c r="Q8766" s="183"/>
      <c r="R8766" s="183"/>
      <c r="S8766" s="183"/>
    </row>
    <row r="8767" spans="1:38">
      <c r="A8767" s="182"/>
      <c r="Q8767" s="183"/>
      <c r="R8767" s="183"/>
      <c r="S8767" s="183"/>
    </row>
    <row r="8768" spans="1:38">
      <c r="A8768" s="182"/>
      <c r="Q8768" s="183"/>
      <c r="R8768" s="183"/>
      <c r="S8768" s="183"/>
    </row>
    <row r="8769" spans="1:19">
      <c r="A8769" s="182"/>
      <c r="Q8769" s="183"/>
      <c r="R8769" s="183"/>
      <c r="S8769" s="183"/>
    </row>
    <row r="8770" spans="1:19">
      <c r="A8770" s="182"/>
      <c r="Q8770" s="183"/>
      <c r="R8770" s="183"/>
      <c r="S8770" s="183"/>
    </row>
    <row r="8771" spans="1:19">
      <c r="A8771" s="182"/>
      <c r="Q8771" s="183"/>
    </row>
    <row r="8772" spans="1:19">
      <c r="A8772" s="182"/>
      <c r="R8772" s="183"/>
      <c r="S8772" s="183"/>
    </row>
    <row r="8773" spans="1:19">
      <c r="A8773" s="182"/>
      <c r="Q8773" s="183"/>
    </row>
    <row r="8774" spans="1:19">
      <c r="A8774" s="182"/>
      <c r="R8774" s="183"/>
      <c r="S8774" s="183"/>
    </row>
    <row r="8775" spans="1:19">
      <c r="A8775" s="182"/>
      <c r="Q8775" s="183"/>
      <c r="R8775" s="183"/>
      <c r="S8775" s="183"/>
    </row>
    <row r="8776" spans="1:19">
      <c r="A8776" s="182"/>
      <c r="Q8776" s="183"/>
      <c r="R8776" s="183"/>
      <c r="S8776" s="183"/>
    </row>
    <row r="8777" spans="1:19">
      <c r="A8777" s="182"/>
      <c r="Q8777" s="183"/>
      <c r="R8777" s="183"/>
      <c r="S8777" s="183"/>
    </row>
    <row r="8778" spans="1:19">
      <c r="A8778" s="182"/>
      <c r="Q8778" s="183"/>
      <c r="R8778" s="183"/>
      <c r="S8778" s="183"/>
    </row>
    <row r="8779" spans="1:19">
      <c r="A8779" s="182"/>
      <c r="Q8779" s="183"/>
      <c r="R8779" s="183"/>
      <c r="S8779" s="183"/>
    </row>
    <row r="8780" spans="1:19">
      <c r="A8780" s="182"/>
      <c r="Q8780" s="183"/>
      <c r="R8780" s="183"/>
      <c r="S8780" s="183"/>
    </row>
    <row r="8781" spans="1:19">
      <c r="A8781" s="182"/>
      <c r="Q8781" s="183"/>
      <c r="R8781" s="183"/>
      <c r="S8781" s="183"/>
    </row>
    <row r="8782" spans="1:19">
      <c r="A8782" s="182"/>
      <c r="Q8782" s="183"/>
      <c r="R8782" s="183"/>
      <c r="S8782" s="183"/>
    </row>
    <row r="8783" spans="1:19">
      <c r="A8783" s="182"/>
      <c r="Q8783" s="183"/>
      <c r="R8783" s="183"/>
      <c r="S8783" s="183"/>
    </row>
    <row r="8784" spans="1:19">
      <c r="A8784" s="182"/>
      <c r="Q8784" s="183"/>
      <c r="R8784" s="183"/>
      <c r="S8784" s="183"/>
    </row>
    <row r="8785" spans="1:38">
      <c r="A8785" s="182"/>
      <c r="Q8785" s="183"/>
      <c r="R8785" s="183"/>
      <c r="S8785" s="183"/>
    </row>
    <row r="8786" spans="1:38">
      <c r="A8786" s="182"/>
      <c r="Q8786" s="183"/>
      <c r="R8786" s="183"/>
      <c r="S8786" s="183"/>
    </row>
    <row r="8787" spans="1:38">
      <c r="A8787" s="182"/>
      <c r="Q8787" s="183"/>
      <c r="R8787" s="183"/>
      <c r="S8787" s="183"/>
    </row>
    <row r="8788" spans="1:38">
      <c r="A8788" s="182"/>
      <c r="Q8788" s="183"/>
      <c r="R8788" s="183"/>
      <c r="S8788" s="183"/>
    </row>
    <row r="8789" spans="1:38">
      <c r="A8789" s="182"/>
      <c r="Q8789" s="183"/>
      <c r="R8789" s="183"/>
      <c r="S8789" s="183"/>
    </row>
    <row r="8790" spans="1:38">
      <c r="A8790" s="182"/>
      <c r="Q8790" s="183"/>
      <c r="R8790" s="183"/>
      <c r="S8790" s="183"/>
    </row>
    <row r="8791" spans="1:38">
      <c r="A8791" s="182"/>
      <c r="Q8791" s="183"/>
      <c r="R8791" s="183"/>
      <c r="S8791" s="183"/>
    </row>
    <row r="8792" spans="1:38">
      <c r="A8792" s="182"/>
      <c r="Q8792" s="183"/>
      <c r="R8792" s="183"/>
      <c r="S8792" s="183"/>
    </row>
    <row r="8793" spans="1:38">
      <c r="A8793" s="182"/>
      <c r="Q8793" s="183"/>
      <c r="R8793" s="183"/>
      <c r="S8793" s="183"/>
    </row>
    <row r="8794" spans="1:38">
      <c r="A8794" s="182"/>
      <c r="Q8794" s="183"/>
      <c r="R8794" s="183"/>
      <c r="S8794" s="183"/>
    </row>
    <row r="8795" spans="1:38">
      <c r="A8795" s="182"/>
      <c r="Q8795" s="183"/>
      <c r="R8795" s="183"/>
      <c r="S8795" s="183"/>
    </row>
    <row r="8796" spans="1:38">
      <c r="A8796" s="182"/>
      <c r="Q8796" s="183"/>
      <c r="R8796" s="183"/>
      <c r="S8796" s="183"/>
    </row>
    <row r="8797" spans="1:38">
      <c r="A8797" s="182"/>
      <c r="Q8797" s="183"/>
      <c r="R8797" s="183"/>
      <c r="S8797" s="183"/>
      <c r="AK8797" s="183"/>
      <c r="AL8797" s="183"/>
    </row>
    <row r="8798" spans="1:38">
      <c r="A8798" s="182"/>
      <c r="Q8798" s="183"/>
      <c r="R8798" s="183"/>
      <c r="S8798" s="183"/>
      <c r="AJ8798" s="183"/>
      <c r="AK8798" s="183"/>
      <c r="AL8798" s="183"/>
    </row>
    <row r="8799" spans="1:38">
      <c r="A8799" s="182"/>
      <c r="Q8799" s="183"/>
      <c r="R8799" s="183"/>
      <c r="S8799" s="183"/>
      <c r="AJ8799" s="183"/>
      <c r="AK8799" s="183"/>
      <c r="AL8799" s="183"/>
    </row>
    <row r="8800" spans="1:38">
      <c r="A8800" s="182"/>
      <c r="Q8800" s="183"/>
      <c r="R8800" s="183"/>
      <c r="S8800" s="183"/>
      <c r="AJ8800" s="183"/>
      <c r="AK8800" s="183"/>
      <c r="AL8800" s="183"/>
    </row>
    <row r="8801" spans="1:38">
      <c r="A8801" s="182"/>
      <c r="Q8801" s="183"/>
      <c r="R8801" s="183"/>
      <c r="S8801" s="183"/>
      <c r="AJ8801" s="183"/>
    </row>
    <row r="8802" spans="1:38">
      <c r="A8802" s="182"/>
      <c r="Q8802" s="183"/>
      <c r="R8802" s="183"/>
      <c r="S8802" s="183"/>
    </row>
    <row r="8803" spans="1:38">
      <c r="A8803" s="182"/>
      <c r="Q8803" s="183"/>
      <c r="R8803" s="183"/>
      <c r="S8803" s="183"/>
    </row>
    <row r="8804" spans="1:38">
      <c r="A8804" s="182"/>
      <c r="Q8804" s="183"/>
      <c r="R8804" s="183"/>
      <c r="S8804" s="183"/>
    </row>
    <row r="8805" spans="1:38">
      <c r="A8805" s="182"/>
      <c r="Q8805" s="183"/>
      <c r="R8805" s="183"/>
      <c r="S8805" s="183"/>
      <c r="AK8805" s="183"/>
      <c r="AL8805" s="183"/>
    </row>
    <row r="8806" spans="1:38">
      <c r="A8806" s="182"/>
      <c r="Q8806" s="183"/>
      <c r="R8806" s="183"/>
      <c r="S8806" s="183"/>
      <c r="AJ8806" s="183"/>
      <c r="AK8806" s="183"/>
      <c r="AL8806" s="183"/>
    </row>
    <row r="8807" spans="1:38">
      <c r="A8807" s="182"/>
      <c r="Q8807" s="183"/>
      <c r="R8807" s="183"/>
      <c r="S8807" s="183"/>
      <c r="AJ8807" s="183"/>
      <c r="AK8807" s="183"/>
      <c r="AL8807" s="183"/>
    </row>
    <row r="8808" spans="1:38">
      <c r="A8808" s="182"/>
      <c r="Q8808" s="183"/>
      <c r="R8808" s="183"/>
      <c r="S8808" s="183"/>
      <c r="AJ8808" s="183"/>
      <c r="AK8808" s="183"/>
      <c r="AL8808" s="183"/>
    </row>
    <row r="8809" spans="1:38">
      <c r="A8809" s="182"/>
      <c r="Q8809" s="183"/>
      <c r="R8809" s="183"/>
      <c r="S8809" s="183"/>
      <c r="AJ8809" s="183"/>
      <c r="AK8809" s="183"/>
      <c r="AL8809" s="183"/>
    </row>
    <row r="8810" spans="1:38">
      <c r="A8810" s="182"/>
      <c r="Q8810" s="183"/>
      <c r="R8810" s="183"/>
      <c r="S8810" s="183"/>
      <c r="AJ8810" s="183"/>
      <c r="AK8810" s="183"/>
      <c r="AL8810" s="183"/>
    </row>
    <row r="8811" spans="1:38">
      <c r="A8811" s="182"/>
      <c r="Q8811" s="183"/>
      <c r="R8811" s="183"/>
      <c r="S8811" s="183"/>
      <c r="AJ8811" s="183"/>
      <c r="AK8811" s="183"/>
      <c r="AL8811" s="183"/>
    </row>
    <row r="8812" spans="1:38">
      <c r="A8812" s="182"/>
      <c r="Q8812" s="183"/>
      <c r="R8812" s="183"/>
      <c r="S8812" s="183"/>
      <c r="AJ8812" s="183"/>
      <c r="AK8812" s="183"/>
      <c r="AL8812" s="183"/>
    </row>
    <row r="8813" spans="1:38">
      <c r="A8813" s="182"/>
      <c r="Q8813" s="183"/>
      <c r="R8813" s="183"/>
      <c r="S8813" s="183"/>
      <c r="AJ8813" s="183"/>
    </row>
    <row r="8814" spans="1:38">
      <c r="A8814" s="182"/>
      <c r="Q8814" s="183"/>
      <c r="R8814" s="183"/>
      <c r="S8814" s="183"/>
    </row>
    <row r="8815" spans="1:38">
      <c r="A8815" s="182"/>
      <c r="Q8815" s="183"/>
      <c r="R8815" s="183"/>
      <c r="S8815" s="183"/>
    </row>
    <row r="8816" spans="1:38">
      <c r="A8816" s="182"/>
      <c r="Q8816" s="183"/>
      <c r="R8816" s="183"/>
      <c r="S8816" s="183"/>
    </row>
    <row r="8817" spans="1:19">
      <c r="A8817" s="182"/>
      <c r="Q8817" s="183"/>
      <c r="R8817" s="183"/>
      <c r="S8817" s="183"/>
    </row>
    <row r="8818" spans="1:19">
      <c r="A8818" s="182"/>
      <c r="Q8818" s="183"/>
      <c r="R8818" s="183"/>
      <c r="S8818" s="183"/>
    </row>
    <row r="8819" spans="1:19">
      <c r="A8819" s="182"/>
      <c r="Q8819" s="183"/>
      <c r="R8819" s="183"/>
      <c r="S8819" s="183"/>
    </row>
    <row r="8820" spans="1:19">
      <c r="A8820" s="182"/>
      <c r="Q8820" s="183"/>
      <c r="R8820" s="183"/>
      <c r="S8820" s="183"/>
    </row>
    <row r="8821" spans="1:19">
      <c r="A8821" s="182"/>
      <c r="Q8821" s="183"/>
      <c r="R8821" s="183"/>
      <c r="S8821" s="183"/>
    </row>
    <row r="8822" spans="1:19">
      <c r="A8822" s="182"/>
      <c r="Q8822" s="183"/>
      <c r="R8822" s="183"/>
      <c r="S8822" s="183"/>
    </row>
    <row r="8823" spans="1:19">
      <c r="A8823" s="182"/>
      <c r="Q8823" s="183"/>
      <c r="R8823" s="183"/>
      <c r="S8823" s="183"/>
    </row>
    <row r="8824" spans="1:19">
      <c r="A8824" s="182"/>
      <c r="Q8824" s="183"/>
      <c r="R8824" s="183"/>
      <c r="S8824" s="183"/>
    </row>
    <row r="8825" spans="1:19">
      <c r="A8825" s="182"/>
      <c r="Q8825" s="183"/>
      <c r="R8825" s="183"/>
      <c r="S8825" s="183"/>
    </row>
    <row r="8826" spans="1:19">
      <c r="A8826" s="182"/>
      <c r="Q8826" s="183"/>
      <c r="R8826" s="183"/>
      <c r="S8826" s="183"/>
    </row>
    <row r="8827" spans="1:19">
      <c r="A8827" s="182"/>
      <c r="Q8827" s="183"/>
      <c r="R8827" s="183"/>
      <c r="S8827" s="183"/>
    </row>
    <row r="8828" spans="1:19">
      <c r="A8828" s="182"/>
      <c r="Q8828" s="183"/>
      <c r="R8828" s="183"/>
      <c r="S8828" s="183"/>
    </row>
    <row r="8829" spans="1:19">
      <c r="A8829" s="182"/>
      <c r="Q8829" s="183"/>
      <c r="R8829" s="183"/>
      <c r="S8829" s="183"/>
    </row>
    <row r="8830" spans="1:19">
      <c r="A8830" s="182"/>
      <c r="Q8830" s="183"/>
      <c r="R8830" s="183"/>
      <c r="S8830" s="183"/>
    </row>
    <row r="8831" spans="1:19">
      <c r="A8831" s="182"/>
      <c r="Q8831" s="183"/>
      <c r="R8831" s="183"/>
      <c r="S8831" s="183"/>
    </row>
    <row r="8832" spans="1:19">
      <c r="A8832" s="182"/>
      <c r="Q8832" s="183"/>
      <c r="R8832" s="183"/>
      <c r="S8832" s="183"/>
    </row>
    <row r="8833" spans="1:19">
      <c r="A8833" s="182"/>
      <c r="Q8833" s="183"/>
      <c r="R8833" s="183"/>
      <c r="S8833" s="183"/>
    </row>
    <row r="8834" spans="1:19">
      <c r="A8834" s="182"/>
      <c r="Q8834" s="183"/>
      <c r="R8834" s="183"/>
      <c r="S8834" s="183"/>
    </row>
    <row r="8835" spans="1:19">
      <c r="A8835" s="182"/>
      <c r="Q8835" s="183"/>
      <c r="R8835" s="183"/>
      <c r="S8835" s="183"/>
    </row>
    <row r="8836" spans="1:19">
      <c r="A8836" s="182"/>
      <c r="Q8836" s="183"/>
      <c r="R8836" s="183"/>
      <c r="S8836" s="183"/>
    </row>
    <row r="8837" spans="1:19">
      <c r="A8837" s="182"/>
      <c r="Q8837" s="183"/>
      <c r="R8837" s="183"/>
      <c r="S8837" s="183"/>
    </row>
    <row r="8838" spans="1:19">
      <c r="A8838" s="182"/>
      <c r="Q8838" s="183"/>
      <c r="R8838" s="183"/>
      <c r="S8838" s="183"/>
    </row>
    <row r="8839" spans="1:19">
      <c r="A8839" s="182"/>
      <c r="Q8839" s="183"/>
      <c r="R8839" s="183"/>
      <c r="S8839" s="183"/>
    </row>
    <row r="8840" spans="1:19">
      <c r="A8840" s="182"/>
      <c r="Q8840" s="183"/>
      <c r="R8840" s="183"/>
      <c r="S8840" s="183"/>
    </row>
    <row r="8841" spans="1:19">
      <c r="A8841" s="182"/>
      <c r="Q8841" s="183"/>
      <c r="R8841" s="183"/>
      <c r="S8841" s="183"/>
    </row>
    <row r="8842" spans="1:19">
      <c r="A8842" s="182"/>
      <c r="Q8842" s="183"/>
    </row>
    <row r="8843" spans="1:19">
      <c r="A8843" s="182"/>
    </row>
    <row r="8844" spans="1:19">
      <c r="A8844" s="182"/>
      <c r="R8844" s="183"/>
      <c r="S8844" s="183"/>
    </row>
    <row r="8845" spans="1:19">
      <c r="A8845" s="182"/>
      <c r="Q8845" s="183"/>
      <c r="R8845" s="183"/>
      <c r="S8845" s="183"/>
    </row>
    <row r="8846" spans="1:19">
      <c r="A8846" s="182"/>
      <c r="Q8846" s="183"/>
      <c r="R8846" s="183"/>
      <c r="S8846" s="183"/>
    </row>
    <row r="8847" spans="1:19">
      <c r="A8847" s="182"/>
      <c r="Q8847" s="183"/>
      <c r="R8847" s="183"/>
      <c r="S8847" s="183"/>
    </row>
    <row r="8848" spans="1:19">
      <c r="A8848" s="182"/>
      <c r="Q8848" s="183"/>
      <c r="R8848" s="183"/>
      <c r="S8848" s="183"/>
    </row>
    <row r="8849" spans="1:38">
      <c r="A8849" s="182"/>
      <c r="Q8849" s="183"/>
      <c r="R8849" s="183"/>
      <c r="S8849" s="183"/>
    </row>
    <row r="8850" spans="1:38">
      <c r="A8850" s="182"/>
      <c r="Q8850" s="183"/>
      <c r="R8850" s="183"/>
      <c r="S8850" s="183"/>
    </row>
    <row r="8851" spans="1:38">
      <c r="A8851" s="182"/>
      <c r="Q8851" s="183"/>
      <c r="R8851" s="183"/>
      <c r="S8851" s="183"/>
    </row>
    <row r="8852" spans="1:38">
      <c r="A8852" s="182"/>
      <c r="Q8852" s="183"/>
      <c r="R8852" s="183"/>
      <c r="S8852" s="183"/>
    </row>
    <row r="8853" spans="1:38">
      <c r="A8853" s="182"/>
      <c r="Q8853" s="183"/>
      <c r="R8853" s="183"/>
      <c r="S8853" s="183"/>
    </row>
    <row r="8854" spans="1:38">
      <c r="A8854" s="182"/>
      <c r="Q8854" s="183"/>
      <c r="R8854" s="183"/>
      <c r="S8854" s="183"/>
    </row>
    <row r="8855" spans="1:38">
      <c r="A8855" s="182"/>
      <c r="Q8855" s="183"/>
      <c r="R8855" s="183"/>
      <c r="S8855" s="183"/>
    </row>
    <row r="8856" spans="1:38">
      <c r="A8856" s="182"/>
      <c r="Q8856" s="183"/>
      <c r="R8856" s="183"/>
      <c r="S8856" s="183"/>
    </row>
    <row r="8857" spans="1:38">
      <c r="A8857" s="182"/>
      <c r="Q8857" s="183"/>
      <c r="R8857" s="183"/>
      <c r="S8857" s="183"/>
      <c r="AK8857" s="183"/>
      <c r="AL8857" s="183"/>
    </row>
    <row r="8858" spans="1:38">
      <c r="A8858" s="182"/>
      <c r="Q8858" s="183"/>
      <c r="R8858" s="183"/>
      <c r="S8858" s="183"/>
      <c r="AJ8858" s="183"/>
      <c r="AK8858" s="183"/>
      <c r="AL8858" s="183"/>
    </row>
    <row r="8859" spans="1:38">
      <c r="A8859" s="182"/>
      <c r="Q8859" s="183"/>
      <c r="R8859" s="183"/>
      <c r="S8859" s="183"/>
      <c r="AJ8859" s="183"/>
      <c r="AK8859" s="183"/>
      <c r="AL8859" s="183"/>
    </row>
    <row r="8860" spans="1:38">
      <c r="A8860" s="182"/>
      <c r="Q8860" s="183"/>
      <c r="R8860" s="183"/>
      <c r="S8860" s="183"/>
      <c r="AJ8860" s="183"/>
      <c r="AK8860" s="183"/>
      <c r="AL8860" s="183"/>
    </row>
    <row r="8861" spans="1:38">
      <c r="A8861" s="182"/>
      <c r="Q8861" s="183"/>
      <c r="R8861" s="183"/>
      <c r="S8861" s="183"/>
      <c r="AJ8861" s="183"/>
      <c r="AK8861" s="183"/>
      <c r="AL8861" s="183"/>
    </row>
    <row r="8862" spans="1:38">
      <c r="A8862" s="182"/>
      <c r="Q8862" s="183"/>
      <c r="R8862" s="183"/>
      <c r="S8862" s="183"/>
      <c r="AJ8862" s="183"/>
      <c r="AK8862" s="183"/>
      <c r="AL8862" s="183"/>
    </row>
    <row r="8863" spans="1:38">
      <c r="A8863" s="182"/>
      <c r="Q8863" s="183"/>
      <c r="R8863" s="183"/>
      <c r="S8863" s="183"/>
      <c r="AJ8863" s="183"/>
      <c r="AK8863" s="183"/>
      <c r="AL8863" s="183"/>
    </row>
    <row r="8864" spans="1:38">
      <c r="A8864" s="182"/>
      <c r="Q8864" s="183"/>
      <c r="R8864" s="183"/>
      <c r="S8864" s="183"/>
      <c r="AJ8864" s="183"/>
      <c r="AK8864" s="183"/>
      <c r="AL8864" s="183"/>
    </row>
    <row r="8865" spans="1:36">
      <c r="A8865" s="182"/>
      <c r="Q8865" s="183"/>
      <c r="R8865" s="183"/>
      <c r="S8865" s="183"/>
      <c r="AJ8865" s="183"/>
    </row>
    <row r="8866" spans="1:36">
      <c r="A8866" s="182"/>
      <c r="Q8866" s="183"/>
    </row>
    <row r="8867" spans="1:36">
      <c r="A8867" s="182"/>
    </row>
    <row r="8868" spans="1:36">
      <c r="A8868" s="182"/>
      <c r="R8868" s="183"/>
      <c r="S8868" s="183"/>
    </row>
    <row r="8869" spans="1:36">
      <c r="A8869" s="182"/>
      <c r="Q8869" s="183"/>
      <c r="R8869" s="183"/>
      <c r="S8869" s="183"/>
    </row>
    <row r="8870" spans="1:36">
      <c r="A8870" s="182"/>
      <c r="Q8870" s="183"/>
      <c r="R8870" s="183"/>
      <c r="S8870" s="183"/>
    </row>
    <row r="8871" spans="1:36">
      <c r="A8871" s="182"/>
      <c r="Q8871" s="183"/>
      <c r="R8871" s="183"/>
      <c r="S8871" s="183"/>
    </row>
    <row r="8872" spans="1:36">
      <c r="A8872" s="182"/>
      <c r="Q8872" s="183"/>
      <c r="R8872" s="183"/>
      <c r="S8872" s="183"/>
    </row>
    <row r="8873" spans="1:36">
      <c r="A8873" s="182"/>
      <c r="Q8873" s="183"/>
      <c r="R8873" s="183"/>
      <c r="S8873" s="183"/>
    </row>
    <row r="8874" spans="1:36">
      <c r="A8874" s="182"/>
      <c r="Q8874" s="183"/>
      <c r="R8874" s="183"/>
      <c r="S8874" s="183"/>
    </row>
    <row r="8875" spans="1:36">
      <c r="A8875" s="182"/>
      <c r="Q8875" s="183"/>
      <c r="R8875" s="183"/>
      <c r="S8875" s="183"/>
    </row>
    <row r="8876" spans="1:36">
      <c r="A8876" s="182"/>
      <c r="Q8876" s="183"/>
      <c r="R8876" s="183"/>
      <c r="S8876" s="183"/>
    </row>
    <row r="8877" spans="1:36">
      <c r="A8877" s="182"/>
      <c r="Q8877" s="183"/>
      <c r="R8877" s="183"/>
      <c r="S8877" s="183"/>
    </row>
    <row r="8878" spans="1:36">
      <c r="A8878" s="182"/>
      <c r="Q8878" s="183"/>
      <c r="R8878" s="183"/>
      <c r="S8878" s="183"/>
    </row>
    <row r="8879" spans="1:36">
      <c r="A8879" s="182"/>
      <c r="Q8879" s="183"/>
      <c r="R8879" s="183"/>
      <c r="S8879" s="183"/>
    </row>
    <row r="8880" spans="1:36">
      <c r="A8880" s="182"/>
      <c r="Q8880" s="183"/>
      <c r="R8880" s="183"/>
      <c r="S8880" s="183"/>
    </row>
    <row r="8881" spans="1:19">
      <c r="A8881" s="182"/>
      <c r="Q8881" s="183"/>
      <c r="R8881" s="183"/>
      <c r="S8881" s="183"/>
    </row>
    <row r="8882" spans="1:19">
      <c r="A8882" s="182"/>
      <c r="Q8882" s="183"/>
      <c r="R8882" s="183"/>
      <c r="S8882" s="183"/>
    </row>
    <row r="8883" spans="1:19">
      <c r="A8883" s="182"/>
      <c r="Q8883" s="183"/>
      <c r="R8883" s="183"/>
      <c r="S8883" s="183"/>
    </row>
    <row r="8884" spans="1:19">
      <c r="A8884" s="182"/>
      <c r="Q8884" s="183"/>
      <c r="R8884" s="183"/>
      <c r="S8884" s="183"/>
    </row>
    <row r="8885" spans="1:19">
      <c r="A8885" s="182"/>
      <c r="Q8885" s="183"/>
      <c r="R8885" s="183"/>
      <c r="S8885" s="183"/>
    </row>
    <row r="8886" spans="1:19">
      <c r="A8886" s="182"/>
      <c r="Q8886" s="183"/>
      <c r="R8886" s="183"/>
      <c r="S8886" s="183"/>
    </row>
    <row r="8887" spans="1:19">
      <c r="A8887" s="182"/>
      <c r="Q8887" s="183"/>
      <c r="R8887" s="183"/>
      <c r="S8887" s="183"/>
    </row>
    <row r="8888" spans="1:19">
      <c r="A8888" s="182"/>
      <c r="Q8888" s="183"/>
      <c r="R8888" s="183"/>
      <c r="S8888" s="183"/>
    </row>
    <row r="8889" spans="1:19">
      <c r="A8889" s="182"/>
      <c r="Q8889" s="183"/>
      <c r="R8889" s="183"/>
      <c r="S8889" s="183"/>
    </row>
    <row r="8890" spans="1:19">
      <c r="A8890" s="182"/>
      <c r="Q8890" s="183"/>
      <c r="R8890" s="183"/>
      <c r="S8890" s="183"/>
    </row>
    <row r="8891" spans="1:19">
      <c r="A8891" s="182"/>
      <c r="Q8891" s="183"/>
      <c r="R8891" s="183"/>
      <c r="S8891" s="183"/>
    </row>
    <row r="8892" spans="1:19">
      <c r="A8892" s="182"/>
      <c r="Q8892" s="183"/>
      <c r="R8892" s="183"/>
      <c r="S8892" s="183"/>
    </row>
    <row r="8893" spans="1:19">
      <c r="A8893" s="182"/>
      <c r="Q8893" s="183"/>
      <c r="R8893" s="183"/>
      <c r="S8893" s="183"/>
    </row>
    <row r="8894" spans="1:19">
      <c r="A8894" s="182"/>
      <c r="Q8894" s="183"/>
      <c r="R8894" s="183"/>
      <c r="S8894" s="183"/>
    </row>
    <row r="8895" spans="1:19">
      <c r="A8895" s="182"/>
      <c r="Q8895" s="183"/>
      <c r="R8895" s="183"/>
      <c r="S8895" s="183"/>
    </row>
    <row r="8896" spans="1:19">
      <c r="A8896" s="182"/>
      <c r="Q8896" s="183"/>
      <c r="R8896" s="183"/>
      <c r="S8896" s="183"/>
    </row>
    <row r="8897" spans="1:38">
      <c r="A8897" s="182"/>
      <c r="Q8897" s="183"/>
      <c r="R8897" s="183"/>
      <c r="S8897" s="183"/>
      <c r="AK8897" s="183"/>
      <c r="AL8897" s="183"/>
    </row>
    <row r="8898" spans="1:38">
      <c r="A8898" s="182"/>
      <c r="Q8898" s="183"/>
      <c r="R8898" s="183"/>
      <c r="S8898" s="183"/>
      <c r="AJ8898" s="183"/>
      <c r="AK8898" s="183"/>
      <c r="AL8898" s="183"/>
    </row>
    <row r="8899" spans="1:38">
      <c r="A8899" s="182"/>
      <c r="Q8899" s="183"/>
      <c r="R8899" s="183"/>
      <c r="S8899" s="183"/>
      <c r="AJ8899" s="183"/>
      <c r="AK8899" s="183"/>
      <c r="AL8899" s="183"/>
    </row>
    <row r="8900" spans="1:38">
      <c r="A8900" s="182"/>
      <c r="Q8900" s="183"/>
      <c r="R8900" s="183"/>
      <c r="S8900" s="183"/>
      <c r="AJ8900" s="183"/>
      <c r="AK8900" s="183"/>
      <c r="AL8900" s="183"/>
    </row>
    <row r="8901" spans="1:38">
      <c r="A8901" s="182"/>
      <c r="Q8901" s="183"/>
      <c r="AJ8901" s="183"/>
      <c r="AK8901" s="183"/>
      <c r="AL8901" s="183"/>
    </row>
    <row r="8902" spans="1:38">
      <c r="A8902" s="182"/>
      <c r="R8902" s="183"/>
      <c r="S8902" s="183"/>
      <c r="AJ8902" s="183"/>
      <c r="AK8902" s="183"/>
      <c r="AL8902" s="183"/>
    </row>
    <row r="8903" spans="1:38">
      <c r="A8903" s="182"/>
      <c r="Q8903" s="183"/>
      <c r="AJ8903" s="183"/>
      <c r="AK8903" s="183"/>
      <c r="AL8903" s="183"/>
    </row>
    <row r="8904" spans="1:38">
      <c r="A8904" s="182"/>
      <c r="R8904" s="183"/>
      <c r="S8904" s="183"/>
      <c r="AJ8904" s="183"/>
      <c r="AK8904" s="183"/>
      <c r="AL8904" s="183"/>
    </row>
    <row r="8905" spans="1:38">
      <c r="A8905" s="182"/>
      <c r="Q8905" s="183"/>
      <c r="AJ8905" s="183"/>
      <c r="AK8905" s="183"/>
      <c r="AL8905" s="183"/>
    </row>
    <row r="8906" spans="1:38">
      <c r="A8906" s="182"/>
      <c r="R8906" s="183"/>
      <c r="S8906" s="183"/>
      <c r="AJ8906" s="183"/>
      <c r="AK8906" s="183"/>
      <c r="AL8906" s="183"/>
    </row>
    <row r="8907" spans="1:38">
      <c r="A8907" s="182"/>
      <c r="Q8907" s="183"/>
      <c r="R8907" s="183"/>
      <c r="S8907" s="183"/>
      <c r="AJ8907" s="183"/>
      <c r="AK8907" s="183"/>
      <c r="AL8907" s="183"/>
    </row>
    <row r="8908" spans="1:38">
      <c r="A8908" s="182"/>
      <c r="Q8908" s="183"/>
      <c r="R8908" s="183"/>
      <c r="S8908" s="183"/>
      <c r="AJ8908" s="183"/>
      <c r="AK8908" s="183"/>
      <c r="AL8908" s="183"/>
    </row>
    <row r="8909" spans="1:38">
      <c r="A8909" s="182"/>
      <c r="Q8909" s="183"/>
      <c r="R8909" s="183"/>
      <c r="S8909" s="183"/>
      <c r="AJ8909" s="183"/>
    </row>
    <row r="8910" spans="1:38">
      <c r="A8910" s="182"/>
      <c r="Q8910" s="183"/>
      <c r="R8910" s="183"/>
      <c r="S8910" s="183"/>
    </row>
    <row r="8911" spans="1:38">
      <c r="A8911" s="182"/>
      <c r="Q8911" s="183"/>
      <c r="R8911" s="183"/>
      <c r="S8911" s="183"/>
    </row>
    <row r="8912" spans="1:38">
      <c r="A8912" s="182"/>
      <c r="Q8912" s="183"/>
      <c r="R8912" s="183"/>
      <c r="S8912" s="183"/>
    </row>
    <row r="8913" spans="1:19">
      <c r="A8913" s="182"/>
      <c r="Q8913" s="183"/>
      <c r="R8913" s="183"/>
      <c r="S8913" s="183"/>
    </row>
    <row r="8914" spans="1:19">
      <c r="A8914" s="182"/>
      <c r="Q8914" s="183"/>
      <c r="R8914" s="183"/>
      <c r="S8914" s="183"/>
    </row>
    <row r="8915" spans="1:19">
      <c r="A8915" s="182"/>
      <c r="Q8915" s="183"/>
    </row>
    <row r="8916" spans="1:19">
      <c r="A8916" s="182"/>
    </row>
    <row r="8917" spans="1:19">
      <c r="A8917" s="182"/>
      <c r="R8917" s="183"/>
      <c r="S8917" s="183"/>
    </row>
    <row r="8918" spans="1:19">
      <c r="A8918" s="182"/>
      <c r="Q8918" s="183"/>
      <c r="R8918" s="183"/>
      <c r="S8918" s="183"/>
    </row>
    <row r="8919" spans="1:19">
      <c r="A8919" s="182"/>
      <c r="Q8919" s="183"/>
      <c r="R8919" s="183"/>
      <c r="S8919" s="183"/>
    </row>
    <row r="8920" spans="1:19">
      <c r="A8920" s="182"/>
      <c r="Q8920" s="183"/>
      <c r="R8920" s="183"/>
      <c r="S8920" s="183"/>
    </row>
    <row r="8921" spans="1:19">
      <c r="A8921" s="182"/>
      <c r="Q8921" s="183"/>
      <c r="R8921" s="183"/>
      <c r="S8921" s="183"/>
    </row>
    <row r="8922" spans="1:19">
      <c r="A8922" s="182"/>
      <c r="Q8922" s="183"/>
      <c r="R8922" s="183"/>
      <c r="S8922" s="183"/>
    </row>
    <row r="8923" spans="1:19">
      <c r="A8923" s="182"/>
      <c r="Q8923" s="183"/>
      <c r="R8923" s="183"/>
      <c r="S8923" s="183"/>
    </row>
    <row r="8924" spans="1:19">
      <c r="A8924" s="182"/>
      <c r="Q8924" s="183"/>
      <c r="R8924" s="183"/>
      <c r="S8924" s="183"/>
    </row>
    <row r="8925" spans="1:19">
      <c r="A8925" s="182"/>
      <c r="Q8925" s="183"/>
      <c r="R8925" s="183"/>
      <c r="S8925" s="183"/>
    </row>
    <row r="8926" spans="1:19">
      <c r="A8926" s="182"/>
      <c r="Q8926" s="183"/>
      <c r="R8926" s="183"/>
      <c r="S8926" s="183"/>
    </row>
    <row r="8927" spans="1:19">
      <c r="A8927" s="182"/>
      <c r="Q8927" s="183"/>
      <c r="R8927" s="183"/>
      <c r="S8927" s="183"/>
    </row>
    <row r="8928" spans="1:19">
      <c r="A8928" s="182"/>
      <c r="Q8928" s="183"/>
      <c r="R8928" s="183"/>
      <c r="S8928" s="183"/>
    </row>
    <row r="8929" spans="1:38">
      <c r="A8929" s="182"/>
      <c r="Q8929" s="183"/>
      <c r="R8929" s="183"/>
      <c r="S8929" s="183"/>
    </row>
    <row r="8930" spans="1:38">
      <c r="A8930" s="182"/>
      <c r="Q8930" s="183"/>
      <c r="R8930" s="183"/>
      <c r="S8930" s="183"/>
    </row>
    <row r="8931" spans="1:38">
      <c r="A8931" s="182"/>
      <c r="Q8931" s="183"/>
      <c r="R8931" s="183"/>
      <c r="S8931" s="183"/>
    </row>
    <row r="8932" spans="1:38">
      <c r="A8932" s="182"/>
      <c r="Q8932" s="183"/>
      <c r="R8932" s="183"/>
      <c r="S8932" s="183"/>
    </row>
    <row r="8933" spans="1:38">
      <c r="A8933" s="182"/>
      <c r="Q8933" s="183"/>
      <c r="R8933" s="183"/>
      <c r="S8933" s="183"/>
      <c r="AK8933" s="183"/>
      <c r="AL8933" s="183"/>
    </row>
    <row r="8934" spans="1:38">
      <c r="A8934" s="182"/>
      <c r="Q8934" s="183"/>
      <c r="R8934" s="183"/>
      <c r="S8934" s="183"/>
      <c r="AJ8934" s="183"/>
      <c r="AK8934" s="183"/>
      <c r="AL8934" s="183"/>
    </row>
    <row r="8935" spans="1:38">
      <c r="A8935" s="182"/>
      <c r="Q8935" s="183"/>
      <c r="R8935" s="183"/>
      <c r="S8935" s="183"/>
      <c r="AJ8935" s="183"/>
      <c r="AK8935" s="183"/>
      <c r="AL8935" s="183"/>
    </row>
    <row r="8936" spans="1:38">
      <c r="A8936" s="182"/>
      <c r="Q8936" s="183"/>
      <c r="R8936" s="183"/>
      <c r="S8936" s="183"/>
      <c r="AJ8936" s="183"/>
      <c r="AK8936" s="183"/>
      <c r="AL8936" s="183"/>
    </row>
    <row r="8937" spans="1:38">
      <c r="A8937" s="182"/>
      <c r="Q8937" s="183"/>
      <c r="R8937" s="183"/>
      <c r="S8937" s="183"/>
      <c r="AJ8937" s="183"/>
    </row>
    <row r="8938" spans="1:38">
      <c r="A8938" s="182"/>
      <c r="Q8938" s="183"/>
      <c r="R8938" s="183"/>
      <c r="S8938" s="183"/>
    </row>
    <row r="8939" spans="1:38">
      <c r="A8939" s="182"/>
      <c r="Q8939" s="183"/>
    </row>
    <row r="8940" spans="1:38">
      <c r="A8940" s="182"/>
      <c r="R8940" s="183"/>
      <c r="S8940" s="183"/>
    </row>
    <row r="8941" spans="1:38">
      <c r="A8941" s="182"/>
      <c r="Q8941" s="183"/>
      <c r="R8941" s="183"/>
      <c r="S8941" s="183"/>
    </row>
    <row r="8942" spans="1:38">
      <c r="A8942" s="182"/>
      <c r="Q8942" s="183"/>
      <c r="R8942" s="183"/>
      <c r="S8942" s="183"/>
    </row>
    <row r="8943" spans="1:38">
      <c r="A8943" s="182"/>
      <c r="Q8943" s="183"/>
      <c r="R8943" s="183"/>
      <c r="S8943" s="183"/>
    </row>
    <row r="8944" spans="1:38">
      <c r="A8944" s="182"/>
      <c r="Q8944" s="183"/>
      <c r="R8944" s="183"/>
      <c r="S8944" s="183"/>
    </row>
    <row r="8945" spans="1:38">
      <c r="A8945" s="182"/>
      <c r="Q8945" s="183"/>
      <c r="R8945" s="183"/>
      <c r="S8945" s="183"/>
      <c r="AK8945" s="183"/>
      <c r="AL8945" s="183"/>
    </row>
    <row r="8946" spans="1:38">
      <c r="A8946" s="182"/>
      <c r="Q8946" s="183"/>
      <c r="R8946" s="183"/>
      <c r="S8946" s="183"/>
      <c r="AJ8946" s="183"/>
      <c r="AK8946" s="183"/>
      <c r="AL8946" s="183"/>
    </row>
    <row r="8947" spans="1:38">
      <c r="A8947" s="182"/>
      <c r="Q8947" s="183"/>
      <c r="R8947" s="183"/>
      <c r="S8947" s="183"/>
      <c r="AJ8947" s="183"/>
      <c r="AK8947" s="183"/>
      <c r="AL8947" s="183"/>
    </row>
    <row r="8948" spans="1:38">
      <c r="A8948" s="182"/>
      <c r="Q8948" s="183"/>
      <c r="R8948" s="183"/>
      <c r="S8948" s="183"/>
      <c r="AJ8948" s="183"/>
      <c r="AK8948" s="183"/>
      <c r="AL8948" s="183"/>
    </row>
    <row r="8949" spans="1:38">
      <c r="A8949" s="182"/>
      <c r="Q8949" s="183"/>
      <c r="R8949" s="183"/>
      <c r="S8949" s="183"/>
      <c r="AJ8949" s="183"/>
      <c r="AK8949" s="183"/>
      <c r="AL8949" s="183"/>
    </row>
    <row r="8950" spans="1:38">
      <c r="A8950" s="182"/>
      <c r="Q8950" s="183"/>
      <c r="R8950" s="183"/>
      <c r="S8950" s="183"/>
      <c r="AJ8950" s="183"/>
      <c r="AK8950" s="183"/>
      <c r="AL8950" s="183"/>
    </row>
    <row r="8951" spans="1:38">
      <c r="A8951" s="182"/>
      <c r="Q8951" s="183"/>
      <c r="R8951" s="183"/>
      <c r="S8951" s="183"/>
      <c r="AJ8951" s="183"/>
      <c r="AK8951" s="183"/>
      <c r="AL8951" s="183"/>
    </row>
    <row r="8952" spans="1:38">
      <c r="A8952" s="182"/>
      <c r="Q8952" s="183"/>
      <c r="AJ8952" s="183"/>
      <c r="AK8952" s="183"/>
      <c r="AL8952" s="183"/>
    </row>
    <row r="8953" spans="1:38">
      <c r="A8953" s="182"/>
      <c r="R8953" s="183"/>
      <c r="S8953" s="183"/>
      <c r="AJ8953" s="183"/>
      <c r="AK8953" s="183"/>
      <c r="AL8953" s="183"/>
    </row>
    <row r="8954" spans="1:38">
      <c r="A8954" s="182"/>
      <c r="Q8954" s="183"/>
      <c r="R8954" s="183"/>
      <c r="S8954" s="183"/>
      <c r="AJ8954" s="183"/>
      <c r="AK8954" s="183"/>
      <c r="AL8954" s="183"/>
    </row>
    <row r="8955" spans="1:38">
      <c r="A8955" s="182"/>
      <c r="Q8955" s="183"/>
      <c r="R8955" s="183"/>
      <c r="S8955" s="183"/>
      <c r="AJ8955" s="183"/>
      <c r="AK8955" s="183"/>
      <c r="AL8955" s="183"/>
    </row>
    <row r="8956" spans="1:38">
      <c r="A8956" s="182"/>
      <c r="Q8956" s="183"/>
      <c r="R8956" s="183"/>
      <c r="S8956" s="183"/>
      <c r="AJ8956" s="183"/>
      <c r="AK8956" s="183"/>
      <c r="AL8956" s="183"/>
    </row>
    <row r="8957" spans="1:38">
      <c r="A8957" s="182"/>
      <c r="Q8957" s="183"/>
      <c r="R8957" s="183"/>
      <c r="S8957" s="183"/>
      <c r="AJ8957" s="183"/>
    </row>
    <row r="8958" spans="1:38">
      <c r="A8958" s="182"/>
      <c r="Q8958" s="183"/>
      <c r="R8958" s="183"/>
      <c r="S8958" s="183"/>
    </row>
    <row r="8959" spans="1:38">
      <c r="A8959" s="182"/>
      <c r="Q8959" s="183"/>
      <c r="R8959" s="183"/>
      <c r="S8959" s="183"/>
    </row>
    <row r="8960" spans="1:38">
      <c r="A8960" s="182"/>
      <c r="Q8960" s="183"/>
    </row>
    <row r="8961" spans="1:19">
      <c r="A8961" s="182"/>
      <c r="R8961" s="183"/>
      <c r="S8961" s="183"/>
    </row>
    <row r="8962" spans="1:19">
      <c r="A8962" s="182"/>
      <c r="Q8962" s="183"/>
      <c r="R8962" s="183"/>
      <c r="S8962" s="183"/>
    </row>
    <row r="8963" spans="1:19">
      <c r="A8963" s="182"/>
      <c r="Q8963" s="183"/>
      <c r="R8963" s="183"/>
      <c r="S8963" s="183"/>
    </row>
    <row r="8964" spans="1:19">
      <c r="A8964" s="182"/>
      <c r="Q8964" s="183"/>
      <c r="R8964" s="183"/>
      <c r="S8964" s="183"/>
    </row>
    <row r="8965" spans="1:19">
      <c r="A8965" s="182"/>
      <c r="Q8965" s="183"/>
      <c r="R8965" s="183"/>
      <c r="S8965" s="183"/>
    </row>
    <row r="8966" spans="1:19">
      <c r="A8966" s="182"/>
      <c r="Q8966" s="183"/>
      <c r="R8966" s="183"/>
      <c r="S8966" s="183"/>
    </row>
    <row r="8967" spans="1:19">
      <c r="A8967" s="182"/>
      <c r="Q8967" s="183"/>
      <c r="R8967" s="183"/>
      <c r="S8967" s="183"/>
    </row>
    <row r="8968" spans="1:19">
      <c r="A8968" s="182"/>
      <c r="Q8968" s="183"/>
      <c r="R8968" s="183"/>
      <c r="S8968" s="183"/>
    </row>
    <row r="8969" spans="1:19">
      <c r="A8969" s="182"/>
      <c r="Q8969" s="183"/>
      <c r="R8969" s="183"/>
      <c r="S8969" s="183"/>
    </row>
    <row r="8970" spans="1:19">
      <c r="A8970" s="182"/>
      <c r="Q8970" s="183"/>
    </row>
    <row r="8971" spans="1:19">
      <c r="A8971" s="182"/>
      <c r="R8971" s="183"/>
      <c r="S8971" s="183"/>
    </row>
    <row r="8972" spans="1:19">
      <c r="A8972" s="182"/>
      <c r="Q8972" s="183"/>
      <c r="R8972" s="183"/>
      <c r="S8972" s="183"/>
    </row>
    <row r="8973" spans="1:19">
      <c r="A8973" s="182"/>
      <c r="Q8973" s="183"/>
    </row>
    <row r="8974" spans="1:19">
      <c r="A8974" s="182"/>
    </row>
    <row r="8975" spans="1:19">
      <c r="A8975" s="182"/>
    </row>
    <row r="8976" spans="1:19">
      <c r="A8976" s="182"/>
    </row>
    <row r="8977" spans="1:19">
      <c r="A8977" s="182"/>
      <c r="R8977" s="183"/>
      <c r="S8977" s="183"/>
    </row>
    <row r="8978" spans="1:19">
      <c r="A8978" s="182"/>
      <c r="Q8978" s="183"/>
    </row>
    <row r="8979" spans="1:19">
      <c r="A8979" s="182"/>
      <c r="R8979" s="183"/>
      <c r="S8979" s="183"/>
    </row>
    <row r="8980" spans="1:19">
      <c r="A8980" s="182"/>
      <c r="Q8980" s="183"/>
      <c r="R8980" s="183"/>
      <c r="S8980" s="183"/>
    </row>
    <row r="8981" spans="1:19">
      <c r="A8981" s="182"/>
      <c r="Q8981" s="183"/>
    </row>
    <row r="8982" spans="1:19">
      <c r="A8982" s="182"/>
    </row>
    <row r="8983" spans="1:19">
      <c r="A8983" s="182"/>
    </row>
    <row r="8984" spans="1:19">
      <c r="A8984" s="182"/>
    </row>
    <row r="8985" spans="1:19">
      <c r="A8985" s="182"/>
    </row>
    <row r="8986" spans="1:19">
      <c r="A8986" s="182"/>
      <c r="R8986" s="183"/>
      <c r="S8986" s="183"/>
    </row>
    <row r="8987" spans="1:19">
      <c r="A8987" s="182"/>
      <c r="Q8987" s="183"/>
    </row>
    <row r="8988" spans="1:19">
      <c r="A8988" s="182"/>
    </row>
    <row r="8989" spans="1:19">
      <c r="A8989" s="182"/>
    </row>
    <row r="8990" spans="1:19">
      <c r="A8990" s="182"/>
    </row>
    <row r="8991" spans="1:19">
      <c r="A8991" s="182"/>
    </row>
    <row r="8992" spans="1:19">
      <c r="A8992" s="182"/>
    </row>
    <row r="8993" spans="1:19">
      <c r="A8993" s="182"/>
    </row>
    <row r="8994" spans="1:19">
      <c r="A8994" s="182"/>
    </row>
    <row r="8995" spans="1:19">
      <c r="A8995" s="182"/>
    </row>
    <row r="8996" spans="1:19">
      <c r="A8996" s="182"/>
    </row>
    <row r="8997" spans="1:19">
      <c r="A8997" s="182"/>
    </row>
    <row r="8998" spans="1:19">
      <c r="A8998" s="182"/>
      <c r="R8998" s="183"/>
      <c r="S8998" s="183"/>
    </row>
    <row r="8999" spans="1:19">
      <c r="A8999" s="182"/>
      <c r="Q8999" s="183"/>
      <c r="R8999" s="183"/>
      <c r="S8999" s="183"/>
    </row>
    <row r="9000" spans="1:19">
      <c r="A9000" s="182"/>
      <c r="Q9000" s="183"/>
      <c r="R9000" s="183"/>
      <c r="S9000" s="183"/>
    </row>
    <row r="9001" spans="1:19">
      <c r="A9001" s="182"/>
      <c r="Q9001" s="183"/>
      <c r="R9001" s="183"/>
      <c r="S9001" s="183"/>
    </row>
    <row r="9002" spans="1:19">
      <c r="A9002" s="182"/>
      <c r="Q9002" s="183"/>
    </row>
    <row r="9003" spans="1:19">
      <c r="A9003" s="182"/>
    </row>
    <row r="9004" spans="1:19">
      <c r="A9004" s="182"/>
    </row>
    <row r="9005" spans="1:19">
      <c r="A9005" s="182"/>
    </row>
    <row r="9006" spans="1:19">
      <c r="A9006" s="182"/>
    </row>
    <row r="9007" spans="1:19">
      <c r="A9007" s="182"/>
    </row>
    <row r="9008" spans="1:19">
      <c r="A9008" s="182"/>
    </row>
    <row r="9009" spans="1:38">
      <c r="A9009" s="182"/>
    </row>
    <row r="9010" spans="1:38">
      <c r="A9010" s="182"/>
    </row>
    <row r="9011" spans="1:38">
      <c r="A9011" s="182"/>
    </row>
    <row r="9012" spans="1:38">
      <c r="A9012" s="182"/>
    </row>
    <row r="9013" spans="1:38">
      <c r="A9013" s="182"/>
      <c r="AK9013" s="183"/>
      <c r="AL9013" s="183"/>
    </row>
    <row r="9014" spans="1:38">
      <c r="A9014" s="182"/>
      <c r="AJ9014" s="183"/>
      <c r="AK9014" s="183"/>
      <c r="AL9014" s="183"/>
    </row>
    <row r="9015" spans="1:38">
      <c r="A9015" s="182"/>
      <c r="AJ9015" s="183"/>
      <c r="AK9015" s="183"/>
      <c r="AL9015" s="183"/>
    </row>
    <row r="9016" spans="1:38">
      <c r="A9016" s="182"/>
      <c r="AJ9016" s="183"/>
      <c r="AK9016" s="183"/>
      <c r="AL9016" s="183"/>
    </row>
    <row r="9017" spans="1:38">
      <c r="A9017" s="182"/>
      <c r="AJ9017" s="183"/>
    </row>
    <row r="9018" spans="1:38">
      <c r="A9018" s="182"/>
    </row>
    <row r="9019" spans="1:38">
      <c r="A9019" s="182"/>
    </row>
    <row r="9020" spans="1:38">
      <c r="A9020" s="182"/>
    </row>
    <row r="9021" spans="1:38">
      <c r="A9021" s="182"/>
      <c r="R9021" s="183"/>
      <c r="S9021" s="183"/>
      <c r="AK9021" s="183"/>
      <c r="AL9021" s="183"/>
    </row>
    <row r="9022" spans="1:38">
      <c r="A9022" s="182"/>
      <c r="Q9022" s="183"/>
      <c r="AJ9022" s="183"/>
      <c r="AK9022" s="183"/>
      <c r="AL9022" s="183"/>
    </row>
    <row r="9023" spans="1:38">
      <c r="A9023" s="182"/>
      <c r="AJ9023" s="183"/>
      <c r="AK9023" s="183"/>
      <c r="AL9023" s="183"/>
    </row>
    <row r="9024" spans="1:38">
      <c r="A9024" s="182"/>
      <c r="AJ9024" s="183"/>
      <c r="AK9024" s="183"/>
      <c r="AL9024" s="183"/>
    </row>
    <row r="9025" spans="1:38">
      <c r="A9025" s="182"/>
      <c r="AJ9025" s="183"/>
      <c r="AK9025" s="183"/>
      <c r="AL9025" s="183"/>
    </row>
    <row r="9026" spans="1:38">
      <c r="A9026" s="182"/>
      <c r="R9026" s="183"/>
      <c r="S9026" s="183"/>
      <c r="AJ9026" s="183"/>
      <c r="AK9026" s="183"/>
      <c r="AL9026" s="183"/>
    </row>
    <row r="9027" spans="1:38">
      <c r="A9027" s="182"/>
      <c r="Q9027" s="183"/>
      <c r="R9027" s="183"/>
      <c r="S9027" s="183"/>
      <c r="AJ9027" s="183"/>
      <c r="AK9027" s="183"/>
      <c r="AL9027" s="183"/>
    </row>
    <row r="9028" spans="1:38">
      <c r="A9028" s="182"/>
      <c r="Q9028" s="183"/>
      <c r="R9028" s="183"/>
      <c r="S9028" s="183"/>
      <c r="AJ9028" s="183"/>
      <c r="AK9028" s="183"/>
      <c r="AL9028" s="183"/>
    </row>
    <row r="9029" spans="1:38">
      <c r="A9029" s="182"/>
      <c r="Q9029" s="183"/>
      <c r="R9029" s="183"/>
      <c r="S9029" s="183"/>
      <c r="AJ9029" s="183"/>
    </row>
    <row r="9030" spans="1:38">
      <c r="A9030" s="182"/>
      <c r="Q9030" s="183"/>
      <c r="R9030" s="183"/>
      <c r="S9030" s="183"/>
    </row>
    <row r="9031" spans="1:38">
      <c r="A9031" s="182"/>
      <c r="Q9031" s="183"/>
      <c r="R9031" s="183"/>
      <c r="S9031" s="183"/>
    </row>
    <row r="9032" spans="1:38">
      <c r="A9032" s="182"/>
      <c r="Q9032" s="183"/>
      <c r="R9032" s="183"/>
      <c r="S9032" s="183"/>
    </row>
    <row r="9033" spans="1:38">
      <c r="A9033" s="182"/>
      <c r="Q9033" s="183"/>
      <c r="R9033" s="183"/>
      <c r="S9033" s="183"/>
    </row>
    <row r="9034" spans="1:38">
      <c r="A9034" s="182"/>
      <c r="Q9034" s="183"/>
      <c r="R9034" s="183"/>
      <c r="S9034" s="183"/>
    </row>
    <row r="9035" spans="1:38">
      <c r="A9035" s="182"/>
      <c r="Q9035" s="183"/>
      <c r="R9035" s="183"/>
      <c r="S9035" s="183"/>
    </row>
    <row r="9036" spans="1:38">
      <c r="A9036" s="182"/>
      <c r="Q9036" s="183"/>
      <c r="R9036" s="183"/>
      <c r="S9036" s="183"/>
    </row>
    <row r="9037" spans="1:38">
      <c r="A9037" s="182"/>
      <c r="Q9037" s="183"/>
      <c r="AK9037" s="183"/>
      <c r="AL9037" s="183"/>
    </row>
    <row r="9038" spans="1:38">
      <c r="A9038" s="182"/>
      <c r="AJ9038" s="183"/>
      <c r="AK9038" s="183"/>
      <c r="AL9038" s="183"/>
    </row>
    <row r="9039" spans="1:38">
      <c r="A9039" s="182"/>
      <c r="AJ9039" s="183"/>
      <c r="AK9039" s="183"/>
      <c r="AL9039" s="183"/>
    </row>
    <row r="9040" spans="1:38">
      <c r="A9040" s="182"/>
      <c r="AJ9040" s="183"/>
      <c r="AK9040" s="183"/>
      <c r="AL9040" s="183"/>
    </row>
    <row r="9041" spans="1:38">
      <c r="A9041" s="182"/>
      <c r="AJ9041" s="183"/>
      <c r="AK9041" s="183"/>
      <c r="AL9041" s="183"/>
    </row>
    <row r="9042" spans="1:38">
      <c r="A9042" s="182"/>
      <c r="AJ9042" s="183"/>
      <c r="AK9042" s="183"/>
      <c r="AL9042" s="183"/>
    </row>
    <row r="9043" spans="1:38">
      <c r="A9043" s="182"/>
      <c r="AJ9043" s="183"/>
      <c r="AK9043" s="183"/>
      <c r="AL9043" s="183"/>
    </row>
    <row r="9044" spans="1:38">
      <c r="A9044" s="182"/>
      <c r="AJ9044" s="183"/>
      <c r="AK9044" s="183"/>
      <c r="AL9044" s="183"/>
    </row>
    <row r="9045" spans="1:38">
      <c r="A9045" s="182"/>
      <c r="AJ9045" s="183"/>
    </row>
    <row r="9046" spans="1:38">
      <c r="A9046" s="182"/>
    </row>
    <row r="9047" spans="1:38">
      <c r="A9047" s="182"/>
    </row>
    <row r="9048" spans="1:38">
      <c r="A9048" s="182"/>
    </row>
    <row r="9049" spans="1:38">
      <c r="A9049" s="182"/>
      <c r="AK9049" s="183"/>
      <c r="AL9049" s="183"/>
    </row>
    <row r="9050" spans="1:38">
      <c r="A9050" s="182"/>
      <c r="AJ9050" s="183"/>
      <c r="AK9050" s="183"/>
      <c r="AL9050" s="183"/>
    </row>
    <row r="9051" spans="1:38">
      <c r="A9051" s="182"/>
      <c r="AJ9051" s="183"/>
      <c r="AK9051" s="183"/>
      <c r="AL9051" s="183"/>
    </row>
    <row r="9052" spans="1:38">
      <c r="A9052" s="182"/>
      <c r="AJ9052" s="183"/>
      <c r="AK9052" s="183"/>
      <c r="AL9052" s="183"/>
    </row>
    <row r="9053" spans="1:38">
      <c r="A9053" s="182"/>
      <c r="AJ9053" s="183"/>
      <c r="AK9053" s="183"/>
      <c r="AL9053" s="183"/>
    </row>
    <row r="9054" spans="1:38">
      <c r="A9054" s="182"/>
      <c r="AJ9054" s="183"/>
      <c r="AK9054" s="183"/>
      <c r="AL9054" s="183"/>
    </row>
    <row r="9055" spans="1:38">
      <c r="A9055" s="182"/>
      <c r="AJ9055" s="183"/>
      <c r="AK9055" s="183"/>
      <c r="AL9055" s="183"/>
    </row>
    <row r="9056" spans="1:38">
      <c r="A9056" s="182"/>
      <c r="R9056" s="183"/>
      <c r="S9056" s="183"/>
      <c r="AJ9056" s="183"/>
      <c r="AK9056" s="183"/>
      <c r="AL9056" s="183"/>
    </row>
    <row r="9057" spans="1:38">
      <c r="A9057" s="182"/>
      <c r="Q9057" s="183"/>
      <c r="R9057" s="183"/>
      <c r="S9057" s="183"/>
      <c r="AJ9057" s="183"/>
    </row>
    <row r="9058" spans="1:38">
      <c r="A9058" s="182"/>
      <c r="Q9058" s="183"/>
      <c r="R9058" s="183"/>
      <c r="S9058" s="183"/>
    </row>
    <row r="9059" spans="1:38">
      <c r="A9059" s="182"/>
      <c r="Q9059" s="183"/>
    </row>
    <row r="9060" spans="1:38">
      <c r="A9060" s="182"/>
      <c r="R9060" s="183"/>
      <c r="S9060" s="183"/>
    </row>
    <row r="9061" spans="1:38">
      <c r="A9061" s="182"/>
      <c r="Q9061" s="183"/>
      <c r="AK9061" s="183"/>
      <c r="AL9061" s="183"/>
    </row>
    <row r="9062" spans="1:38">
      <c r="A9062" s="182"/>
      <c r="AJ9062" s="183"/>
      <c r="AK9062" s="183"/>
      <c r="AL9062" s="183"/>
    </row>
    <row r="9063" spans="1:38">
      <c r="A9063" s="182"/>
      <c r="AJ9063" s="183"/>
      <c r="AK9063" s="183"/>
      <c r="AL9063" s="183"/>
    </row>
    <row r="9064" spans="1:38">
      <c r="A9064" s="182"/>
      <c r="AJ9064" s="183"/>
      <c r="AK9064" s="183"/>
      <c r="AL9064" s="183"/>
    </row>
    <row r="9065" spans="1:38">
      <c r="A9065" s="182"/>
      <c r="R9065" s="183"/>
      <c r="S9065" s="183"/>
      <c r="AJ9065" s="183"/>
    </row>
    <row r="9066" spans="1:38">
      <c r="A9066" s="182"/>
      <c r="Q9066" s="183"/>
    </row>
    <row r="9067" spans="1:38">
      <c r="A9067" s="182"/>
    </row>
    <row r="9068" spans="1:38">
      <c r="A9068" s="182"/>
    </row>
    <row r="9069" spans="1:38">
      <c r="A9069" s="182"/>
    </row>
    <row r="9070" spans="1:38">
      <c r="A9070" s="182"/>
    </row>
    <row r="9071" spans="1:38">
      <c r="A9071" s="182"/>
    </row>
    <row r="9072" spans="1:38">
      <c r="A9072" s="182"/>
      <c r="R9072" s="183"/>
      <c r="S9072" s="183"/>
    </row>
    <row r="9073" spans="1:38">
      <c r="A9073" s="182"/>
      <c r="Q9073" s="183"/>
      <c r="R9073" s="183"/>
      <c r="S9073" s="183"/>
    </row>
    <row r="9074" spans="1:38">
      <c r="A9074" s="182"/>
      <c r="Q9074" s="183"/>
    </row>
    <row r="9075" spans="1:38">
      <c r="A9075" s="182"/>
    </row>
    <row r="9076" spans="1:38">
      <c r="A9076" s="182"/>
    </row>
    <row r="9077" spans="1:38">
      <c r="A9077" s="182"/>
    </row>
    <row r="9078" spans="1:38">
      <c r="A9078" s="182"/>
    </row>
    <row r="9079" spans="1:38">
      <c r="A9079" s="182"/>
    </row>
    <row r="9080" spans="1:38">
      <c r="A9080" s="182"/>
    </row>
    <row r="9081" spans="1:38">
      <c r="A9081" s="182"/>
      <c r="AK9081" s="183"/>
      <c r="AL9081" s="183"/>
    </row>
    <row r="9082" spans="1:38">
      <c r="A9082" s="182"/>
      <c r="AJ9082" s="183"/>
      <c r="AK9082" s="183"/>
      <c r="AL9082" s="183"/>
    </row>
    <row r="9083" spans="1:38">
      <c r="A9083" s="182"/>
      <c r="AJ9083" s="183"/>
      <c r="AK9083" s="183"/>
      <c r="AL9083" s="183"/>
    </row>
    <row r="9084" spans="1:38">
      <c r="A9084" s="182"/>
      <c r="AJ9084" s="183"/>
      <c r="AK9084" s="183"/>
      <c r="AL9084" s="183"/>
    </row>
    <row r="9085" spans="1:38">
      <c r="A9085" s="182"/>
      <c r="AJ9085" s="183"/>
    </row>
    <row r="9086" spans="1:38">
      <c r="A9086" s="182"/>
    </row>
    <row r="9087" spans="1:38">
      <c r="A9087" s="182"/>
    </row>
    <row r="9088" spans="1:38">
      <c r="A9088" s="182"/>
    </row>
    <row r="9089" spans="1:1">
      <c r="A9089" s="182"/>
    </row>
    <row r="9090" spans="1:1">
      <c r="A9090" s="182"/>
    </row>
    <row r="9091" spans="1:1">
      <c r="A9091" s="182"/>
    </row>
    <row r="9092" spans="1:1">
      <c r="A9092" s="182"/>
    </row>
    <row r="9093" spans="1:1">
      <c r="A9093" s="182"/>
    </row>
    <row r="9094" spans="1:1">
      <c r="A9094" s="182"/>
    </row>
    <row r="9095" spans="1:1">
      <c r="A9095" s="182"/>
    </row>
    <row r="9096" spans="1:1">
      <c r="A9096" s="182"/>
    </row>
    <row r="9097" spans="1:1">
      <c r="A9097" s="182"/>
    </row>
    <row r="9098" spans="1:1">
      <c r="A9098" s="182"/>
    </row>
    <row r="9099" spans="1:1">
      <c r="A9099" s="182"/>
    </row>
    <row r="9100" spans="1:1">
      <c r="A9100" s="182"/>
    </row>
    <row r="9101" spans="1:1">
      <c r="A9101" s="182"/>
    </row>
    <row r="9102" spans="1:1">
      <c r="A9102" s="182"/>
    </row>
    <row r="9103" spans="1:1">
      <c r="A9103" s="182"/>
    </row>
    <row r="9104" spans="1:1">
      <c r="A9104" s="182"/>
    </row>
    <row r="9105" spans="1:1">
      <c r="A9105" s="182"/>
    </row>
    <row r="9106" spans="1:1">
      <c r="A9106" s="182"/>
    </row>
    <row r="9107" spans="1:1">
      <c r="A9107" s="182"/>
    </row>
    <row r="9108" spans="1:1">
      <c r="A9108" s="182"/>
    </row>
    <row r="9109" spans="1:1">
      <c r="A9109" s="182"/>
    </row>
    <row r="9110" spans="1:1">
      <c r="A9110" s="182"/>
    </row>
    <row r="9111" spans="1:1">
      <c r="A9111" s="182"/>
    </row>
    <row r="9112" spans="1:1">
      <c r="A9112" s="182"/>
    </row>
    <row r="9113" spans="1:1">
      <c r="A9113" s="182"/>
    </row>
    <row r="9114" spans="1:1">
      <c r="A9114" s="182"/>
    </row>
    <row r="9115" spans="1:1">
      <c r="A9115" s="182"/>
    </row>
    <row r="9116" spans="1:1">
      <c r="A9116" s="182"/>
    </row>
    <row r="9117" spans="1:1">
      <c r="A9117" s="182"/>
    </row>
    <row r="9118" spans="1:1">
      <c r="A9118" s="182"/>
    </row>
    <row r="9119" spans="1:1">
      <c r="A9119" s="182"/>
    </row>
    <row r="9120" spans="1:1">
      <c r="A9120" s="182"/>
    </row>
    <row r="9121" spans="1:38">
      <c r="A9121" s="182"/>
      <c r="AK9121" s="183"/>
      <c r="AL9121" s="183"/>
    </row>
    <row r="9122" spans="1:38">
      <c r="A9122" s="182"/>
      <c r="AJ9122" s="183"/>
      <c r="AK9122" s="183"/>
      <c r="AL9122" s="183"/>
    </row>
    <row r="9123" spans="1:38">
      <c r="A9123" s="182"/>
      <c r="AJ9123" s="183"/>
      <c r="AK9123" s="183"/>
      <c r="AL9123" s="183"/>
    </row>
    <row r="9124" spans="1:38">
      <c r="A9124" s="182"/>
      <c r="AJ9124" s="183"/>
      <c r="AK9124" s="183"/>
      <c r="AL9124" s="183"/>
    </row>
    <row r="9125" spans="1:38">
      <c r="A9125" s="182"/>
      <c r="AJ9125" s="183"/>
    </row>
    <row r="9126" spans="1:38">
      <c r="A9126" s="182"/>
    </row>
    <row r="9127" spans="1:38">
      <c r="A9127" s="182"/>
    </row>
    <row r="9128" spans="1:38">
      <c r="A9128" s="182"/>
    </row>
    <row r="9129" spans="1:38">
      <c r="A9129" s="182"/>
    </row>
    <row r="9130" spans="1:38">
      <c r="A9130" s="182"/>
    </row>
    <row r="9131" spans="1:38">
      <c r="A9131" s="182"/>
    </row>
    <row r="9132" spans="1:38">
      <c r="A9132" s="182"/>
    </row>
    <row r="9133" spans="1:38">
      <c r="A9133" s="182"/>
    </row>
    <row r="9134" spans="1:38">
      <c r="A9134" s="182"/>
    </row>
    <row r="9135" spans="1:38">
      <c r="A9135" s="182"/>
    </row>
    <row r="9136" spans="1:38">
      <c r="A9136" s="182"/>
    </row>
    <row r="9137" spans="1:38">
      <c r="A9137" s="182"/>
    </row>
    <row r="9138" spans="1:38">
      <c r="A9138" s="182"/>
    </row>
    <row r="9139" spans="1:38">
      <c r="A9139" s="182"/>
    </row>
    <row r="9140" spans="1:38">
      <c r="A9140" s="182"/>
      <c r="R9140" s="183"/>
      <c r="S9140" s="183"/>
    </row>
    <row r="9141" spans="1:38">
      <c r="A9141" s="182"/>
      <c r="Q9141" s="183"/>
    </row>
    <row r="9142" spans="1:38">
      <c r="A9142" s="182"/>
      <c r="R9142" s="183"/>
      <c r="S9142" s="183"/>
    </row>
    <row r="9143" spans="1:38">
      <c r="A9143" s="182"/>
      <c r="Q9143" s="183"/>
      <c r="R9143" s="183"/>
      <c r="S9143" s="183"/>
    </row>
    <row r="9144" spans="1:38">
      <c r="A9144" s="182"/>
      <c r="Q9144" s="183"/>
      <c r="R9144" s="183"/>
      <c r="S9144" s="183"/>
    </row>
    <row r="9145" spans="1:38">
      <c r="A9145" s="182"/>
      <c r="Q9145" s="183"/>
      <c r="R9145" s="183"/>
      <c r="S9145" s="183"/>
    </row>
    <row r="9146" spans="1:38">
      <c r="A9146" s="182"/>
      <c r="Q9146" s="183"/>
      <c r="R9146" s="183"/>
      <c r="S9146" s="183"/>
    </row>
    <row r="9147" spans="1:38">
      <c r="A9147" s="182"/>
      <c r="Q9147" s="183"/>
      <c r="R9147" s="183"/>
      <c r="S9147" s="183"/>
    </row>
    <row r="9148" spans="1:38">
      <c r="A9148" s="182"/>
      <c r="Q9148" s="183"/>
    </row>
    <row r="9149" spans="1:38">
      <c r="A9149" s="182"/>
      <c r="R9149" s="183"/>
      <c r="S9149" s="183"/>
      <c r="AK9149" s="183"/>
      <c r="AL9149" s="183"/>
    </row>
    <row r="9150" spans="1:38">
      <c r="A9150" s="182"/>
      <c r="Q9150" s="183"/>
      <c r="AJ9150" s="183"/>
      <c r="AK9150" s="183"/>
      <c r="AL9150" s="183"/>
    </row>
    <row r="9151" spans="1:38">
      <c r="A9151" s="182"/>
      <c r="AJ9151" s="183"/>
      <c r="AK9151" s="183"/>
      <c r="AL9151" s="183"/>
    </row>
    <row r="9152" spans="1:38">
      <c r="A9152" s="182"/>
      <c r="AJ9152" s="183"/>
      <c r="AK9152" s="183"/>
      <c r="AL9152" s="183"/>
    </row>
    <row r="9153" spans="1:36">
      <c r="A9153" s="182"/>
      <c r="R9153" s="183"/>
      <c r="S9153" s="183"/>
      <c r="AJ9153" s="183"/>
    </row>
    <row r="9154" spans="1:36">
      <c r="A9154" s="182"/>
      <c r="Q9154" s="183"/>
    </row>
    <row r="9155" spans="1:36">
      <c r="A9155" s="182"/>
    </row>
    <row r="9156" spans="1:36">
      <c r="A9156" s="182"/>
    </row>
    <row r="9157" spans="1:36">
      <c r="A9157" s="182"/>
    </row>
    <row r="9158" spans="1:36">
      <c r="A9158" s="182"/>
      <c r="R9158" s="183"/>
      <c r="S9158" s="183"/>
    </row>
    <row r="9159" spans="1:36">
      <c r="A9159" s="182"/>
      <c r="Q9159" s="183"/>
      <c r="R9159" s="183"/>
      <c r="S9159" s="183"/>
    </row>
    <row r="9160" spans="1:36">
      <c r="A9160" s="182"/>
      <c r="Q9160" s="183"/>
      <c r="R9160" s="183"/>
      <c r="S9160" s="183"/>
    </row>
    <row r="9161" spans="1:36">
      <c r="A9161" s="182"/>
      <c r="Q9161" s="183"/>
      <c r="R9161" s="183"/>
      <c r="S9161" s="183"/>
    </row>
    <row r="9162" spans="1:36">
      <c r="A9162" s="182"/>
      <c r="Q9162" s="183"/>
      <c r="R9162" s="183"/>
      <c r="S9162" s="183"/>
    </row>
    <row r="9163" spans="1:36">
      <c r="A9163" s="182"/>
      <c r="Q9163" s="183"/>
      <c r="R9163" s="183"/>
      <c r="S9163" s="183"/>
    </row>
    <row r="9164" spans="1:36">
      <c r="A9164" s="182"/>
      <c r="Q9164" s="183"/>
      <c r="R9164" s="183"/>
      <c r="S9164" s="183"/>
    </row>
    <row r="9165" spans="1:36">
      <c r="A9165" s="182"/>
      <c r="Q9165" s="183"/>
      <c r="R9165" s="183"/>
      <c r="S9165" s="183"/>
    </row>
    <row r="9166" spans="1:36">
      <c r="A9166" s="182"/>
      <c r="Q9166" s="183"/>
      <c r="R9166" s="183"/>
      <c r="S9166" s="183"/>
    </row>
    <row r="9167" spans="1:36">
      <c r="A9167" s="182"/>
      <c r="Q9167" s="183"/>
      <c r="R9167" s="183"/>
      <c r="S9167" s="183"/>
    </row>
    <row r="9168" spans="1:36">
      <c r="A9168" s="182"/>
      <c r="Q9168" s="183"/>
      <c r="R9168" s="183"/>
      <c r="S9168" s="183"/>
    </row>
    <row r="9169" spans="1:19">
      <c r="A9169" s="182"/>
      <c r="Q9169" s="183"/>
      <c r="R9169" s="183"/>
      <c r="S9169" s="183"/>
    </row>
    <row r="9170" spans="1:19">
      <c r="A9170" s="182"/>
      <c r="Q9170" s="183"/>
      <c r="R9170" s="183"/>
      <c r="S9170" s="183"/>
    </row>
    <row r="9171" spans="1:19">
      <c r="A9171" s="182"/>
      <c r="Q9171" s="183"/>
      <c r="R9171" s="183"/>
      <c r="S9171" s="183"/>
    </row>
    <row r="9172" spans="1:19">
      <c r="A9172" s="182"/>
      <c r="Q9172" s="183"/>
      <c r="R9172" s="183"/>
      <c r="S9172" s="183"/>
    </row>
    <row r="9173" spans="1:19">
      <c r="A9173" s="182"/>
      <c r="Q9173" s="183"/>
      <c r="R9173" s="183"/>
      <c r="S9173" s="183"/>
    </row>
    <row r="9174" spans="1:19">
      <c r="A9174" s="182"/>
      <c r="Q9174" s="183"/>
      <c r="R9174" s="183"/>
      <c r="S9174" s="183"/>
    </row>
    <row r="9175" spans="1:19">
      <c r="A9175" s="182"/>
      <c r="Q9175" s="183"/>
      <c r="R9175" s="183"/>
      <c r="S9175" s="183"/>
    </row>
    <row r="9176" spans="1:19">
      <c r="A9176" s="182"/>
      <c r="Q9176" s="183"/>
    </row>
    <row r="9177" spans="1:19">
      <c r="A9177" s="182"/>
      <c r="R9177" s="183"/>
      <c r="S9177" s="183"/>
    </row>
    <row r="9178" spans="1:19">
      <c r="A9178" s="182"/>
      <c r="Q9178" s="183"/>
      <c r="R9178" s="183"/>
      <c r="S9178" s="183"/>
    </row>
    <row r="9179" spans="1:19">
      <c r="A9179" s="182"/>
      <c r="Q9179" s="183"/>
      <c r="R9179" s="183"/>
      <c r="S9179" s="183"/>
    </row>
    <row r="9180" spans="1:19">
      <c r="A9180" s="182"/>
      <c r="Q9180" s="183"/>
      <c r="R9180" s="183"/>
      <c r="S9180" s="183"/>
    </row>
    <row r="9181" spans="1:19">
      <c r="A9181" s="182"/>
      <c r="Q9181" s="183"/>
      <c r="R9181" s="183"/>
      <c r="S9181" s="183"/>
    </row>
    <row r="9182" spans="1:19">
      <c r="A9182" s="182"/>
      <c r="Q9182" s="183"/>
      <c r="R9182" s="183"/>
      <c r="S9182" s="183"/>
    </row>
    <row r="9183" spans="1:19">
      <c r="A9183" s="182"/>
      <c r="Q9183" s="183"/>
      <c r="R9183" s="183"/>
      <c r="S9183" s="183"/>
    </row>
    <row r="9184" spans="1:19">
      <c r="A9184" s="182"/>
      <c r="Q9184" s="183"/>
    </row>
    <row r="9185" spans="1:19">
      <c r="A9185" s="182"/>
      <c r="R9185" s="183"/>
      <c r="S9185" s="183"/>
    </row>
    <row r="9186" spans="1:19">
      <c r="A9186" s="182"/>
      <c r="Q9186" s="183"/>
      <c r="R9186" s="183"/>
      <c r="S9186" s="183"/>
    </row>
    <row r="9187" spans="1:19">
      <c r="A9187" s="182"/>
      <c r="Q9187" s="183"/>
    </row>
    <row r="9188" spans="1:19">
      <c r="A9188" s="182"/>
    </row>
    <row r="9189" spans="1:19">
      <c r="A9189" s="182"/>
    </row>
    <row r="9190" spans="1:19">
      <c r="A9190" s="182"/>
    </row>
    <row r="9191" spans="1:19">
      <c r="A9191" s="182"/>
      <c r="R9191" s="183"/>
      <c r="S9191" s="183"/>
    </row>
    <row r="9192" spans="1:19">
      <c r="A9192" s="182"/>
      <c r="Q9192" s="183"/>
    </row>
    <row r="9193" spans="1:19">
      <c r="A9193" s="182"/>
    </row>
    <row r="9194" spans="1:19">
      <c r="A9194" s="182"/>
    </row>
    <row r="9195" spans="1:19">
      <c r="A9195" s="182"/>
    </row>
    <row r="9196" spans="1:19">
      <c r="A9196" s="182"/>
    </row>
    <row r="9197" spans="1:19">
      <c r="A9197" s="182"/>
    </row>
    <row r="9198" spans="1:19">
      <c r="A9198" s="182"/>
    </row>
    <row r="9199" spans="1:19">
      <c r="A9199" s="182"/>
    </row>
    <row r="9200" spans="1:19">
      <c r="A9200" s="182"/>
      <c r="R9200" s="183"/>
      <c r="S9200" s="183"/>
    </row>
    <row r="9201" spans="1:19">
      <c r="A9201" s="182"/>
      <c r="Q9201" s="183"/>
      <c r="R9201" s="183"/>
      <c r="S9201" s="183"/>
    </row>
    <row r="9202" spans="1:19">
      <c r="A9202" s="182"/>
      <c r="Q9202" s="183"/>
      <c r="R9202" s="183"/>
      <c r="S9202" s="183"/>
    </row>
    <row r="9203" spans="1:19">
      <c r="A9203" s="182"/>
      <c r="Q9203" s="183"/>
      <c r="R9203" s="183"/>
      <c r="S9203" s="183"/>
    </row>
    <row r="9204" spans="1:19">
      <c r="A9204" s="182"/>
      <c r="Q9204" s="183"/>
      <c r="R9204" s="183"/>
      <c r="S9204" s="183"/>
    </row>
    <row r="9205" spans="1:19">
      <c r="A9205" s="182"/>
      <c r="Q9205" s="183"/>
      <c r="R9205" s="183"/>
      <c r="S9205" s="183"/>
    </row>
    <row r="9206" spans="1:19">
      <c r="A9206" s="182"/>
      <c r="Q9206" s="183"/>
      <c r="R9206" s="183"/>
      <c r="S9206" s="183"/>
    </row>
    <row r="9207" spans="1:19">
      <c r="A9207" s="182"/>
      <c r="Q9207" s="183"/>
      <c r="R9207" s="183"/>
      <c r="S9207" s="183"/>
    </row>
    <row r="9208" spans="1:19">
      <c r="A9208" s="182"/>
      <c r="Q9208" s="183"/>
      <c r="R9208" s="183"/>
      <c r="S9208" s="183"/>
    </row>
    <row r="9209" spans="1:19">
      <c r="A9209" s="182"/>
      <c r="Q9209" s="183"/>
    </row>
    <row r="9210" spans="1:19">
      <c r="A9210" s="182"/>
      <c r="R9210" s="183"/>
      <c r="S9210" s="183"/>
    </row>
    <row r="9211" spans="1:19">
      <c r="A9211" s="182"/>
      <c r="Q9211" s="183"/>
      <c r="R9211" s="183"/>
      <c r="S9211" s="183"/>
    </row>
    <row r="9212" spans="1:19">
      <c r="A9212" s="182"/>
      <c r="Q9212" s="183"/>
      <c r="R9212" s="183"/>
      <c r="S9212" s="183"/>
    </row>
    <row r="9213" spans="1:19">
      <c r="A9213" s="182"/>
      <c r="Q9213" s="183"/>
      <c r="R9213" s="183"/>
      <c r="S9213" s="183"/>
    </row>
    <row r="9214" spans="1:19">
      <c r="A9214" s="182"/>
      <c r="Q9214" s="183"/>
      <c r="R9214" s="183"/>
      <c r="S9214" s="183"/>
    </row>
    <row r="9215" spans="1:19">
      <c r="A9215" s="182"/>
      <c r="Q9215" s="183"/>
      <c r="R9215" s="183"/>
      <c r="S9215" s="183"/>
    </row>
    <row r="9216" spans="1:19">
      <c r="A9216" s="182"/>
      <c r="Q9216" s="183"/>
      <c r="R9216" s="183"/>
      <c r="S9216" s="183"/>
    </row>
    <row r="9217" spans="1:38">
      <c r="A9217" s="182"/>
      <c r="Q9217" s="183"/>
      <c r="R9217" s="183"/>
      <c r="S9217" s="183"/>
      <c r="AK9217" s="183"/>
      <c r="AL9217" s="183"/>
    </row>
    <row r="9218" spans="1:38">
      <c r="A9218" s="182"/>
      <c r="Q9218" s="183"/>
      <c r="AJ9218" s="183"/>
      <c r="AK9218" s="183"/>
      <c r="AL9218" s="183"/>
    </row>
    <row r="9219" spans="1:38">
      <c r="A9219" s="182"/>
      <c r="AJ9219" s="183"/>
      <c r="AK9219" s="183"/>
      <c r="AL9219" s="183"/>
    </row>
    <row r="9220" spans="1:38">
      <c r="A9220" s="182"/>
      <c r="AJ9220" s="183"/>
      <c r="AK9220" s="183"/>
      <c r="AL9220" s="183"/>
    </row>
    <row r="9221" spans="1:38">
      <c r="A9221" s="182"/>
      <c r="AJ9221" s="183"/>
    </row>
    <row r="9222" spans="1:38">
      <c r="A9222" s="182"/>
    </row>
    <row r="9223" spans="1:38">
      <c r="A9223" s="182"/>
    </row>
    <row r="9224" spans="1:38">
      <c r="A9224" s="182"/>
    </row>
    <row r="9225" spans="1:38">
      <c r="A9225" s="182"/>
      <c r="R9225" s="183"/>
      <c r="S9225" s="183"/>
    </row>
    <row r="9226" spans="1:38">
      <c r="A9226" s="182"/>
      <c r="Q9226" s="183"/>
      <c r="R9226" s="183"/>
      <c r="S9226" s="183"/>
    </row>
    <row r="9227" spans="1:38">
      <c r="A9227" s="182"/>
      <c r="Q9227" s="183"/>
      <c r="R9227" s="183"/>
      <c r="S9227" s="183"/>
    </row>
    <row r="9228" spans="1:38">
      <c r="A9228" s="182"/>
      <c r="Q9228" s="183"/>
      <c r="R9228" s="183"/>
      <c r="S9228" s="183"/>
    </row>
    <row r="9229" spans="1:38">
      <c r="A9229" s="182"/>
      <c r="Q9229" s="183"/>
      <c r="R9229" s="183"/>
      <c r="S9229" s="183"/>
    </row>
    <row r="9230" spans="1:38">
      <c r="A9230" s="182"/>
      <c r="Q9230" s="183"/>
      <c r="R9230" s="183"/>
      <c r="S9230" s="183"/>
    </row>
    <row r="9231" spans="1:38">
      <c r="A9231" s="182"/>
      <c r="Q9231" s="183"/>
      <c r="R9231" s="183"/>
      <c r="S9231" s="183"/>
    </row>
    <row r="9232" spans="1:38">
      <c r="A9232" s="182"/>
      <c r="Q9232" s="183"/>
      <c r="R9232" s="183"/>
      <c r="S9232" s="183"/>
    </row>
    <row r="9233" spans="1:38">
      <c r="A9233" s="182"/>
      <c r="Q9233" s="183"/>
      <c r="R9233" s="183"/>
      <c r="S9233" s="183"/>
    </row>
    <row r="9234" spans="1:38">
      <c r="A9234" s="182"/>
      <c r="Q9234" s="183"/>
      <c r="R9234" s="183"/>
      <c r="S9234" s="183"/>
    </row>
    <row r="9235" spans="1:38">
      <c r="A9235" s="182"/>
      <c r="Q9235" s="183"/>
      <c r="R9235" s="183"/>
      <c r="S9235" s="183"/>
    </row>
    <row r="9236" spans="1:38">
      <c r="A9236" s="182"/>
      <c r="Q9236" s="183"/>
      <c r="R9236" s="183"/>
      <c r="S9236" s="183"/>
    </row>
    <row r="9237" spans="1:38">
      <c r="A9237" s="182"/>
      <c r="Q9237" s="183"/>
      <c r="R9237" s="183"/>
      <c r="S9237" s="183"/>
    </row>
    <row r="9238" spans="1:38">
      <c r="A9238" s="182"/>
      <c r="Q9238" s="183"/>
      <c r="R9238" s="183"/>
      <c r="S9238" s="183"/>
    </row>
    <row r="9239" spans="1:38">
      <c r="A9239" s="182"/>
      <c r="Q9239" s="183"/>
      <c r="R9239" s="183"/>
      <c r="S9239" s="183"/>
    </row>
    <row r="9240" spans="1:38">
      <c r="A9240" s="182"/>
      <c r="Q9240" s="183"/>
      <c r="R9240" s="183"/>
      <c r="S9240" s="183"/>
    </row>
    <row r="9241" spans="1:38">
      <c r="A9241" s="182"/>
      <c r="Q9241" s="183"/>
      <c r="R9241" s="183"/>
      <c r="S9241" s="183"/>
    </row>
    <row r="9242" spans="1:38">
      <c r="A9242" s="182"/>
      <c r="Q9242" s="183"/>
      <c r="R9242" s="183"/>
      <c r="S9242" s="183"/>
    </row>
    <row r="9243" spans="1:38">
      <c r="A9243" s="182"/>
      <c r="Q9243" s="183"/>
      <c r="R9243" s="183"/>
      <c r="S9243" s="183"/>
    </row>
    <row r="9244" spans="1:38">
      <c r="A9244" s="182"/>
      <c r="Q9244" s="183"/>
      <c r="R9244" s="183"/>
      <c r="S9244" s="183"/>
    </row>
    <row r="9245" spans="1:38">
      <c r="A9245" s="182"/>
      <c r="Q9245" s="183"/>
      <c r="R9245" s="183"/>
      <c r="S9245" s="183"/>
      <c r="AK9245" s="183"/>
      <c r="AL9245" s="183"/>
    </row>
    <row r="9246" spans="1:38">
      <c r="A9246" s="182"/>
      <c r="Q9246" s="183"/>
      <c r="AJ9246" s="183"/>
      <c r="AK9246" s="183"/>
      <c r="AL9246" s="183"/>
    </row>
    <row r="9247" spans="1:38">
      <c r="A9247" s="182"/>
      <c r="AJ9247" s="183"/>
      <c r="AK9247" s="183"/>
      <c r="AL9247" s="183"/>
    </row>
    <row r="9248" spans="1:38">
      <c r="A9248" s="182"/>
      <c r="R9248" s="183"/>
      <c r="S9248" s="183"/>
      <c r="AJ9248" s="183"/>
      <c r="AK9248" s="183"/>
      <c r="AL9248" s="183"/>
    </row>
    <row r="9249" spans="1:36">
      <c r="A9249" s="182"/>
      <c r="Q9249" s="183"/>
      <c r="AJ9249" s="183"/>
    </row>
    <row r="9250" spans="1:36">
      <c r="A9250" s="182"/>
      <c r="R9250" s="183"/>
      <c r="S9250" s="183"/>
    </row>
    <row r="9251" spans="1:36">
      <c r="A9251" s="182"/>
      <c r="Q9251" s="183"/>
      <c r="R9251" s="183"/>
      <c r="S9251" s="183"/>
    </row>
    <row r="9252" spans="1:36">
      <c r="A9252" s="182"/>
      <c r="Q9252" s="183"/>
      <c r="R9252" s="183"/>
      <c r="S9252" s="183"/>
    </row>
    <row r="9253" spans="1:36">
      <c r="A9253" s="182"/>
      <c r="Q9253" s="183"/>
      <c r="R9253" s="183"/>
      <c r="S9253" s="183"/>
    </row>
    <row r="9254" spans="1:36">
      <c r="A9254" s="182"/>
      <c r="Q9254" s="183"/>
      <c r="R9254" s="183"/>
      <c r="S9254" s="183"/>
    </row>
    <row r="9255" spans="1:36">
      <c r="A9255" s="182"/>
      <c r="Q9255" s="183"/>
      <c r="R9255" s="183"/>
      <c r="S9255" s="183"/>
    </row>
    <row r="9256" spans="1:36">
      <c r="A9256" s="182"/>
      <c r="Q9256" s="183"/>
      <c r="R9256" s="183"/>
      <c r="S9256" s="183"/>
    </row>
    <row r="9257" spans="1:36">
      <c r="A9257" s="182"/>
      <c r="Q9257" s="183"/>
      <c r="R9257" s="183"/>
      <c r="S9257" s="183"/>
    </row>
    <row r="9258" spans="1:36">
      <c r="A9258" s="182"/>
      <c r="Q9258" s="183"/>
      <c r="R9258" s="183"/>
      <c r="S9258" s="183"/>
    </row>
    <row r="9259" spans="1:36">
      <c r="A9259" s="182"/>
      <c r="Q9259" s="183"/>
      <c r="R9259" s="183"/>
      <c r="S9259" s="183"/>
    </row>
    <row r="9260" spans="1:36">
      <c r="A9260" s="182"/>
      <c r="Q9260" s="183"/>
      <c r="R9260" s="183"/>
      <c r="S9260" s="183"/>
    </row>
    <row r="9261" spans="1:36">
      <c r="A9261" s="182"/>
      <c r="Q9261" s="183"/>
      <c r="R9261" s="183"/>
      <c r="S9261" s="183"/>
    </row>
    <row r="9262" spans="1:36">
      <c r="A9262" s="182"/>
      <c r="Q9262" s="183"/>
      <c r="R9262" s="183"/>
      <c r="S9262" s="183"/>
    </row>
    <row r="9263" spans="1:36">
      <c r="A9263" s="182"/>
      <c r="Q9263" s="183"/>
      <c r="R9263" s="183"/>
      <c r="S9263" s="183"/>
    </row>
    <row r="9264" spans="1:36">
      <c r="A9264" s="182"/>
      <c r="Q9264" s="183"/>
      <c r="R9264" s="183"/>
      <c r="S9264" s="183"/>
    </row>
    <row r="9265" spans="1:19">
      <c r="A9265" s="182"/>
      <c r="Q9265" s="183"/>
      <c r="R9265" s="183"/>
      <c r="S9265" s="183"/>
    </row>
    <row r="9266" spans="1:19">
      <c r="A9266" s="182"/>
      <c r="Q9266" s="183"/>
      <c r="R9266" s="183"/>
      <c r="S9266" s="183"/>
    </row>
    <row r="9267" spans="1:19">
      <c r="A9267" s="182"/>
      <c r="Q9267" s="183"/>
      <c r="R9267" s="183"/>
      <c r="S9267" s="183"/>
    </row>
    <row r="9268" spans="1:19">
      <c r="A9268" s="182"/>
      <c r="Q9268" s="183"/>
      <c r="R9268" s="183"/>
      <c r="S9268" s="183"/>
    </row>
    <row r="9269" spans="1:19">
      <c r="A9269" s="182"/>
      <c r="Q9269" s="183"/>
      <c r="R9269" s="183"/>
      <c r="S9269" s="183"/>
    </row>
    <row r="9270" spans="1:19">
      <c r="A9270" s="182"/>
      <c r="Q9270" s="183"/>
      <c r="R9270" s="183"/>
      <c r="S9270" s="183"/>
    </row>
    <row r="9271" spans="1:19">
      <c r="A9271" s="182"/>
      <c r="Q9271" s="183"/>
      <c r="R9271" s="183"/>
      <c r="S9271" s="183"/>
    </row>
    <row r="9272" spans="1:19">
      <c r="A9272" s="182"/>
      <c r="Q9272" s="183"/>
      <c r="R9272" s="183"/>
      <c r="S9272" s="183"/>
    </row>
    <row r="9273" spans="1:19">
      <c r="A9273" s="182"/>
      <c r="Q9273" s="183"/>
      <c r="R9273" s="183"/>
      <c r="S9273" s="183"/>
    </row>
    <row r="9274" spans="1:19">
      <c r="A9274" s="182"/>
      <c r="Q9274" s="183"/>
      <c r="R9274" s="183"/>
      <c r="S9274" s="183"/>
    </row>
    <row r="9275" spans="1:19">
      <c r="A9275" s="182"/>
      <c r="Q9275" s="183"/>
      <c r="R9275" s="183"/>
      <c r="S9275" s="183"/>
    </row>
    <row r="9276" spans="1:19">
      <c r="A9276" s="182"/>
      <c r="Q9276" s="183"/>
      <c r="R9276" s="183"/>
      <c r="S9276" s="183"/>
    </row>
    <row r="9277" spans="1:19">
      <c r="A9277" s="182"/>
      <c r="Q9277" s="183"/>
      <c r="R9277" s="183"/>
      <c r="S9277" s="183"/>
    </row>
    <row r="9278" spans="1:19">
      <c r="A9278" s="182"/>
      <c r="Q9278" s="183"/>
      <c r="R9278" s="183"/>
      <c r="S9278" s="183"/>
    </row>
    <row r="9279" spans="1:19">
      <c r="A9279" s="182"/>
      <c r="Q9279" s="183"/>
      <c r="R9279" s="183"/>
      <c r="S9279" s="183"/>
    </row>
    <row r="9280" spans="1:19">
      <c r="A9280" s="182"/>
      <c r="Q9280" s="183"/>
      <c r="R9280" s="183"/>
      <c r="S9280" s="183"/>
    </row>
    <row r="9281" spans="1:19">
      <c r="A9281" s="182"/>
      <c r="Q9281" s="183"/>
      <c r="R9281" s="183"/>
      <c r="S9281" s="183"/>
    </row>
    <row r="9282" spans="1:19">
      <c r="A9282" s="182"/>
      <c r="Q9282" s="183"/>
      <c r="R9282" s="183"/>
      <c r="S9282" s="183"/>
    </row>
    <row r="9283" spans="1:19">
      <c r="A9283" s="182"/>
      <c r="Q9283" s="183"/>
      <c r="R9283" s="183"/>
      <c r="S9283" s="183"/>
    </row>
    <row r="9284" spans="1:19">
      <c r="A9284" s="182"/>
      <c r="Q9284" s="183"/>
      <c r="R9284" s="183"/>
      <c r="S9284" s="183"/>
    </row>
    <row r="9285" spans="1:19">
      <c r="A9285" s="182"/>
      <c r="Q9285" s="183"/>
      <c r="R9285" s="183"/>
      <c r="S9285" s="183"/>
    </row>
    <row r="9286" spans="1:19">
      <c r="A9286" s="182"/>
      <c r="Q9286" s="183"/>
      <c r="R9286" s="183"/>
      <c r="S9286" s="183"/>
    </row>
    <row r="9287" spans="1:19">
      <c r="A9287" s="182"/>
      <c r="Q9287" s="183"/>
      <c r="R9287" s="183"/>
      <c r="S9287" s="183"/>
    </row>
    <row r="9288" spans="1:19">
      <c r="A9288" s="182"/>
      <c r="Q9288" s="183"/>
      <c r="R9288" s="183"/>
      <c r="S9288" s="183"/>
    </row>
    <row r="9289" spans="1:19">
      <c r="A9289" s="182"/>
      <c r="Q9289" s="183"/>
      <c r="R9289" s="183"/>
      <c r="S9289" s="183"/>
    </row>
    <row r="9290" spans="1:19">
      <c r="A9290" s="182"/>
      <c r="Q9290" s="183"/>
      <c r="R9290" s="183"/>
      <c r="S9290" s="183"/>
    </row>
    <row r="9291" spans="1:19">
      <c r="A9291" s="182"/>
      <c r="Q9291" s="183"/>
      <c r="R9291" s="183"/>
      <c r="S9291" s="183"/>
    </row>
    <row r="9292" spans="1:19">
      <c r="A9292" s="182"/>
      <c r="Q9292" s="183"/>
      <c r="R9292" s="183"/>
      <c r="S9292" s="183"/>
    </row>
    <row r="9293" spans="1:19">
      <c r="A9293" s="182"/>
      <c r="Q9293" s="183"/>
      <c r="R9293" s="183"/>
      <c r="S9293" s="183"/>
    </row>
    <row r="9294" spans="1:19">
      <c r="A9294" s="182"/>
      <c r="Q9294" s="183"/>
      <c r="R9294" s="183"/>
      <c r="S9294" s="183"/>
    </row>
    <row r="9295" spans="1:19">
      <c r="A9295" s="182"/>
      <c r="Q9295" s="183"/>
      <c r="R9295" s="183"/>
      <c r="S9295" s="183"/>
    </row>
    <row r="9296" spans="1:19">
      <c r="A9296" s="182"/>
      <c r="Q9296" s="183"/>
      <c r="R9296" s="183"/>
      <c r="S9296" s="183"/>
    </row>
    <row r="9297" spans="1:19">
      <c r="A9297" s="182"/>
      <c r="Q9297" s="183"/>
      <c r="R9297" s="183"/>
      <c r="S9297" s="183"/>
    </row>
    <row r="9298" spans="1:19">
      <c r="A9298" s="182"/>
      <c r="Q9298" s="183"/>
      <c r="R9298" s="183"/>
      <c r="S9298" s="183"/>
    </row>
    <row r="9299" spans="1:19">
      <c r="A9299" s="182"/>
      <c r="Q9299" s="183"/>
      <c r="R9299" s="183"/>
      <c r="S9299" s="183"/>
    </row>
    <row r="9300" spans="1:19">
      <c r="A9300" s="182"/>
      <c r="Q9300" s="183"/>
      <c r="R9300" s="183"/>
      <c r="S9300" s="183"/>
    </row>
    <row r="9301" spans="1:19">
      <c r="A9301" s="182"/>
      <c r="Q9301" s="183"/>
      <c r="R9301" s="183"/>
      <c r="S9301" s="183"/>
    </row>
    <row r="9302" spans="1:19">
      <c r="A9302" s="182"/>
      <c r="Q9302" s="183"/>
      <c r="R9302" s="183"/>
      <c r="S9302" s="183"/>
    </row>
    <row r="9303" spans="1:19">
      <c r="A9303" s="182"/>
      <c r="Q9303" s="183"/>
      <c r="R9303" s="183"/>
      <c r="S9303" s="183"/>
    </row>
    <row r="9304" spans="1:19">
      <c r="A9304" s="182"/>
      <c r="Q9304" s="183"/>
      <c r="R9304" s="183"/>
      <c r="S9304" s="183"/>
    </row>
    <row r="9305" spans="1:19">
      <c r="A9305" s="182"/>
      <c r="Q9305" s="183"/>
      <c r="R9305" s="183"/>
      <c r="S9305" s="183"/>
    </row>
    <row r="9306" spans="1:19">
      <c r="A9306" s="182"/>
      <c r="Q9306" s="183"/>
      <c r="R9306" s="183"/>
      <c r="S9306" s="183"/>
    </row>
    <row r="9307" spans="1:19">
      <c r="A9307" s="182"/>
      <c r="Q9307" s="183"/>
      <c r="R9307" s="183"/>
      <c r="S9307" s="183"/>
    </row>
    <row r="9308" spans="1:19">
      <c r="A9308" s="182"/>
      <c r="Q9308" s="183"/>
      <c r="R9308" s="183"/>
      <c r="S9308" s="183"/>
    </row>
    <row r="9309" spans="1:19">
      <c r="A9309" s="182"/>
      <c r="Q9309" s="183"/>
      <c r="R9309" s="183"/>
      <c r="S9309" s="183"/>
    </row>
    <row r="9310" spans="1:19">
      <c r="A9310" s="182"/>
      <c r="Q9310" s="183"/>
      <c r="R9310" s="183"/>
      <c r="S9310" s="183"/>
    </row>
    <row r="9311" spans="1:19">
      <c r="A9311" s="182"/>
      <c r="Q9311" s="183"/>
      <c r="R9311" s="183"/>
      <c r="S9311" s="183"/>
    </row>
    <row r="9312" spans="1:19">
      <c r="A9312" s="182"/>
      <c r="Q9312" s="183"/>
      <c r="R9312" s="183"/>
      <c r="S9312" s="183"/>
    </row>
    <row r="9313" spans="1:38">
      <c r="A9313" s="182"/>
      <c r="Q9313" s="183"/>
      <c r="R9313" s="183"/>
      <c r="S9313" s="183"/>
    </row>
    <row r="9314" spans="1:38">
      <c r="A9314" s="182"/>
      <c r="Q9314" s="183"/>
      <c r="R9314" s="183"/>
      <c r="S9314" s="183"/>
    </row>
    <row r="9315" spans="1:38">
      <c r="A9315" s="182"/>
      <c r="Q9315" s="183"/>
      <c r="R9315" s="183"/>
      <c r="S9315" s="183"/>
    </row>
    <row r="9316" spans="1:38">
      <c r="A9316" s="182"/>
      <c r="Q9316" s="183"/>
      <c r="R9316" s="183"/>
      <c r="S9316" s="183"/>
    </row>
    <row r="9317" spans="1:38">
      <c r="A9317" s="182"/>
      <c r="Q9317" s="183"/>
      <c r="R9317" s="183"/>
      <c r="S9317" s="183"/>
    </row>
    <row r="9318" spans="1:38">
      <c r="A9318" s="182"/>
      <c r="Q9318" s="183"/>
      <c r="R9318" s="183"/>
      <c r="S9318" s="183"/>
    </row>
    <row r="9319" spans="1:38">
      <c r="A9319" s="182"/>
      <c r="Q9319" s="183"/>
      <c r="R9319" s="183"/>
      <c r="S9319" s="183"/>
    </row>
    <row r="9320" spans="1:38">
      <c r="A9320" s="182"/>
      <c r="Q9320" s="183"/>
      <c r="R9320" s="183"/>
      <c r="S9320" s="183"/>
    </row>
    <row r="9321" spans="1:38">
      <c r="A9321" s="182"/>
      <c r="Q9321" s="183"/>
      <c r="R9321" s="183"/>
      <c r="S9321" s="183"/>
      <c r="AK9321" s="183"/>
      <c r="AL9321" s="183"/>
    </row>
    <row r="9322" spans="1:38">
      <c r="A9322" s="182"/>
      <c r="Q9322" s="183"/>
      <c r="R9322" s="183"/>
      <c r="S9322" s="183"/>
      <c r="AJ9322" s="183"/>
      <c r="AK9322" s="183"/>
      <c r="AL9322" s="183"/>
    </row>
    <row r="9323" spans="1:38">
      <c r="A9323" s="182"/>
      <c r="Q9323" s="183"/>
      <c r="R9323" s="183"/>
      <c r="S9323" s="183"/>
      <c r="AJ9323" s="183"/>
      <c r="AK9323" s="183"/>
      <c r="AL9323" s="183"/>
    </row>
    <row r="9324" spans="1:38">
      <c r="A9324" s="182"/>
      <c r="Q9324" s="183"/>
      <c r="R9324" s="183"/>
      <c r="S9324" s="183"/>
      <c r="AJ9324" s="183"/>
      <c r="AK9324" s="183"/>
      <c r="AL9324" s="183"/>
    </row>
    <row r="9325" spans="1:38">
      <c r="A9325" s="182"/>
      <c r="Q9325" s="183"/>
      <c r="R9325" s="183"/>
      <c r="S9325" s="183"/>
      <c r="AJ9325" s="183"/>
    </row>
    <row r="9326" spans="1:38">
      <c r="A9326" s="182"/>
      <c r="Q9326" s="183"/>
      <c r="R9326" s="183"/>
      <c r="S9326" s="183"/>
    </row>
    <row r="9327" spans="1:38">
      <c r="A9327" s="182"/>
      <c r="Q9327" s="183"/>
      <c r="R9327" s="183"/>
      <c r="S9327" s="183"/>
    </row>
    <row r="9328" spans="1:38">
      <c r="A9328" s="182"/>
      <c r="Q9328" s="183"/>
      <c r="R9328" s="183"/>
      <c r="S9328" s="183"/>
    </row>
    <row r="9329" spans="1:38">
      <c r="A9329" s="182"/>
      <c r="Q9329" s="183"/>
      <c r="R9329" s="183"/>
      <c r="S9329" s="183"/>
    </row>
    <row r="9330" spans="1:38">
      <c r="A9330" s="182"/>
      <c r="Q9330" s="183"/>
      <c r="R9330" s="183"/>
      <c r="S9330" s="183"/>
    </row>
    <row r="9331" spans="1:38">
      <c r="A9331" s="182"/>
      <c r="Q9331" s="183"/>
      <c r="R9331" s="183"/>
      <c r="S9331" s="183"/>
    </row>
    <row r="9332" spans="1:38">
      <c r="A9332" s="182"/>
      <c r="Q9332" s="183"/>
      <c r="R9332" s="183"/>
      <c r="S9332" s="183"/>
    </row>
    <row r="9333" spans="1:38">
      <c r="A9333" s="182"/>
      <c r="Q9333" s="183"/>
      <c r="R9333" s="183"/>
      <c r="S9333" s="183"/>
      <c r="AK9333" s="183"/>
      <c r="AL9333" s="183"/>
    </row>
    <row r="9334" spans="1:38">
      <c r="A9334" s="182"/>
      <c r="Q9334" s="183"/>
      <c r="R9334" s="183"/>
      <c r="S9334" s="183"/>
      <c r="AJ9334" s="183"/>
      <c r="AK9334" s="183"/>
      <c r="AL9334" s="183"/>
    </row>
    <row r="9335" spans="1:38">
      <c r="A9335" s="182"/>
      <c r="Q9335" s="183"/>
      <c r="R9335" s="183"/>
      <c r="S9335" s="183"/>
      <c r="AJ9335" s="183"/>
      <c r="AK9335" s="183"/>
      <c r="AL9335" s="183"/>
    </row>
    <row r="9336" spans="1:38">
      <c r="A9336" s="182"/>
      <c r="Q9336" s="183"/>
      <c r="R9336" s="183"/>
      <c r="S9336" s="183"/>
      <c r="AJ9336" s="183"/>
      <c r="AK9336" s="183"/>
      <c r="AL9336" s="183"/>
    </row>
    <row r="9337" spans="1:38">
      <c r="A9337" s="182"/>
      <c r="Q9337" s="183"/>
      <c r="R9337" s="183"/>
      <c r="S9337" s="183"/>
      <c r="AJ9337" s="183"/>
    </row>
    <row r="9338" spans="1:38">
      <c r="A9338" s="182"/>
      <c r="Q9338" s="183"/>
      <c r="R9338" s="183"/>
      <c r="S9338" s="183"/>
    </row>
    <row r="9339" spans="1:38">
      <c r="A9339" s="182"/>
      <c r="Q9339" s="183"/>
      <c r="R9339" s="183"/>
      <c r="S9339" s="183"/>
    </row>
    <row r="9340" spans="1:38">
      <c r="A9340" s="182"/>
      <c r="Q9340" s="183"/>
      <c r="R9340" s="183"/>
      <c r="S9340" s="183"/>
    </row>
    <row r="9341" spans="1:38">
      <c r="A9341" s="182"/>
      <c r="Q9341" s="183"/>
      <c r="R9341" s="183"/>
      <c r="S9341" s="183"/>
    </row>
    <row r="9342" spans="1:38">
      <c r="A9342" s="182"/>
      <c r="Q9342" s="183"/>
      <c r="R9342" s="183"/>
      <c r="S9342" s="183"/>
    </row>
    <row r="9343" spans="1:38">
      <c r="A9343" s="182"/>
      <c r="Q9343" s="183"/>
    </row>
    <row r="9344" spans="1:38">
      <c r="A9344" s="182"/>
      <c r="R9344" s="183"/>
      <c r="S9344" s="183"/>
    </row>
    <row r="9345" spans="1:19">
      <c r="A9345" s="182"/>
      <c r="Q9345" s="183"/>
      <c r="R9345" s="183"/>
      <c r="S9345" s="183"/>
    </row>
    <row r="9346" spans="1:19">
      <c r="A9346" s="182"/>
      <c r="Q9346" s="183"/>
      <c r="R9346" s="183"/>
      <c r="S9346" s="183"/>
    </row>
    <row r="9347" spans="1:19">
      <c r="A9347" s="182"/>
      <c r="Q9347" s="183"/>
      <c r="R9347" s="183"/>
      <c r="S9347" s="183"/>
    </row>
    <row r="9348" spans="1:19">
      <c r="A9348" s="182"/>
      <c r="Q9348" s="183"/>
      <c r="R9348" s="183"/>
      <c r="S9348" s="183"/>
    </row>
    <row r="9349" spans="1:19">
      <c r="A9349" s="182"/>
      <c r="Q9349" s="183"/>
      <c r="R9349" s="183"/>
      <c r="S9349" s="183"/>
    </row>
    <row r="9350" spans="1:19">
      <c r="A9350" s="182"/>
      <c r="Q9350" s="183"/>
      <c r="R9350" s="183"/>
      <c r="S9350" s="183"/>
    </row>
    <row r="9351" spans="1:19">
      <c r="A9351" s="182"/>
      <c r="Q9351" s="183"/>
      <c r="R9351" s="183"/>
      <c r="S9351" s="183"/>
    </row>
    <row r="9352" spans="1:19">
      <c r="A9352" s="182"/>
      <c r="Q9352" s="183"/>
      <c r="R9352" s="183"/>
      <c r="S9352" s="183"/>
    </row>
    <row r="9353" spans="1:19">
      <c r="A9353" s="182"/>
      <c r="Q9353" s="183"/>
      <c r="R9353" s="183"/>
      <c r="S9353" s="183"/>
    </row>
    <row r="9354" spans="1:19">
      <c r="A9354" s="182"/>
      <c r="Q9354" s="183"/>
      <c r="R9354" s="183"/>
      <c r="S9354" s="183"/>
    </row>
    <row r="9355" spans="1:19">
      <c r="A9355" s="182"/>
      <c r="Q9355" s="183"/>
      <c r="R9355" s="183"/>
      <c r="S9355" s="183"/>
    </row>
    <row r="9356" spans="1:19">
      <c r="A9356" s="182"/>
      <c r="Q9356" s="183"/>
      <c r="R9356" s="183"/>
      <c r="S9356" s="183"/>
    </row>
    <row r="9357" spans="1:19">
      <c r="A9357" s="182"/>
      <c r="Q9357" s="183"/>
      <c r="R9357" s="183"/>
      <c r="S9357" s="183"/>
    </row>
    <row r="9358" spans="1:19">
      <c r="A9358" s="182"/>
      <c r="Q9358" s="183"/>
    </row>
    <row r="9359" spans="1:19">
      <c r="A9359" s="182"/>
      <c r="R9359" s="183"/>
      <c r="S9359" s="183"/>
    </row>
    <row r="9360" spans="1:19">
      <c r="A9360" s="182"/>
      <c r="Q9360" s="183"/>
      <c r="R9360" s="183"/>
      <c r="S9360" s="183"/>
    </row>
    <row r="9361" spans="1:19">
      <c r="A9361" s="182"/>
      <c r="Q9361" s="183"/>
      <c r="R9361" s="183"/>
      <c r="S9361" s="183"/>
    </row>
    <row r="9362" spans="1:19">
      <c r="A9362" s="182"/>
      <c r="Q9362" s="183"/>
      <c r="R9362" s="183"/>
      <c r="S9362" s="183"/>
    </row>
    <row r="9363" spans="1:19">
      <c r="A9363" s="182"/>
      <c r="Q9363" s="183"/>
      <c r="R9363" s="183"/>
      <c r="S9363" s="183"/>
    </row>
    <row r="9364" spans="1:19">
      <c r="A9364" s="182"/>
      <c r="Q9364" s="183"/>
      <c r="R9364" s="183"/>
      <c r="S9364" s="183"/>
    </row>
    <row r="9365" spans="1:19">
      <c r="A9365" s="182"/>
      <c r="Q9365" s="183"/>
      <c r="R9365" s="183"/>
      <c r="S9365" s="183"/>
    </row>
    <row r="9366" spans="1:19">
      <c r="A9366" s="182"/>
      <c r="Q9366" s="183"/>
      <c r="R9366" s="183"/>
      <c r="S9366" s="183"/>
    </row>
    <row r="9367" spans="1:19">
      <c r="A9367" s="182"/>
      <c r="Q9367" s="183"/>
      <c r="R9367" s="183"/>
      <c r="S9367" s="183"/>
    </row>
    <row r="9368" spans="1:19">
      <c r="A9368" s="182"/>
      <c r="Q9368" s="183"/>
      <c r="R9368" s="183"/>
      <c r="S9368" s="183"/>
    </row>
    <row r="9369" spans="1:19">
      <c r="A9369" s="182"/>
      <c r="Q9369" s="183"/>
      <c r="R9369" s="183"/>
      <c r="S9369" s="183"/>
    </row>
    <row r="9370" spans="1:19">
      <c r="A9370" s="182"/>
      <c r="Q9370" s="183"/>
      <c r="R9370" s="183"/>
      <c r="S9370" s="183"/>
    </row>
    <row r="9371" spans="1:19">
      <c r="A9371" s="182"/>
      <c r="Q9371" s="183"/>
      <c r="R9371" s="183"/>
      <c r="S9371" s="183"/>
    </row>
    <row r="9372" spans="1:19">
      <c r="A9372" s="182"/>
      <c r="Q9372" s="183"/>
      <c r="R9372" s="183"/>
      <c r="S9372" s="183"/>
    </row>
    <row r="9373" spans="1:19">
      <c r="A9373" s="182"/>
      <c r="Q9373" s="183"/>
      <c r="R9373" s="183"/>
      <c r="S9373" s="183"/>
    </row>
    <row r="9374" spans="1:19">
      <c r="A9374" s="182"/>
      <c r="Q9374" s="183"/>
      <c r="R9374" s="183"/>
      <c r="S9374" s="183"/>
    </row>
    <row r="9375" spans="1:19">
      <c r="A9375" s="182"/>
      <c r="Q9375" s="183"/>
    </row>
    <row r="9376" spans="1:19">
      <c r="A9376" s="182"/>
      <c r="R9376" s="183"/>
      <c r="S9376" s="183"/>
    </row>
    <row r="9377" spans="1:38">
      <c r="A9377" s="182"/>
      <c r="Q9377" s="183"/>
      <c r="R9377" s="183"/>
      <c r="S9377" s="183"/>
    </row>
    <row r="9378" spans="1:38">
      <c r="A9378" s="182"/>
      <c r="Q9378" s="183"/>
      <c r="R9378" s="183"/>
      <c r="S9378" s="183"/>
    </row>
    <row r="9379" spans="1:38">
      <c r="A9379" s="182"/>
      <c r="Q9379" s="183"/>
      <c r="R9379" s="183"/>
      <c r="S9379" s="183"/>
    </row>
    <row r="9380" spans="1:38">
      <c r="A9380" s="182"/>
      <c r="Q9380" s="183"/>
    </row>
    <row r="9381" spans="1:38">
      <c r="A9381" s="182"/>
      <c r="R9381" s="183"/>
      <c r="S9381" s="183"/>
    </row>
    <row r="9382" spans="1:38">
      <c r="A9382" s="182"/>
      <c r="Q9382" s="183"/>
    </row>
    <row r="9383" spans="1:38">
      <c r="A9383" s="182"/>
      <c r="R9383" s="183"/>
      <c r="S9383" s="183"/>
    </row>
    <row r="9384" spans="1:38">
      <c r="A9384" s="182"/>
      <c r="Q9384" s="183"/>
      <c r="R9384" s="183"/>
      <c r="S9384" s="183"/>
    </row>
    <row r="9385" spans="1:38">
      <c r="A9385" s="182"/>
      <c r="Q9385" s="183"/>
      <c r="R9385" s="183"/>
      <c r="S9385" s="183"/>
      <c r="AK9385" s="183"/>
      <c r="AL9385" s="183"/>
    </row>
    <row r="9386" spans="1:38">
      <c r="A9386" s="182"/>
      <c r="Q9386" s="183"/>
      <c r="R9386" s="183"/>
      <c r="S9386" s="183"/>
      <c r="AJ9386" s="183"/>
      <c r="AK9386" s="183"/>
      <c r="AL9386" s="183"/>
    </row>
    <row r="9387" spans="1:38">
      <c r="A9387" s="182"/>
      <c r="Q9387" s="183"/>
      <c r="R9387" s="183"/>
      <c r="S9387" s="183"/>
      <c r="AJ9387" s="183"/>
      <c r="AK9387" s="183"/>
      <c r="AL9387" s="183"/>
    </row>
    <row r="9388" spans="1:38">
      <c r="A9388" s="182"/>
      <c r="Q9388" s="183"/>
      <c r="R9388" s="183"/>
      <c r="S9388" s="183"/>
      <c r="AJ9388" s="183"/>
      <c r="AK9388" s="183"/>
      <c r="AL9388" s="183"/>
    </row>
    <row r="9389" spans="1:38">
      <c r="A9389" s="182"/>
      <c r="Q9389" s="183"/>
      <c r="R9389" s="183"/>
      <c r="S9389" s="183"/>
      <c r="AJ9389" s="183"/>
    </row>
    <row r="9390" spans="1:38">
      <c r="A9390" s="182"/>
      <c r="Q9390" s="183"/>
      <c r="R9390" s="183"/>
      <c r="S9390" s="183"/>
    </row>
    <row r="9391" spans="1:38">
      <c r="A9391" s="182"/>
      <c r="Q9391" s="183"/>
      <c r="R9391" s="183"/>
      <c r="S9391" s="183"/>
    </row>
    <row r="9392" spans="1:38">
      <c r="A9392" s="182"/>
      <c r="Q9392" s="183"/>
      <c r="R9392" s="183"/>
      <c r="S9392" s="183"/>
    </row>
    <row r="9393" spans="1:19">
      <c r="A9393" s="182"/>
      <c r="Q9393" s="183"/>
      <c r="R9393" s="183"/>
      <c r="S9393" s="183"/>
    </row>
    <row r="9394" spans="1:19">
      <c r="A9394" s="182"/>
      <c r="Q9394" s="183"/>
      <c r="R9394" s="183"/>
      <c r="S9394" s="183"/>
    </row>
    <row r="9395" spans="1:19">
      <c r="A9395" s="182"/>
      <c r="Q9395" s="183"/>
      <c r="R9395" s="183"/>
      <c r="S9395" s="183"/>
    </row>
    <row r="9396" spans="1:19">
      <c r="A9396" s="182"/>
      <c r="Q9396" s="183"/>
      <c r="R9396" s="183"/>
      <c r="S9396" s="183"/>
    </row>
    <row r="9397" spans="1:19">
      <c r="A9397" s="182"/>
      <c r="Q9397" s="183"/>
      <c r="R9397" s="183"/>
      <c r="S9397" s="183"/>
    </row>
    <row r="9398" spans="1:19">
      <c r="A9398" s="182"/>
      <c r="Q9398" s="183"/>
      <c r="R9398" s="183"/>
      <c r="S9398" s="183"/>
    </row>
    <row r="9399" spans="1:19">
      <c r="A9399" s="182"/>
      <c r="Q9399" s="183"/>
      <c r="R9399" s="183"/>
      <c r="S9399" s="183"/>
    </row>
    <row r="9400" spans="1:19">
      <c r="A9400" s="182"/>
      <c r="Q9400" s="183"/>
      <c r="R9400" s="183"/>
      <c r="S9400" s="183"/>
    </row>
    <row r="9401" spans="1:19">
      <c r="A9401" s="182"/>
      <c r="Q9401" s="183"/>
      <c r="R9401" s="183"/>
      <c r="S9401" s="183"/>
    </row>
    <row r="9402" spans="1:19">
      <c r="A9402" s="182"/>
      <c r="Q9402" s="183"/>
      <c r="R9402" s="183"/>
      <c r="S9402" s="183"/>
    </row>
    <row r="9403" spans="1:19">
      <c r="A9403" s="182"/>
      <c r="Q9403" s="183"/>
      <c r="R9403" s="183"/>
      <c r="S9403" s="183"/>
    </row>
    <row r="9404" spans="1:19">
      <c r="A9404" s="182"/>
      <c r="Q9404" s="183"/>
      <c r="R9404" s="183"/>
      <c r="S9404" s="183"/>
    </row>
    <row r="9405" spans="1:19">
      <c r="A9405" s="182"/>
      <c r="Q9405" s="183"/>
      <c r="R9405" s="183"/>
      <c r="S9405" s="183"/>
    </row>
    <row r="9406" spans="1:19">
      <c r="A9406" s="182"/>
      <c r="Q9406" s="183"/>
      <c r="R9406" s="183"/>
      <c r="S9406" s="183"/>
    </row>
    <row r="9407" spans="1:19">
      <c r="A9407" s="182"/>
      <c r="Q9407" s="183"/>
      <c r="R9407" s="183"/>
      <c r="S9407" s="183"/>
    </row>
    <row r="9408" spans="1:19">
      <c r="A9408" s="182"/>
      <c r="Q9408" s="183"/>
      <c r="R9408" s="183"/>
      <c r="S9408" s="183"/>
    </row>
    <row r="9409" spans="1:38">
      <c r="A9409" s="182"/>
      <c r="Q9409" s="183"/>
      <c r="R9409" s="183"/>
      <c r="S9409" s="183"/>
    </row>
    <row r="9410" spans="1:38">
      <c r="A9410" s="182"/>
      <c r="Q9410" s="183"/>
      <c r="R9410" s="183"/>
      <c r="S9410" s="183"/>
    </row>
    <row r="9411" spans="1:38">
      <c r="A9411" s="182"/>
      <c r="Q9411" s="183"/>
      <c r="R9411" s="183"/>
      <c r="S9411" s="183"/>
    </row>
    <row r="9412" spans="1:38">
      <c r="A9412" s="182"/>
      <c r="Q9412" s="183"/>
      <c r="R9412" s="183"/>
      <c r="S9412" s="183"/>
    </row>
    <row r="9413" spans="1:38">
      <c r="A9413" s="182"/>
      <c r="Q9413" s="183"/>
      <c r="R9413" s="183"/>
      <c r="S9413" s="183"/>
    </row>
    <row r="9414" spans="1:38">
      <c r="A9414" s="182"/>
      <c r="Q9414" s="183"/>
      <c r="R9414" s="183"/>
      <c r="S9414" s="183"/>
    </row>
    <row r="9415" spans="1:38">
      <c r="A9415" s="182"/>
      <c r="Q9415" s="183"/>
      <c r="R9415" s="183"/>
      <c r="S9415" s="183"/>
    </row>
    <row r="9416" spans="1:38">
      <c r="A9416" s="182"/>
      <c r="Q9416" s="183"/>
      <c r="R9416" s="183"/>
      <c r="S9416" s="183"/>
    </row>
    <row r="9417" spans="1:38">
      <c r="A9417" s="182"/>
      <c r="Q9417" s="183"/>
      <c r="R9417" s="183"/>
      <c r="S9417" s="183"/>
      <c r="AK9417" s="183"/>
      <c r="AL9417" s="183"/>
    </row>
    <row r="9418" spans="1:38">
      <c r="A9418" s="182"/>
      <c r="Q9418" s="183"/>
      <c r="R9418" s="183"/>
      <c r="S9418" s="183"/>
      <c r="AJ9418" s="183"/>
      <c r="AK9418" s="183"/>
      <c r="AL9418" s="183"/>
    </row>
    <row r="9419" spans="1:38">
      <c r="A9419" s="182"/>
      <c r="Q9419" s="183"/>
      <c r="R9419" s="183"/>
      <c r="S9419" s="183"/>
      <c r="AJ9419" s="183"/>
      <c r="AK9419" s="183"/>
      <c r="AL9419" s="183"/>
    </row>
    <row r="9420" spans="1:38">
      <c r="A9420" s="182"/>
      <c r="Q9420" s="183"/>
      <c r="R9420" s="183"/>
      <c r="S9420" s="183"/>
      <c r="AJ9420" s="183"/>
      <c r="AK9420" s="183"/>
      <c r="AL9420" s="183"/>
    </row>
    <row r="9421" spans="1:38">
      <c r="A9421" s="182"/>
      <c r="Q9421" s="183"/>
      <c r="R9421" s="183"/>
      <c r="S9421" s="183"/>
      <c r="AJ9421" s="183"/>
    </row>
    <row r="9422" spans="1:38">
      <c r="A9422" s="182"/>
      <c r="Q9422" s="183"/>
      <c r="R9422" s="183"/>
      <c r="S9422" s="183"/>
    </row>
    <row r="9423" spans="1:38">
      <c r="A9423" s="182"/>
      <c r="Q9423" s="183"/>
      <c r="R9423" s="183"/>
      <c r="S9423" s="183"/>
    </row>
    <row r="9424" spans="1:38">
      <c r="A9424" s="182"/>
      <c r="Q9424" s="183"/>
      <c r="R9424" s="183"/>
      <c r="S9424" s="183"/>
    </row>
    <row r="9425" spans="1:38">
      <c r="A9425" s="182"/>
      <c r="Q9425" s="183"/>
      <c r="R9425" s="183"/>
      <c r="S9425" s="183"/>
    </row>
    <row r="9426" spans="1:38">
      <c r="A9426" s="182"/>
      <c r="Q9426" s="183"/>
      <c r="R9426" s="183"/>
      <c r="S9426" s="183"/>
    </row>
    <row r="9427" spans="1:38">
      <c r="A9427" s="182"/>
      <c r="Q9427" s="183"/>
      <c r="R9427" s="183"/>
      <c r="S9427" s="183"/>
    </row>
    <row r="9428" spans="1:38">
      <c r="A9428" s="182"/>
      <c r="Q9428" s="183"/>
      <c r="R9428" s="183"/>
      <c r="S9428" s="183"/>
    </row>
    <row r="9429" spans="1:38">
      <c r="A9429" s="182"/>
      <c r="Q9429" s="183"/>
      <c r="R9429" s="183"/>
      <c r="S9429" s="183"/>
    </row>
    <row r="9430" spans="1:38">
      <c r="A9430" s="182"/>
      <c r="Q9430" s="183"/>
      <c r="R9430" s="183"/>
      <c r="S9430" s="183"/>
    </row>
    <row r="9431" spans="1:38">
      <c r="A9431" s="182"/>
      <c r="Q9431" s="183"/>
      <c r="R9431" s="183"/>
      <c r="S9431" s="183"/>
    </row>
    <row r="9432" spans="1:38">
      <c r="A9432" s="182"/>
      <c r="Q9432" s="183"/>
      <c r="R9432" s="183"/>
      <c r="S9432" s="183"/>
    </row>
    <row r="9433" spans="1:38">
      <c r="A9433" s="182"/>
      <c r="Q9433" s="183"/>
      <c r="R9433" s="183"/>
      <c r="S9433" s="183"/>
      <c r="AK9433" s="183"/>
      <c r="AL9433" s="183"/>
    </row>
    <row r="9434" spans="1:38">
      <c r="A9434" s="182"/>
      <c r="Q9434" s="183"/>
      <c r="AJ9434" s="183"/>
      <c r="AK9434" s="183"/>
      <c r="AL9434" s="183"/>
    </row>
    <row r="9435" spans="1:38">
      <c r="A9435" s="182"/>
      <c r="AJ9435" s="183"/>
      <c r="AK9435" s="183"/>
      <c r="AL9435" s="183"/>
    </row>
    <row r="9436" spans="1:38">
      <c r="A9436" s="182"/>
      <c r="R9436" s="183"/>
      <c r="S9436" s="183"/>
      <c r="AJ9436" s="183"/>
      <c r="AK9436" s="183"/>
      <c r="AL9436" s="183"/>
    </row>
    <row r="9437" spans="1:38">
      <c r="A9437" s="182"/>
      <c r="Q9437" s="183"/>
      <c r="R9437" s="183"/>
      <c r="S9437" s="183"/>
      <c r="AJ9437" s="183"/>
    </row>
    <row r="9438" spans="1:38">
      <c r="A9438" s="182"/>
      <c r="Q9438" s="183"/>
      <c r="R9438" s="183"/>
      <c r="S9438" s="183"/>
    </row>
    <row r="9439" spans="1:38">
      <c r="A9439" s="182"/>
      <c r="Q9439" s="183"/>
      <c r="R9439" s="183"/>
      <c r="S9439" s="183"/>
    </row>
    <row r="9440" spans="1:38">
      <c r="A9440" s="182"/>
      <c r="Q9440" s="183"/>
      <c r="R9440" s="183"/>
      <c r="S9440" s="183"/>
    </row>
    <row r="9441" spans="1:19">
      <c r="A9441" s="182"/>
      <c r="Q9441" s="183"/>
      <c r="R9441" s="183"/>
      <c r="S9441" s="183"/>
    </row>
    <row r="9442" spans="1:19">
      <c r="A9442" s="182"/>
      <c r="Q9442" s="183"/>
      <c r="R9442" s="183"/>
      <c r="S9442" s="183"/>
    </row>
    <row r="9443" spans="1:19">
      <c r="A9443" s="182"/>
      <c r="Q9443" s="183"/>
      <c r="R9443" s="183"/>
      <c r="S9443" s="183"/>
    </row>
    <row r="9444" spans="1:19">
      <c r="A9444" s="182"/>
      <c r="Q9444" s="183"/>
      <c r="R9444" s="183"/>
      <c r="S9444" s="183"/>
    </row>
    <row r="9445" spans="1:19">
      <c r="A9445" s="182"/>
      <c r="Q9445" s="183"/>
      <c r="R9445" s="183"/>
      <c r="S9445" s="183"/>
    </row>
    <row r="9446" spans="1:19">
      <c r="A9446" s="182"/>
      <c r="Q9446" s="183"/>
      <c r="R9446" s="183"/>
      <c r="S9446" s="183"/>
    </row>
    <row r="9447" spans="1:19">
      <c r="A9447" s="182"/>
      <c r="Q9447" s="183"/>
      <c r="R9447" s="183"/>
      <c r="S9447" s="183"/>
    </row>
    <row r="9448" spans="1:19">
      <c r="A9448" s="182"/>
      <c r="Q9448" s="183"/>
      <c r="R9448" s="183"/>
      <c r="S9448" s="183"/>
    </row>
    <row r="9449" spans="1:19">
      <c r="A9449" s="182"/>
      <c r="Q9449" s="183"/>
      <c r="R9449" s="183"/>
      <c r="S9449" s="183"/>
    </row>
    <row r="9450" spans="1:19">
      <c r="A9450" s="182"/>
      <c r="Q9450" s="183"/>
      <c r="R9450" s="183"/>
      <c r="S9450" s="183"/>
    </row>
    <row r="9451" spans="1:19">
      <c r="A9451" s="182"/>
      <c r="Q9451" s="183"/>
      <c r="R9451" s="183"/>
      <c r="S9451" s="183"/>
    </row>
    <row r="9452" spans="1:19">
      <c r="A9452" s="182"/>
      <c r="Q9452" s="183"/>
      <c r="R9452" s="183"/>
      <c r="S9452" s="183"/>
    </row>
    <row r="9453" spans="1:19">
      <c r="A9453" s="182"/>
      <c r="Q9453" s="183"/>
      <c r="R9453" s="183"/>
      <c r="S9453" s="183"/>
    </row>
    <row r="9454" spans="1:19">
      <c r="A9454" s="182"/>
      <c r="Q9454" s="183"/>
      <c r="R9454" s="183"/>
      <c r="S9454" s="183"/>
    </row>
    <row r="9455" spans="1:19">
      <c r="A9455" s="182"/>
      <c r="Q9455" s="183"/>
      <c r="R9455" s="183"/>
      <c r="S9455" s="183"/>
    </row>
    <row r="9456" spans="1:19">
      <c r="A9456" s="182"/>
      <c r="Q9456" s="183"/>
      <c r="R9456" s="183"/>
      <c r="S9456" s="183"/>
    </row>
    <row r="9457" spans="1:19">
      <c r="A9457" s="182"/>
      <c r="Q9457" s="183"/>
      <c r="R9457" s="183"/>
      <c r="S9457" s="183"/>
    </row>
    <row r="9458" spans="1:19">
      <c r="A9458" s="182"/>
      <c r="Q9458" s="183"/>
      <c r="R9458" s="183"/>
      <c r="S9458" s="183"/>
    </row>
    <row r="9459" spans="1:19">
      <c r="A9459" s="182"/>
      <c r="Q9459" s="183"/>
      <c r="R9459" s="183"/>
      <c r="S9459" s="183"/>
    </row>
    <row r="9460" spans="1:19">
      <c r="A9460" s="182"/>
      <c r="Q9460" s="183"/>
      <c r="R9460" s="183"/>
      <c r="S9460" s="183"/>
    </row>
    <row r="9461" spans="1:19">
      <c r="A9461" s="182"/>
      <c r="Q9461" s="183"/>
      <c r="R9461" s="183"/>
      <c r="S9461" s="183"/>
    </row>
    <row r="9462" spans="1:19">
      <c r="A9462" s="182"/>
      <c r="Q9462" s="183"/>
      <c r="R9462" s="183"/>
      <c r="S9462" s="183"/>
    </row>
    <row r="9463" spans="1:19">
      <c r="A9463" s="182"/>
      <c r="Q9463" s="183"/>
      <c r="R9463" s="183"/>
      <c r="S9463" s="183"/>
    </row>
    <row r="9464" spans="1:19">
      <c r="A9464" s="182"/>
      <c r="Q9464" s="183"/>
      <c r="R9464" s="183"/>
      <c r="S9464" s="183"/>
    </row>
    <row r="9465" spans="1:19">
      <c r="A9465" s="182"/>
      <c r="Q9465" s="183"/>
      <c r="R9465" s="183"/>
      <c r="S9465" s="183"/>
    </row>
    <row r="9466" spans="1:19">
      <c r="A9466" s="182"/>
      <c r="Q9466" s="183"/>
      <c r="R9466" s="183"/>
      <c r="S9466" s="183"/>
    </row>
    <row r="9467" spans="1:19">
      <c r="A9467" s="182"/>
      <c r="Q9467" s="183"/>
      <c r="R9467" s="183"/>
      <c r="S9467" s="183"/>
    </row>
    <row r="9468" spans="1:19">
      <c r="A9468" s="182"/>
      <c r="Q9468" s="183"/>
      <c r="R9468" s="183"/>
      <c r="S9468" s="183"/>
    </row>
    <row r="9469" spans="1:19">
      <c r="A9469" s="182"/>
      <c r="Q9469" s="183"/>
      <c r="R9469" s="183"/>
      <c r="S9469" s="183"/>
    </row>
    <row r="9470" spans="1:19">
      <c r="A9470" s="182"/>
      <c r="Q9470" s="183"/>
      <c r="R9470" s="183"/>
      <c r="S9470" s="183"/>
    </row>
    <row r="9471" spans="1:19">
      <c r="A9471" s="182"/>
      <c r="Q9471" s="183"/>
      <c r="R9471" s="183"/>
      <c r="S9471" s="183"/>
    </row>
    <row r="9472" spans="1:19">
      <c r="A9472" s="182"/>
      <c r="Q9472" s="183"/>
      <c r="R9472" s="183"/>
      <c r="S9472" s="183"/>
    </row>
    <row r="9473" spans="1:38">
      <c r="A9473" s="182"/>
      <c r="Q9473" s="183"/>
      <c r="R9473" s="183"/>
      <c r="S9473" s="183"/>
      <c r="AK9473" s="183"/>
      <c r="AL9473" s="183"/>
    </row>
    <row r="9474" spans="1:38">
      <c r="A9474" s="182"/>
      <c r="Q9474" s="183"/>
      <c r="R9474" s="183"/>
      <c r="S9474" s="183"/>
      <c r="AJ9474" s="183"/>
      <c r="AK9474" s="183"/>
      <c r="AL9474" s="183"/>
    </row>
    <row r="9475" spans="1:38">
      <c r="A9475" s="182"/>
      <c r="Q9475" s="183"/>
      <c r="R9475" s="183"/>
      <c r="S9475" s="183"/>
      <c r="AJ9475" s="183"/>
      <c r="AK9475" s="183"/>
      <c r="AL9475" s="183"/>
    </row>
    <row r="9476" spans="1:38">
      <c r="A9476" s="182"/>
      <c r="Q9476" s="183"/>
      <c r="R9476" s="183"/>
      <c r="S9476" s="183"/>
      <c r="AJ9476" s="183"/>
      <c r="AK9476" s="183"/>
      <c r="AL9476" s="183"/>
    </row>
    <row r="9477" spans="1:38">
      <c r="A9477" s="182"/>
      <c r="Q9477" s="183"/>
      <c r="R9477" s="183"/>
      <c r="S9477" s="183"/>
      <c r="AJ9477" s="183"/>
    </row>
    <row r="9478" spans="1:38">
      <c r="A9478" s="182"/>
      <c r="Q9478" s="183"/>
      <c r="R9478" s="183"/>
      <c r="S9478" s="183"/>
    </row>
    <row r="9479" spans="1:38">
      <c r="A9479" s="182"/>
      <c r="Q9479" s="183"/>
      <c r="R9479" s="183"/>
      <c r="S9479" s="183"/>
    </row>
    <row r="9480" spans="1:38">
      <c r="A9480" s="182"/>
      <c r="Q9480" s="183"/>
      <c r="R9480" s="183"/>
      <c r="S9480" s="183"/>
    </row>
    <row r="9481" spans="1:38">
      <c r="A9481" s="182"/>
      <c r="Q9481" s="183"/>
      <c r="R9481" s="183"/>
      <c r="S9481" s="183"/>
      <c r="AK9481" s="183"/>
      <c r="AL9481" s="183"/>
    </row>
    <row r="9482" spans="1:38">
      <c r="A9482" s="182"/>
      <c r="Q9482" s="183"/>
      <c r="R9482" s="183"/>
      <c r="S9482" s="183"/>
      <c r="AJ9482" s="183"/>
      <c r="AK9482" s="183"/>
      <c r="AL9482" s="183"/>
    </row>
    <row r="9483" spans="1:38">
      <c r="A9483" s="182"/>
      <c r="Q9483" s="183"/>
      <c r="R9483" s="183"/>
      <c r="S9483" s="183"/>
      <c r="AJ9483" s="183"/>
      <c r="AK9483" s="183"/>
      <c r="AL9483" s="183"/>
    </row>
    <row r="9484" spans="1:38">
      <c r="A9484" s="182"/>
      <c r="Q9484" s="183"/>
      <c r="R9484" s="183"/>
      <c r="S9484" s="183"/>
      <c r="AJ9484" s="183"/>
      <c r="AK9484" s="183"/>
      <c r="AL9484" s="183"/>
    </row>
    <row r="9485" spans="1:38">
      <c r="A9485" s="182"/>
      <c r="Q9485" s="183"/>
      <c r="R9485" s="183"/>
      <c r="S9485" s="183"/>
      <c r="AJ9485" s="183"/>
    </row>
    <row r="9486" spans="1:38">
      <c r="A9486" s="182"/>
      <c r="Q9486" s="183"/>
      <c r="R9486" s="183"/>
      <c r="S9486" s="183"/>
    </row>
    <row r="9487" spans="1:38">
      <c r="A9487" s="182"/>
      <c r="Q9487" s="183"/>
      <c r="R9487" s="183"/>
      <c r="S9487" s="183"/>
    </row>
    <row r="9488" spans="1:38">
      <c r="A9488" s="182"/>
      <c r="Q9488" s="183"/>
      <c r="R9488" s="183"/>
      <c r="S9488" s="183"/>
    </row>
    <row r="9489" spans="1:38">
      <c r="A9489" s="182"/>
      <c r="Q9489" s="183"/>
      <c r="R9489" s="183"/>
      <c r="S9489" s="183"/>
    </row>
    <row r="9490" spans="1:38">
      <c r="A9490" s="182"/>
      <c r="Q9490" s="183"/>
      <c r="R9490" s="183"/>
      <c r="S9490" s="183"/>
    </row>
    <row r="9491" spans="1:38">
      <c r="A9491" s="182"/>
      <c r="Q9491" s="183"/>
      <c r="R9491" s="183"/>
      <c r="S9491" s="183"/>
    </row>
    <row r="9492" spans="1:38">
      <c r="A9492" s="182"/>
      <c r="Q9492" s="183"/>
      <c r="R9492" s="183"/>
      <c r="S9492" s="183"/>
    </row>
    <row r="9493" spans="1:38">
      <c r="A9493" s="182"/>
      <c r="Q9493" s="183"/>
      <c r="R9493" s="183"/>
      <c r="S9493" s="183"/>
    </row>
    <row r="9494" spans="1:38">
      <c r="A9494" s="182"/>
      <c r="Q9494" s="183"/>
      <c r="R9494" s="183"/>
      <c r="S9494" s="183"/>
    </row>
    <row r="9495" spans="1:38">
      <c r="A9495" s="182"/>
      <c r="Q9495" s="183"/>
      <c r="R9495" s="183"/>
      <c r="S9495" s="183"/>
    </row>
    <row r="9496" spans="1:38">
      <c r="A9496" s="182"/>
      <c r="Q9496" s="183"/>
      <c r="R9496" s="183"/>
      <c r="S9496" s="183"/>
    </row>
    <row r="9497" spans="1:38">
      <c r="A9497" s="182"/>
      <c r="Q9497" s="183"/>
      <c r="R9497" s="183"/>
      <c r="S9497" s="183"/>
    </row>
    <row r="9498" spans="1:38">
      <c r="A9498" s="182"/>
      <c r="Q9498" s="183"/>
      <c r="R9498" s="183"/>
      <c r="S9498" s="183"/>
    </row>
    <row r="9499" spans="1:38">
      <c r="A9499" s="182"/>
      <c r="Q9499" s="183"/>
      <c r="R9499" s="183"/>
      <c r="S9499" s="183"/>
    </row>
    <row r="9500" spans="1:38">
      <c r="A9500" s="182"/>
      <c r="Q9500" s="183"/>
      <c r="R9500" s="183"/>
      <c r="S9500" s="183"/>
    </row>
    <row r="9501" spans="1:38">
      <c r="A9501" s="182"/>
      <c r="Q9501" s="183"/>
      <c r="R9501" s="183"/>
      <c r="S9501" s="183"/>
      <c r="AK9501" s="183"/>
      <c r="AL9501" s="183"/>
    </row>
    <row r="9502" spans="1:38">
      <c r="A9502" s="182"/>
      <c r="Q9502" s="183"/>
      <c r="R9502" s="183"/>
      <c r="S9502" s="183"/>
      <c r="AJ9502" s="183"/>
      <c r="AK9502" s="183"/>
      <c r="AL9502" s="183"/>
    </row>
    <row r="9503" spans="1:38">
      <c r="A9503" s="182"/>
      <c r="Q9503" s="183"/>
      <c r="R9503" s="183"/>
      <c r="S9503" s="183"/>
      <c r="AJ9503" s="183"/>
      <c r="AK9503" s="183"/>
      <c r="AL9503" s="183"/>
    </row>
    <row r="9504" spans="1:38">
      <c r="A9504" s="182"/>
      <c r="Q9504" s="183"/>
      <c r="R9504" s="183"/>
      <c r="S9504" s="183"/>
      <c r="AJ9504" s="183"/>
      <c r="AK9504" s="183"/>
      <c r="AL9504" s="183"/>
    </row>
    <row r="9505" spans="1:36">
      <c r="A9505" s="182"/>
      <c r="Q9505" s="183"/>
      <c r="R9505" s="183"/>
      <c r="S9505" s="183"/>
      <c r="AJ9505" s="183"/>
    </row>
    <row r="9506" spans="1:36">
      <c r="A9506" s="182"/>
      <c r="Q9506" s="183"/>
      <c r="R9506" s="183"/>
      <c r="S9506" s="183"/>
    </row>
    <row r="9507" spans="1:36">
      <c r="A9507" s="182"/>
      <c r="Q9507" s="183"/>
      <c r="R9507" s="183"/>
      <c r="S9507" s="183"/>
    </row>
    <row r="9508" spans="1:36">
      <c r="A9508" s="182"/>
      <c r="Q9508" s="183"/>
      <c r="R9508" s="183"/>
      <c r="S9508" s="183"/>
    </row>
    <row r="9509" spans="1:36">
      <c r="A9509" s="182"/>
      <c r="Q9509" s="183"/>
      <c r="R9509" s="183"/>
      <c r="S9509" s="183"/>
    </row>
    <row r="9510" spans="1:36">
      <c r="A9510" s="182"/>
      <c r="Q9510" s="183"/>
      <c r="R9510" s="183"/>
      <c r="S9510" s="183"/>
    </row>
    <row r="9511" spans="1:36">
      <c r="A9511" s="182"/>
      <c r="Q9511" s="183"/>
      <c r="R9511" s="183"/>
      <c r="S9511" s="183"/>
    </row>
    <row r="9512" spans="1:36">
      <c r="A9512" s="182"/>
      <c r="Q9512" s="183"/>
      <c r="R9512" s="183"/>
      <c r="S9512" s="183"/>
    </row>
    <row r="9513" spans="1:36">
      <c r="A9513" s="182"/>
      <c r="Q9513" s="183"/>
      <c r="R9513" s="183"/>
      <c r="S9513" s="183"/>
    </row>
    <row r="9514" spans="1:36">
      <c r="A9514" s="182"/>
      <c r="Q9514" s="183"/>
      <c r="R9514" s="183"/>
      <c r="S9514" s="183"/>
    </row>
    <row r="9515" spans="1:36">
      <c r="A9515" s="182"/>
      <c r="Q9515" s="183"/>
      <c r="R9515" s="183"/>
      <c r="S9515" s="183"/>
    </row>
    <row r="9516" spans="1:36">
      <c r="A9516" s="182"/>
      <c r="Q9516" s="183"/>
      <c r="R9516" s="183"/>
      <c r="S9516" s="183"/>
    </row>
    <row r="9517" spans="1:36">
      <c r="A9517" s="182"/>
      <c r="Q9517" s="183"/>
      <c r="R9517" s="183"/>
      <c r="S9517" s="183"/>
    </row>
    <row r="9518" spans="1:36">
      <c r="A9518" s="182"/>
      <c r="Q9518" s="183"/>
      <c r="R9518" s="183"/>
      <c r="S9518" s="183"/>
    </row>
    <row r="9519" spans="1:36">
      <c r="A9519" s="182"/>
      <c r="Q9519" s="183"/>
      <c r="R9519" s="183"/>
      <c r="S9519" s="183"/>
    </row>
    <row r="9520" spans="1:36">
      <c r="A9520" s="182"/>
      <c r="Q9520" s="183"/>
      <c r="R9520" s="183"/>
      <c r="S9520" s="183"/>
    </row>
    <row r="9521" spans="1:19">
      <c r="A9521" s="182"/>
      <c r="Q9521" s="183"/>
      <c r="R9521" s="183"/>
      <c r="S9521" s="183"/>
    </row>
    <row r="9522" spans="1:19">
      <c r="A9522" s="182"/>
      <c r="Q9522" s="183"/>
      <c r="R9522" s="183"/>
      <c r="S9522" s="183"/>
    </row>
    <row r="9523" spans="1:19">
      <c r="A9523" s="182"/>
      <c r="Q9523" s="183"/>
      <c r="R9523" s="183"/>
      <c r="S9523" s="183"/>
    </row>
    <row r="9524" spans="1:19">
      <c r="A9524" s="182"/>
      <c r="Q9524" s="183"/>
    </row>
    <row r="9525" spans="1:19">
      <c r="A9525" s="182"/>
      <c r="R9525" s="183"/>
      <c r="S9525" s="183"/>
    </row>
    <row r="9526" spans="1:19">
      <c r="A9526" s="182"/>
      <c r="Q9526" s="183"/>
      <c r="R9526" s="183"/>
      <c r="S9526" s="183"/>
    </row>
    <row r="9527" spans="1:19">
      <c r="A9527" s="182"/>
      <c r="Q9527" s="183"/>
    </row>
    <row r="9528" spans="1:19">
      <c r="A9528" s="182"/>
      <c r="R9528" s="183"/>
      <c r="S9528" s="183"/>
    </row>
    <row r="9529" spans="1:19">
      <c r="A9529" s="182"/>
      <c r="Q9529" s="183"/>
    </row>
    <row r="9530" spans="1:19">
      <c r="A9530" s="182"/>
    </row>
    <row r="9531" spans="1:19">
      <c r="A9531" s="182"/>
    </row>
    <row r="9532" spans="1:19">
      <c r="A9532" s="182"/>
    </row>
    <row r="9533" spans="1:19">
      <c r="A9533" s="182"/>
    </row>
    <row r="9534" spans="1:19">
      <c r="A9534" s="182"/>
      <c r="R9534" s="183"/>
      <c r="S9534" s="183"/>
    </row>
    <row r="9535" spans="1:19">
      <c r="A9535" s="182"/>
      <c r="Q9535" s="183"/>
      <c r="R9535" s="183"/>
      <c r="S9535" s="183"/>
    </row>
    <row r="9536" spans="1:19">
      <c r="A9536" s="182"/>
      <c r="Q9536" s="183"/>
      <c r="R9536" s="183"/>
      <c r="S9536" s="183"/>
    </row>
    <row r="9537" spans="1:19">
      <c r="A9537" s="182"/>
      <c r="Q9537" s="183"/>
      <c r="R9537" s="183"/>
      <c r="S9537" s="183"/>
    </row>
    <row r="9538" spans="1:19">
      <c r="A9538" s="182"/>
      <c r="Q9538" s="183"/>
      <c r="R9538" s="183"/>
      <c r="S9538" s="183"/>
    </row>
    <row r="9539" spans="1:19">
      <c r="A9539" s="182"/>
      <c r="Q9539" s="183"/>
      <c r="R9539" s="183"/>
      <c r="S9539" s="183"/>
    </row>
    <row r="9540" spans="1:19">
      <c r="A9540" s="182"/>
      <c r="Q9540" s="183"/>
      <c r="R9540" s="183"/>
      <c r="S9540" s="183"/>
    </row>
    <row r="9541" spans="1:19">
      <c r="A9541" s="182"/>
      <c r="Q9541" s="183"/>
      <c r="R9541" s="183"/>
      <c r="S9541" s="183"/>
    </row>
    <row r="9542" spans="1:19">
      <c r="A9542" s="182"/>
      <c r="Q9542" s="183"/>
      <c r="R9542" s="183"/>
      <c r="S9542" s="183"/>
    </row>
    <row r="9543" spans="1:19">
      <c r="A9543" s="182"/>
      <c r="Q9543" s="183"/>
      <c r="R9543" s="183"/>
      <c r="S9543" s="183"/>
    </row>
    <row r="9544" spans="1:19">
      <c r="A9544" s="182"/>
      <c r="Q9544" s="183"/>
      <c r="R9544" s="183"/>
      <c r="S9544" s="183"/>
    </row>
    <row r="9545" spans="1:19">
      <c r="A9545" s="182"/>
      <c r="Q9545" s="183"/>
      <c r="R9545" s="183"/>
      <c r="S9545" s="183"/>
    </row>
    <row r="9546" spans="1:19">
      <c r="A9546" s="182"/>
      <c r="Q9546" s="183"/>
      <c r="R9546" s="183"/>
      <c r="S9546" s="183"/>
    </row>
    <row r="9547" spans="1:19">
      <c r="A9547" s="182"/>
      <c r="Q9547" s="183"/>
      <c r="R9547" s="183"/>
      <c r="S9547" s="183"/>
    </row>
    <row r="9548" spans="1:19">
      <c r="A9548" s="182"/>
      <c r="Q9548" s="183"/>
      <c r="R9548" s="183"/>
      <c r="S9548" s="183"/>
    </row>
    <row r="9549" spans="1:19">
      <c r="A9549" s="182"/>
      <c r="Q9549" s="183"/>
      <c r="R9549" s="183"/>
      <c r="S9549" s="183"/>
    </row>
    <row r="9550" spans="1:19">
      <c r="A9550" s="182"/>
      <c r="Q9550" s="183"/>
      <c r="R9550" s="183"/>
      <c r="S9550" s="183"/>
    </row>
    <row r="9551" spans="1:19">
      <c r="A9551" s="182"/>
      <c r="Q9551" s="183"/>
      <c r="R9551" s="183"/>
      <c r="S9551" s="183"/>
    </row>
    <row r="9552" spans="1:19">
      <c r="A9552" s="182"/>
      <c r="Q9552" s="183"/>
      <c r="R9552" s="183"/>
      <c r="S9552" s="183"/>
    </row>
    <row r="9553" spans="1:19">
      <c r="A9553" s="182"/>
      <c r="Q9553" s="183"/>
      <c r="R9553" s="183"/>
      <c r="S9553" s="183"/>
    </row>
    <row r="9554" spans="1:19">
      <c r="A9554" s="182"/>
      <c r="Q9554" s="183"/>
      <c r="R9554" s="183"/>
      <c r="S9554" s="183"/>
    </row>
    <row r="9555" spans="1:19">
      <c r="A9555" s="182"/>
      <c r="Q9555" s="183"/>
      <c r="R9555" s="183"/>
      <c r="S9555" s="183"/>
    </row>
    <row r="9556" spans="1:19">
      <c r="A9556" s="182"/>
      <c r="Q9556" s="183"/>
      <c r="R9556" s="183"/>
      <c r="S9556" s="183"/>
    </row>
    <row r="9557" spans="1:19">
      <c r="A9557" s="182"/>
      <c r="Q9557" s="183"/>
      <c r="R9557" s="183"/>
      <c r="S9557" s="183"/>
    </row>
    <row r="9558" spans="1:19">
      <c r="A9558" s="182"/>
      <c r="Q9558" s="183"/>
      <c r="R9558" s="183"/>
      <c r="S9558" s="183"/>
    </row>
    <row r="9559" spans="1:19">
      <c r="A9559" s="182"/>
      <c r="Q9559" s="183"/>
      <c r="R9559" s="183"/>
      <c r="S9559" s="183"/>
    </row>
    <row r="9560" spans="1:19">
      <c r="A9560" s="182"/>
      <c r="Q9560" s="183"/>
      <c r="R9560" s="183"/>
      <c r="S9560" s="183"/>
    </row>
    <row r="9561" spans="1:19">
      <c r="A9561" s="182"/>
      <c r="Q9561" s="183"/>
      <c r="R9561" s="183"/>
      <c r="S9561" s="183"/>
    </row>
    <row r="9562" spans="1:19">
      <c r="A9562" s="182"/>
      <c r="Q9562" s="183"/>
      <c r="R9562" s="183"/>
      <c r="S9562" s="183"/>
    </row>
    <row r="9563" spans="1:19">
      <c r="A9563" s="182"/>
      <c r="Q9563" s="183"/>
      <c r="R9563" s="183"/>
      <c r="S9563" s="183"/>
    </row>
    <row r="9564" spans="1:19">
      <c r="A9564" s="182"/>
      <c r="Q9564" s="183"/>
      <c r="R9564" s="183"/>
      <c r="S9564" s="183"/>
    </row>
    <row r="9565" spans="1:19">
      <c r="A9565" s="182"/>
      <c r="Q9565" s="183"/>
      <c r="R9565" s="183"/>
      <c r="S9565" s="183"/>
    </row>
    <row r="9566" spans="1:19">
      <c r="A9566" s="182"/>
      <c r="Q9566" s="183"/>
    </row>
    <row r="9567" spans="1:19">
      <c r="A9567" s="182"/>
      <c r="R9567" s="183"/>
      <c r="S9567" s="183"/>
    </row>
    <row r="9568" spans="1:19">
      <c r="A9568" s="182"/>
      <c r="Q9568" s="183"/>
      <c r="R9568" s="183"/>
      <c r="S9568" s="183"/>
    </row>
    <row r="9569" spans="1:38">
      <c r="A9569" s="182"/>
      <c r="Q9569" s="183"/>
      <c r="R9569" s="183"/>
      <c r="S9569" s="183"/>
    </row>
    <row r="9570" spans="1:38">
      <c r="A9570" s="182"/>
      <c r="Q9570" s="183"/>
      <c r="R9570" s="183"/>
      <c r="S9570" s="183"/>
    </row>
    <row r="9571" spans="1:38">
      <c r="A9571" s="182"/>
      <c r="Q9571" s="183"/>
      <c r="R9571" s="183"/>
      <c r="S9571" s="183"/>
    </row>
    <row r="9572" spans="1:38">
      <c r="A9572" s="182"/>
      <c r="Q9572" s="183"/>
      <c r="R9572" s="183"/>
      <c r="S9572" s="183"/>
    </row>
    <row r="9573" spans="1:38">
      <c r="A9573" s="182"/>
      <c r="Q9573" s="183"/>
      <c r="R9573" s="183"/>
      <c r="S9573" s="183"/>
    </row>
    <row r="9574" spans="1:38">
      <c r="A9574" s="182"/>
      <c r="Q9574" s="183"/>
      <c r="R9574" s="183"/>
      <c r="S9574" s="183"/>
    </row>
    <row r="9575" spans="1:38">
      <c r="A9575" s="182"/>
      <c r="Q9575" s="183"/>
      <c r="R9575" s="183"/>
      <c r="S9575" s="183"/>
    </row>
    <row r="9576" spans="1:38">
      <c r="A9576" s="182"/>
      <c r="Q9576" s="183"/>
      <c r="R9576" s="183"/>
      <c r="S9576" s="183"/>
    </row>
    <row r="9577" spans="1:38">
      <c r="A9577" s="182"/>
      <c r="Q9577" s="183"/>
      <c r="R9577" s="183"/>
      <c r="S9577" s="183"/>
      <c r="AK9577" s="183"/>
      <c r="AL9577" s="183"/>
    </row>
    <row r="9578" spans="1:38">
      <c r="A9578" s="182"/>
      <c r="Q9578" s="183"/>
      <c r="R9578" s="183"/>
      <c r="S9578" s="183"/>
      <c r="AJ9578" s="183"/>
      <c r="AK9578" s="183"/>
      <c r="AL9578" s="183"/>
    </row>
    <row r="9579" spans="1:38">
      <c r="A9579" s="182"/>
      <c r="Q9579" s="183"/>
      <c r="R9579" s="183"/>
      <c r="S9579" s="183"/>
      <c r="AJ9579" s="183"/>
      <c r="AK9579" s="183"/>
      <c r="AL9579" s="183"/>
    </row>
    <row r="9580" spans="1:38">
      <c r="A9580" s="182"/>
      <c r="Q9580" s="183"/>
      <c r="R9580" s="183"/>
      <c r="S9580" s="183"/>
      <c r="AJ9580" s="183"/>
      <c r="AK9580" s="183"/>
      <c r="AL9580" s="183"/>
    </row>
    <row r="9581" spans="1:38">
      <c r="A9581" s="182"/>
      <c r="Q9581" s="183"/>
      <c r="R9581" s="183"/>
      <c r="S9581" s="183"/>
      <c r="AJ9581" s="183"/>
    </row>
    <row r="9582" spans="1:38">
      <c r="A9582" s="182"/>
      <c r="Q9582" s="183"/>
      <c r="R9582" s="183"/>
      <c r="S9582" s="183"/>
    </row>
    <row r="9583" spans="1:38">
      <c r="A9583" s="182"/>
      <c r="Q9583" s="183"/>
      <c r="R9583" s="183"/>
      <c r="S9583" s="183"/>
    </row>
    <row r="9584" spans="1:38">
      <c r="A9584" s="182"/>
      <c r="Q9584" s="183"/>
      <c r="R9584" s="183"/>
      <c r="S9584" s="183"/>
    </row>
    <row r="9585" spans="1:19">
      <c r="A9585" s="182"/>
      <c r="Q9585" s="183"/>
      <c r="R9585" s="183"/>
      <c r="S9585" s="183"/>
    </row>
    <row r="9586" spans="1:19">
      <c r="A9586" s="182"/>
      <c r="Q9586" s="183"/>
      <c r="R9586" s="183"/>
      <c r="S9586" s="183"/>
    </row>
    <row r="9587" spans="1:19">
      <c r="A9587" s="182"/>
      <c r="Q9587" s="183"/>
      <c r="R9587" s="183"/>
      <c r="S9587" s="183"/>
    </row>
    <row r="9588" spans="1:19">
      <c r="A9588" s="182"/>
      <c r="Q9588" s="183"/>
      <c r="R9588" s="183"/>
      <c r="S9588" s="183"/>
    </row>
    <row r="9589" spans="1:19">
      <c r="A9589" s="182"/>
      <c r="Q9589" s="183"/>
      <c r="R9589" s="183"/>
      <c r="S9589" s="183"/>
    </row>
    <row r="9590" spans="1:19">
      <c r="A9590" s="182"/>
      <c r="Q9590" s="183"/>
      <c r="R9590" s="183"/>
      <c r="S9590" s="183"/>
    </row>
    <row r="9591" spans="1:19">
      <c r="A9591" s="182"/>
      <c r="Q9591" s="183"/>
      <c r="R9591" s="183"/>
      <c r="S9591" s="183"/>
    </row>
    <row r="9592" spans="1:19">
      <c r="A9592" s="182"/>
      <c r="Q9592" s="183"/>
      <c r="R9592" s="183"/>
      <c r="S9592" s="183"/>
    </row>
    <row r="9593" spans="1:19">
      <c r="A9593" s="182"/>
      <c r="Q9593" s="183"/>
      <c r="R9593" s="183"/>
      <c r="S9593" s="183"/>
    </row>
    <row r="9594" spans="1:19">
      <c r="A9594" s="182"/>
      <c r="Q9594" s="183"/>
      <c r="R9594" s="183"/>
      <c r="S9594" s="183"/>
    </row>
    <row r="9595" spans="1:19">
      <c r="A9595" s="182"/>
      <c r="Q9595" s="183"/>
      <c r="R9595" s="183"/>
      <c r="S9595" s="183"/>
    </row>
    <row r="9596" spans="1:19">
      <c r="A9596" s="182"/>
      <c r="Q9596" s="183"/>
      <c r="R9596" s="183"/>
      <c r="S9596" s="183"/>
    </row>
    <row r="9597" spans="1:19">
      <c r="A9597" s="182"/>
      <c r="Q9597" s="183"/>
      <c r="R9597" s="183"/>
      <c r="S9597" s="183"/>
    </row>
    <row r="9598" spans="1:19">
      <c r="A9598" s="182"/>
      <c r="Q9598" s="183"/>
    </row>
    <row r="9599" spans="1:19">
      <c r="A9599" s="182"/>
    </row>
    <row r="9600" spans="1:19">
      <c r="A9600" s="182"/>
      <c r="R9600" s="183"/>
      <c r="S9600" s="183"/>
    </row>
    <row r="9601" spans="1:19">
      <c r="A9601" s="182"/>
      <c r="Q9601" s="183"/>
      <c r="R9601" s="183"/>
      <c r="S9601" s="183"/>
    </row>
    <row r="9602" spans="1:19">
      <c r="A9602" s="182"/>
      <c r="Q9602" s="183"/>
    </row>
    <row r="9603" spans="1:19">
      <c r="A9603" s="182"/>
      <c r="R9603" s="183"/>
      <c r="S9603" s="183"/>
    </row>
    <row r="9604" spans="1:19">
      <c r="A9604" s="182"/>
      <c r="Q9604" s="183"/>
    </row>
    <row r="9605" spans="1:19">
      <c r="A9605" s="182"/>
    </row>
    <row r="9606" spans="1:19">
      <c r="A9606" s="182"/>
    </row>
    <row r="9607" spans="1:19">
      <c r="A9607" s="182"/>
      <c r="R9607" s="183"/>
      <c r="S9607" s="183"/>
    </row>
    <row r="9608" spans="1:19">
      <c r="A9608" s="182"/>
      <c r="Q9608" s="183"/>
    </row>
    <row r="9609" spans="1:19">
      <c r="A9609" s="182"/>
    </row>
    <row r="9610" spans="1:19">
      <c r="A9610" s="182"/>
    </row>
    <row r="9611" spans="1:19">
      <c r="A9611" s="182"/>
      <c r="R9611" s="183"/>
      <c r="S9611" s="183"/>
    </row>
    <row r="9612" spans="1:19">
      <c r="A9612" s="182"/>
      <c r="Q9612" s="183"/>
    </row>
    <row r="9613" spans="1:19">
      <c r="A9613" s="182"/>
    </row>
    <row r="9614" spans="1:19">
      <c r="A9614" s="182"/>
    </row>
    <row r="9615" spans="1:19">
      <c r="A9615" s="182"/>
    </row>
    <row r="9616" spans="1:19">
      <c r="A9616" s="182"/>
    </row>
    <row r="9617" spans="1:38">
      <c r="A9617" s="182"/>
      <c r="AK9617" s="183"/>
      <c r="AL9617" s="183"/>
    </row>
    <row r="9618" spans="1:38">
      <c r="A9618" s="182"/>
      <c r="AJ9618" s="183"/>
      <c r="AK9618" s="183"/>
      <c r="AL9618" s="183"/>
    </row>
    <row r="9619" spans="1:38">
      <c r="A9619" s="182"/>
      <c r="AJ9619" s="183"/>
      <c r="AK9619" s="183"/>
      <c r="AL9619" s="183"/>
    </row>
    <row r="9620" spans="1:38">
      <c r="A9620" s="182"/>
      <c r="AJ9620" s="183"/>
      <c r="AK9620" s="183"/>
      <c r="AL9620" s="183"/>
    </row>
    <row r="9621" spans="1:38">
      <c r="A9621" s="182"/>
      <c r="AJ9621" s="183"/>
      <c r="AK9621" s="183"/>
      <c r="AL9621" s="183"/>
    </row>
    <row r="9622" spans="1:38">
      <c r="A9622" s="182"/>
      <c r="AJ9622" s="183"/>
      <c r="AK9622" s="183"/>
      <c r="AL9622" s="183"/>
    </row>
    <row r="9623" spans="1:38">
      <c r="A9623" s="182"/>
      <c r="AJ9623" s="183"/>
      <c r="AK9623" s="183"/>
      <c r="AL9623" s="183"/>
    </row>
    <row r="9624" spans="1:38">
      <c r="A9624" s="182"/>
      <c r="R9624" s="183"/>
      <c r="S9624" s="183"/>
      <c r="AJ9624" s="183"/>
      <c r="AK9624" s="183"/>
      <c r="AL9624" s="183"/>
    </row>
    <row r="9625" spans="1:38">
      <c r="A9625" s="182"/>
      <c r="Q9625" s="183"/>
      <c r="R9625" s="183"/>
      <c r="S9625" s="183"/>
      <c r="AJ9625" s="183"/>
    </row>
    <row r="9626" spans="1:38">
      <c r="A9626" s="182"/>
      <c r="Q9626" s="183"/>
      <c r="R9626" s="183"/>
      <c r="S9626" s="183"/>
    </row>
    <row r="9627" spans="1:38">
      <c r="A9627" s="182"/>
      <c r="Q9627" s="183"/>
    </row>
    <row r="9628" spans="1:38">
      <c r="A9628" s="182"/>
    </row>
    <row r="9629" spans="1:38">
      <c r="A9629" s="182"/>
      <c r="AK9629" s="183"/>
      <c r="AL9629" s="183"/>
    </row>
    <row r="9630" spans="1:38">
      <c r="A9630" s="182"/>
      <c r="R9630" s="183"/>
      <c r="S9630" s="183"/>
      <c r="AJ9630" s="183"/>
      <c r="AK9630" s="183"/>
      <c r="AL9630" s="183"/>
    </row>
    <row r="9631" spans="1:38">
      <c r="A9631" s="182"/>
      <c r="Q9631" s="183"/>
      <c r="R9631" s="183"/>
      <c r="S9631" s="183"/>
      <c r="AJ9631" s="183"/>
      <c r="AK9631" s="183"/>
      <c r="AL9631" s="183"/>
    </row>
    <row r="9632" spans="1:38">
      <c r="A9632" s="182"/>
      <c r="Q9632" s="183"/>
      <c r="R9632" s="183"/>
      <c r="S9632" s="183"/>
      <c r="AJ9632" s="183"/>
      <c r="AK9632" s="183"/>
      <c r="AL9632" s="183"/>
    </row>
    <row r="9633" spans="1:36">
      <c r="A9633" s="182"/>
      <c r="Q9633" s="183"/>
      <c r="R9633" s="183"/>
      <c r="S9633" s="183"/>
      <c r="AJ9633" s="183"/>
    </row>
    <row r="9634" spans="1:36">
      <c r="A9634" s="182"/>
      <c r="Q9634" s="183"/>
      <c r="R9634" s="183"/>
      <c r="S9634" s="183"/>
    </row>
    <row r="9635" spans="1:36">
      <c r="A9635" s="182"/>
      <c r="Q9635" s="183"/>
      <c r="R9635" s="183"/>
      <c r="S9635" s="183"/>
    </row>
    <row r="9636" spans="1:36">
      <c r="A9636" s="182"/>
      <c r="Q9636" s="183"/>
      <c r="R9636" s="183"/>
      <c r="S9636" s="183"/>
    </row>
    <row r="9637" spans="1:36">
      <c r="A9637" s="182"/>
      <c r="Q9637" s="183"/>
      <c r="R9637" s="183"/>
      <c r="S9637" s="183"/>
    </row>
    <row r="9638" spans="1:36">
      <c r="A9638" s="182"/>
      <c r="Q9638" s="183"/>
      <c r="R9638" s="183"/>
      <c r="S9638" s="183"/>
    </row>
    <row r="9639" spans="1:36">
      <c r="A9639" s="182"/>
      <c r="Q9639" s="183"/>
      <c r="R9639" s="183"/>
      <c r="S9639" s="183"/>
    </row>
    <row r="9640" spans="1:36">
      <c r="A9640" s="182"/>
      <c r="Q9640" s="183"/>
      <c r="R9640" s="183"/>
      <c r="S9640" s="183"/>
    </row>
    <row r="9641" spans="1:36">
      <c r="A9641" s="182"/>
      <c r="Q9641" s="183"/>
      <c r="R9641" s="183"/>
      <c r="S9641" s="183"/>
    </row>
    <row r="9642" spans="1:36">
      <c r="A9642" s="182"/>
      <c r="Q9642" s="183"/>
      <c r="R9642" s="183"/>
      <c r="S9642" s="183"/>
    </row>
    <row r="9643" spans="1:36">
      <c r="A9643" s="182"/>
      <c r="Q9643" s="183"/>
      <c r="R9643" s="183"/>
      <c r="S9643" s="183"/>
    </row>
    <row r="9644" spans="1:36">
      <c r="A9644" s="182"/>
      <c r="Q9644" s="183"/>
      <c r="R9644" s="183"/>
      <c r="S9644" s="183"/>
    </row>
    <row r="9645" spans="1:36">
      <c r="A9645" s="182"/>
      <c r="Q9645" s="183"/>
      <c r="R9645" s="183"/>
      <c r="S9645" s="183"/>
    </row>
    <row r="9646" spans="1:36">
      <c r="A9646" s="182"/>
      <c r="Q9646" s="183"/>
      <c r="R9646" s="183"/>
      <c r="S9646" s="183"/>
    </row>
    <row r="9647" spans="1:36">
      <c r="A9647" s="182"/>
      <c r="Q9647" s="183"/>
      <c r="R9647" s="183"/>
      <c r="S9647" s="183"/>
    </row>
    <row r="9648" spans="1:36">
      <c r="A9648" s="182"/>
      <c r="Q9648" s="183"/>
      <c r="R9648" s="183"/>
      <c r="S9648" s="183"/>
    </row>
    <row r="9649" spans="1:19">
      <c r="A9649" s="182"/>
      <c r="Q9649" s="183"/>
      <c r="R9649" s="183"/>
      <c r="S9649" s="183"/>
    </row>
    <row r="9650" spans="1:19">
      <c r="A9650" s="182"/>
      <c r="Q9650" s="183"/>
      <c r="R9650" s="183"/>
      <c r="S9650" s="183"/>
    </row>
    <row r="9651" spans="1:19">
      <c r="A9651" s="182"/>
      <c r="Q9651" s="183"/>
      <c r="R9651" s="183"/>
      <c r="S9651" s="183"/>
    </row>
    <row r="9652" spans="1:19">
      <c r="A9652" s="182"/>
      <c r="Q9652" s="183"/>
      <c r="R9652" s="183"/>
      <c r="S9652" s="183"/>
    </row>
    <row r="9653" spans="1:19">
      <c r="A9653" s="182"/>
      <c r="Q9653" s="183"/>
      <c r="R9653" s="183"/>
      <c r="S9653" s="183"/>
    </row>
    <row r="9654" spans="1:19">
      <c r="A9654" s="182"/>
      <c r="Q9654" s="183"/>
      <c r="R9654" s="183"/>
      <c r="S9654" s="183"/>
    </row>
    <row r="9655" spans="1:19">
      <c r="A9655" s="182"/>
      <c r="Q9655" s="183"/>
      <c r="R9655" s="183"/>
      <c r="S9655" s="183"/>
    </row>
    <row r="9656" spans="1:19">
      <c r="A9656" s="182"/>
      <c r="Q9656" s="183"/>
      <c r="R9656" s="183"/>
      <c r="S9656" s="183"/>
    </row>
    <row r="9657" spans="1:19">
      <c r="A9657" s="182"/>
      <c r="Q9657" s="183"/>
      <c r="R9657" s="183"/>
      <c r="S9657" s="183"/>
    </row>
    <row r="9658" spans="1:19">
      <c r="A9658" s="182"/>
      <c r="Q9658" s="183"/>
      <c r="R9658" s="183"/>
      <c r="S9658" s="183"/>
    </row>
    <row r="9659" spans="1:19">
      <c r="A9659" s="182"/>
      <c r="Q9659" s="183"/>
      <c r="R9659" s="183"/>
      <c r="S9659" s="183"/>
    </row>
    <row r="9660" spans="1:19">
      <c r="A9660" s="182"/>
      <c r="Q9660" s="183"/>
      <c r="R9660" s="183"/>
      <c r="S9660" s="183"/>
    </row>
    <row r="9661" spans="1:19">
      <c r="A9661" s="182"/>
      <c r="Q9661" s="183"/>
      <c r="R9661" s="183"/>
      <c r="S9661" s="183"/>
    </row>
    <row r="9662" spans="1:19">
      <c r="A9662" s="182"/>
      <c r="Q9662" s="183"/>
      <c r="R9662" s="183"/>
      <c r="S9662" s="183"/>
    </row>
    <row r="9663" spans="1:19">
      <c r="A9663" s="182"/>
      <c r="Q9663" s="183"/>
      <c r="R9663" s="183"/>
      <c r="S9663" s="183"/>
    </row>
    <row r="9664" spans="1:19">
      <c r="A9664" s="182"/>
      <c r="Q9664" s="183"/>
      <c r="R9664" s="183"/>
      <c r="S9664" s="183"/>
    </row>
    <row r="9665" spans="1:38">
      <c r="A9665" s="182"/>
      <c r="Q9665" s="183"/>
      <c r="R9665" s="183"/>
      <c r="S9665" s="183"/>
      <c r="AK9665" s="183"/>
      <c r="AL9665" s="183"/>
    </row>
    <row r="9666" spans="1:38">
      <c r="A9666" s="182"/>
      <c r="Q9666" s="183"/>
      <c r="R9666" s="183"/>
      <c r="S9666" s="183"/>
      <c r="AJ9666" s="183"/>
      <c r="AK9666" s="183"/>
      <c r="AL9666" s="183"/>
    </row>
    <row r="9667" spans="1:38">
      <c r="A9667" s="182"/>
      <c r="Q9667" s="183"/>
      <c r="R9667" s="183"/>
      <c r="S9667" s="183"/>
      <c r="AJ9667" s="183"/>
      <c r="AK9667" s="183"/>
      <c r="AL9667" s="183"/>
    </row>
    <row r="9668" spans="1:38">
      <c r="A9668" s="182"/>
      <c r="Q9668" s="183"/>
      <c r="R9668" s="183"/>
      <c r="S9668" s="183"/>
      <c r="AJ9668" s="183"/>
      <c r="AK9668" s="183"/>
      <c r="AL9668" s="183"/>
    </row>
    <row r="9669" spans="1:38">
      <c r="A9669" s="182"/>
      <c r="Q9669" s="183"/>
      <c r="R9669" s="183"/>
      <c r="S9669" s="183"/>
      <c r="AJ9669" s="183"/>
    </row>
    <row r="9670" spans="1:38">
      <c r="A9670" s="182"/>
      <c r="Q9670" s="183"/>
      <c r="R9670" s="183"/>
      <c r="S9670" s="183"/>
    </row>
    <row r="9671" spans="1:38">
      <c r="A9671" s="182"/>
      <c r="Q9671" s="183"/>
      <c r="R9671" s="183"/>
      <c r="S9671" s="183"/>
    </row>
    <row r="9672" spans="1:38">
      <c r="A9672" s="182"/>
      <c r="Q9672" s="183"/>
      <c r="R9672" s="183"/>
      <c r="S9672" s="183"/>
    </row>
    <row r="9673" spans="1:38">
      <c r="A9673" s="182"/>
      <c r="Q9673" s="183"/>
      <c r="R9673" s="183"/>
      <c r="S9673" s="183"/>
      <c r="AK9673" s="183"/>
      <c r="AL9673" s="183"/>
    </row>
    <row r="9674" spans="1:38">
      <c r="A9674" s="182"/>
      <c r="Q9674" s="183"/>
      <c r="R9674" s="183"/>
      <c r="S9674" s="183"/>
      <c r="AJ9674" s="183"/>
      <c r="AK9674" s="183"/>
      <c r="AL9674" s="183"/>
    </row>
    <row r="9675" spans="1:38">
      <c r="A9675" s="182"/>
      <c r="Q9675" s="183"/>
      <c r="R9675" s="183"/>
      <c r="S9675" s="183"/>
      <c r="AJ9675" s="183"/>
      <c r="AK9675" s="183"/>
      <c r="AL9675" s="183"/>
    </row>
    <row r="9676" spans="1:38">
      <c r="A9676" s="182"/>
      <c r="Q9676" s="183"/>
      <c r="R9676" s="183"/>
      <c r="S9676" s="183"/>
      <c r="AJ9676" s="183"/>
      <c r="AK9676" s="183"/>
      <c r="AL9676" s="183"/>
    </row>
    <row r="9677" spans="1:38">
      <c r="A9677" s="182"/>
      <c r="Q9677" s="183"/>
      <c r="R9677" s="183"/>
      <c r="S9677" s="183"/>
      <c r="AJ9677" s="183"/>
    </row>
    <row r="9678" spans="1:38">
      <c r="A9678" s="182"/>
      <c r="Q9678" s="183"/>
      <c r="R9678" s="183"/>
      <c r="S9678" s="183"/>
    </row>
    <row r="9679" spans="1:38">
      <c r="A9679" s="182"/>
      <c r="Q9679" s="183"/>
      <c r="R9679" s="183"/>
      <c r="S9679" s="183"/>
    </row>
    <row r="9680" spans="1:38">
      <c r="A9680" s="182"/>
      <c r="Q9680" s="183"/>
      <c r="R9680" s="183"/>
      <c r="S9680" s="183"/>
    </row>
    <row r="9681" spans="1:19">
      <c r="A9681" s="182"/>
      <c r="Q9681" s="183"/>
      <c r="R9681" s="183"/>
      <c r="S9681" s="183"/>
    </row>
    <row r="9682" spans="1:19">
      <c r="A9682" s="182"/>
      <c r="Q9682" s="183"/>
      <c r="R9682" s="183"/>
      <c r="S9682" s="183"/>
    </row>
    <row r="9683" spans="1:19">
      <c r="A9683" s="182"/>
      <c r="Q9683" s="183"/>
      <c r="R9683" s="183"/>
      <c r="S9683" s="183"/>
    </row>
    <row r="9684" spans="1:19">
      <c r="A9684" s="182"/>
      <c r="Q9684" s="183"/>
      <c r="R9684" s="183"/>
      <c r="S9684" s="183"/>
    </row>
    <row r="9685" spans="1:19">
      <c r="A9685" s="182"/>
      <c r="Q9685" s="183"/>
      <c r="R9685" s="183"/>
      <c r="S9685" s="183"/>
    </row>
    <row r="9686" spans="1:19">
      <c r="A9686" s="182"/>
      <c r="Q9686" s="183"/>
      <c r="R9686" s="183"/>
      <c r="S9686" s="183"/>
    </row>
    <row r="9687" spans="1:19">
      <c r="A9687" s="182"/>
      <c r="Q9687" s="183"/>
      <c r="R9687" s="183"/>
      <c r="S9687" s="183"/>
    </row>
    <row r="9688" spans="1:19">
      <c r="A9688" s="182"/>
      <c r="Q9688" s="183"/>
      <c r="R9688" s="183"/>
      <c r="S9688" s="183"/>
    </row>
    <row r="9689" spans="1:19">
      <c r="A9689" s="182"/>
      <c r="Q9689" s="183"/>
      <c r="R9689" s="183"/>
      <c r="S9689" s="183"/>
    </row>
    <row r="9690" spans="1:19">
      <c r="A9690" s="182"/>
      <c r="Q9690" s="183"/>
      <c r="R9690" s="183"/>
      <c r="S9690" s="183"/>
    </row>
    <row r="9691" spans="1:19">
      <c r="A9691" s="182"/>
      <c r="Q9691" s="183"/>
      <c r="R9691" s="183"/>
      <c r="S9691" s="183"/>
    </row>
    <row r="9692" spans="1:19">
      <c r="A9692" s="182"/>
      <c r="Q9692" s="183"/>
      <c r="R9692" s="183"/>
      <c r="S9692" s="183"/>
    </row>
    <row r="9693" spans="1:19">
      <c r="A9693" s="182"/>
      <c r="Q9693" s="183"/>
      <c r="R9693" s="183"/>
      <c r="S9693" s="183"/>
    </row>
    <row r="9694" spans="1:19">
      <c r="A9694" s="182"/>
      <c r="Q9694" s="183"/>
      <c r="R9694" s="183"/>
      <c r="S9694" s="183"/>
    </row>
    <row r="9695" spans="1:19">
      <c r="A9695" s="182"/>
      <c r="Q9695" s="183"/>
      <c r="R9695" s="183"/>
      <c r="S9695" s="183"/>
    </row>
    <row r="9696" spans="1:19">
      <c r="A9696" s="182"/>
      <c r="Q9696" s="183"/>
      <c r="R9696" s="183"/>
      <c r="S9696" s="183"/>
    </row>
    <row r="9697" spans="1:38">
      <c r="A9697" s="182"/>
      <c r="Q9697" s="183"/>
      <c r="R9697" s="183"/>
      <c r="S9697" s="183"/>
    </row>
    <row r="9698" spans="1:38">
      <c r="A9698" s="182"/>
      <c r="Q9698" s="183"/>
      <c r="R9698" s="183"/>
      <c r="S9698" s="183"/>
    </row>
    <row r="9699" spans="1:38">
      <c r="A9699" s="182"/>
      <c r="Q9699" s="183"/>
      <c r="R9699" s="183"/>
      <c r="S9699" s="183"/>
    </row>
    <row r="9700" spans="1:38">
      <c r="A9700" s="182"/>
      <c r="Q9700" s="183"/>
      <c r="R9700" s="183"/>
      <c r="S9700" s="183"/>
    </row>
    <row r="9701" spans="1:38">
      <c r="A9701" s="182"/>
      <c r="Q9701" s="183"/>
      <c r="R9701" s="183"/>
      <c r="S9701" s="183"/>
      <c r="AK9701" s="183"/>
      <c r="AL9701" s="183"/>
    </row>
    <row r="9702" spans="1:38">
      <c r="A9702" s="182"/>
      <c r="Q9702" s="183"/>
      <c r="R9702" s="183"/>
      <c r="S9702" s="183"/>
      <c r="AJ9702" s="183"/>
      <c r="AK9702" s="183"/>
      <c r="AL9702" s="183"/>
    </row>
    <row r="9703" spans="1:38">
      <c r="A9703" s="182"/>
      <c r="Q9703" s="183"/>
      <c r="R9703" s="183"/>
      <c r="S9703" s="183"/>
      <c r="AJ9703" s="183"/>
      <c r="AK9703" s="183"/>
      <c r="AL9703" s="183"/>
    </row>
    <row r="9704" spans="1:38">
      <c r="A9704" s="182"/>
      <c r="Q9704" s="183"/>
      <c r="R9704" s="183"/>
      <c r="S9704" s="183"/>
      <c r="AJ9704" s="183"/>
      <c r="AK9704" s="183"/>
      <c r="AL9704" s="183"/>
    </row>
    <row r="9705" spans="1:38">
      <c r="A9705" s="182"/>
      <c r="Q9705" s="183"/>
      <c r="R9705" s="183"/>
      <c r="S9705" s="183"/>
      <c r="AJ9705" s="183"/>
    </row>
    <row r="9706" spans="1:38">
      <c r="A9706" s="182"/>
      <c r="Q9706" s="183"/>
      <c r="R9706" s="183"/>
      <c r="S9706" s="183"/>
    </row>
    <row r="9707" spans="1:38">
      <c r="A9707" s="182"/>
      <c r="Q9707" s="183"/>
      <c r="R9707" s="183"/>
      <c r="S9707" s="183"/>
    </row>
    <row r="9708" spans="1:38">
      <c r="A9708" s="182"/>
      <c r="Q9708" s="183"/>
      <c r="R9708" s="183"/>
      <c r="S9708" s="183"/>
    </row>
    <row r="9709" spans="1:38">
      <c r="A9709" s="182"/>
      <c r="Q9709" s="183"/>
      <c r="R9709" s="183"/>
      <c r="S9709" s="183"/>
    </row>
    <row r="9710" spans="1:38">
      <c r="A9710" s="182"/>
      <c r="Q9710" s="183"/>
      <c r="R9710" s="183"/>
      <c r="S9710" s="183"/>
    </row>
    <row r="9711" spans="1:38">
      <c r="A9711" s="182"/>
      <c r="Q9711" s="183"/>
      <c r="R9711" s="183"/>
      <c r="S9711" s="183"/>
    </row>
    <row r="9712" spans="1:38">
      <c r="A9712" s="182"/>
      <c r="Q9712" s="183"/>
      <c r="R9712" s="183"/>
      <c r="S9712" s="183"/>
    </row>
    <row r="9713" spans="1:38">
      <c r="A9713" s="182"/>
      <c r="Q9713" s="183"/>
      <c r="R9713" s="183"/>
      <c r="S9713" s="183"/>
    </row>
    <row r="9714" spans="1:38">
      <c r="A9714" s="182"/>
      <c r="Q9714" s="183"/>
      <c r="R9714" s="183"/>
      <c r="S9714" s="183"/>
    </row>
    <row r="9715" spans="1:38">
      <c r="A9715" s="182"/>
      <c r="Q9715" s="183"/>
      <c r="R9715" s="183"/>
      <c r="S9715" s="183"/>
    </row>
    <row r="9716" spans="1:38">
      <c r="A9716" s="182"/>
      <c r="Q9716" s="183"/>
      <c r="R9716" s="183"/>
      <c r="S9716" s="183"/>
    </row>
    <row r="9717" spans="1:38">
      <c r="A9717" s="182"/>
      <c r="Q9717" s="183"/>
      <c r="R9717" s="183"/>
      <c r="S9717" s="183"/>
    </row>
    <row r="9718" spans="1:38">
      <c r="A9718" s="182"/>
      <c r="Q9718" s="183"/>
      <c r="R9718" s="183"/>
      <c r="S9718" s="183"/>
    </row>
    <row r="9719" spans="1:38">
      <c r="A9719" s="182"/>
      <c r="Q9719" s="183"/>
      <c r="R9719" s="183"/>
      <c r="S9719" s="183"/>
    </row>
    <row r="9720" spans="1:38">
      <c r="A9720" s="182"/>
      <c r="Q9720" s="183"/>
      <c r="R9720" s="183"/>
      <c r="S9720" s="183"/>
    </row>
    <row r="9721" spans="1:38">
      <c r="A9721" s="182"/>
      <c r="Q9721" s="183"/>
      <c r="R9721" s="183"/>
      <c r="S9721" s="183"/>
    </row>
    <row r="9722" spans="1:38">
      <c r="A9722" s="182"/>
      <c r="Q9722" s="183"/>
      <c r="R9722" s="183"/>
      <c r="S9722" s="183"/>
    </row>
    <row r="9723" spans="1:38">
      <c r="A9723" s="182"/>
      <c r="Q9723" s="183"/>
      <c r="R9723" s="183"/>
      <c r="S9723" s="183"/>
    </row>
    <row r="9724" spans="1:38">
      <c r="A9724" s="182"/>
      <c r="Q9724" s="183"/>
      <c r="R9724" s="183"/>
      <c r="S9724" s="183"/>
    </row>
    <row r="9725" spans="1:38">
      <c r="A9725" s="182"/>
      <c r="Q9725" s="183"/>
      <c r="R9725" s="183"/>
      <c r="S9725" s="183"/>
      <c r="AK9725" s="183"/>
      <c r="AL9725" s="183"/>
    </row>
    <row r="9726" spans="1:38">
      <c r="A9726" s="182"/>
      <c r="Q9726" s="183"/>
      <c r="R9726" s="183"/>
      <c r="S9726" s="183"/>
      <c r="AJ9726" s="183"/>
      <c r="AK9726" s="183"/>
      <c r="AL9726" s="183"/>
    </row>
    <row r="9727" spans="1:38">
      <c r="A9727" s="182"/>
      <c r="Q9727" s="183"/>
      <c r="R9727" s="183"/>
      <c r="S9727" s="183"/>
      <c r="AJ9727" s="183"/>
      <c r="AK9727" s="183"/>
      <c r="AL9727" s="183"/>
    </row>
    <row r="9728" spans="1:38">
      <c r="A9728" s="182"/>
      <c r="Q9728" s="183"/>
      <c r="R9728" s="183"/>
      <c r="S9728" s="183"/>
      <c r="AJ9728" s="183"/>
      <c r="AK9728" s="183"/>
      <c r="AL9728" s="183"/>
    </row>
    <row r="9729" spans="1:36">
      <c r="A9729" s="182"/>
      <c r="Q9729" s="183"/>
      <c r="R9729" s="183"/>
      <c r="S9729" s="183"/>
      <c r="AJ9729" s="183"/>
    </row>
    <row r="9730" spans="1:36">
      <c r="A9730" s="182"/>
      <c r="Q9730" s="183"/>
      <c r="R9730" s="183"/>
      <c r="S9730" s="183"/>
    </row>
    <row r="9731" spans="1:36">
      <c r="A9731" s="182"/>
      <c r="Q9731" s="183"/>
      <c r="R9731" s="183"/>
      <c r="S9731" s="183"/>
    </row>
    <row r="9732" spans="1:36">
      <c r="A9732" s="182"/>
      <c r="Q9732" s="183"/>
      <c r="R9732" s="183"/>
      <c r="S9732" s="183"/>
    </row>
    <row r="9733" spans="1:36">
      <c r="A9733" s="182"/>
      <c r="Q9733" s="183"/>
      <c r="R9733" s="183"/>
      <c r="S9733" s="183"/>
    </row>
    <row r="9734" spans="1:36">
      <c r="A9734" s="182"/>
      <c r="Q9734" s="183"/>
      <c r="R9734" s="183"/>
      <c r="S9734" s="183"/>
    </row>
    <row r="9735" spans="1:36">
      <c r="A9735" s="182"/>
      <c r="Q9735" s="183"/>
      <c r="R9735" s="183"/>
      <c r="S9735" s="183"/>
    </row>
    <row r="9736" spans="1:36">
      <c r="A9736" s="182"/>
      <c r="Q9736" s="183"/>
      <c r="R9736" s="183"/>
      <c r="S9736" s="183"/>
    </row>
    <row r="9737" spans="1:36">
      <c r="A9737" s="182"/>
      <c r="Q9737" s="183"/>
      <c r="R9737" s="183"/>
      <c r="S9737" s="183"/>
    </row>
    <row r="9738" spans="1:36">
      <c r="A9738" s="182"/>
      <c r="Q9738" s="183"/>
      <c r="R9738" s="183"/>
      <c r="S9738" s="183"/>
    </row>
    <row r="9739" spans="1:36">
      <c r="A9739" s="182"/>
      <c r="Q9739" s="183"/>
      <c r="R9739" s="183"/>
      <c r="S9739" s="183"/>
    </row>
    <row r="9740" spans="1:36">
      <c r="A9740" s="182"/>
      <c r="Q9740" s="183"/>
      <c r="R9740" s="183"/>
      <c r="S9740" s="183"/>
    </row>
    <row r="9741" spans="1:36">
      <c r="A9741" s="182"/>
      <c r="Q9741" s="183"/>
      <c r="R9741" s="183"/>
      <c r="S9741" s="183"/>
    </row>
    <row r="9742" spans="1:36">
      <c r="A9742" s="182"/>
      <c r="Q9742" s="183"/>
      <c r="R9742" s="183"/>
      <c r="S9742" s="183"/>
    </row>
    <row r="9743" spans="1:36">
      <c r="A9743" s="182"/>
      <c r="Q9743" s="183"/>
      <c r="R9743" s="183"/>
      <c r="S9743" s="183"/>
    </row>
    <row r="9744" spans="1:36">
      <c r="A9744" s="182"/>
      <c r="Q9744" s="183"/>
      <c r="R9744" s="183"/>
      <c r="S9744" s="183"/>
    </row>
    <row r="9745" spans="1:38">
      <c r="A9745" s="182"/>
      <c r="Q9745" s="183"/>
      <c r="R9745" s="183"/>
      <c r="S9745" s="183"/>
    </row>
    <row r="9746" spans="1:38">
      <c r="A9746" s="182"/>
      <c r="Q9746" s="183"/>
      <c r="R9746" s="183"/>
      <c r="S9746" s="183"/>
    </row>
    <row r="9747" spans="1:38">
      <c r="A9747" s="182"/>
      <c r="Q9747" s="183"/>
      <c r="R9747" s="183"/>
      <c r="S9747" s="183"/>
    </row>
    <row r="9748" spans="1:38">
      <c r="A9748" s="182"/>
      <c r="Q9748" s="183"/>
      <c r="R9748" s="183"/>
      <c r="S9748" s="183"/>
    </row>
    <row r="9749" spans="1:38">
      <c r="A9749" s="182"/>
      <c r="Q9749" s="183"/>
      <c r="R9749" s="183"/>
      <c r="S9749" s="183"/>
    </row>
    <row r="9750" spans="1:38">
      <c r="A9750" s="182"/>
      <c r="Q9750" s="183"/>
      <c r="R9750" s="183"/>
      <c r="S9750" s="183"/>
    </row>
    <row r="9751" spans="1:38">
      <c r="A9751" s="182"/>
      <c r="Q9751" s="183"/>
      <c r="R9751" s="183"/>
      <c r="S9751" s="183"/>
    </row>
    <row r="9752" spans="1:38">
      <c r="A9752" s="182"/>
      <c r="Q9752" s="183"/>
      <c r="R9752" s="183"/>
      <c r="S9752" s="183"/>
    </row>
    <row r="9753" spans="1:38">
      <c r="A9753" s="182"/>
      <c r="Q9753" s="183"/>
      <c r="R9753" s="183"/>
      <c r="S9753" s="183"/>
    </row>
    <row r="9754" spans="1:38">
      <c r="A9754" s="182"/>
      <c r="Q9754" s="183"/>
      <c r="R9754" s="183"/>
      <c r="S9754" s="183"/>
    </row>
    <row r="9755" spans="1:38">
      <c r="A9755" s="182"/>
      <c r="Q9755" s="183"/>
      <c r="R9755" s="183"/>
      <c r="S9755" s="183"/>
    </row>
    <row r="9756" spans="1:38">
      <c r="A9756" s="182"/>
      <c r="Q9756" s="183"/>
      <c r="R9756" s="183"/>
      <c r="S9756" s="183"/>
    </row>
    <row r="9757" spans="1:38">
      <c r="A9757" s="182"/>
      <c r="Q9757" s="183"/>
      <c r="R9757" s="183"/>
      <c r="S9757" s="183"/>
      <c r="AK9757" s="183"/>
      <c r="AL9757" s="183"/>
    </row>
    <row r="9758" spans="1:38">
      <c r="A9758" s="182"/>
      <c r="Q9758" s="183"/>
      <c r="R9758" s="183"/>
      <c r="S9758" s="183"/>
      <c r="AJ9758" s="183"/>
      <c r="AK9758" s="183"/>
      <c r="AL9758" s="183"/>
    </row>
    <row r="9759" spans="1:38">
      <c r="A9759" s="182"/>
      <c r="Q9759" s="183"/>
      <c r="R9759" s="183"/>
      <c r="S9759" s="183"/>
      <c r="AJ9759" s="183"/>
      <c r="AK9759" s="183"/>
      <c r="AL9759" s="183"/>
    </row>
    <row r="9760" spans="1:38">
      <c r="A9760" s="182"/>
      <c r="Q9760" s="183"/>
      <c r="AJ9760" s="183"/>
      <c r="AK9760" s="183"/>
      <c r="AL9760" s="183"/>
    </row>
    <row r="9761" spans="1:38">
      <c r="A9761" s="182"/>
      <c r="R9761" s="183"/>
      <c r="S9761" s="183"/>
      <c r="AJ9761" s="183"/>
      <c r="AK9761" s="183"/>
      <c r="AL9761" s="183"/>
    </row>
    <row r="9762" spans="1:38">
      <c r="A9762" s="182"/>
      <c r="Q9762" s="183"/>
      <c r="R9762" s="183"/>
      <c r="S9762" s="183"/>
      <c r="AJ9762" s="183"/>
      <c r="AK9762" s="183"/>
      <c r="AL9762" s="183"/>
    </row>
    <row r="9763" spans="1:38">
      <c r="A9763" s="182"/>
      <c r="Q9763" s="183"/>
      <c r="R9763" s="183"/>
      <c r="S9763" s="183"/>
      <c r="AJ9763" s="183"/>
      <c r="AK9763" s="183"/>
      <c r="AL9763" s="183"/>
    </row>
    <row r="9764" spans="1:38">
      <c r="A9764" s="182"/>
      <c r="Q9764" s="183"/>
      <c r="R9764" s="183"/>
      <c r="S9764" s="183"/>
      <c r="AJ9764" s="183"/>
      <c r="AK9764" s="183"/>
      <c r="AL9764" s="183"/>
    </row>
    <row r="9765" spans="1:38">
      <c r="A9765" s="182"/>
      <c r="Q9765" s="183"/>
      <c r="R9765" s="183"/>
      <c r="S9765" s="183"/>
      <c r="AJ9765" s="183"/>
    </row>
    <row r="9766" spans="1:38">
      <c r="A9766" s="182"/>
      <c r="Q9766" s="183"/>
      <c r="R9766" s="183"/>
      <c r="S9766" s="183"/>
    </row>
    <row r="9767" spans="1:38">
      <c r="A9767" s="182"/>
      <c r="Q9767" s="183"/>
      <c r="R9767" s="183"/>
      <c r="S9767" s="183"/>
    </row>
    <row r="9768" spans="1:38">
      <c r="A9768" s="182"/>
      <c r="Q9768" s="183"/>
      <c r="R9768" s="183"/>
      <c r="S9768" s="183"/>
    </row>
    <row r="9769" spans="1:38">
      <c r="A9769" s="182"/>
      <c r="Q9769" s="183"/>
      <c r="R9769" s="183"/>
      <c r="S9769" s="183"/>
    </row>
    <row r="9770" spans="1:38">
      <c r="A9770" s="182"/>
      <c r="Q9770" s="183"/>
      <c r="R9770" s="183"/>
      <c r="S9770" s="183"/>
    </row>
    <row r="9771" spans="1:38">
      <c r="A9771" s="182"/>
      <c r="Q9771" s="183"/>
      <c r="R9771" s="183"/>
      <c r="S9771" s="183"/>
    </row>
    <row r="9772" spans="1:38">
      <c r="A9772" s="182"/>
      <c r="Q9772" s="183"/>
      <c r="R9772" s="183"/>
      <c r="S9772" s="183"/>
    </row>
    <row r="9773" spans="1:38">
      <c r="A9773" s="182"/>
      <c r="Q9773" s="183"/>
      <c r="R9773" s="183"/>
      <c r="S9773" s="183"/>
    </row>
    <row r="9774" spans="1:38">
      <c r="A9774" s="182"/>
      <c r="Q9774" s="183"/>
      <c r="R9774" s="183"/>
      <c r="S9774" s="183"/>
    </row>
    <row r="9775" spans="1:38">
      <c r="A9775" s="182"/>
      <c r="Q9775" s="183"/>
      <c r="R9775" s="183"/>
      <c r="S9775" s="183"/>
    </row>
    <row r="9776" spans="1:38">
      <c r="A9776" s="182"/>
      <c r="Q9776" s="183"/>
      <c r="R9776" s="183"/>
      <c r="S9776" s="183"/>
    </row>
    <row r="9777" spans="1:38">
      <c r="A9777" s="182"/>
      <c r="Q9777" s="183"/>
      <c r="R9777" s="183"/>
      <c r="S9777" s="183"/>
    </row>
    <row r="9778" spans="1:38">
      <c r="A9778" s="182"/>
      <c r="Q9778" s="183"/>
      <c r="R9778" s="183"/>
      <c r="S9778" s="183"/>
    </row>
    <row r="9779" spans="1:38">
      <c r="A9779" s="182"/>
      <c r="Q9779" s="183"/>
      <c r="R9779" s="183"/>
      <c r="S9779" s="183"/>
    </row>
    <row r="9780" spans="1:38">
      <c r="A9780" s="182"/>
      <c r="Q9780" s="183"/>
      <c r="R9780" s="183"/>
      <c r="S9780" s="183"/>
    </row>
    <row r="9781" spans="1:38">
      <c r="A9781" s="182"/>
      <c r="Q9781" s="183"/>
      <c r="R9781" s="183"/>
      <c r="S9781" s="183"/>
    </row>
    <row r="9782" spans="1:38">
      <c r="A9782" s="182"/>
      <c r="Q9782" s="183"/>
      <c r="R9782" s="183"/>
      <c r="S9782" s="183"/>
    </row>
    <row r="9783" spans="1:38">
      <c r="A9783" s="182"/>
      <c r="Q9783" s="183"/>
      <c r="R9783" s="183"/>
      <c r="S9783" s="183"/>
    </row>
    <row r="9784" spans="1:38">
      <c r="A9784" s="182"/>
      <c r="Q9784" s="183"/>
      <c r="R9784" s="183"/>
      <c r="S9784" s="183"/>
    </row>
    <row r="9785" spans="1:38">
      <c r="A9785" s="182"/>
      <c r="Q9785" s="183"/>
      <c r="R9785" s="183"/>
      <c r="S9785" s="183"/>
      <c r="AK9785" s="183"/>
      <c r="AL9785" s="183"/>
    </row>
    <row r="9786" spans="1:38">
      <c r="A9786" s="182"/>
      <c r="Q9786" s="183"/>
      <c r="R9786" s="183"/>
      <c r="S9786" s="183"/>
      <c r="AJ9786" s="183"/>
      <c r="AK9786" s="183"/>
      <c r="AL9786" s="183"/>
    </row>
    <row r="9787" spans="1:38">
      <c r="A9787" s="182"/>
      <c r="Q9787" s="183"/>
      <c r="R9787" s="183"/>
      <c r="S9787" s="183"/>
      <c r="AJ9787" s="183"/>
      <c r="AK9787" s="183"/>
      <c r="AL9787" s="183"/>
    </row>
    <row r="9788" spans="1:38">
      <c r="A9788" s="182"/>
      <c r="Q9788" s="183"/>
      <c r="R9788" s="183"/>
      <c r="S9788" s="183"/>
      <c r="AJ9788" s="183"/>
      <c r="AK9788" s="183"/>
      <c r="AL9788" s="183"/>
    </row>
    <row r="9789" spans="1:38">
      <c r="A9789" s="182"/>
      <c r="Q9789" s="183"/>
      <c r="R9789" s="183"/>
      <c r="S9789" s="183"/>
      <c r="AJ9789" s="183"/>
    </row>
    <row r="9790" spans="1:38">
      <c r="A9790" s="182"/>
      <c r="Q9790" s="183"/>
      <c r="R9790" s="183"/>
      <c r="S9790" s="183"/>
    </row>
    <row r="9791" spans="1:38">
      <c r="A9791" s="182"/>
      <c r="Q9791" s="183"/>
      <c r="R9791" s="183"/>
      <c r="S9791" s="183"/>
    </row>
    <row r="9792" spans="1:38">
      <c r="A9792" s="182"/>
      <c r="Q9792" s="183"/>
      <c r="R9792" s="183"/>
      <c r="S9792" s="183"/>
    </row>
    <row r="9793" spans="1:19">
      <c r="A9793" s="182"/>
      <c r="Q9793" s="183"/>
      <c r="R9793" s="183"/>
      <c r="S9793" s="183"/>
    </row>
    <row r="9794" spans="1:19">
      <c r="A9794" s="182"/>
      <c r="Q9794" s="183"/>
      <c r="R9794" s="183"/>
      <c r="S9794" s="183"/>
    </row>
    <row r="9795" spans="1:19">
      <c r="A9795" s="182"/>
      <c r="Q9795" s="183"/>
      <c r="R9795" s="183"/>
      <c r="S9795" s="183"/>
    </row>
    <row r="9796" spans="1:19">
      <c r="A9796" s="182"/>
      <c r="Q9796" s="183"/>
      <c r="R9796" s="183"/>
      <c r="S9796" s="183"/>
    </row>
    <row r="9797" spans="1:19">
      <c r="A9797" s="182"/>
      <c r="Q9797" s="183"/>
      <c r="R9797" s="183"/>
      <c r="S9797" s="183"/>
    </row>
    <row r="9798" spans="1:19">
      <c r="A9798" s="182"/>
      <c r="Q9798" s="183"/>
      <c r="R9798" s="183"/>
      <c r="S9798" s="183"/>
    </row>
    <row r="9799" spans="1:19">
      <c r="A9799" s="182"/>
      <c r="Q9799" s="183"/>
      <c r="R9799" s="183"/>
      <c r="S9799" s="183"/>
    </row>
    <row r="9800" spans="1:19">
      <c r="A9800" s="182"/>
      <c r="Q9800" s="183"/>
      <c r="R9800" s="183"/>
      <c r="S9800" s="183"/>
    </row>
    <row r="9801" spans="1:19">
      <c r="A9801" s="182"/>
      <c r="Q9801" s="183"/>
      <c r="R9801" s="183"/>
      <c r="S9801" s="183"/>
    </row>
    <row r="9802" spans="1:19">
      <c r="A9802" s="182"/>
      <c r="Q9802" s="183"/>
      <c r="R9802" s="183"/>
      <c r="S9802" s="183"/>
    </row>
    <row r="9803" spans="1:19">
      <c r="A9803" s="182"/>
      <c r="Q9803" s="183"/>
      <c r="R9803" s="183"/>
      <c r="S9803" s="183"/>
    </row>
    <row r="9804" spans="1:19">
      <c r="A9804" s="182"/>
      <c r="Q9804" s="183"/>
      <c r="R9804" s="183"/>
      <c r="S9804" s="183"/>
    </row>
    <row r="9805" spans="1:19">
      <c r="A9805" s="182"/>
      <c r="Q9805" s="183"/>
      <c r="R9805" s="183"/>
      <c r="S9805" s="183"/>
    </row>
    <row r="9806" spans="1:19">
      <c r="A9806" s="182"/>
      <c r="Q9806" s="183"/>
      <c r="R9806" s="183"/>
      <c r="S9806" s="183"/>
    </row>
    <row r="9807" spans="1:19">
      <c r="A9807" s="182"/>
      <c r="Q9807" s="183"/>
      <c r="R9807" s="183"/>
      <c r="S9807" s="183"/>
    </row>
    <row r="9808" spans="1:19">
      <c r="A9808" s="182"/>
      <c r="Q9808" s="183"/>
      <c r="R9808" s="183"/>
      <c r="S9808" s="183"/>
    </row>
    <row r="9809" spans="1:38">
      <c r="A9809" s="182"/>
      <c r="Q9809" s="183"/>
      <c r="R9809" s="183"/>
      <c r="S9809" s="183"/>
    </row>
    <row r="9810" spans="1:38">
      <c r="A9810" s="182"/>
      <c r="Q9810" s="183"/>
      <c r="R9810" s="183"/>
      <c r="S9810" s="183"/>
    </row>
    <row r="9811" spans="1:38">
      <c r="A9811" s="182"/>
      <c r="Q9811" s="183"/>
      <c r="R9811" s="183"/>
      <c r="S9811" s="183"/>
    </row>
    <row r="9812" spans="1:38">
      <c r="A9812" s="182"/>
      <c r="Q9812" s="183"/>
      <c r="R9812" s="183"/>
      <c r="S9812" s="183"/>
    </row>
    <row r="9813" spans="1:38">
      <c r="A9813" s="182"/>
      <c r="Q9813" s="183"/>
      <c r="R9813" s="183"/>
      <c r="S9813" s="183"/>
    </row>
    <row r="9814" spans="1:38">
      <c r="A9814" s="182"/>
      <c r="Q9814" s="183"/>
      <c r="R9814" s="183"/>
      <c r="S9814" s="183"/>
    </row>
    <row r="9815" spans="1:38">
      <c r="A9815" s="182"/>
      <c r="Q9815" s="183"/>
      <c r="R9815" s="183"/>
      <c r="S9815" s="183"/>
    </row>
    <row r="9816" spans="1:38">
      <c r="A9816" s="182"/>
      <c r="Q9816" s="183"/>
      <c r="R9816" s="183"/>
      <c r="S9816" s="183"/>
    </row>
    <row r="9817" spans="1:38">
      <c r="A9817" s="182"/>
      <c r="Q9817" s="183"/>
      <c r="R9817" s="183"/>
      <c r="S9817" s="183"/>
      <c r="AK9817" s="183"/>
      <c r="AL9817" s="183"/>
    </row>
    <row r="9818" spans="1:38">
      <c r="A9818" s="182"/>
      <c r="Q9818" s="183"/>
      <c r="R9818" s="183"/>
      <c r="S9818" s="183"/>
      <c r="AJ9818" s="183"/>
      <c r="AK9818" s="183"/>
      <c r="AL9818" s="183"/>
    </row>
    <row r="9819" spans="1:38">
      <c r="A9819" s="182"/>
      <c r="Q9819" s="183"/>
      <c r="R9819" s="183"/>
      <c r="S9819" s="183"/>
      <c r="AJ9819" s="183"/>
      <c r="AK9819" s="183"/>
      <c r="AL9819" s="183"/>
    </row>
    <row r="9820" spans="1:38">
      <c r="A9820" s="182"/>
      <c r="Q9820" s="183"/>
      <c r="R9820" s="183"/>
      <c r="S9820" s="183"/>
      <c r="AJ9820" s="183"/>
      <c r="AK9820" s="183"/>
      <c r="AL9820" s="183"/>
    </row>
    <row r="9821" spans="1:38">
      <c r="A9821" s="182"/>
      <c r="Q9821" s="183"/>
      <c r="R9821" s="183"/>
      <c r="S9821" s="183"/>
      <c r="AJ9821" s="183"/>
    </row>
    <row r="9822" spans="1:38">
      <c r="A9822" s="182"/>
      <c r="Q9822" s="183"/>
      <c r="R9822" s="183"/>
      <c r="S9822" s="183"/>
    </row>
    <row r="9823" spans="1:38">
      <c r="A9823" s="182"/>
      <c r="Q9823" s="183"/>
      <c r="R9823" s="183"/>
      <c r="S9823" s="183"/>
    </row>
    <row r="9824" spans="1:38">
      <c r="A9824" s="182"/>
      <c r="Q9824" s="183"/>
      <c r="R9824" s="183"/>
      <c r="S9824" s="183"/>
    </row>
    <row r="9825" spans="1:19">
      <c r="A9825" s="182"/>
      <c r="Q9825" s="183"/>
      <c r="R9825" s="183"/>
      <c r="S9825" s="183"/>
    </row>
    <row r="9826" spans="1:19">
      <c r="A9826" s="182"/>
      <c r="Q9826" s="183"/>
      <c r="R9826" s="183"/>
      <c r="S9826" s="183"/>
    </row>
    <row r="9827" spans="1:19">
      <c r="A9827" s="182"/>
      <c r="Q9827" s="183"/>
      <c r="R9827" s="183"/>
      <c r="S9827" s="183"/>
    </row>
    <row r="9828" spans="1:19">
      <c r="A9828" s="182"/>
      <c r="Q9828" s="183"/>
      <c r="R9828" s="183"/>
      <c r="S9828" s="183"/>
    </row>
    <row r="9829" spans="1:19">
      <c r="A9829" s="182"/>
      <c r="Q9829" s="183"/>
      <c r="R9829" s="183"/>
      <c r="S9829" s="183"/>
    </row>
    <row r="9830" spans="1:19">
      <c r="A9830" s="182"/>
      <c r="Q9830" s="183"/>
      <c r="R9830" s="183"/>
      <c r="S9830" s="183"/>
    </row>
    <row r="9831" spans="1:19">
      <c r="A9831" s="182"/>
      <c r="Q9831" s="183"/>
      <c r="R9831" s="183"/>
      <c r="S9831" s="183"/>
    </row>
    <row r="9832" spans="1:19">
      <c r="A9832" s="182"/>
      <c r="Q9832" s="183"/>
      <c r="R9832" s="183"/>
      <c r="S9832" s="183"/>
    </row>
    <row r="9833" spans="1:19">
      <c r="A9833" s="182"/>
      <c r="Q9833" s="183"/>
    </row>
    <row r="9834" spans="1:19">
      <c r="A9834" s="182"/>
      <c r="R9834" s="183"/>
      <c r="S9834" s="183"/>
    </row>
    <row r="9835" spans="1:19">
      <c r="A9835" s="182"/>
      <c r="Q9835" s="183"/>
      <c r="R9835" s="183"/>
      <c r="S9835" s="183"/>
    </row>
    <row r="9836" spans="1:19">
      <c r="A9836" s="182"/>
      <c r="Q9836" s="183"/>
      <c r="R9836" s="183"/>
      <c r="S9836" s="183"/>
    </row>
    <row r="9837" spans="1:19">
      <c r="A9837" s="182"/>
      <c r="Q9837" s="183"/>
      <c r="R9837" s="183"/>
      <c r="S9837" s="183"/>
    </row>
    <row r="9838" spans="1:19">
      <c r="A9838" s="182"/>
      <c r="Q9838" s="183"/>
      <c r="R9838" s="183"/>
      <c r="S9838" s="183"/>
    </row>
    <row r="9839" spans="1:19">
      <c r="A9839" s="182"/>
      <c r="Q9839" s="183"/>
      <c r="R9839" s="183"/>
      <c r="S9839" s="183"/>
    </row>
    <row r="9840" spans="1:19">
      <c r="A9840" s="182"/>
      <c r="Q9840" s="183"/>
      <c r="R9840" s="183"/>
      <c r="S9840" s="183"/>
    </row>
    <row r="9841" spans="1:38">
      <c r="A9841" s="182"/>
      <c r="Q9841" s="183"/>
      <c r="R9841" s="183"/>
      <c r="S9841" s="183"/>
    </row>
    <row r="9842" spans="1:38">
      <c r="A9842" s="182"/>
      <c r="Q9842" s="183"/>
      <c r="R9842" s="183"/>
      <c r="S9842" s="183"/>
    </row>
    <row r="9843" spans="1:38">
      <c r="A9843" s="182"/>
      <c r="Q9843" s="183"/>
      <c r="R9843" s="183"/>
      <c r="S9843" s="183"/>
    </row>
    <row r="9844" spans="1:38">
      <c r="A9844" s="182"/>
      <c r="Q9844" s="183"/>
      <c r="R9844" s="183"/>
      <c r="S9844" s="183"/>
    </row>
    <row r="9845" spans="1:38">
      <c r="A9845" s="182"/>
      <c r="Q9845" s="183"/>
      <c r="R9845" s="183"/>
      <c r="S9845" s="183"/>
    </row>
    <row r="9846" spans="1:38">
      <c r="A9846" s="182"/>
      <c r="Q9846" s="183"/>
    </row>
    <row r="9847" spans="1:38">
      <c r="A9847" s="182"/>
      <c r="R9847" s="183"/>
      <c r="S9847" s="183"/>
    </row>
    <row r="9848" spans="1:38">
      <c r="A9848" s="182"/>
      <c r="Q9848" s="183"/>
      <c r="R9848" s="183"/>
      <c r="S9848" s="183"/>
    </row>
    <row r="9849" spans="1:38">
      <c r="A9849" s="182"/>
      <c r="Q9849" s="183"/>
      <c r="R9849" s="183"/>
      <c r="S9849" s="183"/>
      <c r="AK9849" s="183"/>
      <c r="AL9849" s="183"/>
    </row>
    <row r="9850" spans="1:38">
      <c r="A9850" s="182"/>
      <c r="Q9850" s="183"/>
      <c r="AJ9850" s="183"/>
      <c r="AK9850" s="183"/>
      <c r="AL9850" s="183"/>
    </row>
    <row r="9851" spans="1:38">
      <c r="A9851" s="182"/>
      <c r="AJ9851" s="183"/>
      <c r="AK9851" s="183"/>
      <c r="AL9851" s="183"/>
    </row>
    <row r="9852" spans="1:38">
      <c r="A9852" s="182"/>
      <c r="AJ9852" s="183"/>
      <c r="AK9852" s="183"/>
      <c r="AL9852" s="183"/>
    </row>
    <row r="9853" spans="1:38">
      <c r="A9853" s="182"/>
      <c r="R9853" s="183"/>
      <c r="S9853" s="183"/>
      <c r="AJ9853" s="183"/>
      <c r="AK9853" s="183"/>
      <c r="AL9853" s="183"/>
    </row>
    <row r="9854" spans="1:38">
      <c r="A9854" s="182"/>
      <c r="Q9854" s="183"/>
      <c r="R9854" s="183"/>
      <c r="S9854" s="183"/>
      <c r="AJ9854" s="183"/>
      <c r="AK9854" s="183"/>
      <c r="AL9854" s="183"/>
    </row>
    <row r="9855" spans="1:38">
      <c r="A9855" s="182"/>
      <c r="Q9855" s="183"/>
      <c r="R9855" s="183"/>
      <c r="S9855" s="183"/>
      <c r="AJ9855" s="183"/>
      <c r="AK9855" s="183"/>
      <c r="AL9855" s="183"/>
    </row>
    <row r="9856" spans="1:38">
      <c r="A9856" s="182"/>
      <c r="Q9856" s="183"/>
      <c r="AJ9856" s="183"/>
      <c r="AK9856" s="183"/>
      <c r="AL9856" s="183"/>
    </row>
    <row r="9857" spans="1:36">
      <c r="A9857" s="182"/>
      <c r="R9857" s="183"/>
      <c r="S9857" s="183"/>
      <c r="AJ9857" s="183"/>
    </row>
    <row r="9858" spans="1:36">
      <c r="A9858" s="182"/>
      <c r="Q9858" s="183"/>
    </row>
    <row r="9859" spans="1:36">
      <c r="A9859" s="182"/>
      <c r="R9859" s="183"/>
      <c r="S9859" s="183"/>
    </row>
    <row r="9860" spans="1:36">
      <c r="A9860" s="182"/>
      <c r="Q9860" s="183"/>
      <c r="R9860" s="183"/>
      <c r="S9860" s="183"/>
    </row>
    <row r="9861" spans="1:36">
      <c r="A9861" s="182"/>
      <c r="Q9861" s="183"/>
      <c r="R9861" s="183"/>
      <c r="S9861" s="183"/>
    </row>
    <row r="9862" spans="1:36">
      <c r="A9862" s="182"/>
      <c r="Q9862" s="183"/>
      <c r="R9862" s="183"/>
      <c r="S9862" s="183"/>
    </row>
    <row r="9863" spans="1:36">
      <c r="A9863" s="182"/>
      <c r="Q9863" s="183"/>
      <c r="R9863" s="183"/>
      <c r="S9863" s="183"/>
    </row>
    <row r="9864" spans="1:36">
      <c r="A9864" s="182"/>
      <c r="Q9864" s="183"/>
      <c r="R9864" s="183"/>
      <c r="S9864" s="183"/>
    </row>
    <row r="9865" spans="1:36">
      <c r="A9865" s="182"/>
      <c r="Q9865" s="183"/>
      <c r="R9865" s="183"/>
      <c r="S9865" s="183"/>
    </row>
    <row r="9866" spans="1:36">
      <c r="A9866" s="182"/>
      <c r="Q9866" s="183"/>
      <c r="R9866" s="183"/>
      <c r="S9866" s="183"/>
    </row>
    <row r="9867" spans="1:36">
      <c r="A9867" s="182"/>
      <c r="Q9867" s="183"/>
      <c r="R9867" s="183"/>
      <c r="S9867" s="183"/>
    </row>
    <row r="9868" spans="1:36">
      <c r="A9868" s="182"/>
      <c r="Q9868" s="183"/>
      <c r="R9868" s="183"/>
      <c r="S9868" s="183"/>
    </row>
    <row r="9869" spans="1:36">
      <c r="A9869" s="182"/>
      <c r="Q9869" s="183"/>
      <c r="R9869" s="183"/>
      <c r="S9869" s="183"/>
    </row>
    <row r="9870" spans="1:36">
      <c r="A9870" s="182"/>
      <c r="Q9870" s="183"/>
      <c r="R9870" s="183"/>
      <c r="S9870" s="183"/>
    </row>
    <row r="9871" spans="1:36">
      <c r="A9871" s="182"/>
      <c r="Q9871" s="183"/>
      <c r="R9871" s="183"/>
      <c r="S9871" s="183"/>
    </row>
    <row r="9872" spans="1:36">
      <c r="A9872" s="182"/>
      <c r="Q9872" s="183"/>
      <c r="R9872" s="183"/>
      <c r="S9872" s="183"/>
    </row>
    <row r="9873" spans="1:19">
      <c r="A9873" s="182"/>
      <c r="Q9873" s="183"/>
      <c r="R9873" s="183"/>
      <c r="S9873" s="183"/>
    </row>
    <row r="9874" spans="1:19">
      <c r="A9874" s="182"/>
      <c r="Q9874" s="183"/>
      <c r="R9874" s="183"/>
      <c r="S9874" s="183"/>
    </row>
    <row r="9875" spans="1:19">
      <c r="A9875" s="182"/>
      <c r="Q9875" s="183"/>
      <c r="R9875" s="183"/>
      <c r="S9875" s="183"/>
    </row>
    <row r="9876" spans="1:19">
      <c r="A9876" s="182"/>
      <c r="Q9876" s="183"/>
      <c r="R9876" s="183"/>
      <c r="S9876" s="183"/>
    </row>
    <row r="9877" spans="1:19">
      <c r="A9877" s="182"/>
      <c r="Q9877" s="183"/>
      <c r="R9877" s="183"/>
      <c r="S9877" s="183"/>
    </row>
    <row r="9878" spans="1:19">
      <c r="A9878" s="182"/>
      <c r="Q9878" s="183"/>
      <c r="R9878" s="183"/>
      <c r="S9878" s="183"/>
    </row>
    <row r="9879" spans="1:19">
      <c r="A9879" s="182"/>
      <c r="Q9879" s="183"/>
      <c r="R9879" s="183"/>
      <c r="S9879" s="183"/>
    </row>
    <row r="9880" spans="1:19">
      <c r="A9880" s="182"/>
      <c r="Q9880" s="183"/>
      <c r="R9880" s="183"/>
      <c r="S9880" s="183"/>
    </row>
    <row r="9881" spans="1:19">
      <c r="A9881" s="182"/>
      <c r="Q9881" s="183"/>
      <c r="R9881" s="183"/>
      <c r="S9881" s="183"/>
    </row>
    <row r="9882" spans="1:19">
      <c r="A9882" s="182"/>
      <c r="Q9882" s="183"/>
      <c r="R9882" s="183"/>
      <c r="S9882" s="183"/>
    </row>
    <row r="9883" spans="1:19">
      <c r="A9883" s="182"/>
      <c r="Q9883" s="183"/>
      <c r="R9883" s="183"/>
      <c r="S9883" s="183"/>
    </row>
    <row r="9884" spans="1:19">
      <c r="A9884" s="182"/>
      <c r="Q9884" s="183"/>
      <c r="R9884" s="183"/>
      <c r="S9884" s="183"/>
    </row>
    <row r="9885" spans="1:19">
      <c r="A9885" s="182"/>
      <c r="Q9885" s="183"/>
      <c r="R9885" s="183"/>
      <c r="S9885" s="183"/>
    </row>
    <row r="9886" spans="1:19">
      <c r="A9886" s="182"/>
      <c r="Q9886" s="183"/>
      <c r="R9886" s="183"/>
      <c r="S9886" s="183"/>
    </row>
    <row r="9887" spans="1:19">
      <c r="A9887" s="182"/>
      <c r="Q9887" s="183"/>
      <c r="R9887" s="183"/>
      <c r="S9887" s="183"/>
    </row>
    <row r="9888" spans="1:19">
      <c r="A9888" s="182"/>
      <c r="Q9888" s="183"/>
      <c r="R9888" s="183"/>
      <c r="S9888" s="183"/>
    </row>
    <row r="9889" spans="1:38">
      <c r="A9889" s="182"/>
      <c r="Q9889" s="183"/>
      <c r="R9889" s="183"/>
      <c r="S9889" s="183"/>
    </row>
    <row r="9890" spans="1:38">
      <c r="A9890" s="182"/>
      <c r="Q9890" s="183"/>
      <c r="R9890" s="183"/>
      <c r="S9890" s="183"/>
    </row>
    <row r="9891" spans="1:38">
      <c r="A9891" s="182"/>
      <c r="Q9891" s="183"/>
      <c r="R9891" s="183"/>
      <c r="S9891" s="183"/>
    </row>
    <row r="9892" spans="1:38">
      <c r="A9892" s="182"/>
      <c r="Q9892" s="183"/>
      <c r="R9892" s="183"/>
      <c r="S9892" s="183"/>
    </row>
    <row r="9893" spans="1:38">
      <c r="A9893" s="182"/>
      <c r="Q9893" s="183"/>
      <c r="R9893" s="183"/>
      <c r="S9893" s="183"/>
      <c r="AK9893" s="183"/>
      <c r="AL9893" s="183"/>
    </row>
    <row r="9894" spans="1:38">
      <c r="A9894" s="182"/>
      <c r="Q9894" s="183"/>
      <c r="R9894" s="183"/>
      <c r="S9894" s="183"/>
      <c r="AJ9894" s="183"/>
      <c r="AK9894" s="183"/>
      <c r="AL9894" s="183"/>
    </row>
    <row r="9895" spans="1:38">
      <c r="A9895" s="182"/>
      <c r="Q9895" s="183"/>
      <c r="R9895" s="183"/>
      <c r="S9895" s="183"/>
      <c r="AJ9895" s="183"/>
      <c r="AK9895" s="183"/>
      <c r="AL9895" s="183"/>
    </row>
    <row r="9896" spans="1:38">
      <c r="A9896" s="182"/>
      <c r="Q9896" s="183"/>
      <c r="R9896" s="183"/>
      <c r="S9896" s="183"/>
      <c r="AJ9896" s="183"/>
      <c r="AK9896" s="183"/>
      <c r="AL9896" s="183"/>
    </row>
    <row r="9897" spans="1:38">
      <c r="A9897" s="182"/>
      <c r="Q9897" s="183"/>
      <c r="R9897" s="183"/>
      <c r="S9897" s="183"/>
      <c r="AJ9897" s="183"/>
      <c r="AK9897" s="183"/>
      <c r="AL9897" s="183"/>
    </row>
    <row r="9898" spans="1:38">
      <c r="A9898" s="182"/>
      <c r="Q9898" s="183"/>
      <c r="R9898" s="183"/>
      <c r="S9898" s="183"/>
      <c r="AJ9898" s="183"/>
      <c r="AK9898" s="183"/>
      <c r="AL9898" s="183"/>
    </row>
    <row r="9899" spans="1:38">
      <c r="A9899" s="182"/>
      <c r="Q9899" s="183"/>
      <c r="R9899" s="183"/>
      <c r="S9899" s="183"/>
      <c r="AJ9899" s="183"/>
      <c r="AK9899" s="183"/>
      <c r="AL9899" s="183"/>
    </row>
    <row r="9900" spans="1:38">
      <c r="A9900" s="182"/>
      <c r="Q9900" s="183"/>
      <c r="R9900" s="183"/>
      <c r="S9900" s="183"/>
      <c r="AJ9900" s="183"/>
      <c r="AK9900" s="183"/>
      <c r="AL9900" s="183"/>
    </row>
    <row r="9901" spans="1:38">
      <c r="A9901" s="182"/>
      <c r="Q9901" s="183"/>
      <c r="R9901" s="183"/>
      <c r="S9901" s="183"/>
      <c r="AJ9901" s="183"/>
    </row>
    <row r="9902" spans="1:38">
      <c r="A9902" s="182"/>
      <c r="Q9902" s="183"/>
      <c r="R9902" s="183"/>
      <c r="S9902" s="183"/>
    </row>
    <row r="9903" spans="1:38">
      <c r="A9903" s="182"/>
      <c r="Q9903" s="183"/>
      <c r="R9903" s="183"/>
      <c r="S9903" s="183"/>
    </row>
    <row r="9904" spans="1:38">
      <c r="A9904" s="182"/>
      <c r="Q9904" s="183"/>
      <c r="R9904" s="183"/>
      <c r="S9904" s="183"/>
    </row>
    <row r="9905" spans="1:38">
      <c r="A9905" s="182"/>
      <c r="Q9905" s="183"/>
      <c r="R9905" s="183"/>
      <c r="S9905" s="183"/>
    </row>
    <row r="9906" spans="1:38">
      <c r="A9906" s="182"/>
      <c r="Q9906" s="183"/>
      <c r="R9906" s="183"/>
      <c r="S9906" s="183"/>
    </row>
    <row r="9907" spans="1:38">
      <c r="A9907" s="182"/>
      <c r="Q9907" s="183"/>
      <c r="R9907" s="183"/>
      <c r="S9907" s="183"/>
    </row>
    <row r="9908" spans="1:38">
      <c r="A9908" s="182"/>
      <c r="Q9908" s="183"/>
      <c r="R9908" s="183"/>
      <c r="S9908" s="183"/>
    </row>
    <row r="9909" spans="1:38">
      <c r="A9909" s="182"/>
      <c r="Q9909" s="183"/>
      <c r="R9909" s="183"/>
      <c r="S9909" s="183"/>
      <c r="AK9909" s="183"/>
      <c r="AL9909" s="183"/>
    </row>
    <row r="9910" spans="1:38">
      <c r="A9910" s="182"/>
      <c r="Q9910" s="183"/>
      <c r="R9910" s="183"/>
      <c r="S9910" s="183"/>
      <c r="AJ9910" s="183"/>
      <c r="AK9910" s="183"/>
      <c r="AL9910" s="183"/>
    </row>
    <row r="9911" spans="1:38">
      <c r="A9911" s="182"/>
      <c r="Q9911" s="183"/>
      <c r="R9911" s="183"/>
      <c r="S9911" s="183"/>
      <c r="AJ9911" s="183"/>
      <c r="AK9911" s="183"/>
      <c r="AL9911" s="183"/>
    </row>
    <row r="9912" spans="1:38">
      <c r="A9912" s="182"/>
      <c r="Q9912" s="183"/>
      <c r="R9912" s="183"/>
      <c r="S9912" s="183"/>
      <c r="AJ9912" s="183"/>
      <c r="AK9912" s="183"/>
      <c r="AL9912" s="183"/>
    </row>
    <row r="9913" spans="1:38">
      <c r="A9913" s="182"/>
      <c r="Q9913" s="183"/>
      <c r="R9913" s="183"/>
      <c r="S9913" s="183"/>
      <c r="AJ9913" s="183"/>
      <c r="AK9913" s="183"/>
      <c r="AL9913" s="183"/>
    </row>
    <row r="9914" spans="1:38">
      <c r="A9914" s="182"/>
      <c r="Q9914" s="183"/>
      <c r="R9914" s="183"/>
      <c r="S9914" s="183"/>
      <c r="AJ9914" s="183"/>
      <c r="AK9914" s="183"/>
      <c r="AL9914" s="183"/>
    </row>
    <row r="9915" spans="1:38">
      <c r="A9915" s="182"/>
      <c r="Q9915" s="183"/>
      <c r="R9915" s="183"/>
      <c r="S9915" s="183"/>
      <c r="AJ9915" s="183"/>
      <c r="AK9915" s="183"/>
      <c r="AL9915" s="183"/>
    </row>
    <row r="9916" spans="1:38">
      <c r="A9916" s="182"/>
      <c r="Q9916" s="183"/>
      <c r="R9916" s="183"/>
      <c r="S9916" s="183"/>
      <c r="AJ9916" s="183"/>
      <c r="AK9916" s="183"/>
      <c r="AL9916" s="183"/>
    </row>
    <row r="9917" spans="1:38">
      <c r="A9917" s="182"/>
      <c r="Q9917" s="183"/>
      <c r="R9917" s="183"/>
      <c r="S9917" s="183"/>
      <c r="AJ9917" s="183"/>
      <c r="AK9917" s="183"/>
      <c r="AL9917" s="183"/>
    </row>
    <row r="9918" spans="1:38">
      <c r="A9918" s="182"/>
      <c r="Q9918" s="183"/>
      <c r="R9918" s="183"/>
      <c r="S9918" s="183"/>
      <c r="AJ9918" s="183"/>
      <c r="AK9918" s="183"/>
      <c r="AL9918" s="183"/>
    </row>
    <row r="9919" spans="1:38">
      <c r="A9919" s="182"/>
      <c r="Q9919" s="183"/>
      <c r="R9919" s="183"/>
      <c r="S9919" s="183"/>
      <c r="AJ9919" s="183"/>
      <c r="AK9919" s="183"/>
      <c r="AL9919" s="183"/>
    </row>
    <row r="9920" spans="1:38">
      <c r="A9920" s="182"/>
      <c r="Q9920" s="183"/>
      <c r="R9920" s="183"/>
      <c r="S9920" s="183"/>
      <c r="AJ9920" s="183"/>
      <c r="AK9920" s="183"/>
      <c r="AL9920" s="183"/>
    </row>
    <row r="9921" spans="1:38">
      <c r="A9921" s="182"/>
      <c r="Q9921" s="183"/>
      <c r="R9921" s="183"/>
      <c r="S9921" s="183"/>
      <c r="AJ9921" s="183"/>
      <c r="AK9921" s="183"/>
      <c r="AL9921" s="183"/>
    </row>
    <row r="9922" spans="1:38">
      <c r="A9922" s="182"/>
      <c r="Q9922" s="183"/>
      <c r="R9922" s="183"/>
      <c r="S9922" s="183"/>
      <c r="AJ9922" s="183"/>
      <c r="AK9922" s="183"/>
      <c r="AL9922" s="183"/>
    </row>
    <row r="9923" spans="1:38">
      <c r="A9923" s="182"/>
      <c r="Q9923" s="183"/>
      <c r="R9923" s="183"/>
      <c r="S9923" s="183"/>
      <c r="AJ9923" s="183"/>
      <c r="AK9923" s="183"/>
      <c r="AL9923" s="183"/>
    </row>
    <row r="9924" spans="1:38">
      <c r="A9924" s="182"/>
      <c r="Q9924" s="183"/>
      <c r="R9924" s="183"/>
      <c r="S9924" s="183"/>
      <c r="AJ9924" s="183"/>
      <c r="AK9924" s="183"/>
      <c r="AL9924" s="183"/>
    </row>
    <row r="9925" spans="1:38">
      <c r="A9925" s="182"/>
      <c r="Q9925" s="183"/>
      <c r="R9925" s="183"/>
      <c r="S9925" s="183"/>
      <c r="AJ9925" s="183"/>
      <c r="AK9925" s="183"/>
      <c r="AL9925" s="183"/>
    </row>
    <row r="9926" spans="1:38">
      <c r="A9926" s="182"/>
      <c r="Q9926" s="183"/>
      <c r="R9926" s="183"/>
      <c r="S9926" s="183"/>
      <c r="AJ9926" s="183"/>
      <c r="AK9926" s="183"/>
      <c r="AL9926" s="183"/>
    </row>
    <row r="9927" spans="1:38">
      <c r="A9927" s="182"/>
      <c r="Q9927" s="183"/>
      <c r="R9927" s="183"/>
      <c r="S9927" s="183"/>
      <c r="AJ9927" s="183"/>
      <c r="AK9927" s="183"/>
      <c r="AL9927" s="183"/>
    </row>
    <row r="9928" spans="1:38">
      <c r="A9928" s="182"/>
      <c r="Q9928" s="183"/>
      <c r="R9928" s="183"/>
      <c r="S9928" s="183"/>
      <c r="AJ9928" s="183"/>
      <c r="AK9928" s="183"/>
      <c r="AL9928" s="183"/>
    </row>
    <row r="9929" spans="1:38">
      <c r="A9929" s="182"/>
      <c r="Q9929" s="183"/>
      <c r="R9929" s="183"/>
      <c r="S9929" s="183"/>
      <c r="AJ9929" s="183"/>
    </row>
    <row r="9930" spans="1:38">
      <c r="A9930" s="182"/>
      <c r="Q9930" s="183"/>
    </row>
    <row r="9931" spans="1:38">
      <c r="A9931" s="182"/>
      <c r="R9931" s="183"/>
      <c r="S9931" s="183"/>
    </row>
    <row r="9932" spans="1:38">
      <c r="A9932" s="182"/>
      <c r="Q9932" s="183"/>
      <c r="R9932" s="183"/>
      <c r="S9932" s="183"/>
    </row>
    <row r="9933" spans="1:38">
      <c r="A9933" s="182"/>
      <c r="Q9933" s="183"/>
      <c r="R9933" s="183"/>
      <c r="S9933" s="183"/>
    </row>
    <row r="9934" spans="1:38">
      <c r="A9934" s="182"/>
      <c r="Q9934" s="183"/>
      <c r="R9934" s="183"/>
      <c r="S9934" s="183"/>
    </row>
    <row r="9935" spans="1:38">
      <c r="A9935" s="182"/>
      <c r="Q9935" s="183"/>
      <c r="R9935" s="183"/>
      <c r="S9935" s="183"/>
    </row>
    <row r="9936" spans="1:38">
      <c r="A9936" s="182"/>
      <c r="Q9936" s="183"/>
      <c r="R9936" s="183"/>
      <c r="S9936" s="183"/>
    </row>
    <row r="9937" spans="1:38">
      <c r="A9937" s="182"/>
      <c r="Q9937" s="183"/>
      <c r="R9937" s="183"/>
      <c r="S9937" s="183"/>
    </row>
    <row r="9938" spans="1:38">
      <c r="A9938" s="182"/>
      <c r="Q9938" s="183"/>
      <c r="R9938" s="183"/>
      <c r="S9938" s="183"/>
    </row>
    <row r="9939" spans="1:38">
      <c r="A9939" s="182"/>
      <c r="Q9939" s="183"/>
      <c r="R9939" s="183"/>
      <c r="S9939" s="183"/>
    </row>
    <row r="9940" spans="1:38">
      <c r="A9940" s="182"/>
      <c r="Q9940" s="183"/>
      <c r="R9940" s="183"/>
      <c r="S9940" s="183"/>
    </row>
    <row r="9941" spans="1:38">
      <c r="A9941" s="182"/>
      <c r="Q9941" s="183"/>
      <c r="R9941" s="183"/>
      <c r="S9941" s="183"/>
    </row>
    <row r="9942" spans="1:38">
      <c r="A9942" s="182"/>
      <c r="Q9942" s="183"/>
      <c r="R9942" s="183"/>
      <c r="S9942" s="183"/>
    </row>
    <row r="9943" spans="1:38">
      <c r="A9943" s="182"/>
      <c r="Q9943" s="183"/>
      <c r="R9943" s="183"/>
      <c r="S9943" s="183"/>
    </row>
    <row r="9944" spans="1:38">
      <c r="A9944" s="182"/>
      <c r="Q9944" s="183"/>
      <c r="R9944" s="183"/>
      <c r="S9944" s="183"/>
    </row>
    <row r="9945" spans="1:38">
      <c r="A9945" s="182"/>
      <c r="Q9945" s="183"/>
      <c r="R9945" s="183"/>
      <c r="S9945" s="183"/>
      <c r="AK9945" s="183"/>
      <c r="AL9945" s="183"/>
    </row>
    <row r="9946" spans="1:38">
      <c r="A9946" s="182"/>
      <c r="Q9946" s="183"/>
      <c r="R9946" s="183"/>
      <c r="S9946" s="183"/>
      <c r="AJ9946" s="183"/>
      <c r="AK9946" s="183"/>
      <c r="AL9946" s="183"/>
    </row>
    <row r="9947" spans="1:38">
      <c r="A9947" s="182"/>
      <c r="Q9947" s="183"/>
      <c r="R9947" s="183"/>
      <c r="S9947" s="183"/>
      <c r="AJ9947" s="183"/>
      <c r="AK9947" s="183"/>
      <c r="AL9947" s="183"/>
    </row>
    <row r="9948" spans="1:38">
      <c r="A9948" s="182"/>
      <c r="Q9948" s="183"/>
      <c r="R9948" s="183"/>
      <c r="S9948" s="183"/>
      <c r="AJ9948" s="183"/>
      <c r="AK9948" s="183"/>
      <c r="AL9948" s="183"/>
    </row>
    <row r="9949" spans="1:38">
      <c r="A9949" s="182"/>
      <c r="Q9949" s="183"/>
      <c r="R9949" s="183"/>
      <c r="S9949" s="183"/>
      <c r="AJ9949" s="183"/>
    </row>
    <row r="9950" spans="1:38">
      <c r="A9950" s="182"/>
      <c r="Q9950" s="183"/>
    </row>
    <row r="9951" spans="1:38">
      <c r="A9951" s="182"/>
      <c r="R9951" s="183"/>
      <c r="S9951" s="183"/>
    </row>
    <row r="9952" spans="1:38">
      <c r="A9952" s="182"/>
      <c r="Q9952" s="183"/>
      <c r="R9952" s="183"/>
      <c r="S9952" s="183"/>
    </row>
    <row r="9953" spans="1:19">
      <c r="A9953" s="182"/>
      <c r="Q9953" s="183"/>
      <c r="R9953" s="183"/>
      <c r="S9953" s="183"/>
    </row>
    <row r="9954" spans="1:19">
      <c r="A9954" s="182"/>
      <c r="Q9954" s="183"/>
      <c r="R9954" s="183"/>
      <c r="S9954" s="183"/>
    </row>
    <row r="9955" spans="1:19">
      <c r="A9955" s="182"/>
      <c r="Q9955" s="183"/>
      <c r="R9955" s="183"/>
      <c r="S9955" s="183"/>
    </row>
    <row r="9956" spans="1:19">
      <c r="A9956" s="182"/>
      <c r="Q9956" s="183"/>
      <c r="R9956" s="183"/>
      <c r="S9956" s="183"/>
    </row>
    <row r="9957" spans="1:19">
      <c r="A9957" s="182"/>
      <c r="Q9957" s="183"/>
      <c r="R9957" s="183"/>
      <c r="S9957" s="183"/>
    </row>
    <row r="9958" spans="1:19">
      <c r="A9958" s="182"/>
      <c r="Q9958" s="183"/>
      <c r="R9958" s="183"/>
      <c r="S9958" s="183"/>
    </row>
    <row r="9959" spans="1:19">
      <c r="A9959" s="182"/>
      <c r="Q9959" s="183"/>
      <c r="R9959" s="183"/>
      <c r="S9959" s="183"/>
    </row>
    <row r="9960" spans="1:19">
      <c r="A9960" s="182"/>
      <c r="Q9960" s="183"/>
      <c r="R9960" s="183"/>
      <c r="S9960" s="183"/>
    </row>
    <row r="9961" spans="1:19">
      <c r="A9961" s="182"/>
      <c r="Q9961" s="183"/>
      <c r="R9961" s="183"/>
      <c r="S9961" s="183"/>
    </row>
    <row r="9962" spans="1:19">
      <c r="A9962" s="182"/>
      <c r="Q9962" s="183"/>
      <c r="R9962" s="183"/>
      <c r="S9962" s="183"/>
    </row>
    <row r="9963" spans="1:19">
      <c r="A9963" s="182"/>
      <c r="Q9963" s="183"/>
      <c r="R9963" s="183"/>
      <c r="S9963" s="183"/>
    </row>
    <row r="9964" spans="1:19">
      <c r="A9964" s="182"/>
      <c r="Q9964" s="183"/>
      <c r="R9964" s="183"/>
      <c r="S9964" s="183"/>
    </row>
    <row r="9965" spans="1:19">
      <c r="A9965" s="182"/>
      <c r="Q9965" s="183"/>
      <c r="R9965" s="183"/>
      <c r="S9965" s="183"/>
    </row>
    <row r="9966" spans="1:19">
      <c r="A9966" s="182"/>
      <c r="Q9966" s="183"/>
      <c r="R9966" s="183"/>
      <c r="S9966" s="183"/>
    </row>
    <row r="9967" spans="1:19">
      <c r="A9967" s="182"/>
      <c r="Q9967" s="183"/>
      <c r="R9967" s="183"/>
      <c r="S9967" s="183"/>
    </row>
    <row r="9968" spans="1:19">
      <c r="A9968" s="182"/>
      <c r="Q9968" s="183"/>
      <c r="R9968" s="183"/>
      <c r="S9968" s="183"/>
    </row>
    <row r="9969" spans="1:19">
      <c r="A9969" s="182"/>
      <c r="Q9969" s="183"/>
      <c r="R9969" s="183"/>
      <c r="S9969" s="183"/>
    </row>
    <row r="9970" spans="1:19">
      <c r="A9970" s="182"/>
      <c r="Q9970" s="183"/>
      <c r="R9970" s="183"/>
      <c r="S9970" s="183"/>
    </row>
    <row r="9971" spans="1:19">
      <c r="A9971" s="182"/>
      <c r="Q9971" s="183"/>
      <c r="R9971" s="183"/>
      <c r="S9971" s="183"/>
    </row>
    <row r="9972" spans="1:19">
      <c r="A9972" s="182"/>
      <c r="Q9972" s="183"/>
      <c r="R9972" s="183"/>
      <c r="S9972" s="183"/>
    </row>
    <row r="9973" spans="1:19">
      <c r="A9973" s="182"/>
      <c r="Q9973" s="183"/>
      <c r="R9973" s="183"/>
      <c r="S9973" s="183"/>
    </row>
    <row r="9974" spans="1:19">
      <c r="A9974" s="182"/>
      <c r="Q9974" s="183"/>
      <c r="R9974" s="183"/>
      <c r="S9974" s="183"/>
    </row>
    <row r="9975" spans="1:19">
      <c r="A9975" s="182"/>
      <c r="Q9975" s="183"/>
      <c r="R9975" s="183"/>
      <c r="S9975" s="183"/>
    </row>
    <row r="9976" spans="1:19">
      <c r="A9976" s="182"/>
      <c r="Q9976" s="183"/>
      <c r="R9976" s="183"/>
      <c r="S9976" s="183"/>
    </row>
    <row r="9977" spans="1:19">
      <c r="A9977" s="182"/>
      <c r="Q9977" s="183"/>
      <c r="R9977" s="183"/>
      <c r="S9977" s="183"/>
    </row>
    <row r="9978" spans="1:19">
      <c r="A9978" s="182"/>
      <c r="Q9978" s="183"/>
      <c r="R9978" s="183"/>
      <c r="S9978" s="183"/>
    </row>
    <row r="9979" spans="1:19">
      <c r="A9979" s="182"/>
      <c r="Q9979" s="183"/>
      <c r="R9979" s="183"/>
      <c r="S9979" s="183"/>
    </row>
    <row r="9980" spans="1:19">
      <c r="A9980" s="182"/>
      <c r="Q9980" s="183"/>
      <c r="R9980" s="183"/>
      <c r="S9980" s="183"/>
    </row>
    <row r="9981" spans="1:19">
      <c r="A9981" s="182"/>
      <c r="Q9981" s="183"/>
      <c r="R9981" s="183"/>
      <c r="S9981" s="183"/>
    </row>
    <row r="9982" spans="1:19">
      <c r="A9982" s="182"/>
      <c r="Q9982" s="183"/>
      <c r="R9982" s="183"/>
      <c r="S9982" s="183"/>
    </row>
    <row r="9983" spans="1:19">
      <c r="A9983" s="182"/>
      <c r="Q9983" s="183"/>
      <c r="R9983" s="183"/>
      <c r="S9983" s="183"/>
    </row>
    <row r="9984" spans="1:19">
      <c r="A9984" s="182"/>
      <c r="Q9984" s="183"/>
      <c r="R9984" s="183"/>
      <c r="S9984" s="183"/>
    </row>
    <row r="9985" spans="1:19">
      <c r="A9985" s="182"/>
      <c r="Q9985" s="183"/>
      <c r="R9985" s="183"/>
      <c r="S9985" s="183"/>
    </row>
    <row r="9986" spans="1:19">
      <c r="A9986" s="182"/>
      <c r="Q9986" s="183"/>
      <c r="R9986" s="183"/>
      <c r="S9986" s="183"/>
    </row>
    <row r="9987" spans="1:19">
      <c r="A9987" s="182"/>
      <c r="Q9987" s="183"/>
      <c r="R9987" s="183"/>
      <c r="S9987" s="183"/>
    </row>
    <row r="9988" spans="1:19">
      <c r="A9988" s="182"/>
      <c r="Q9988" s="183"/>
      <c r="R9988" s="183"/>
      <c r="S9988" s="183"/>
    </row>
    <row r="9989" spans="1:19">
      <c r="A9989" s="182"/>
      <c r="Q9989" s="183"/>
      <c r="R9989" s="183"/>
      <c r="S9989" s="183"/>
    </row>
    <row r="9990" spans="1:19">
      <c r="A9990" s="182"/>
      <c r="Q9990" s="183"/>
    </row>
    <row r="9991" spans="1:19">
      <c r="A9991" s="182"/>
    </row>
    <row r="9992" spans="1:19">
      <c r="A9992" s="182"/>
    </row>
    <row r="9993" spans="1:19">
      <c r="A9993" s="182"/>
      <c r="R9993" s="183"/>
      <c r="S9993" s="183"/>
    </row>
    <row r="9994" spans="1:19">
      <c r="A9994" s="182"/>
      <c r="Q9994" s="183"/>
      <c r="R9994" s="183"/>
      <c r="S9994" s="183"/>
    </row>
    <row r="9995" spans="1:19">
      <c r="A9995" s="182"/>
      <c r="Q9995" s="183"/>
      <c r="R9995" s="183"/>
      <c r="S9995" s="183"/>
    </row>
    <row r="9996" spans="1:19">
      <c r="A9996" s="182"/>
      <c r="Q9996" s="183"/>
      <c r="R9996" s="183"/>
      <c r="S9996" s="183"/>
    </row>
    <row r="9997" spans="1:19">
      <c r="A9997" s="182"/>
      <c r="Q9997" s="183"/>
      <c r="R9997" s="183"/>
      <c r="S9997" s="183"/>
    </row>
    <row r="9998" spans="1:19">
      <c r="A9998" s="182"/>
      <c r="Q9998" s="183"/>
      <c r="R9998" s="183"/>
      <c r="S9998" s="183"/>
    </row>
    <row r="9999" spans="1:19">
      <c r="A9999" s="182"/>
      <c r="Q9999" s="183"/>
      <c r="R9999" s="183"/>
      <c r="S9999" s="183"/>
    </row>
    <row r="10000" spans="1:19">
      <c r="A10000" s="182"/>
      <c r="Q10000" s="183"/>
      <c r="R10000" s="183"/>
      <c r="S10000" s="183"/>
    </row>
    <row r="10001" spans="1:38">
      <c r="A10001" s="182"/>
      <c r="Q10001" s="183"/>
      <c r="R10001" s="183"/>
      <c r="S10001" s="183"/>
    </row>
    <row r="10002" spans="1:38">
      <c r="A10002" s="182"/>
      <c r="Q10002" s="183"/>
      <c r="R10002" s="183"/>
      <c r="S10002" s="183"/>
    </row>
    <row r="10003" spans="1:38">
      <c r="A10003" s="182"/>
      <c r="Q10003" s="183"/>
      <c r="R10003" s="183"/>
      <c r="S10003" s="183"/>
    </row>
    <row r="10004" spans="1:38">
      <c r="A10004" s="182"/>
      <c r="Q10004" s="183"/>
      <c r="R10004" s="183"/>
      <c r="S10004" s="183"/>
    </row>
    <row r="10005" spans="1:38">
      <c r="A10005" s="182"/>
      <c r="Q10005" s="183"/>
      <c r="R10005" s="183"/>
      <c r="S10005" s="183"/>
    </row>
    <row r="10006" spans="1:38">
      <c r="A10006" s="182"/>
      <c r="Q10006" s="183"/>
      <c r="R10006" s="183"/>
      <c r="S10006" s="183"/>
    </row>
    <row r="10007" spans="1:38">
      <c r="A10007" s="182"/>
      <c r="Q10007" s="183"/>
      <c r="R10007" s="183"/>
      <c r="S10007" s="183"/>
    </row>
    <row r="10008" spans="1:38">
      <c r="A10008" s="182"/>
      <c r="Q10008" s="183"/>
      <c r="R10008" s="183"/>
      <c r="S10008" s="183"/>
    </row>
    <row r="10009" spans="1:38">
      <c r="A10009" s="182"/>
      <c r="Q10009" s="183"/>
      <c r="R10009" s="183"/>
      <c r="S10009" s="183"/>
    </row>
    <row r="10010" spans="1:38">
      <c r="A10010" s="182"/>
      <c r="Q10010" s="183"/>
      <c r="R10010" s="183"/>
      <c r="S10010" s="183"/>
    </row>
    <row r="10011" spans="1:38">
      <c r="A10011" s="182"/>
      <c r="Q10011" s="183"/>
      <c r="R10011" s="183"/>
      <c r="S10011" s="183"/>
    </row>
    <row r="10012" spans="1:38">
      <c r="A10012" s="182"/>
      <c r="Q10012" s="183"/>
      <c r="R10012" s="183"/>
      <c r="S10012" s="183"/>
    </row>
    <row r="10013" spans="1:38">
      <c r="A10013" s="182"/>
      <c r="Q10013" s="183"/>
      <c r="R10013" s="183"/>
      <c r="S10013" s="183"/>
      <c r="AK10013" s="183"/>
      <c r="AL10013" s="183"/>
    </row>
    <row r="10014" spans="1:38">
      <c r="A10014" s="182"/>
      <c r="Q10014" s="183"/>
      <c r="R10014" s="183"/>
      <c r="S10014" s="183"/>
      <c r="AJ10014" s="183"/>
      <c r="AK10014" s="183"/>
      <c r="AL10014" s="183"/>
    </row>
    <row r="10015" spans="1:38">
      <c r="A10015" s="182"/>
      <c r="Q10015" s="183"/>
      <c r="R10015" s="183"/>
      <c r="S10015" s="183"/>
      <c r="AJ10015" s="183"/>
      <c r="AK10015" s="183"/>
      <c r="AL10015" s="183"/>
    </row>
    <row r="10016" spans="1:38">
      <c r="A10016" s="182"/>
      <c r="Q10016" s="183"/>
      <c r="R10016" s="183"/>
      <c r="S10016" s="183"/>
      <c r="AJ10016" s="183"/>
      <c r="AK10016" s="183"/>
      <c r="AL10016" s="183"/>
    </row>
    <row r="10017" spans="1:36">
      <c r="A10017" s="182"/>
      <c r="Q10017" s="183"/>
      <c r="R10017" s="183"/>
      <c r="S10017" s="183"/>
      <c r="AJ10017" s="183"/>
    </row>
    <row r="10018" spans="1:36">
      <c r="A10018" s="182"/>
      <c r="Q10018" s="183"/>
      <c r="R10018" s="183"/>
      <c r="S10018" s="183"/>
    </row>
    <row r="10019" spans="1:36">
      <c r="A10019" s="182"/>
      <c r="Q10019" s="183"/>
      <c r="R10019" s="183"/>
      <c r="S10019" s="183"/>
    </row>
    <row r="10020" spans="1:36">
      <c r="A10020" s="182"/>
      <c r="Q10020" s="183"/>
      <c r="R10020" s="183"/>
      <c r="S10020" s="183"/>
    </row>
    <row r="10021" spans="1:36">
      <c r="A10021" s="182"/>
      <c r="Q10021" s="183"/>
      <c r="R10021" s="183"/>
      <c r="S10021" s="183"/>
    </row>
    <row r="10022" spans="1:36">
      <c r="A10022" s="182"/>
      <c r="Q10022" s="183"/>
      <c r="R10022" s="183"/>
      <c r="S10022" s="183"/>
    </row>
    <row r="10023" spans="1:36">
      <c r="A10023" s="182"/>
      <c r="Q10023" s="183"/>
      <c r="R10023" s="183"/>
      <c r="S10023" s="183"/>
    </row>
    <row r="10024" spans="1:36">
      <c r="A10024" s="182"/>
      <c r="Q10024" s="183"/>
    </row>
    <row r="10025" spans="1:36">
      <c r="A10025" s="182"/>
    </row>
    <row r="10026" spans="1:36">
      <c r="A10026" s="182"/>
      <c r="R10026" s="183"/>
      <c r="S10026" s="183"/>
    </row>
    <row r="10027" spans="1:36">
      <c r="A10027" s="182"/>
      <c r="Q10027" s="183"/>
      <c r="R10027" s="183"/>
      <c r="S10027" s="183"/>
    </row>
    <row r="10028" spans="1:36">
      <c r="A10028" s="182"/>
      <c r="Q10028" s="183"/>
      <c r="R10028" s="183"/>
      <c r="S10028" s="183"/>
    </row>
    <row r="10029" spans="1:36">
      <c r="A10029" s="182"/>
      <c r="Q10029" s="183"/>
      <c r="R10029" s="183"/>
      <c r="S10029" s="183"/>
    </row>
    <row r="10030" spans="1:36">
      <c r="A10030" s="182"/>
      <c r="Q10030" s="183"/>
      <c r="R10030" s="183"/>
      <c r="S10030" s="183"/>
    </row>
    <row r="10031" spans="1:36">
      <c r="A10031" s="182"/>
      <c r="Q10031" s="183"/>
      <c r="R10031" s="183"/>
      <c r="S10031" s="183"/>
    </row>
    <row r="10032" spans="1:36">
      <c r="A10032" s="182"/>
      <c r="Q10032" s="183"/>
      <c r="R10032" s="183"/>
      <c r="S10032" s="183"/>
    </row>
    <row r="10033" spans="1:19">
      <c r="A10033" s="182"/>
      <c r="Q10033" s="183"/>
      <c r="R10033" s="183"/>
      <c r="S10033" s="183"/>
    </row>
    <row r="10034" spans="1:19">
      <c r="A10034" s="182"/>
      <c r="Q10034" s="183"/>
      <c r="R10034" s="183"/>
      <c r="S10034" s="183"/>
    </row>
    <row r="10035" spans="1:19">
      <c r="A10035" s="182"/>
      <c r="Q10035" s="183"/>
      <c r="R10035" s="183"/>
      <c r="S10035" s="183"/>
    </row>
    <row r="10036" spans="1:19">
      <c r="A10036" s="182"/>
      <c r="Q10036" s="183"/>
    </row>
    <row r="10037" spans="1:19">
      <c r="A10037" s="182"/>
      <c r="R10037" s="183"/>
      <c r="S10037" s="183"/>
    </row>
    <row r="10038" spans="1:19">
      <c r="A10038" s="182"/>
      <c r="Q10038" s="183"/>
      <c r="R10038" s="183"/>
      <c r="S10038" s="183"/>
    </row>
    <row r="10039" spans="1:19">
      <c r="A10039" s="182"/>
      <c r="Q10039" s="183"/>
      <c r="R10039" s="183"/>
      <c r="S10039" s="183"/>
    </row>
    <row r="10040" spans="1:19">
      <c r="A10040" s="182"/>
      <c r="Q10040" s="183"/>
      <c r="R10040" s="183"/>
      <c r="S10040" s="183"/>
    </row>
    <row r="10041" spans="1:19">
      <c r="A10041" s="182"/>
      <c r="Q10041" s="183"/>
      <c r="R10041" s="183"/>
      <c r="S10041" s="183"/>
    </row>
    <row r="10042" spans="1:19">
      <c r="A10042" s="182"/>
      <c r="Q10042" s="183"/>
    </row>
    <row r="10043" spans="1:19">
      <c r="A10043" s="182"/>
      <c r="R10043" s="183"/>
      <c r="S10043" s="183"/>
    </row>
    <row r="10044" spans="1:19">
      <c r="A10044" s="182"/>
      <c r="Q10044" s="183"/>
      <c r="R10044" s="183"/>
      <c r="S10044" s="183"/>
    </row>
    <row r="10045" spans="1:19">
      <c r="A10045" s="182"/>
      <c r="Q10045" s="183"/>
      <c r="R10045" s="183"/>
      <c r="S10045" s="183"/>
    </row>
    <row r="10046" spans="1:19">
      <c r="A10046" s="182"/>
      <c r="Q10046" s="183"/>
      <c r="R10046" s="183"/>
      <c r="S10046" s="183"/>
    </row>
    <row r="10047" spans="1:19">
      <c r="A10047" s="182"/>
      <c r="Q10047" s="183"/>
      <c r="R10047" s="183"/>
      <c r="S10047" s="183"/>
    </row>
    <row r="10048" spans="1:19">
      <c r="A10048" s="182"/>
      <c r="Q10048" s="183"/>
      <c r="R10048" s="183"/>
      <c r="S10048" s="183"/>
    </row>
    <row r="10049" spans="1:38">
      <c r="A10049" s="182"/>
      <c r="Q10049" s="183"/>
      <c r="R10049" s="183"/>
      <c r="S10049" s="183"/>
      <c r="AK10049" s="183"/>
      <c r="AL10049" s="183"/>
    </row>
    <row r="10050" spans="1:38">
      <c r="A10050" s="182"/>
      <c r="Q10050" s="183"/>
      <c r="R10050" s="183"/>
      <c r="S10050" s="183"/>
      <c r="AJ10050" s="183"/>
      <c r="AK10050" s="183"/>
      <c r="AL10050" s="183"/>
    </row>
    <row r="10051" spans="1:38">
      <c r="A10051" s="182"/>
      <c r="Q10051" s="183"/>
      <c r="R10051" s="183"/>
      <c r="S10051" s="183"/>
      <c r="AJ10051" s="183"/>
      <c r="AK10051" s="183"/>
      <c r="AL10051" s="183"/>
    </row>
    <row r="10052" spans="1:38">
      <c r="A10052" s="182"/>
      <c r="Q10052" s="183"/>
      <c r="R10052" s="183"/>
      <c r="S10052" s="183"/>
      <c r="AJ10052" s="183"/>
      <c r="AK10052" s="183"/>
      <c r="AL10052" s="183"/>
    </row>
    <row r="10053" spans="1:38">
      <c r="A10053" s="182"/>
      <c r="Q10053" s="183"/>
      <c r="R10053" s="183"/>
      <c r="S10053" s="183"/>
      <c r="AJ10053" s="183"/>
    </row>
    <row r="10054" spans="1:38">
      <c r="A10054" s="182"/>
      <c r="Q10054" s="183"/>
      <c r="R10054" s="183"/>
      <c r="S10054" s="183"/>
    </row>
    <row r="10055" spans="1:38">
      <c r="A10055" s="182"/>
      <c r="Q10055" s="183"/>
      <c r="R10055" s="183"/>
      <c r="S10055" s="183"/>
    </row>
    <row r="10056" spans="1:38">
      <c r="A10056" s="182"/>
      <c r="Q10056" s="183"/>
      <c r="R10056" s="183"/>
      <c r="S10056" s="183"/>
    </row>
    <row r="10057" spans="1:38">
      <c r="A10057" s="182"/>
      <c r="Q10057" s="183"/>
      <c r="R10057" s="183"/>
      <c r="S10057" s="183"/>
    </row>
    <row r="10058" spans="1:38">
      <c r="A10058" s="182"/>
      <c r="Q10058" s="183"/>
      <c r="R10058" s="183"/>
      <c r="S10058" s="183"/>
    </row>
    <row r="10059" spans="1:38">
      <c r="A10059" s="182"/>
      <c r="Q10059" s="183"/>
      <c r="R10059" s="183"/>
      <c r="S10059" s="183"/>
    </row>
    <row r="10060" spans="1:38">
      <c r="A10060" s="182"/>
      <c r="Q10060" s="183"/>
      <c r="R10060" s="183"/>
      <c r="S10060" s="183"/>
    </row>
    <row r="10061" spans="1:38">
      <c r="A10061" s="182"/>
      <c r="Q10061" s="183"/>
      <c r="R10061" s="183"/>
      <c r="S10061" s="183"/>
    </row>
    <row r="10062" spans="1:38">
      <c r="A10062" s="182"/>
      <c r="Q10062" s="183"/>
      <c r="R10062" s="183"/>
      <c r="S10062" s="183"/>
    </row>
    <row r="10063" spans="1:38">
      <c r="A10063" s="182"/>
      <c r="Q10063" s="183"/>
      <c r="R10063" s="183"/>
      <c r="S10063" s="183"/>
    </row>
    <row r="10064" spans="1:38">
      <c r="A10064" s="182"/>
      <c r="Q10064" s="183"/>
      <c r="R10064" s="183"/>
      <c r="S10064" s="183"/>
    </row>
    <row r="10065" spans="1:19">
      <c r="A10065" s="182"/>
      <c r="Q10065" s="183"/>
      <c r="R10065" s="183"/>
      <c r="S10065" s="183"/>
    </row>
    <row r="10066" spans="1:19">
      <c r="A10066" s="182"/>
      <c r="Q10066" s="183"/>
      <c r="R10066" s="183"/>
      <c r="S10066" s="183"/>
    </row>
    <row r="10067" spans="1:19">
      <c r="A10067" s="182"/>
      <c r="Q10067" s="183"/>
      <c r="R10067" s="183"/>
      <c r="S10067" s="183"/>
    </row>
    <row r="10068" spans="1:19">
      <c r="A10068" s="182"/>
      <c r="Q10068" s="183"/>
      <c r="R10068" s="183"/>
      <c r="S10068" s="183"/>
    </row>
    <row r="10069" spans="1:19">
      <c r="A10069" s="182"/>
      <c r="Q10069" s="183"/>
    </row>
    <row r="10070" spans="1:19">
      <c r="A10070" s="182"/>
      <c r="R10070" s="183"/>
      <c r="S10070" s="183"/>
    </row>
    <row r="10071" spans="1:19">
      <c r="A10071" s="182"/>
      <c r="Q10071" s="183"/>
    </row>
    <row r="10072" spans="1:19">
      <c r="A10072" s="182"/>
    </row>
    <row r="10073" spans="1:19">
      <c r="A10073" s="182"/>
      <c r="R10073" s="183"/>
      <c r="S10073" s="183"/>
    </row>
    <row r="10074" spans="1:19">
      <c r="A10074" s="182"/>
      <c r="Q10074" s="183"/>
      <c r="R10074" s="183"/>
      <c r="S10074" s="183"/>
    </row>
    <row r="10075" spans="1:19">
      <c r="A10075" s="182"/>
      <c r="Q10075" s="183"/>
      <c r="R10075" s="183"/>
      <c r="S10075" s="183"/>
    </row>
    <row r="10076" spans="1:19">
      <c r="A10076" s="182"/>
      <c r="Q10076" s="183"/>
      <c r="R10076" s="183"/>
      <c r="S10076" s="183"/>
    </row>
    <row r="10077" spans="1:19">
      <c r="A10077" s="182"/>
      <c r="Q10077" s="183"/>
      <c r="R10077" s="183"/>
      <c r="S10077" s="183"/>
    </row>
    <row r="10078" spans="1:19">
      <c r="A10078" s="182"/>
      <c r="Q10078" s="183"/>
      <c r="R10078" s="183"/>
      <c r="S10078" s="183"/>
    </row>
    <row r="10079" spans="1:19">
      <c r="A10079" s="182"/>
      <c r="Q10079" s="183"/>
      <c r="R10079" s="183"/>
      <c r="S10079" s="183"/>
    </row>
    <row r="10080" spans="1:19">
      <c r="A10080" s="182"/>
      <c r="Q10080" s="183"/>
    </row>
    <row r="10081" spans="1:19">
      <c r="A10081" s="182"/>
      <c r="R10081" s="183"/>
      <c r="S10081" s="183"/>
    </row>
    <row r="10082" spans="1:19">
      <c r="A10082" s="182"/>
      <c r="Q10082" s="183"/>
      <c r="R10082" s="183"/>
      <c r="S10082" s="183"/>
    </row>
    <row r="10083" spans="1:19">
      <c r="A10083" s="182"/>
      <c r="Q10083" s="183"/>
      <c r="R10083" s="183"/>
      <c r="S10083" s="183"/>
    </row>
    <row r="10084" spans="1:19">
      <c r="A10084" s="182"/>
      <c r="Q10084" s="183"/>
      <c r="R10084" s="183"/>
      <c r="S10084" s="183"/>
    </row>
    <row r="10085" spans="1:19">
      <c r="A10085" s="182"/>
      <c r="Q10085" s="183"/>
      <c r="R10085" s="183"/>
      <c r="S10085" s="183"/>
    </row>
    <row r="10086" spans="1:19">
      <c r="A10086" s="182"/>
      <c r="Q10086" s="183"/>
      <c r="R10086" s="183"/>
      <c r="S10086" s="183"/>
    </row>
    <row r="10087" spans="1:19">
      <c r="A10087" s="182"/>
      <c r="Q10087" s="183"/>
      <c r="R10087" s="183"/>
      <c r="S10087" s="183"/>
    </row>
    <row r="10088" spans="1:19">
      <c r="A10088" s="182"/>
      <c r="Q10088" s="183"/>
      <c r="R10088" s="183"/>
      <c r="S10088" s="183"/>
    </row>
    <row r="10089" spans="1:19">
      <c r="A10089" s="182"/>
      <c r="Q10089" s="183"/>
      <c r="R10089" s="183"/>
      <c r="S10089" s="183"/>
    </row>
    <row r="10090" spans="1:19">
      <c r="A10090" s="182"/>
      <c r="Q10090" s="183"/>
      <c r="R10090" s="183"/>
      <c r="S10090" s="183"/>
    </row>
    <row r="10091" spans="1:19">
      <c r="A10091" s="182"/>
      <c r="Q10091" s="183"/>
      <c r="R10091" s="183"/>
      <c r="S10091" s="183"/>
    </row>
    <row r="10092" spans="1:19">
      <c r="A10092" s="182"/>
      <c r="Q10092" s="183"/>
    </row>
    <row r="10093" spans="1:19">
      <c r="A10093" s="182"/>
      <c r="R10093" s="183"/>
      <c r="S10093" s="183"/>
    </row>
    <row r="10094" spans="1:19">
      <c r="A10094" s="182"/>
      <c r="Q10094" s="183"/>
      <c r="R10094" s="183"/>
      <c r="S10094" s="183"/>
    </row>
    <row r="10095" spans="1:19">
      <c r="A10095" s="182"/>
      <c r="Q10095" s="183"/>
      <c r="R10095" s="183"/>
      <c r="S10095" s="183"/>
    </row>
    <row r="10096" spans="1:19">
      <c r="A10096" s="182"/>
      <c r="Q10096" s="183"/>
      <c r="R10096" s="183"/>
      <c r="S10096" s="183"/>
    </row>
    <row r="10097" spans="1:38">
      <c r="A10097" s="182"/>
      <c r="Q10097" s="183"/>
      <c r="R10097" s="183"/>
      <c r="S10097" s="183"/>
      <c r="AK10097" s="183"/>
      <c r="AL10097" s="183"/>
    </row>
    <row r="10098" spans="1:38">
      <c r="A10098" s="182"/>
      <c r="Q10098" s="183"/>
      <c r="R10098" s="183"/>
      <c r="S10098" s="183"/>
      <c r="AJ10098" s="183"/>
      <c r="AK10098" s="183"/>
      <c r="AL10098" s="183"/>
    </row>
    <row r="10099" spans="1:38">
      <c r="A10099" s="182"/>
      <c r="Q10099" s="183"/>
      <c r="R10099" s="183"/>
      <c r="S10099" s="183"/>
      <c r="AJ10099" s="183"/>
      <c r="AK10099" s="183"/>
      <c r="AL10099" s="183"/>
    </row>
    <row r="10100" spans="1:38">
      <c r="A10100" s="182"/>
      <c r="Q10100" s="183"/>
      <c r="R10100" s="183"/>
      <c r="S10100" s="183"/>
      <c r="AJ10100" s="183"/>
      <c r="AK10100" s="183"/>
      <c r="AL10100" s="183"/>
    </row>
    <row r="10101" spans="1:38">
      <c r="A10101" s="182"/>
      <c r="Q10101" s="183"/>
      <c r="R10101" s="183"/>
      <c r="S10101" s="183"/>
      <c r="AJ10101" s="183"/>
    </row>
    <row r="10102" spans="1:38">
      <c r="A10102" s="182"/>
      <c r="Q10102" s="183"/>
      <c r="R10102" s="183"/>
      <c r="S10102" s="183"/>
    </row>
    <row r="10103" spans="1:38">
      <c r="A10103" s="182"/>
      <c r="Q10103" s="183"/>
      <c r="R10103" s="183"/>
      <c r="S10103" s="183"/>
    </row>
    <row r="10104" spans="1:38">
      <c r="A10104" s="182"/>
      <c r="Q10104" s="183"/>
      <c r="R10104" s="183"/>
      <c r="S10104" s="183"/>
    </row>
    <row r="10105" spans="1:38">
      <c r="A10105" s="182"/>
      <c r="Q10105" s="183"/>
      <c r="R10105" s="183"/>
      <c r="S10105" s="183"/>
      <c r="AK10105" s="183"/>
      <c r="AL10105" s="183"/>
    </row>
    <row r="10106" spans="1:38">
      <c r="A10106" s="182"/>
      <c r="Q10106" s="183"/>
      <c r="R10106" s="183"/>
      <c r="S10106" s="183"/>
      <c r="AJ10106" s="183"/>
      <c r="AK10106" s="183"/>
      <c r="AL10106" s="183"/>
    </row>
    <row r="10107" spans="1:38">
      <c r="A10107" s="182"/>
      <c r="Q10107" s="183"/>
      <c r="R10107" s="183"/>
      <c r="S10107" s="183"/>
      <c r="AJ10107" s="183"/>
      <c r="AK10107" s="183"/>
      <c r="AL10107" s="183"/>
    </row>
    <row r="10108" spans="1:38">
      <c r="A10108" s="182"/>
      <c r="Q10108" s="183"/>
      <c r="R10108" s="183"/>
      <c r="S10108" s="183"/>
      <c r="AJ10108" s="183"/>
      <c r="AK10108" s="183"/>
      <c r="AL10108" s="183"/>
    </row>
    <row r="10109" spans="1:38">
      <c r="A10109" s="182"/>
      <c r="Q10109" s="183"/>
      <c r="AJ10109" s="183"/>
      <c r="AK10109" s="183"/>
      <c r="AL10109" s="183"/>
    </row>
    <row r="10110" spans="1:38">
      <c r="A10110" s="182"/>
      <c r="AJ10110" s="183"/>
      <c r="AK10110" s="183"/>
      <c r="AL10110" s="183"/>
    </row>
    <row r="10111" spans="1:38">
      <c r="A10111" s="182"/>
      <c r="R10111" s="183"/>
      <c r="S10111" s="183"/>
      <c r="AJ10111" s="183"/>
      <c r="AK10111" s="183"/>
      <c r="AL10111" s="183"/>
    </row>
    <row r="10112" spans="1:38">
      <c r="A10112" s="182"/>
      <c r="Q10112" s="183"/>
      <c r="R10112" s="183"/>
      <c r="S10112" s="183"/>
      <c r="AJ10112" s="183"/>
      <c r="AK10112" s="183"/>
      <c r="AL10112" s="183"/>
    </row>
    <row r="10113" spans="1:36">
      <c r="A10113" s="182"/>
      <c r="Q10113" s="183"/>
      <c r="R10113" s="183"/>
      <c r="S10113" s="183"/>
      <c r="AJ10113" s="183"/>
    </row>
    <row r="10114" spans="1:36">
      <c r="A10114" s="182"/>
      <c r="Q10114" s="183"/>
    </row>
    <row r="10115" spans="1:36">
      <c r="A10115" s="182"/>
      <c r="R10115" s="183"/>
      <c r="S10115" s="183"/>
    </row>
    <row r="10116" spans="1:36">
      <c r="A10116" s="182"/>
      <c r="Q10116" s="183"/>
      <c r="R10116" s="183"/>
      <c r="S10116" s="183"/>
    </row>
    <row r="10117" spans="1:36">
      <c r="A10117" s="182"/>
      <c r="Q10117" s="183"/>
      <c r="R10117" s="183"/>
      <c r="S10117" s="183"/>
    </row>
    <row r="10118" spans="1:36">
      <c r="A10118" s="182"/>
      <c r="Q10118" s="183"/>
      <c r="R10118" s="183"/>
      <c r="S10118" s="183"/>
    </row>
    <row r="10119" spans="1:36">
      <c r="A10119" s="182"/>
      <c r="Q10119" s="183"/>
      <c r="R10119" s="183"/>
      <c r="S10119" s="183"/>
    </row>
    <row r="10120" spans="1:36">
      <c r="A10120" s="182"/>
      <c r="Q10120" s="183"/>
      <c r="R10120" s="183"/>
      <c r="S10120" s="183"/>
    </row>
    <row r="10121" spans="1:36">
      <c r="A10121" s="182"/>
      <c r="Q10121" s="183"/>
      <c r="R10121" s="183"/>
      <c r="S10121" s="183"/>
    </row>
    <row r="10122" spans="1:36">
      <c r="A10122" s="182"/>
      <c r="Q10122" s="183"/>
    </row>
    <row r="10123" spans="1:36">
      <c r="A10123" s="182"/>
      <c r="R10123" s="183"/>
      <c r="S10123" s="183"/>
    </row>
    <row r="10124" spans="1:36">
      <c r="A10124" s="182"/>
      <c r="Q10124" s="183"/>
      <c r="R10124" s="183"/>
      <c r="S10124" s="183"/>
    </row>
    <row r="10125" spans="1:36">
      <c r="A10125" s="182"/>
      <c r="Q10125" s="183"/>
      <c r="R10125" s="183"/>
      <c r="S10125" s="183"/>
    </row>
    <row r="10126" spans="1:36">
      <c r="A10126" s="182"/>
      <c r="Q10126" s="183"/>
      <c r="R10126" s="183"/>
      <c r="S10126" s="183"/>
    </row>
    <row r="10127" spans="1:36">
      <c r="A10127" s="182"/>
      <c r="Q10127" s="183"/>
      <c r="R10127" s="183"/>
      <c r="S10127" s="183"/>
    </row>
    <row r="10128" spans="1:36">
      <c r="A10128" s="182"/>
      <c r="Q10128" s="183"/>
      <c r="R10128" s="183"/>
      <c r="S10128" s="183"/>
    </row>
    <row r="10129" spans="1:19">
      <c r="A10129" s="182"/>
      <c r="Q10129" s="183"/>
      <c r="R10129" s="183"/>
      <c r="S10129" s="183"/>
    </row>
    <row r="10130" spans="1:19">
      <c r="A10130" s="182"/>
      <c r="Q10130" s="183"/>
      <c r="R10130" s="183"/>
      <c r="S10130" s="183"/>
    </row>
    <row r="10131" spans="1:19">
      <c r="A10131" s="182"/>
      <c r="Q10131" s="183"/>
      <c r="R10131" s="183"/>
      <c r="S10131" s="183"/>
    </row>
    <row r="10132" spans="1:19">
      <c r="A10132" s="182"/>
      <c r="Q10132" s="183"/>
      <c r="R10132" s="183"/>
      <c r="S10132" s="183"/>
    </row>
    <row r="10133" spans="1:19">
      <c r="A10133" s="182"/>
      <c r="Q10133" s="183"/>
      <c r="R10133" s="183"/>
      <c r="S10133" s="183"/>
    </row>
    <row r="10134" spans="1:19">
      <c r="A10134" s="182"/>
      <c r="Q10134" s="183"/>
      <c r="R10134" s="183"/>
      <c r="S10134" s="183"/>
    </row>
    <row r="10135" spans="1:19">
      <c r="A10135" s="182"/>
      <c r="Q10135" s="183"/>
      <c r="R10135" s="183"/>
      <c r="S10135" s="183"/>
    </row>
    <row r="10136" spans="1:19">
      <c r="A10136" s="182"/>
      <c r="Q10136" s="183"/>
      <c r="R10136" s="183"/>
      <c r="S10136" s="183"/>
    </row>
    <row r="10137" spans="1:19">
      <c r="A10137" s="182"/>
      <c r="Q10137" s="183"/>
      <c r="R10137" s="183"/>
      <c r="S10137" s="183"/>
    </row>
    <row r="10138" spans="1:19">
      <c r="A10138" s="182"/>
      <c r="Q10138" s="183"/>
      <c r="R10138" s="183"/>
      <c r="S10138" s="183"/>
    </row>
    <row r="10139" spans="1:19">
      <c r="A10139" s="182"/>
      <c r="Q10139" s="183"/>
      <c r="R10139" s="183"/>
      <c r="S10139" s="183"/>
    </row>
    <row r="10140" spans="1:19">
      <c r="A10140" s="182"/>
      <c r="Q10140" s="183"/>
      <c r="R10140" s="183"/>
      <c r="S10140" s="183"/>
    </row>
    <row r="10141" spans="1:19">
      <c r="A10141" s="182"/>
      <c r="Q10141" s="183"/>
      <c r="R10141" s="183"/>
      <c r="S10141" s="183"/>
    </row>
    <row r="10142" spans="1:19">
      <c r="A10142" s="182"/>
      <c r="Q10142" s="183"/>
      <c r="R10142" s="183"/>
      <c r="S10142" s="183"/>
    </row>
    <row r="10143" spans="1:19">
      <c r="A10143" s="182"/>
      <c r="Q10143" s="183"/>
      <c r="R10143" s="183"/>
      <c r="S10143" s="183"/>
    </row>
    <row r="10144" spans="1:19">
      <c r="A10144" s="182"/>
      <c r="Q10144" s="183"/>
      <c r="R10144" s="183"/>
      <c r="S10144" s="183"/>
    </row>
    <row r="10145" spans="1:38">
      <c r="A10145" s="182"/>
      <c r="Q10145" s="183"/>
      <c r="R10145" s="183"/>
      <c r="S10145" s="183"/>
    </row>
    <row r="10146" spans="1:38">
      <c r="A10146" s="182"/>
      <c r="Q10146" s="183"/>
      <c r="R10146" s="183"/>
      <c r="S10146" s="183"/>
    </row>
    <row r="10147" spans="1:38">
      <c r="A10147" s="182"/>
      <c r="Q10147" s="183"/>
      <c r="R10147" s="183"/>
      <c r="S10147" s="183"/>
    </row>
    <row r="10148" spans="1:38">
      <c r="A10148" s="182"/>
      <c r="Q10148" s="183"/>
      <c r="R10148" s="183"/>
      <c r="S10148" s="183"/>
    </row>
    <row r="10149" spans="1:38">
      <c r="A10149" s="182"/>
      <c r="Q10149" s="183"/>
      <c r="R10149" s="183"/>
      <c r="S10149" s="183"/>
    </row>
    <row r="10150" spans="1:38">
      <c r="A10150" s="182"/>
      <c r="Q10150" s="183"/>
      <c r="R10150" s="183"/>
      <c r="S10150" s="183"/>
    </row>
    <row r="10151" spans="1:38">
      <c r="A10151" s="182"/>
      <c r="Q10151" s="183"/>
      <c r="R10151" s="183"/>
      <c r="S10151" s="183"/>
    </row>
    <row r="10152" spans="1:38">
      <c r="A10152" s="182"/>
      <c r="Q10152" s="183"/>
      <c r="R10152" s="183"/>
      <c r="S10152" s="183"/>
    </row>
    <row r="10153" spans="1:38">
      <c r="A10153" s="182"/>
      <c r="Q10153" s="183"/>
      <c r="R10153" s="183"/>
      <c r="S10153" s="183"/>
      <c r="AK10153" s="183"/>
      <c r="AL10153" s="183"/>
    </row>
    <row r="10154" spans="1:38">
      <c r="A10154" s="182"/>
      <c r="Q10154" s="183"/>
      <c r="R10154" s="183"/>
      <c r="S10154" s="183"/>
      <c r="AJ10154" s="183"/>
      <c r="AK10154" s="183"/>
      <c r="AL10154" s="183"/>
    </row>
    <row r="10155" spans="1:38">
      <c r="A10155" s="182"/>
      <c r="Q10155" s="183"/>
      <c r="R10155" s="183"/>
      <c r="S10155" s="183"/>
      <c r="AJ10155" s="183"/>
      <c r="AK10155" s="183"/>
      <c r="AL10155" s="183"/>
    </row>
    <row r="10156" spans="1:38">
      <c r="A10156" s="182"/>
      <c r="Q10156" s="183"/>
      <c r="R10156" s="183"/>
      <c r="S10156" s="183"/>
      <c r="AJ10156" s="183"/>
      <c r="AK10156" s="183"/>
      <c r="AL10156" s="183"/>
    </row>
    <row r="10157" spans="1:38">
      <c r="A10157" s="182"/>
      <c r="Q10157" s="183"/>
      <c r="R10157" s="183"/>
      <c r="S10157" s="183"/>
      <c r="AJ10157" s="183"/>
    </row>
    <row r="10158" spans="1:38">
      <c r="A10158" s="182"/>
      <c r="Q10158" s="183"/>
      <c r="R10158" s="183"/>
      <c r="S10158" s="183"/>
    </row>
    <row r="10159" spans="1:38">
      <c r="A10159" s="182"/>
      <c r="Q10159" s="183"/>
      <c r="R10159" s="183"/>
      <c r="S10159" s="183"/>
    </row>
    <row r="10160" spans="1:38">
      <c r="A10160" s="182"/>
      <c r="Q10160" s="183"/>
      <c r="R10160" s="183"/>
      <c r="S10160" s="183"/>
    </row>
    <row r="10161" spans="1:19">
      <c r="A10161" s="182"/>
      <c r="Q10161" s="183"/>
      <c r="R10161" s="183"/>
      <c r="S10161" s="183"/>
    </row>
    <row r="10162" spans="1:19">
      <c r="A10162" s="182"/>
      <c r="Q10162" s="183"/>
      <c r="R10162" s="183"/>
      <c r="S10162" s="183"/>
    </row>
    <row r="10163" spans="1:19">
      <c r="A10163" s="182"/>
      <c r="Q10163" s="183"/>
      <c r="R10163" s="183"/>
      <c r="S10163" s="183"/>
    </row>
    <row r="10164" spans="1:19">
      <c r="A10164" s="182"/>
      <c r="Q10164" s="183"/>
      <c r="R10164" s="183"/>
      <c r="S10164" s="183"/>
    </row>
    <row r="10165" spans="1:19">
      <c r="A10165" s="182"/>
      <c r="Q10165" s="183"/>
      <c r="R10165" s="183"/>
      <c r="S10165" s="183"/>
    </row>
    <row r="10166" spans="1:19">
      <c r="A10166" s="182"/>
      <c r="Q10166" s="183"/>
      <c r="R10166" s="183"/>
      <c r="S10166" s="183"/>
    </row>
    <row r="10167" spans="1:19">
      <c r="A10167" s="182"/>
      <c r="Q10167" s="183"/>
      <c r="R10167" s="183"/>
      <c r="S10167" s="183"/>
    </row>
    <row r="10168" spans="1:19">
      <c r="A10168" s="182"/>
      <c r="Q10168" s="183"/>
      <c r="R10168" s="183"/>
      <c r="S10168" s="183"/>
    </row>
    <row r="10169" spans="1:19">
      <c r="A10169" s="182"/>
      <c r="Q10169" s="183"/>
      <c r="R10169" s="183"/>
      <c r="S10169" s="183"/>
    </row>
    <row r="10170" spans="1:19">
      <c r="A10170" s="182"/>
      <c r="Q10170" s="183"/>
      <c r="R10170" s="183"/>
      <c r="S10170" s="183"/>
    </row>
    <row r="10171" spans="1:19">
      <c r="A10171" s="182"/>
      <c r="Q10171" s="183"/>
      <c r="R10171" s="183"/>
      <c r="S10171" s="183"/>
    </row>
    <row r="10172" spans="1:19">
      <c r="A10172" s="182"/>
      <c r="Q10172" s="183"/>
      <c r="R10172" s="183"/>
      <c r="S10172" s="183"/>
    </row>
    <row r="10173" spans="1:19">
      <c r="A10173" s="182"/>
      <c r="Q10173" s="183"/>
      <c r="R10173" s="183"/>
      <c r="S10173" s="183"/>
    </row>
    <row r="10174" spans="1:19">
      <c r="A10174" s="182"/>
      <c r="Q10174" s="183"/>
      <c r="R10174" s="183"/>
      <c r="S10174" s="183"/>
    </row>
    <row r="10175" spans="1:19">
      <c r="A10175" s="182"/>
      <c r="Q10175" s="183"/>
      <c r="R10175" s="183"/>
      <c r="S10175" s="183"/>
    </row>
    <row r="10176" spans="1:19">
      <c r="A10176" s="182"/>
      <c r="Q10176" s="183"/>
      <c r="R10176" s="183"/>
      <c r="S10176" s="183"/>
    </row>
    <row r="10177" spans="1:38">
      <c r="A10177" s="182"/>
      <c r="Q10177" s="183"/>
      <c r="R10177" s="183"/>
      <c r="S10177" s="183"/>
    </row>
    <row r="10178" spans="1:38">
      <c r="A10178" s="182"/>
      <c r="Q10178" s="183"/>
      <c r="R10178" s="183"/>
      <c r="S10178" s="183"/>
    </row>
    <row r="10179" spans="1:38">
      <c r="A10179" s="182"/>
      <c r="Q10179" s="183"/>
      <c r="R10179" s="183"/>
      <c r="S10179" s="183"/>
    </row>
    <row r="10180" spans="1:38">
      <c r="A10180" s="182"/>
      <c r="Q10180" s="183"/>
      <c r="R10180" s="183"/>
      <c r="S10180" s="183"/>
    </row>
    <row r="10181" spans="1:38">
      <c r="A10181" s="182"/>
      <c r="Q10181" s="183"/>
      <c r="R10181" s="183"/>
      <c r="S10181" s="183"/>
    </row>
    <row r="10182" spans="1:38">
      <c r="A10182" s="182"/>
      <c r="Q10182" s="183"/>
      <c r="R10182" s="183"/>
      <c r="S10182" s="183"/>
    </row>
    <row r="10183" spans="1:38">
      <c r="A10183" s="182"/>
      <c r="Q10183" s="183"/>
      <c r="R10183" s="183"/>
      <c r="S10183" s="183"/>
    </row>
    <row r="10184" spans="1:38">
      <c r="A10184" s="182"/>
      <c r="Q10184" s="183"/>
      <c r="R10184" s="183"/>
      <c r="S10184" s="183"/>
    </row>
    <row r="10185" spans="1:38">
      <c r="A10185" s="182"/>
      <c r="Q10185" s="183"/>
      <c r="R10185" s="183"/>
      <c r="S10185" s="183"/>
      <c r="AK10185" s="183"/>
      <c r="AL10185" s="183"/>
    </row>
    <row r="10186" spans="1:38">
      <c r="A10186" s="182"/>
      <c r="Q10186" s="183"/>
      <c r="R10186" s="183"/>
      <c r="S10186" s="183"/>
      <c r="AJ10186" s="183"/>
      <c r="AK10186" s="183"/>
      <c r="AL10186" s="183"/>
    </row>
    <row r="10187" spans="1:38">
      <c r="A10187" s="182"/>
      <c r="Q10187" s="183"/>
      <c r="R10187" s="183"/>
      <c r="S10187" s="183"/>
      <c r="AJ10187" s="183"/>
      <c r="AK10187" s="183"/>
      <c r="AL10187" s="183"/>
    </row>
    <row r="10188" spans="1:38">
      <c r="A10188" s="182"/>
      <c r="Q10188" s="183"/>
      <c r="R10188" s="183"/>
      <c r="S10188" s="183"/>
      <c r="AJ10188" s="183"/>
      <c r="AK10188" s="183"/>
      <c r="AL10188" s="183"/>
    </row>
    <row r="10189" spans="1:38">
      <c r="A10189" s="182"/>
      <c r="Q10189" s="183"/>
      <c r="R10189" s="183"/>
      <c r="S10189" s="183"/>
      <c r="AJ10189" s="183"/>
    </row>
    <row r="10190" spans="1:38">
      <c r="A10190" s="182"/>
      <c r="Q10190" s="183"/>
      <c r="R10190" s="183"/>
      <c r="S10190" s="183"/>
    </row>
    <row r="10191" spans="1:38">
      <c r="A10191" s="182"/>
      <c r="Q10191" s="183"/>
      <c r="R10191" s="183"/>
      <c r="S10191" s="183"/>
    </row>
    <row r="10192" spans="1:38">
      <c r="A10192" s="182"/>
      <c r="Q10192" s="183"/>
      <c r="R10192" s="183"/>
      <c r="S10192" s="183"/>
    </row>
    <row r="10193" spans="1:38">
      <c r="A10193" s="182"/>
      <c r="Q10193" s="183"/>
      <c r="R10193" s="183"/>
      <c r="S10193" s="183"/>
      <c r="AK10193" s="183"/>
      <c r="AL10193" s="183"/>
    </row>
    <row r="10194" spans="1:38">
      <c r="A10194" s="182"/>
      <c r="Q10194" s="183"/>
      <c r="R10194" s="183"/>
      <c r="S10194" s="183"/>
      <c r="AJ10194" s="183"/>
      <c r="AK10194" s="183"/>
      <c r="AL10194" s="183"/>
    </row>
    <row r="10195" spans="1:38">
      <c r="A10195" s="182"/>
      <c r="Q10195" s="183"/>
      <c r="R10195" s="183"/>
      <c r="S10195" s="183"/>
      <c r="AJ10195" s="183"/>
      <c r="AK10195" s="183"/>
      <c r="AL10195" s="183"/>
    </row>
    <row r="10196" spans="1:38">
      <c r="A10196" s="182"/>
      <c r="Q10196" s="183"/>
      <c r="R10196" s="183"/>
      <c r="S10196" s="183"/>
      <c r="AJ10196" s="183"/>
      <c r="AK10196" s="183"/>
      <c r="AL10196" s="183"/>
    </row>
    <row r="10197" spans="1:38">
      <c r="A10197" s="182"/>
      <c r="Q10197" s="183"/>
      <c r="R10197" s="183"/>
      <c r="S10197" s="183"/>
      <c r="AJ10197" s="183"/>
    </row>
    <row r="10198" spans="1:38">
      <c r="A10198" s="182"/>
      <c r="Q10198" s="183"/>
      <c r="R10198" s="183"/>
      <c r="S10198" s="183"/>
    </row>
    <row r="10199" spans="1:38">
      <c r="A10199" s="182"/>
      <c r="Q10199" s="183"/>
      <c r="R10199" s="183"/>
      <c r="S10199" s="183"/>
    </row>
    <row r="10200" spans="1:38">
      <c r="A10200" s="182"/>
      <c r="Q10200" s="183"/>
      <c r="R10200" s="183"/>
      <c r="S10200" s="183"/>
    </row>
    <row r="10201" spans="1:38">
      <c r="A10201" s="182"/>
      <c r="Q10201" s="183"/>
      <c r="R10201" s="183"/>
      <c r="S10201" s="183"/>
    </row>
    <row r="10202" spans="1:38">
      <c r="A10202" s="182"/>
      <c r="Q10202" s="183"/>
      <c r="R10202" s="183"/>
      <c r="S10202" s="183"/>
    </row>
    <row r="10203" spans="1:38">
      <c r="A10203" s="182"/>
      <c r="Q10203" s="183"/>
      <c r="R10203" s="183"/>
      <c r="S10203" s="183"/>
    </row>
    <row r="10204" spans="1:38">
      <c r="A10204" s="182"/>
      <c r="Q10204" s="183"/>
      <c r="R10204" s="183"/>
      <c r="S10204" s="183"/>
    </row>
    <row r="10205" spans="1:38">
      <c r="A10205" s="182"/>
      <c r="Q10205" s="183"/>
      <c r="R10205" s="183"/>
      <c r="S10205" s="183"/>
    </row>
    <row r="10206" spans="1:38">
      <c r="A10206" s="182"/>
      <c r="Q10206" s="183"/>
      <c r="R10206" s="183"/>
      <c r="S10206" s="183"/>
    </row>
    <row r="10207" spans="1:38">
      <c r="A10207" s="182"/>
      <c r="Q10207" s="183"/>
      <c r="R10207" s="183"/>
      <c r="S10207" s="183"/>
    </row>
    <row r="10208" spans="1:38">
      <c r="A10208" s="182"/>
      <c r="Q10208" s="183"/>
      <c r="R10208" s="183"/>
      <c r="S10208" s="183"/>
    </row>
    <row r="10209" spans="1:38">
      <c r="A10209" s="182"/>
      <c r="Q10209" s="183"/>
      <c r="R10209" s="183"/>
      <c r="S10209" s="183"/>
    </row>
    <row r="10210" spans="1:38">
      <c r="A10210" s="182"/>
      <c r="Q10210" s="183"/>
      <c r="R10210" s="183"/>
      <c r="S10210" s="183"/>
    </row>
    <row r="10211" spans="1:38">
      <c r="A10211" s="182"/>
      <c r="Q10211" s="183"/>
      <c r="R10211" s="183"/>
      <c r="S10211" s="183"/>
    </row>
    <row r="10212" spans="1:38">
      <c r="A10212" s="182"/>
      <c r="Q10212" s="183"/>
      <c r="R10212" s="183"/>
      <c r="S10212" s="183"/>
    </row>
    <row r="10213" spans="1:38">
      <c r="A10213" s="182"/>
      <c r="Q10213" s="183"/>
      <c r="R10213" s="183"/>
      <c r="S10213" s="183"/>
      <c r="AK10213" s="183"/>
      <c r="AL10213" s="183"/>
    </row>
    <row r="10214" spans="1:38">
      <c r="A10214" s="182"/>
      <c r="Q10214" s="183"/>
      <c r="R10214" s="183"/>
      <c r="S10214" s="183"/>
      <c r="AJ10214" s="183"/>
      <c r="AK10214" s="183"/>
      <c r="AL10214" s="183"/>
    </row>
    <row r="10215" spans="1:38">
      <c r="A10215" s="182"/>
      <c r="Q10215" s="183"/>
      <c r="R10215" s="183"/>
      <c r="S10215" s="183"/>
      <c r="AJ10215" s="183"/>
      <c r="AK10215" s="183"/>
      <c r="AL10215" s="183"/>
    </row>
    <row r="10216" spans="1:38">
      <c r="A10216" s="182"/>
      <c r="Q10216" s="183"/>
      <c r="R10216" s="183"/>
      <c r="S10216" s="183"/>
      <c r="AJ10216" s="183"/>
      <c r="AK10216" s="183"/>
      <c r="AL10216" s="183"/>
    </row>
    <row r="10217" spans="1:38">
      <c r="A10217" s="182"/>
      <c r="Q10217" s="183"/>
      <c r="R10217" s="183"/>
      <c r="S10217" s="183"/>
      <c r="AJ10217" s="183"/>
    </row>
    <row r="10218" spans="1:38">
      <c r="A10218" s="182"/>
      <c r="Q10218" s="183"/>
      <c r="R10218" s="183"/>
      <c r="S10218" s="183"/>
    </row>
    <row r="10219" spans="1:38">
      <c r="A10219" s="182"/>
      <c r="Q10219" s="183"/>
    </row>
    <row r="10220" spans="1:38">
      <c r="A10220" s="182"/>
      <c r="R10220" s="183"/>
      <c r="S10220" s="183"/>
    </row>
    <row r="10221" spans="1:38">
      <c r="A10221" s="182"/>
      <c r="Q10221" s="183"/>
      <c r="R10221" s="183"/>
      <c r="S10221" s="183"/>
    </row>
    <row r="10222" spans="1:38">
      <c r="A10222" s="182"/>
      <c r="Q10222" s="183"/>
      <c r="R10222" s="183"/>
      <c r="S10222" s="183"/>
    </row>
    <row r="10223" spans="1:38">
      <c r="A10223" s="182"/>
      <c r="Q10223" s="183"/>
      <c r="R10223" s="183"/>
      <c r="S10223" s="183"/>
    </row>
    <row r="10224" spans="1:38">
      <c r="A10224" s="182"/>
      <c r="Q10224" s="183"/>
      <c r="R10224" s="183"/>
      <c r="S10224" s="183"/>
    </row>
    <row r="10225" spans="1:19">
      <c r="A10225" s="182"/>
      <c r="Q10225" s="183"/>
      <c r="R10225" s="183"/>
      <c r="S10225" s="183"/>
    </row>
    <row r="10226" spans="1:19">
      <c r="A10226" s="182"/>
      <c r="Q10226" s="183"/>
      <c r="R10226" s="183"/>
      <c r="S10226" s="183"/>
    </row>
    <row r="10227" spans="1:19">
      <c r="A10227" s="182"/>
      <c r="Q10227" s="183"/>
      <c r="R10227" s="183"/>
      <c r="S10227" s="183"/>
    </row>
    <row r="10228" spans="1:19">
      <c r="A10228" s="182"/>
      <c r="Q10228" s="183"/>
      <c r="R10228" s="183"/>
      <c r="S10228" s="183"/>
    </row>
    <row r="10229" spans="1:19">
      <c r="A10229" s="182"/>
      <c r="Q10229" s="183"/>
      <c r="R10229" s="183"/>
      <c r="S10229" s="183"/>
    </row>
    <row r="10230" spans="1:19">
      <c r="A10230" s="182"/>
      <c r="Q10230" s="183"/>
      <c r="R10230" s="183"/>
      <c r="S10230" s="183"/>
    </row>
    <row r="10231" spans="1:19">
      <c r="A10231" s="182"/>
      <c r="Q10231" s="183"/>
      <c r="R10231" s="183"/>
      <c r="S10231" s="183"/>
    </row>
    <row r="10232" spans="1:19">
      <c r="A10232" s="182"/>
      <c r="Q10232" s="183"/>
      <c r="R10232" s="183"/>
      <c r="S10232" s="183"/>
    </row>
    <row r="10233" spans="1:19">
      <c r="A10233" s="182"/>
      <c r="Q10233" s="183"/>
      <c r="R10233" s="183"/>
      <c r="S10233" s="183"/>
    </row>
    <row r="10234" spans="1:19">
      <c r="A10234" s="182"/>
      <c r="Q10234" s="183"/>
      <c r="R10234" s="183"/>
      <c r="S10234" s="183"/>
    </row>
    <row r="10235" spans="1:19">
      <c r="A10235" s="182"/>
      <c r="Q10235" s="183"/>
      <c r="R10235" s="183"/>
      <c r="S10235" s="183"/>
    </row>
    <row r="10236" spans="1:19">
      <c r="A10236" s="182"/>
      <c r="Q10236" s="183"/>
      <c r="R10236" s="183"/>
      <c r="S10236" s="183"/>
    </row>
    <row r="10237" spans="1:19">
      <c r="A10237" s="182"/>
      <c r="Q10237" s="183"/>
      <c r="R10237" s="183"/>
      <c r="S10237" s="183"/>
    </row>
    <row r="10238" spans="1:19">
      <c r="A10238" s="182"/>
      <c r="Q10238" s="183"/>
      <c r="R10238" s="183"/>
      <c r="S10238" s="183"/>
    </row>
    <row r="10239" spans="1:19">
      <c r="A10239" s="182"/>
      <c r="Q10239" s="183"/>
      <c r="R10239" s="183"/>
      <c r="S10239" s="183"/>
    </row>
    <row r="10240" spans="1:19">
      <c r="A10240" s="182"/>
      <c r="Q10240" s="183"/>
      <c r="R10240" s="183"/>
      <c r="S10240" s="183"/>
    </row>
    <row r="10241" spans="1:19">
      <c r="A10241" s="182"/>
      <c r="Q10241" s="183"/>
      <c r="R10241" s="183"/>
      <c r="S10241" s="183"/>
    </row>
    <row r="10242" spans="1:19">
      <c r="A10242" s="182"/>
      <c r="Q10242" s="183"/>
      <c r="R10242" s="183"/>
      <c r="S10242" s="183"/>
    </row>
    <row r="10243" spans="1:19">
      <c r="A10243" s="182"/>
      <c r="Q10243" s="183"/>
      <c r="R10243" s="183"/>
      <c r="S10243" s="183"/>
    </row>
    <row r="10244" spans="1:19">
      <c r="A10244" s="182"/>
      <c r="Q10244" s="183"/>
      <c r="R10244" s="183"/>
      <c r="S10244" s="183"/>
    </row>
    <row r="10245" spans="1:19">
      <c r="A10245" s="182"/>
      <c r="Q10245" s="183"/>
      <c r="R10245" s="183"/>
      <c r="S10245" s="183"/>
    </row>
    <row r="10246" spans="1:19">
      <c r="A10246" s="182"/>
      <c r="Q10246" s="183"/>
      <c r="R10246" s="183"/>
      <c r="S10246" s="183"/>
    </row>
    <row r="10247" spans="1:19">
      <c r="A10247" s="182"/>
      <c r="Q10247" s="183"/>
      <c r="R10247" s="183"/>
      <c r="S10247" s="183"/>
    </row>
    <row r="10248" spans="1:19">
      <c r="A10248" s="182"/>
      <c r="Q10248" s="183"/>
      <c r="R10248" s="183"/>
      <c r="S10248" s="183"/>
    </row>
    <row r="10249" spans="1:19">
      <c r="A10249" s="182"/>
      <c r="Q10249" s="183"/>
      <c r="R10249" s="183"/>
      <c r="S10249" s="183"/>
    </row>
    <row r="10250" spans="1:19">
      <c r="A10250" s="182"/>
      <c r="Q10250" s="183"/>
      <c r="R10250" s="183"/>
      <c r="S10250" s="183"/>
    </row>
    <row r="10251" spans="1:19">
      <c r="A10251" s="182"/>
      <c r="Q10251" s="183"/>
      <c r="R10251" s="183"/>
      <c r="S10251" s="183"/>
    </row>
    <row r="10252" spans="1:19">
      <c r="A10252" s="182"/>
      <c r="Q10252" s="183"/>
      <c r="R10252" s="183"/>
      <c r="S10252" s="183"/>
    </row>
    <row r="10253" spans="1:19">
      <c r="A10253" s="182"/>
      <c r="Q10253" s="183"/>
      <c r="R10253" s="183"/>
      <c r="S10253" s="183"/>
    </row>
    <row r="10254" spans="1:19">
      <c r="A10254" s="182"/>
      <c r="Q10254" s="183"/>
      <c r="R10254" s="183"/>
      <c r="S10254" s="183"/>
    </row>
    <row r="10255" spans="1:19">
      <c r="A10255" s="182"/>
      <c r="Q10255" s="183"/>
      <c r="R10255" s="183"/>
      <c r="S10255" s="183"/>
    </row>
    <row r="10256" spans="1:19">
      <c r="A10256" s="182"/>
      <c r="Q10256" s="183"/>
      <c r="R10256" s="183"/>
      <c r="S10256" s="183"/>
    </row>
    <row r="10257" spans="1:19">
      <c r="A10257" s="182"/>
      <c r="Q10257" s="183"/>
      <c r="R10257" s="183"/>
      <c r="S10257" s="183"/>
    </row>
    <row r="10258" spans="1:19">
      <c r="A10258" s="182"/>
      <c r="Q10258" s="183"/>
      <c r="R10258" s="183"/>
      <c r="S10258" s="183"/>
    </row>
    <row r="10259" spans="1:19">
      <c r="A10259" s="182"/>
      <c r="Q10259" s="183"/>
      <c r="R10259" s="183"/>
      <c r="S10259" s="183"/>
    </row>
    <row r="10260" spans="1:19">
      <c r="A10260" s="182"/>
      <c r="Q10260" s="183"/>
      <c r="R10260" s="183"/>
      <c r="S10260" s="183"/>
    </row>
    <row r="10261" spans="1:19">
      <c r="A10261" s="182"/>
      <c r="Q10261" s="183"/>
      <c r="R10261" s="183"/>
      <c r="S10261" s="183"/>
    </row>
    <row r="10262" spans="1:19">
      <c r="A10262" s="182"/>
      <c r="Q10262" s="183"/>
      <c r="R10262" s="183"/>
      <c r="S10262" s="183"/>
    </row>
    <row r="10263" spans="1:19">
      <c r="A10263" s="182"/>
      <c r="Q10263" s="183"/>
      <c r="R10263" s="183"/>
      <c r="S10263" s="183"/>
    </row>
    <row r="10264" spans="1:19">
      <c r="A10264" s="182"/>
      <c r="Q10264" s="183"/>
      <c r="R10264" s="183"/>
      <c r="S10264" s="183"/>
    </row>
    <row r="10265" spans="1:19">
      <c r="A10265" s="182"/>
      <c r="Q10265" s="183"/>
      <c r="R10265" s="183"/>
      <c r="S10265" s="183"/>
    </row>
    <row r="10266" spans="1:19">
      <c r="A10266" s="182"/>
      <c r="Q10266" s="183"/>
      <c r="R10266" s="183"/>
      <c r="S10266" s="183"/>
    </row>
    <row r="10267" spans="1:19">
      <c r="A10267" s="182"/>
      <c r="Q10267" s="183"/>
      <c r="R10267" s="183"/>
      <c r="S10267" s="183"/>
    </row>
    <row r="10268" spans="1:19">
      <c r="A10268" s="182"/>
      <c r="Q10268" s="183"/>
      <c r="R10268" s="183"/>
      <c r="S10268" s="183"/>
    </row>
    <row r="10269" spans="1:19">
      <c r="A10269" s="182"/>
      <c r="Q10269" s="183"/>
      <c r="R10269" s="183"/>
      <c r="S10269" s="183"/>
    </row>
    <row r="10270" spans="1:19">
      <c r="A10270" s="182"/>
      <c r="Q10270" s="183"/>
      <c r="R10270" s="183"/>
      <c r="S10270" s="183"/>
    </row>
    <row r="10271" spans="1:19">
      <c r="A10271" s="182"/>
      <c r="Q10271" s="183"/>
      <c r="R10271" s="183"/>
      <c r="S10271" s="183"/>
    </row>
    <row r="10272" spans="1:19">
      <c r="A10272" s="182"/>
      <c r="Q10272" s="183"/>
      <c r="R10272" s="183"/>
      <c r="S10272" s="183"/>
    </row>
    <row r="10273" spans="1:38">
      <c r="A10273" s="182"/>
      <c r="Q10273" s="183"/>
      <c r="R10273" s="183"/>
      <c r="S10273" s="183"/>
      <c r="AK10273" s="183"/>
      <c r="AL10273" s="183"/>
    </row>
    <row r="10274" spans="1:38">
      <c r="A10274" s="182"/>
      <c r="Q10274" s="183"/>
      <c r="R10274" s="183"/>
      <c r="S10274" s="183"/>
      <c r="AJ10274" s="183"/>
      <c r="AK10274" s="183"/>
      <c r="AL10274" s="183"/>
    </row>
    <row r="10275" spans="1:38">
      <c r="A10275" s="182"/>
      <c r="Q10275" s="183"/>
      <c r="R10275" s="183"/>
      <c r="S10275" s="183"/>
      <c r="AJ10275" s="183"/>
      <c r="AK10275" s="183"/>
      <c r="AL10275" s="183"/>
    </row>
    <row r="10276" spans="1:38">
      <c r="A10276" s="182"/>
      <c r="Q10276" s="183"/>
      <c r="R10276" s="183"/>
      <c r="S10276" s="183"/>
      <c r="AJ10276" s="183"/>
      <c r="AK10276" s="183"/>
      <c r="AL10276" s="183"/>
    </row>
    <row r="10277" spans="1:38">
      <c r="A10277" s="182"/>
      <c r="Q10277" s="183"/>
      <c r="R10277" s="183"/>
      <c r="S10277" s="183"/>
      <c r="AJ10277" s="183"/>
      <c r="AK10277" s="183"/>
      <c r="AL10277" s="183"/>
    </row>
    <row r="10278" spans="1:38">
      <c r="A10278" s="182"/>
      <c r="Q10278" s="183"/>
      <c r="R10278" s="183"/>
      <c r="S10278" s="183"/>
      <c r="AJ10278" s="183"/>
      <c r="AK10278" s="183"/>
      <c r="AL10278" s="183"/>
    </row>
    <row r="10279" spans="1:38">
      <c r="A10279" s="182"/>
      <c r="Q10279" s="183"/>
      <c r="R10279" s="183"/>
      <c r="S10279" s="183"/>
      <c r="AJ10279" s="183"/>
      <c r="AK10279" s="183"/>
      <c r="AL10279" s="183"/>
    </row>
    <row r="10280" spans="1:38">
      <c r="A10280" s="182"/>
      <c r="Q10280" s="183"/>
      <c r="R10280" s="183"/>
      <c r="S10280" s="183"/>
      <c r="AJ10280" s="183"/>
      <c r="AK10280" s="183"/>
      <c r="AL10280" s="183"/>
    </row>
    <row r="10281" spans="1:38">
      <c r="A10281" s="182"/>
      <c r="Q10281" s="183"/>
      <c r="R10281" s="183"/>
      <c r="S10281" s="183"/>
      <c r="AJ10281" s="183"/>
    </row>
    <row r="10282" spans="1:38">
      <c r="A10282" s="182"/>
      <c r="Q10282" s="183"/>
      <c r="R10282" s="183"/>
      <c r="S10282" s="183"/>
    </row>
    <row r="10283" spans="1:38">
      <c r="A10283" s="182"/>
      <c r="Q10283" s="183"/>
      <c r="R10283" s="183"/>
      <c r="S10283" s="183"/>
    </row>
    <row r="10284" spans="1:38">
      <c r="A10284" s="182"/>
      <c r="Q10284" s="183"/>
      <c r="R10284" s="183"/>
      <c r="S10284" s="183"/>
    </row>
    <row r="10285" spans="1:38">
      <c r="A10285" s="182"/>
      <c r="Q10285" s="183"/>
      <c r="R10285" s="183"/>
      <c r="S10285" s="183"/>
    </row>
    <row r="10286" spans="1:38">
      <c r="A10286" s="182"/>
      <c r="Q10286" s="183"/>
      <c r="R10286" s="183"/>
      <c r="S10286" s="183"/>
    </row>
    <row r="10287" spans="1:38">
      <c r="A10287" s="182"/>
      <c r="Q10287" s="183"/>
      <c r="R10287" s="183"/>
      <c r="S10287" s="183"/>
    </row>
    <row r="10288" spans="1:38">
      <c r="A10288" s="182"/>
      <c r="Q10288" s="183"/>
      <c r="R10288" s="183"/>
      <c r="S10288" s="183"/>
    </row>
    <row r="10289" spans="1:38">
      <c r="A10289" s="182"/>
      <c r="Q10289" s="183"/>
      <c r="R10289" s="183"/>
      <c r="S10289" s="183"/>
    </row>
    <row r="10290" spans="1:38">
      <c r="A10290" s="182"/>
      <c r="Q10290" s="183"/>
      <c r="R10290" s="183"/>
      <c r="S10290" s="183"/>
    </row>
    <row r="10291" spans="1:38">
      <c r="A10291" s="182"/>
      <c r="Q10291" s="183"/>
      <c r="R10291" s="183"/>
      <c r="S10291" s="183"/>
    </row>
    <row r="10292" spans="1:38">
      <c r="A10292" s="182"/>
      <c r="Q10292" s="183"/>
      <c r="R10292" s="183"/>
      <c r="S10292" s="183"/>
    </row>
    <row r="10293" spans="1:38">
      <c r="A10293" s="182"/>
      <c r="Q10293" s="183"/>
      <c r="R10293" s="183"/>
      <c r="S10293" s="183"/>
    </row>
    <row r="10294" spans="1:38">
      <c r="A10294" s="182"/>
      <c r="Q10294" s="183"/>
      <c r="R10294" s="183"/>
      <c r="S10294" s="183"/>
    </row>
    <row r="10295" spans="1:38">
      <c r="A10295" s="182"/>
      <c r="Q10295" s="183"/>
      <c r="R10295" s="183"/>
      <c r="S10295" s="183"/>
    </row>
    <row r="10296" spans="1:38">
      <c r="A10296" s="182"/>
      <c r="Q10296" s="183"/>
      <c r="R10296" s="183"/>
      <c r="S10296" s="183"/>
    </row>
    <row r="10297" spans="1:38">
      <c r="A10297" s="182"/>
      <c r="Q10297" s="183"/>
      <c r="R10297" s="183"/>
      <c r="S10297" s="183"/>
      <c r="AK10297" s="183"/>
      <c r="AL10297" s="183"/>
    </row>
    <row r="10298" spans="1:38">
      <c r="A10298" s="182"/>
      <c r="Q10298" s="183"/>
      <c r="R10298" s="183"/>
      <c r="S10298" s="183"/>
      <c r="AJ10298" s="183"/>
      <c r="AK10298" s="183"/>
      <c r="AL10298" s="183"/>
    </row>
    <row r="10299" spans="1:38">
      <c r="A10299" s="182"/>
      <c r="Q10299" s="183"/>
      <c r="R10299" s="183"/>
      <c r="S10299" s="183"/>
      <c r="AJ10299" s="183"/>
      <c r="AK10299" s="183"/>
      <c r="AL10299" s="183"/>
    </row>
    <row r="10300" spans="1:38">
      <c r="A10300" s="182"/>
      <c r="Q10300" s="183"/>
      <c r="R10300" s="183"/>
      <c r="S10300" s="183"/>
      <c r="AJ10300" s="183"/>
      <c r="AK10300" s="183"/>
      <c r="AL10300" s="183"/>
    </row>
    <row r="10301" spans="1:38">
      <c r="A10301" s="182"/>
      <c r="Q10301" s="183"/>
      <c r="R10301" s="183"/>
      <c r="S10301" s="183"/>
      <c r="AJ10301" s="183"/>
      <c r="AK10301" s="183"/>
      <c r="AL10301" s="183"/>
    </row>
    <row r="10302" spans="1:38">
      <c r="A10302" s="182"/>
      <c r="Q10302" s="183"/>
      <c r="R10302" s="183"/>
      <c r="S10302" s="183"/>
      <c r="AJ10302" s="183"/>
      <c r="AK10302" s="183"/>
      <c r="AL10302" s="183"/>
    </row>
    <row r="10303" spans="1:38">
      <c r="A10303" s="182"/>
      <c r="Q10303" s="183"/>
      <c r="R10303" s="183"/>
      <c r="S10303" s="183"/>
      <c r="AJ10303" s="183"/>
      <c r="AK10303" s="183"/>
      <c r="AL10303" s="183"/>
    </row>
    <row r="10304" spans="1:38">
      <c r="A10304" s="182"/>
      <c r="Q10304" s="183"/>
      <c r="R10304" s="183"/>
      <c r="S10304" s="183"/>
      <c r="AJ10304" s="183"/>
      <c r="AK10304" s="183"/>
      <c r="AL10304" s="183"/>
    </row>
    <row r="10305" spans="1:36">
      <c r="A10305" s="182"/>
      <c r="Q10305" s="183"/>
      <c r="R10305" s="183"/>
      <c r="S10305" s="183"/>
      <c r="AJ10305" s="183"/>
    </row>
    <row r="10306" spans="1:36">
      <c r="A10306" s="182"/>
      <c r="Q10306" s="183"/>
      <c r="R10306" s="183"/>
      <c r="S10306" s="183"/>
    </row>
    <row r="10307" spans="1:36">
      <c r="A10307" s="182"/>
      <c r="Q10307" s="183"/>
      <c r="R10307" s="183"/>
      <c r="S10307" s="183"/>
    </row>
    <row r="10308" spans="1:36">
      <c r="A10308" s="182"/>
      <c r="Q10308" s="183"/>
      <c r="R10308" s="183"/>
      <c r="S10308" s="183"/>
    </row>
    <row r="10309" spans="1:36">
      <c r="A10309" s="182"/>
      <c r="Q10309" s="183"/>
      <c r="R10309" s="183"/>
      <c r="S10309" s="183"/>
    </row>
    <row r="10310" spans="1:36">
      <c r="A10310" s="182"/>
      <c r="Q10310" s="183"/>
      <c r="R10310" s="183"/>
      <c r="S10310" s="183"/>
    </row>
    <row r="10311" spans="1:36">
      <c r="A10311" s="182"/>
      <c r="Q10311" s="183"/>
      <c r="R10311" s="183"/>
      <c r="S10311" s="183"/>
    </row>
    <row r="10312" spans="1:36">
      <c r="A10312" s="182"/>
      <c r="Q10312" s="183"/>
      <c r="R10312" s="183"/>
      <c r="S10312" s="183"/>
    </row>
    <row r="10313" spans="1:36">
      <c r="A10313" s="182"/>
      <c r="Q10313" s="183"/>
      <c r="R10313" s="183"/>
      <c r="S10313" s="183"/>
    </row>
    <row r="10314" spans="1:36">
      <c r="A10314" s="182"/>
      <c r="Q10314" s="183"/>
      <c r="R10314" s="183"/>
      <c r="S10314" s="183"/>
    </row>
    <row r="10315" spans="1:36">
      <c r="A10315" s="182"/>
      <c r="Q10315" s="183"/>
      <c r="R10315" s="183"/>
      <c r="S10315" s="183"/>
    </row>
    <row r="10316" spans="1:36">
      <c r="A10316" s="182"/>
      <c r="Q10316" s="183"/>
      <c r="R10316" s="183"/>
      <c r="S10316" s="183"/>
    </row>
    <row r="10317" spans="1:36">
      <c r="A10317" s="182"/>
      <c r="Q10317" s="183"/>
      <c r="R10317" s="183"/>
      <c r="S10317" s="183"/>
    </row>
    <row r="10318" spans="1:36">
      <c r="A10318" s="182"/>
      <c r="Q10318" s="183"/>
      <c r="R10318" s="183"/>
      <c r="S10318" s="183"/>
    </row>
    <row r="10319" spans="1:36">
      <c r="A10319" s="182"/>
      <c r="Q10319" s="183"/>
      <c r="R10319" s="183"/>
      <c r="S10319" s="183"/>
    </row>
    <row r="10320" spans="1:36">
      <c r="A10320" s="182"/>
      <c r="Q10320" s="183"/>
      <c r="R10320" s="183"/>
      <c r="S10320" s="183"/>
    </row>
    <row r="10321" spans="1:38">
      <c r="A10321" s="182"/>
      <c r="Q10321" s="183"/>
      <c r="R10321" s="183"/>
      <c r="S10321" s="183"/>
    </row>
    <row r="10322" spans="1:38">
      <c r="A10322" s="182"/>
      <c r="Q10322" s="183"/>
      <c r="R10322" s="183"/>
      <c r="S10322" s="183"/>
    </row>
    <row r="10323" spans="1:38">
      <c r="A10323" s="182"/>
      <c r="Q10323" s="183"/>
      <c r="R10323" s="183"/>
      <c r="S10323" s="183"/>
    </row>
    <row r="10324" spans="1:38">
      <c r="A10324" s="182"/>
      <c r="Q10324" s="183"/>
      <c r="R10324" s="183"/>
      <c r="S10324" s="183"/>
    </row>
    <row r="10325" spans="1:38">
      <c r="A10325" s="182"/>
      <c r="Q10325" s="183"/>
      <c r="R10325" s="183"/>
      <c r="S10325" s="183"/>
    </row>
    <row r="10326" spans="1:38">
      <c r="A10326" s="182"/>
      <c r="Q10326" s="183"/>
      <c r="R10326" s="183"/>
      <c r="S10326" s="183"/>
    </row>
    <row r="10327" spans="1:38">
      <c r="A10327" s="182"/>
      <c r="Q10327" s="183"/>
      <c r="R10327" s="183"/>
      <c r="S10327" s="183"/>
    </row>
    <row r="10328" spans="1:38">
      <c r="A10328" s="182"/>
      <c r="Q10328" s="183"/>
      <c r="R10328" s="183"/>
      <c r="S10328" s="183"/>
    </row>
    <row r="10329" spans="1:38">
      <c r="A10329" s="182"/>
      <c r="Q10329" s="183"/>
      <c r="R10329" s="183"/>
      <c r="S10329" s="183"/>
      <c r="AK10329" s="183"/>
      <c r="AL10329" s="183"/>
    </row>
    <row r="10330" spans="1:38">
      <c r="A10330" s="182"/>
      <c r="Q10330" s="183"/>
      <c r="R10330" s="183"/>
      <c r="S10330" s="183"/>
      <c r="AJ10330" s="183"/>
      <c r="AK10330" s="183"/>
      <c r="AL10330" s="183"/>
    </row>
    <row r="10331" spans="1:38">
      <c r="A10331" s="182"/>
      <c r="Q10331" s="183"/>
      <c r="R10331" s="183"/>
      <c r="S10331" s="183"/>
      <c r="AJ10331" s="183"/>
      <c r="AK10331" s="183"/>
      <c r="AL10331" s="183"/>
    </row>
    <row r="10332" spans="1:38">
      <c r="A10332" s="182"/>
      <c r="Q10332" s="183"/>
      <c r="R10332" s="183"/>
      <c r="S10332" s="183"/>
      <c r="AJ10332" s="183"/>
      <c r="AK10332" s="183"/>
      <c r="AL10332" s="183"/>
    </row>
    <row r="10333" spans="1:38">
      <c r="A10333" s="182"/>
      <c r="Q10333" s="183"/>
      <c r="R10333" s="183"/>
      <c r="S10333" s="183"/>
      <c r="AJ10333" s="183"/>
    </row>
    <row r="10334" spans="1:38">
      <c r="A10334" s="182"/>
      <c r="Q10334" s="183"/>
      <c r="R10334" s="183"/>
      <c r="S10334" s="183"/>
    </row>
    <row r="10335" spans="1:38">
      <c r="A10335" s="182"/>
      <c r="Q10335" s="183"/>
      <c r="R10335" s="183"/>
      <c r="S10335" s="183"/>
    </row>
    <row r="10336" spans="1:38">
      <c r="A10336" s="182"/>
      <c r="Q10336" s="183"/>
      <c r="R10336" s="183"/>
      <c r="S10336" s="183"/>
    </row>
    <row r="10337" spans="1:38">
      <c r="A10337" s="182"/>
      <c r="Q10337" s="183"/>
      <c r="R10337" s="183"/>
      <c r="S10337" s="183"/>
    </row>
    <row r="10338" spans="1:38">
      <c r="A10338" s="182"/>
      <c r="Q10338" s="183"/>
      <c r="R10338" s="183"/>
      <c r="S10338" s="183"/>
    </row>
    <row r="10339" spans="1:38">
      <c r="A10339" s="182"/>
      <c r="Q10339" s="183"/>
      <c r="R10339" s="183"/>
      <c r="S10339" s="183"/>
    </row>
    <row r="10340" spans="1:38">
      <c r="A10340" s="182"/>
      <c r="Q10340" s="183"/>
      <c r="R10340" s="183"/>
      <c r="S10340" s="183"/>
    </row>
    <row r="10341" spans="1:38">
      <c r="A10341" s="182"/>
      <c r="Q10341" s="183"/>
      <c r="R10341" s="183"/>
      <c r="S10341" s="183"/>
      <c r="AK10341" s="183"/>
      <c r="AL10341" s="183"/>
    </row>
    <row r="10342" spans="1:38">
      <c r="A10342" s="182"/>
      <c r="Q10342" s="183"/>
      <c r="R10342" s="183"/>
      <c r="S10342" s="183"/>
      <c r="AJ10342" s="183"/>
      <c r="AK10342" s="183"/>
      <c r="AL10342" s="183"/>
    </row>
    <row r="10343" spans="1:38">
      <c r="A10343" s="182"/>
      <c r="Q10343" s="183"/>
      <c r="R10343" s="183"/>
      <c r="S10343" s="183"/>
      <c r="AJ10343" s="183"/>
      <c r="AK10343" s="183"/>
      <c r="AL10343" s="183"/>
    </row>
    <row r="10344" spans="1:38">
      <c r="A10344" s="182"/>
      <c r="Q10344" s="183"/>
      <c r="R10344" s="183"/>
      <c r="S10344" s="183"/>
      <c r="AJ10344" s="183"/>
      <c r="AK10344" s="183"/>
      <c r="AL10344" s="183"/>
    </row>
    <row r="10345" spans="1:38">
      <c r="A10345" s="182"/>
      <c r="Q10345" s="183"/>
      <c r="R10345" s="183"/>
      <c r="S10345" s="183"/>
      <c r="AJ10345" s="183"/>
    </row>
    <row r="10346" spans="1:38">
      <c r="A10346" s="182"/>
      <c r="Q10346" s="183"/>
      <c r="R10346" s="183"/>
      <c r="S10346" s="183"/>
    </row>
    <row r="10347" spans="1:38">
      <c r="A10347" s="182"/>
      <c r="Q10347" s="183"/>
      <c r="R10347" s="183"/>
      <c r="S10347" s="183"/>
    </row>
    <row r="10348" spans="1:38">
      <c r="A10348" s="182"/>
      <c r="Q10348" s="183"/>
      <c r="R10348" s="183"/>
      <c r="S10348" s="183"/>
    </row>
    <row r="10349" spans="1:38">
      <c r="A10349" s="182"/>
      <c r="Q10349" s="183"/>
      <c r="R10349" s="183"/>
      <c r="S10349" s="183"/>
    </row>
    <row r="10350" spans="1:38">
      <c r="A10350" s="182"/>
      <c r="Q10350" s="183"/>
      <c r="R10350" s="183"/>
      <c r="S10350" s="183"/>
    </row>
    <row r="10351" spans="1:38">
      <c r="A10351" s="182"/>
      <c r="Q10351" s="183"/>
      <c r="R10351" s="183"/>
      <c r="S10351" s="183"/>
    </row>
    <row r="10352" spans="1:38">
      <c r="A10352" s="182"/>
      <c r="Q10352" s="183"/>
      <c r="R10352" s="183"/>
      <c r="S10352" s="183"/>
    </row>
    <row r="10353" spans="1:19">
      <c r="A10353" s="182"/>
      <c r="Q10353" s="183"/>
      <c r="R10353" s="183"/>
      <c r="S10353" s="183"/>
    </row>
    <row r="10354" spans="1:19">
      <c r="A10354" s="182"/>
      <c r="Q10354" s="183"/>
      <c r="R10354" s="183"/>
      <c r="S10354" s="183"/>
    </row>
    <row r="10355" spans="1:19">
      <c r="A10355" s="182"/>
      <c r="Q10355" s="183"/>
      <c r="R10355" s="183"/>
      <c r="S10355" s="183"/>
    </row>
    <row r="10356" spans="1:19">
      <c r="A10356" s="182"/>
      <c r="Q10356" s="183"/>
      <c r="R10356" s="183"/>
      <c r="S10356" s="183"/>
    </row>
    <row r="10357" spans="1:19">
      <c r="A10357" s="182"/>
      <c r="Q10357" s="183"/>
      <c r="R10357" s="183"/>
      <c r="S10357" s="183"/>
    </row>
    <row r="10358" spans="1:19">
      <c r="A10358" s="182"/>
      <c r="Q10358" s="183"/>
      <c r="R10358" s="183"/>
      <c r="S10358" s="183"/>
    </row>
    <row r="10359" spans="1:19">
      <c r="A10359" s="182"/>
      <c r="Q10359" s="183"/>
      <c r="R10359" s="183"/>
      <c r="S10359" s="183"/>
    </row>
    <row r="10360" spans="1:19">
      <c r="A10360" s="182"/>
      <c r="Q10360" s="183"/>
      <c r="R10360" s="183"/>
      <c r="S10360" s="183"/>
    </row>
    <row r="10361" spans="1:19">
      <c r="A10361" s="182"/>
      <c r="Q10361" s="183"/>
      <c r="R10361" s="183"/>
      <c r="S10361" s="183"/>
    </row>
    <row r="10362" spans="1:19">
      <c r="A10362" s="182"/>
      <c r="Q10362" s="183"/>
      <c r="R10362" s="183"/>
      <c r="S10362" s="183"/>
    </row>
    <row r="10363" spans="1:19">
      <c r="A10363" s="182"/>
      <c r="Q10363" s="183"/>
      <c r="R10363" s="183"/>
      <c r="S10363" s="183"/>
    </row>
    <row r="10364" spans="1:19">
      <c r="A10364" s="182"/>
      <c r="Q10364" s="183"/>
      <c r="R10364" s="183"/>
      <c r="S10364" s="183"/>
    </row>
    <row r="10365" spans="1:19">
      <c r="A10365" s="182"/>
      <c r="Q10365" s="183"/>
      <c r="R10365" s="183"/>
      <c r="S10365" s="183"/>
    </row>
    <row r="10366" spans="1:19">
      <c r="A10366" s="182"/>
      <c r="Q10366" s="183"/>
      <c r="R10366" s="183"/>
      <c r="S10366" s="183"/>
    </row>
    <row r="10367" spans="1:19">
      <c r="A10367" s="182"/>
      <c r="Q10367" s="183"/>
      <c r="R10367" s="183"/>
      <c r="S10367" s="183"/>
    </row>
    <row r="10368" spans="1:19">
      <c r="A10368" s="182"/>
      <c r="Q10368" s="183"/>
      <c r="R10368" s="183"/>
      <c r="S10368" s="183"/>
    </row>
    <row r="10369" spans="1:38">
      <c r="A10369" s="182"/>
      <c r="Q10369" s="183"/>
      <c r="R10369" s="183"/>
      <c r="S10369" s="183"/>
      <c r="AK10369" s="183"/>
      <c r="AL10369" s="183"/>
    </row>
    <row r="10370" spans="1:38">
      <c r="A10370" s="182"/>
      <c r="Q10370" s="183"/>
      <c r="R10370" s="183"/>
      <c r="S10370" s="183"/>
      <c r="AJ10370" s="183"/>
      <c r="AK10370" s="183"/>
      <c r="AL10370" s="183"/>
    </row>
    <row r="10371" spans="1:38">
      <c r="A10371" s="182"/>
      <c r="Q10371" s="183"/>
      <c r="R10371" s="183"/>
      <c r="S10371" s="183"/>
      <c r="AJ10371" s="183"/>
      <c r="AK10371" s="183"/>
      <c r="AL10371" s="183"/>
    </row>
    <row r="10372" spans="1:38">
      <c r="A10372" s="182"/>
      <c r="Q10372" s="183"/>
      <c r="R10372" s="183"/>
      <c r="S10372" s="183"/>
      <c r="AJ10372" s="183"/>
      <c r="AK10372" s="183"/>
      <c r="AL10372" s="183"/>
    </row>
    <row r="10373" spans="1:38">
      <c r="A10373" s="182"/>
      <c r="Q10373" s="183"/>
      <c r="R10373" s="183"/>
      <c r="S10373" s="183"/>
      <c r="AJ10373" s="183"/>
      <c r="AK10373" s="183"/>
      <c r="AL10373" s="183"/>
    </row>
    <row r="10374" spans="1:38">
      <c r="A10374" s="182"/>
      <c r="Q10374" s="183"/>
      <c r="R10374" s="183"/>
      <c r="S10374" s="183"/>
      <c r="AJ10374" s="183"/>
      <c r="AK10374" s="183"/>
      <c r="AL10374" s="183"/>
    </row>
    <row r="10375" spans="1:38">
      <c r="A10375" s="182"/>
      <c r="Q10375" s="183"/>
      <c r="R10375" s="183"/>
      <c r="S10375" s="183"/>
      <c r="AJ10375" s="183"/>
      <c r="AK10375" s="183"/>
      <c r="AL10375" s="183"/>
    </row>
    <row r="10376" spans="1:38">
      <c r="A10376" s="182"/>
      <c r="Q10376" s="183"/>
      <c r="R10376" s="183"/>
      <c r="S10376" s="183"/>
      <c r="AJ10376" s="183"/>
      <c r="AK10376" s="183"/>
      <c r="AL10376" s="183"/>
    </row>
    <row r="10377" spans="1:38">
      <c r="A10377" s="182"/>
      <c r="Q10377" s="183"/>
      <c r="R10377" s="183"/>
      <c r="S10377" s="183"/>
      <c r="AJ10377" s="183"/>
      <c r="AK10377" s="183"/>
      <c r="AL10377" s="183"/>
    </row>
    <row r="10378" spans="1:38">
      <c r="A10378" s="182"/>
      <c r="Q10378" s="183"/>
      <c r="R10378" s="183"/>
      <c r="S10378" s="183"/>
      <c r="AJ10378" s="183"/>
      <c r="AK10378" s="183"/>
      <c r="AL10378" s="183"/>
    </row>
    <row r="10379" spans="1:38">
      <c r="A10379" s="182"/>
      <c r="Q10379" s="183"/>
      <c r="R10379" s="183"/>
      <c r="S10379" s="183"/>
      <c r="AJ10379" s="183"/>
      <c r="AK10379" s="183"/>
      <c r="AL10379" s="183"/>
    </row>
    <row r="10380" spans="1:38">
      <c r="A10380" s="182"/>
      <c r="Q10380" s="183"/>
      <c r="R10380" s="183"/>
      <c r="S10380" s="183"/>
      <c r="AJ10380" s="183"/>
      <c r="AK10380" s="183"/>
      <c r="AL10380" s="183"/>
    </row>
    <row r="10381" spans="1:38">
      <c r="A10381" s="182"/>
      <c r="Q10381" s="183"/>
      <c r="R10381" s="183"/>
      <c r="S10381" s="183"/>
      <c r="AJ10381" s="183"/>
      <c r="AK10381" s="183"/>
      <c r="AL10381" s="183"/>
    </row>
    <row r="10382" spans="1:38">
      <c r="A10382" s="182"/>
      <c r="Q10382" s="183"/>
      <c r="R10382" s="183"/>
      <c r="S10382" s="183"/>
      <c r="AJ10382" s="183"/>
      <c r="AK10382" s="183"/>
      <c r="AL10382" s="183"/>
    </row>
    <row r="10383" spans="1:38">
      <c r="A10383" s="182"/>
      <c r="Q10383" s="183"/>
      <c r="R10383" s="183"/>
      <c r="S10383" s="183"/>
      <c r="AJ10383" s="183"/>
      <c r="AK10383" s="183"/>
      <c r="AL10383" s="183"/>
    </row>
    <row r="10384" spans="1:38">
      <c r="A10384" s="182"/>
      <c r="Q10384" s="183"/>
      <c r="R10384" s="183"/>
      <c r="S10384" s="183"/>
      <c r="AJ10384" s="183"/>
      <c r="AK10384" s="183"/>
      <c r="AL10384" s="183"/>
    </row>
    <row r="10385" spans="1:36">
      <c r="A10385" s="182"/>
      <c r="Q10385" s="183"/>
      <c r="R10385" s="183"/>
      <c r="S10385" s="183"/>
      <c r="AJ10385" s="183"/>
    </row>
    <row r="10386" spans="1:36">
      <c r="A10386" s="182"/>
      <c r="Q10386" s="183"/>
      <c r="R10386" s="183"/>
      <c r="S10386" s="183"/>
    </row>
    <row r="10387" spans="1:36">
      <c r="A10387" s="182"/>
      <c r="Q10387" s="183"/>
      <c r="R10387" s="183"/>
      <c r="S10387" s="183"/>
    </row>
    <row r="10388" spans="1:36">
      <c r="A10388" s="182"/>
      <c r="Q10388" s="183"/>
      <c r="R10388" s="183"/>
      <c r="S10388" s="183"/>
    </row>
    <row r="10389" spans="1:36">
      <c r="A10389" s="182"/>
      <c r="Q10389" s="183"/>
      <c r="R10389" s="183"/>
      <c r="S10389" s="183"/>
    </row>
    <row r="10390" spans="1:36">
      <c r="A10390" s="182"/>
      <c r="Q10390" s="183"/>
      <c r="R10390" s="183"/>
      <c r="S10390" s="183"/>
    </row>
    <row r="10391" spans="1:36">
      <c r="A10391" s="182"/>
      <c r="Q10391" s="183"/>
      <c r="R10391" s="183"/>
      <c r="S10391" s="183"/>
    </row>
    <row r="10392" spans="1:36">
      <c r="A10392" s="182"/>
      <c r="Q10392" s="183"/>
      <c r="R10392" s="183"/>
      <c r="S10392" s="183"/>
    </row>
    <row r="10393" spans="1:36">
      <c r="A10393" s="182"/>
      <c r="Q10393" s="183"/>
      <c r="R10393" s="183"/>
      <c r="S10393" s="183"/>
    </row>
    <row r="10394" spans="1:36">
      <c r="A10394" s="182"/>
      <c r="Q10394" s="183"/>
      <c r="R10394" s="183"/>
      <c r="S10394" s="183"/>
    </row>
    <row r="10395" spans="1:36">
      <c r="A10395" s="182"/>
      <c r="Q10395" s="183"/>
      <c r="R10395" s="183"/>
      <c r="S10395" s="183"/>
    </row>
    <row r="10396" spans="1:36">
      <c r="A10396" s="182"/>
      <c r="Q10396" s="183"/>
      <c r="R10396" s="183"/>
      <c r="S10396" s="183"/>
    </row>
    <row r="10397" spans="1:36">
      <c r="A10397" s="182"/>
      <c r="Q10397" s="183"/>
      <c r="R10397" s="183"/>
      <c r="S10397" s="183"/>
    </row>
    <row r="10398" spans="1:36">
      <c r="A10398" s="182"/>
      <c r="Q10398" s="183"/>
      <c r="R10398" s="183"/>
      <c r="S10398" s="183"/>
    </row>
    <row r="10399" spans="1:36">
      <c r="A10399" s="182"/>
      <c r="Q10399" s="183"/>
      <c r="R10399" s="183"/>
      <c r="S10399" s="183"/>
    </row>
    <row r="10400" spans="1:36">
      <c r="A10400" s="182"/>
      <c r="Q10400" s="183"/>
      <c r="R10400" s="183"/>
      <c r="S10400" s="183"/>
    </row>
    <row r="10401" spans="1:38">
      <c r="A10401" s="182"/>
      <c r="Q10401" s="183"/>
      <c r="R10401" s="183"/>
      <c r="S10401" s="183"/>
      <c r="AK10401" s="183"/>
      <c r="AL10401" s="183"/>
    </row>
    <row r="10402" spans="1:38">
      <c r="A10402" s="182"/>
      <c r="Q10402" s="183"/>
      <c r="R10402" s="183"/>
      <c r="S10402" s="183"/>
      <c r="AJ10402" s="183"/>
      <c r="AK10402" s="183"/>
      <c r="AL10402" s="183"/>
    </row>
    <row r="10403" spans="1:38">
      <c r="A10403" s="182"/>
      <c r="Q10403" s="183"/>
      <c r="R10403" s="183"/>
      <c r="S10403" s="183"/>
      <c r="AJ10403" s="183"/>
      <c r="AK10403" s="183"/>
      <c r="AL10403" s="183"/>
    </row>
    <row r="10404" spans="1:38">
      <c r="A10404" s="182"/>
      <c r="Q10404" s="183"/>
      <c r="R10404" s="183"/>
      <c r="S10404" s="183"/>
      <c r="AJ10404" s="183"/>
      <c r="AK10404" s="183"/>
      <c r="AL10404" s="183"/>
    </row>
    <row r="10405" spans="1:38">
      <c r="A10405" s="182"/>
      <c r="Q10405" s="183"/>
      <c r="R10405" s="183"/>
      <c r="S10405" s="183"/>
      <c r="AJ10405" s="183"/>
    </row>
    <row r="10406" spans="1:38">
      <c r="A10406" s="182"/>
      <c r="Q10406" s="183"/>
      <c r="R10406" s="183"/>
      <c r="S10406" s="183"/>
    </row>
    <row r="10407" spans="1:38">
      <c r="A10407" s="182"/>
      <c r="Q10407" s="183"/>
      <c r="R10407" s="183"/>
      <c r="S10407" s="183"/>
    </row>
    <row r="10408" spans="1:38">
      <c r="A10408" s="182"/>
      <c r="Q10408" s="183"/>
      <c r="R10408" s="183"/>
      <c r="S10408" s="183"/>
    </row>
    <row r="10409" spans="1:38">
      <c r="A10409" s="182"/>
      <c r="Q10409" s="183"/>
      <c r="R10409" s="183"/>
      <c r="S10409" s="183"/>
    </row>
    <row r="10410" spans="1:38">
      <c r="A10410" s="182"/>
      <c r="Q10410" s="183"/>
      <c r="R10410" s="183"/>
      <c r="S10410" s="183"/>
    </row>
    <row r="10411" spans="1:38">
      <c r="A10411" s="182"/>
      <c r="Q10411" s="183"/>
      <c r="R10411" s="183"/>
      <c r="S10411" s="183"/>
    </row>
    <row r="10412" spans="1:38">
      <c r="A10412" s="182"/>
      <c r="Q10412" s="183"/>
      <c r="R10412" s="183"/>
      <c r="S10412" s="183"/>
    </row>
    <row r="10413" spans="1:38">
      <c r="A10413" s="182"/>
      <c r="Q10413" s="183"/>
      <c r="R10413" s="183"/>
      <c r="S10413" s="183"/>
    </row>
    <row r="10414" spans="1:38">
      <c r="A10414" s="182"/>
      <c r="Q10414" s="183"/>
      <c r="R10414" s="183"/>
      <c r="S10414" s="183"/>
    </row>
    <row r="10415" spans="1:38">
      <c r="A10415" s="182"/>
      <c r="Q10415" s="183"/>
      <c r="R10415" s="183"/>
      <c r="S10415" s="183"/>
    </row>
    <row r="10416" spans="1:38">
      <c r="A10416" s="182"/>
      <c r="Q10416" s="183"/>
      <c r="R10416" s="183"/>
      <c r="S10416" s="183"/>
    </row>
    <row r="10417" spans="1:19">
      <c r="A10417" s="182"/>
      <c r="Q10417" s="183"/>
      <c r="R10417" s="183"/>
      <c r="S10417" s="183"/>
    </row>
    <row r="10418" spans="1:19">
      <c r="A10418" s="182"/>
      <c r="Q10418" s="183"/>
      <c r="R10418" s="183"/>
      <c r="S10418" s="183"/>
    </row>
    <row r="10419" spans="1:19">
      <c r="A10419" s="182"/>
      <c r="Q10419" s="183"/>
      <c r="R10419" s="183"/>
      <c r="S10419" s="183"/>
    </row>
    <row r="10420" spans="1:19">
      <c r="A10420" s="182"/>
      <c r="Q10420" s="183"/>
      <c r="R10420" s="183"/>
      <c r="S10420" s="183"/>
    </row>
    <row r="10421" spans="1:19">
      <c r="A10421" s="182"/>
      <c r="Q10421" s="183"/>
      <c r="R10421" s="183"/>
      <c r="S10421" s="183"/>
    </row>
    <row r="10422" spans="1:19">
      <c r="A10422" s="182"/>
      <c r="Q10422" s="183"/>
      <c r="R10422" s="183"/>
      <c r="S10422" s="183"/>
    </row>
    <row r="10423" spans="1:19">
      <c r="A10423" s="182"/>
      <c r="Q10423" s="183"/>
      <c r="R10423" s="183"/>
      <c r="S10423" s="183"/>
    </row>
    <row r="10424" spans="1:19">
      <c r="A10424" s="182"/>
      <c r="Q10424" s="183"/>
      <c r="R10424" s="183"/>
      <c r="S10424" s="183"/>
    </row>
    <row r="10425" spans="1:19">
      <c r="A10425" s="182"/>
      <c r="Q10425" s="183"/>
      <c r="R10425" s="183"/>
      <c r="S10425" s="183"/>
    </row>
    <row r="10426" spans="1:19">
      <c r="A10426" s="182"/>
      <c r="Q10426" s="183"/>
      <c r="R10426" s="183"/>
      <c r="S10426" s="183"/>
    </row>
    <row r="10427" spans="1:19">
      <c r="A10427" s="182"/>
      <c r="Q10427" s="183"/>
      <c r="R10427" s="183"/>
      <c r="S10427" s="183"/>
    </row>
    <row r="10428" spans="1:19">
      <c r="A10428" s="182"/>
      <c r="Q10428" s="183"/>
      <c r="R10428" s="183"/>
      <c r="S10428" s="183"/>
    </row>
    <row r="10429" spans="1:19">
      <c r="A10429" s="182"/>
      <c r="Q10429" s="183"/>
      <c r="R10429" s="183"/>
      <c r="S10429" s="183"/>
    </row>
    <row r="10430" spans="1:19">
      <c r="A10430" s="182"/>
      <c r="Q10430" s="183"/>
      <c r="R10430" s="183"/>
      <c r="S10430" s="183"/>
    </row>
    <row r="10431" spans="1:19">
      <c r="A10431" s="182"/>
      <c r="Q10431" s="183"/>
      <c r="R10431" s="183"/>
      <c r="S10431" s="183"/>
    </row>
    <row r="10432" spans="1:19">
      <c r="A10432" s="182"/>
      <c r="Q10432" s="183"/>
      <c r="R10432" s="183"/>
      <c r="S10432" s="183"/>
    </row>
    <row r="10433" spans="1:38">
      <c r="A10433" s="182"/>
      <c r="Q10433" s="183"/>
      <c r="R10433" s="183"/>
      <c r="S10433" s="183"/>
    </row>
    <row r="10434" spans="1:38">
      <c r="A10434" s="182"/>
      <c r="Q10434" s="183"/>
      <c r="R10434" s="183"/>
      <c r="S10434" s="183"/>
    </row>
    <row r="10435" spans="1:38">
      <c r="A10435" s="182"/>
      <c r="Q10435" s="183"/>
      <c r="R10435" s="183"/>
      <c r="S10435" s="183"/>
    </row>
    <row r="10436" spans="1:38">
      <c r="A10436" s="182"/>
      <c r="Q10436" s="183"/>
      <c r="R10436" s="183"/>
      <c r="S10436" s="183"/>
    </row>
    <row r="10437" spans="1:38">
      <c r="A10437" s="182"/>
      <c r="Q10437" s="183"/>
      <c r="R10437" s="183"/>
      <c r="S10437" s="183"/>
    </row>
    <row r="10438" spans="1:38">
      <c r="A10438" s="182"/>
      <c r="Q10438" s="183"/>
      <c r="R10438" s="183"/>
      <c r="S10438" s="183"/>
    </row>
    <row r="10439" spans="1:38">
      <c r="A10439" s="182"/>
      <c r="Q10439" s="183"/>
      <c r="R10439" s="183"/>
      <c r="S10439" s="183"/>
    </row>
    <row r="10440" spans="1:38">
      <c r="A10440" s="182"/>
      <c r="Q10440" s="183"/>
      <c r="R10440" s="183"/>
      <c r="S10440" s="183"/>
    </row>
    <row r="10441" spans="1:38">
      <c r="A10441" s="182"/>
      <c r="Q10441" s="183"/>
      <c r="R10441" s="183"/>
      <c r="S10441" s="183"/>
      <c r="AK10441" s="183"/>
      <c r="AL10441" s="183"/>
    </row>
    <row r="10442" spans="1:38">
      <c r="A10442" s="182"/>
      <c r="Q10442" s="183"/>
      <c r="R10442" s="183"/>
      <c r="S10442" s="183"/>
      <c r="AJ10442" s="183"/>
      <c r="AK10442" s="183"/>
      <c r="AL10442" s="183"/>
    </row>
    <row r="10443" spans="1:38">
      <c r="A10443" s="182"/>
      <c r="Q10443" s="183"/>
      <c r="R10443" s="183"/>
      <c r="S10443" s="183"/>
      <c r="AJ10443" s="183"/>
      <c r="AK10443" s="183"/>
      <c r="AL10443" s="183"/>
    </row>
    <row r="10444" spans="1:38">
      <c r="A10444" s="182"/>
      <c r="Q10444" s="183"/>
      <c r="R10444" s="183"/>
      <c r="S10444" s="183"/>
      <c r="AJ10444" s="183"/>
      <c r="AK10444" s="183"/>
      <c r="AL10444" s="183"/>
    </row>
    <row r="10445" spans="1:38">
      <c r="A10445" s="182"/>
      <c r="Q10445" s="183"/>
      <c r="R10445" s="183"/>
      <c r="S10445" s="183"/>
      <c r="AJ10445" s="183"/>
    </row>
    <row r="10446" spans="1:38">
      <c r="A10446" s="182"/>
      <c r="Q10446" s="183"/>
      <c r="R10446" s="183"/>
      <c r="S10446" s="183"/>
    </row>
    <row r="10447" spans="1:38">
      <c r="A10447" s="182"/>
      <c r="Q10447" s="183"/>
      <c r="R10447" s="183"/>
      <c r="S10447" s="183"/>
    </row>
    <row r="10448" spans="1:38">
      <c r="A10448" s="182"/>
      <c r="Q10448" s="183"/>
      <c r="R10448" s="183"/>
      <c r="S10448" s="183"/>
    </row>
    <row r="10449" spans="1:19">
      <c r="A10449" s="182"/>
      <c r="Q10449" s="183"/>
      <c r="R10449" s="183"/>
      <c r="S10449" s="183"/>
    </row>
    <row r="10450" spans="1:19">
      <c r="A10450" s="182"/>
      <c r="Q10450" s="183"/>
      <c r="R10450" s="183"/>
      <c r="S10450" s="183"/>
    </row>
    <row r="10451" spans="1:19">
      <c r="A10451" s="182"/>
      <c r="Q10451" s="183"/>
      <c r="R10451" s="183"/>
      <c r="S10451" s="183"/>
    </row>
    <row r="10452" spans="1:19">
      <c r="A10452" s="182"/>
      <c r="Q10452" s="183"/>
      <c r="R10452" s="183"/>
      <c r="S10452" s="183"/>
    </row>
    <row r="10453" spans="1:19">
      <c r="A10453" s="182"/>
      <c r="Q10453" s="183"/>
      <c r="R10453" s="183"/>
      <c r="S10453" s="183"/>
    </row>
    <row r="10454" spans="1:19">
      <c r="A10454" s="182"/>
      <c r="Q10454" s="183"/>
      <c r="R10454" s="183"/>
      <c r="S10454" s="183"/>
    </row>
    <row r="10455" spans="1:19">
      <c r="A10455" s="182"/>
      <c r="Q10455" s="183"/>
      <c r="R10455" s="183"/>
      <c r="S10455" s="183"/>
    </row>
    <row r="10456" spans="1:19">
      <c r="A10456" s="182"/>
      <c r="Q10456" s="183"/>
      <c r="R10456" s="183"/>
      <c r="S10456" s="183"/>
    </row>
    <row r="10457" spans="1:19">
      <c r="A10457" s="182"/>
      <c r="Q10457" s="183"/>
      <c r="R10457" s="183"/>
      <c r="S10457" s="183"/>
    </row>
    <row r="10458" spans="1:19">
      <c r="A10458" s="182"/>
      <c r="Q10458" s="183"/>
      <c r="R10458" s="183"/>
      <c r="S10458" s="183"/>
    </row>
    <row r="10459" spans="1:19">
      <c r="A10459" s="182"/>
      <c r="Q10459" s="183"/>
      <c r="R10459" s="183"/>
      <c r="S10459" s="183"/>
    </row>
    <row r="10460" spans="1:19">
      <c r="A10460" s="182"/>
      <c r="Q10460" s="183"/>
      <c r="R10460" s="183"/>
      <c r="S10460" s="183"/>
    </row>
    <row r="10461" spans="1:19">
      <c r="A10461" s="182"/>
      <c r="Q10461" s="183"/>
      <c r="R10461" s="183"/>
      <c r="S10461" s="183"/>
    </row>
    <row r="10462" spans="1:19">
      <c r="A10462" s="182"/>
      <c r="Q10462" s="183"/>
      <c r="R10462" s="183"/>
      <c r="S10462" s="183"/>
    </row>
    <row r="10463" spans="1:19">
      <c r="A10463" s="182"/>
      <c r="Q10463" s="183"/>
      <c r="R10463" s="183"/>
      <c r="S10463" s="183"/>
    </row>
    <row r="10464" spans="1:19">
      <c r="A10464" s="182"/>
      <c r="Q10464" s="183"/>
      <c r="R10464" s="183"/>
      <c r="S10464" s="183"/>
    </row>
    <row r="10465" spans="1:38">
      <c r="A10465" s="182"/>
      <c r="Q10465" s="183"/>
      <c r="R10465" s="183"/>
      <c r="S10465" s="183"/>
    </row>
    <row r="10466" spans="1:38">
      <c r="A10466" s="182"/>
      <c r="Q10466" s="183"/>
      <c r="R10466" s="183"/>
      <c r="S10466" s="183"/>
    </row>
    <row r="10467" spans="1:38">
      <c r="A10467" s="182"/>
      <c r="Q10467" s="183"/>
      <c r="R10467" s="183"/>
      <c r="S10467" s="183"/>
    </row>
    <row r="10468" spans="1:38">
      <c r="A10468" s="182"/>
      <c r="Q10468" s="183"/>
      <c r="R10468" s="183"/>
      <c r="S10468" s="183"/>
    </row>
    <row r="10469" spans="1:38">
      <c r="A10469" s="182"/>
      <c r="Q10469" s="183"/>
      <c r="R10469" s="183"/>
      <c r="S10469" s="183"/>
    </row>
    <row r="10470" spans="1:38">
      <c r="A10470" s="182"/>
      <c r="Q10470" s="183"/>
      <c r="R10470" s="183"/>
      <c r="S10470" s="183"/>
    </row>
    <row r="10471" spans="1:38">
      <c r="A10471" s="182"/>
      <c r="Q10471" s="183"/>
      <c r="R10471" s="183"/>
      <c r="S10471" s="183"/>
    </row>
    <row r="10472" spans="1:38">
      <c r="A10472" s="182"/>
      <c r="Q10472" s="183"/>
      <c r="R10472" s="183"/>
      <c r="S10472" s="183"/>
    </row>
    <row r="10473" spans="1:38">
      <c r="A10473" s="182"/>
      <c r="Q10473" s="183"/>
      <c r="R10473" s="183"/>
      <c r="S10473" s="183"/>
      <c r="AK10473" s="183"/>
      <c r="AL10473" s="183"/>
    </row>
    <row r="10474" spans="1:38">
      <c r="A10474" s="182"/>
      <c r="Q10474" s="183"/>
      <c r="R10474" s="183"/>
      <c r="S10474" s="183"/>
      <c r="AJ10474" s="183"/>
      <c r="AK10474" s="183"/>
      <c r="AL10474" s="183"/>
    </row>
    <row r="10475" spans="1:38">
      <c r="A10475" s="182"/>
      <c r="Q10475" s="183"/>
      <c r="R10475" s="183"/>
      <c r="S10475" s="183"/>
      <c r="AJ10475" s="183"/>
      <c r="AK10475" s="183"/>
      <c r="AL10475" s="183"/>
    </row>
    <row r="10476" spans="1:38">
      <c r="A10476" s="182"/>
      <c r="Q10476" s="183"/>
      <c r="R10476" s="183"/>
      <c r="S10476" s="183"/>
      <c r="AJ10476" s="183"/>
      <c r="AK10476" s="183"/>
      <c r="AL10476" s="183"/>
    </row>
    <row r="10477" spans="1:38">
      <c r="A10477" s="182"/>
      <c r="Q10477" s="183"/>
      <c r="R10477" s="183"/>
      <c r="S10477" s="183"/>
      <c r="AJ10477" s="183"/>
      <c r="AK10477" s="183"/>
      <c r="AL10477" s="183"/>
    </row>
    <row r="10478" spans="1:38">
      <c r="A10478" s="182"/>
      <c r="Q10478" s="183"/>
      <c r="R10478" s="183"/>
      <c r="S10478" s="183"/>
      <c r="AJ10478" s="183"/>
      <c r="AK10478" s="183"/>
      <c r="AL10478" s="183"/>
    </row>
    <row r="10479" spans="1:38">
      <c r="A10479" s="182"/>
      <c r="Q10479" s="183"/>
      <c r="R10479" s="183"/>
      <c r="S10479" s="183"/>
      <c r="AJ10479" s="183"/>
      <c r="AK10479" s="183"/>
      <c r="AL10479" s="183"/>
    </row>
    <row r="10480" spans="1:38">
      <c r="A10480" s="182"/>
      <c r="Q10480" s="183"/>
      <c r="R10480" s="183"/>
      <c r="S10480" s="183"/>
      <c r="AJ10480" s="183"/>
      <c r="AK10480" s="183"/>
      <c r="AL10480" s="183"/>
    </row>
    <row r="10481" spans="1:38">
      <c r="A10481" s="182"/>
      <c r="Q10481" s="183"/>
      <c r="R10481" s="183"/>
      <c r="S10481" s="183"/>
      <c r="AJ10481" s="183"/>
    </row>
    <row r="10482" spans="1:38">
      <c r="A10482" s="182"/>
      <c r="Q10482" s="183"/>
      <c r="R10482" s="183"/>
      <c r="S10482" s="183"/>
    </row>
    <row r="10483" spans="1:38">
      <c r="A10483" s="182"/>
      <c r="Q10483" s="183"/>
      <c r="R10483" s="183"/>
      <c r="S10483" s="183"/>
    </row>
    <row r="10484" spans="1:38">
      <c r="A10484" s="182"/>
      <c r="Q10484" s="183"/>
      <c r="R10484" s="183"/>
      <c r="S10484" s="183"/>
    </row>
    <row r="10485" spans="1:38">
      <c r="A10485" s="182"/>
      <c r="Q10485" s="183"/>
      <c r="R10485" s="183"/>
      <c r="S10485" s="183"/>
      <c r="AK10485" s="183"/>
      <c r="AL10485" s="183"/>
    </row>
    <row r="10486" spans="1:38">
      <c r="A10486" s="182"/>
      <c r="Q10486" s="183"/>
      <c r="R10486" s="183"/>
      <c r="S10486" s="183"/>
      <c r="AJ10486" s="183"/>
      <c r="AK10486" s="183"/>
      <c r="AL10486" s="183"/>
    </row>
    <row r="10487" spans="1:38">
      <c r="A10487" s="182"/>
      <c r="Q10487" s="183"/>
      <c r="R10487" s="183"/>
      <c r="S10487" s="183"/>
      <c r="AJ10487" s="183"/>
      <c r="AK10487" s="183"/>
      <c r="AL10487" s="183"/>
    </row>
    <row r="10488" spans="1:38">
      <c r="A10488" s="182"/>
      <c r="Q10488" s="183"/>
      <c r="R10488" s="183"/>
      <c r="S10488" s="183"/>
      <c r="AJ10488" s="183"/>
      <c r="AK10488" s="183"/>
      <c r="AL10488" s="183"/>
    </row>
    <row r="10489" spans="1:38">
      <c r="A10489" s="182"/>
      <c r="Q10489" s="183"/>
      <c r="R10489" s="183"/>
      <c r="S10489" s="183"/>
      <c r="AJ10489" s="183"/>
      <c r="AK10489" s="183"/>
      <c r="AL10489" s="183"/>
    </row>
    <row r="10490" spans="1:38">
      <c r="A10490" s="182"/>
      <c r="Q10490" s="183"/>
      <c r="R10490" s="183"/>
      <c r="S10490" s="183"/>
      <c r="AJ10490" s="183"/>
      <c r="AK10490" s="183"/>
      <c r="AL10490" s="183"/>
    </row>
    <row r="10491" spans="1:38">
      <c r="A10491" s="182"/>
      <c r="Q10491" s="183"/>
      <c r="R10491" s="183"/>
      <c r="S10491" s="183"/>
      <c r="AJ10491" s="183"/>
      <c r="AK10491" s="183"/>
      <c r="AL10491" s="183"/>
    </row>
    <row r="10492" spans="1:38">
      <c r="A10492" s="182"/>
      <c r="Q10492" s="183"/>
      <c r="R10492" s="183"/>
      <c r="S10492" s="183"/>
      <c r="AJ10492" s="183"/>
      <c r="AK10492" s="183"/>
      <c r="AL10492" s="183"/>
    </row>
    <row r="10493" spans="1:38">
      <c r="A10493" s="182"/>
      <c r="Q10493" s="183"/>
      <c r="R10493" s="183"/>
      <c r="S10493" s="183"/>
      <c r="AJ10493" s="183"/>
    </row>
    <row r="10494" spans="1:38">
      <c r="A10494" s="182"/>
      <c r="Q10494" s="183"/>
      <c r="R10494" s="183"/>
      <c r="S10494" s="183"/>
    </row>
    <row r="10495" spans="1:38">
      <c r="A10495" s="182"/>
      <c r="Q10495" s="183"/>
      <c r="R10495" s="183"/>
      <c r="S10495" s="183"/>
    </row>
    <row r="10496" spans="1:38">
      <c r="A10496" s="182"/>
      <c r="Q10496" s="183"/>
      <c r="R10496" s="183"/>
      <c r="S10496" s="183"/>
    </row>
    <row r="10497" spans="1:38">
      <c r="A10497" s="182"/>
      <c r="Q10497" s="183"/>
      <c r="R10497" s="183"/>
      <c r="S10497" s="183"/>
    </row>
    <row r="10498" spans="1:38">
      <c r="A10498" s="182"/>
      <c r="Q10498" s="183"/>
      <c r="R10498" s="183"/>
      <c r="S10498" s="183"/>
    </row>
    <row r="10499" spans="1:38">
      <c r="A10499" s="182"/>
      <c r="Q10499" s="183"/>
      <c r="R10499" s="183"/>
      <c r="S10499" s="183"/>
    </row>
    <row r="10500" spans="1:38">
      <c r="A10500" s="182"/>
      <c r="Q10500" s="183"/>
      <c r="R10500" s="183"/>
      <c r="S10500" s="183"/>
    </row>
    <row r="10501" spans="1:38">
      <c r="A10501" s="182"/>
      <c r="Q10501" s="183"/>
      <c r="R10501" s="183"/>
      <c r="S10501" s="183"/>
    </row>
    <row r="10502" spans="1:38">
      <c r="A10502" s="182"/>
      <c r="Q10502" s="183"/>
      <c r="R10502" s="183"/>
      <c r="S10502" s="183"/>
    </row>
    <row r="10503" spans="1:38">
      <c r="A10503" s="182"/>
      <c r="Q10503" s="183"/>
      <c r="R10503" s="183"/>
      <c r="S10503" s="183"/>
    </row>
    <row r="10504" spans="1:38">
      <c r="A10504" s="182"/>
      <c r="Q10504" s="183"/>
      <c r="R10504" s="183"/>
      <c r="S10504" s="183"/>
    </row>
    <row r="10505" spans="1:38">
      <c r="A10505" s="182"/>
      <c r="Q10505" s="183"/>
      <c r="R10505" s="183"/>
      <c r="S10505" s="183"/>
    </row>
    <row r="10506" spans="1:38">
      <c r="A10506" s="182"/>
      <c r="Q10506" s="183"/>
      <c r="R10506" s="183"/>
      <c r="S10506" s="183"/>
    </row>
    <row r="10507" spans="1:38">
      <c r="A10507" s="182"/>
      <c r="Q10507" s="183"/>
      <c r="R10507" s="183"/>
      <c r="S10507" s="183"/>
    </row>
    <row r="10508" spans="1:38">
      <c r="A10508" s="182"/>
      <c r="Q10508" s="183"/>
      <c r="R10508" s="183"/>
      <c r="S10508" s="183"/>
    </row>
    <row r="10509" spans="1:38">
      <c r="A10509" s="182"/>
      <c r="Q10509" s="183"/>
      <c r="R10509" s="183"/>
      <c r="S10509" s="183"/>
      <c r="AK10509" s="183"/>
      <c r="AL10509" s="183"/>
    </row>
    <row r="10510" spans="1:38">
      <c r="A10510" s="182"/>
      <c r="Q10510" s="183"/>
      <c r="R10510" s="183"/>
      <c r="S10510" s="183"/>
      <c r="AJ10510" s="183"/>
      <c r="AK10510" s="183"/>
      <c r="AL10510" s="183"/>
    </row>
    <row r="10511" spans="1:38">
      <c r="A10511" s="182"/>
      <c r="Q10511" s="183"/>
      <c r="R10511" s="183"/>
      <c r="S10511" s="183"/>
      <c r="AJ10511" s="183"/>
      <c r="AK10511" s="183"/>
      <c r="AL10511" s="183"/>
    </row>
    <row r="10512" spans="1:38">
      <c r="A10512" s="182"/>
      <c r="Q10512" s="183"/>
      <c r="R10512" s="183"/>
      <c r="S10512" s="183"/>
      <c r="AJ10512" s="183"/>
      <c r="AK10512" s="183"/>
      <c r="AL10512" s="183"/>
    </row>
    <row r="10513" spans="1:36">
      <c r="A10513" s="182"/>
      <c r="Q10513" s="183"/>
      <c r="R10513" s="183"/>
      <c r="S10513" s="183"/>
      <c r="AJ10513" s="183"/>
    </row>
    <row r="10514" spans="1:36">
      <c r="A10514" s="182"/>
      <c r="Q10514" s="183"/>
      <c r="R10514" s="183"/>
      <c r="S10514" s="183"/>
    </row>
    <row r="10515" spans="1:36">
      <c r="A10515" s="182"/>
      <c r="Q10515" s="183"/>
      <c r="R10515" s="183"/>
      <c r="S10515" s="183"/>
    </row>
    <row r="10516" spans="1:36">
      <c r="A10516" s="182"/>
      <c r="Q10516" s="183"/>
      <c r="R10516" s="183"/>
      <c r="S10516" s="183"/>
    </row>
    <row r="10517" spans="1:36">
      <c r="A10517" s="182"/>
      <c r="Q10517" s="183"/>
      <c r="R10517" s="183"/>
      <c r="S10517" s="183"/>
    </row>
    <row r="10518" spans="1:36">
      <c r="A10518" s="182"/>
      <c r="Q10518" s="183"/>
      <c r="R10518" s="183"/>
      <c r="S10518" s="183"/>
    </row>
    <row r="10519" spans="1:36">
      <c r="A10519" s="182"/>
      <c r="Q10519" s="183"/>
      <c r="R10519" s="183"/>
      <c r="S10519" s="183"/>
    </row>
    <row r="10520" spans="1:36">
      <c r="A10520" s="182"/>
      <c r="Q10520" s="183"/>
      <c r="R10520" s="183"/>
      <c r="S10520" s="183"/>
    </row>
    <row r="10521" spans="1:36">
      <c r="A10521" s="182"/>
      <c r="Q10521" s="183"/>
      <c r="R10521" s="183"/>
      <c r="S10521" s="183"/>
    </row>
    <row r="10522" spans="1:36">
      <c r="A10522" s="182"/>
      <c r="Q10522" s="183"/>
      <c r="R10522" s="183"/>
      <c r="S10522" s="183"/>
    </row>
    <row r="10523" spans="1:36">
      <c r="A10523" s="182"/>
      <c r="Q10523" s="183"/>
      <c r="R10523" s="183"/>
      <c r="S10523" s="183"/>
    </row>
    <row r="10524" spans="1:36">
      <c r="A10524" s="182"/>
      <c r="Q10524" s="183"/>
      <c r="R10524" s="183"/>
      <c r="S10524" s="183"/>
    </row>
    <row r="10525" spans="1:36">
      <c r="A10525" s="182"/>
      <c r="Q10525" s="183"/>
      <c r="R10525" s="183"/>
      <c r="S10525" s="183"/>
    </row>
    <row r="10526" spans="1:36">
      <c r="A10526" s="182"/>
      <c r="Q10526" s="183"/>
      <c r="R10526" s="183"/>
      <c r="S10526" s="183"/>
    </row>
    <row r="10527" spans="1:36">
      <c r="A10527" s="182"/>
      <c r="Q10527" s="183"/>
      <c r="R10527" s="183"/>
      <c r="S10527" s="183"/>
    </row>
    <row r="10528" spans="1:36">
      <c r="A10528" s="182"/>
      <c r="Q10528" s="183"/>
      <c r="R10528" s="183"/>
      <c r="S10528" s="183"/>
    </row>
    <row r="10529" spans="1:19">
      <c r="A10529" s="182"/>
      <c r="Q10529" s="183"/>
      <c r="R10529" s="183"/>
      <c r="S10529" s="183"/>
    </row>
    <row r="10530" spans="1:19">
      <c r="A10530" s="182"/>
      <c r="Q10530" s="183"/>
      <c r="R10530" s="183"/>
      <c r="S10530" s="183"/>
    </row>
    <row r="10531" spans="1:19">
      <c r="A10531" s="182"/>
      <c r="Q10531" s="183"/>
      <c r="R10531" s="183"/>
      <c r="S10531" s="183"/>
    </row>
    <row r="10532" spans="1:19">
      <c r="A10532" s="182"/>
      <c r="Q10532" s="183"/>
      <c r="R10532" s="183"/>
      <c r="S10532" s="183"/>
    </row>
    <row r="10533" spans="1:19">
      <c r="A10533" s="182"/>
      <c r="Q10533" s="183"/>
      <c r="R10533" s="183"/>
      <c r="S10533" s="183"/>
    </row>
    <row r="10534" spans="1:19">
      <c r="A10534" s="182"/>
      <c r="Q10534" s="183"/>
      <c r="R10534" s="183"/>
      <c r="S10534" s="183"/>
    </row>
    <row r="10535" spans="1:19">
      <c r="A10535" s="182"/>
      <c r="Q10535" s="183"/>
      <c r="R10535" s="183"/>
      <c r="S10535" s="183"/>
    </row>
    <row r="10536" spans="1:19">
      <c r="A10536" s="182"/>
      <c r="Q10536" s="183"/>
      <c r="R10536" s="183"/>
      <c r="S10536" s="183"/>
    </row>
    <row r="10537" spans="1:19">
      <c r="A10537" s="182"/>
      <c r="Q10537" s="183"/>
      <c r="R10537" s="183"/>
      <c r="S10537" s="183"/>
    </row>
    <row r="10538" spans="1:19">
      <c r="A10538" s="182"/>
      <c r="Q10538" s="183"/>
      <c r="R10538" s="183"/>
      <c r="S10538" s="183"/>
    </row>
    <row r="10539" spans="1:19">
      <c r="A10539" s="182"/>
      <c r="Q10539" s="183"/>
      <c r="R10539" s="183"/>
      <c r="S10539" s="183"/>
    </row>
    <row r="10540" spans="1:19">
      <c r="A10540" s="182"/>
      <c r="Q10540" s="183"/>
      <c r="R10540" s="183"/>
      <c r="S10540" s="183"/>
    </row>
    <row r="10541" spans="1:19">
      <c r="A10541" s="182"/>
      <c r="Q10541" s="183"/>
      <c r="R10541" s="183"/>
      <c r="S10541" s="183"/>
    </row>
    <row r="10542" spans="1:19">
      <c r="A10542" s="182"/>
      <c r="Q10542" s="183"/>
      <c r="R10542" s="183"/>
      <c r="S10542" s="183"/>
    </row>
    <row r="10543" spans="1:19">
      <c r="A10543" s="182"/>
      <c r="Q10543" s="183"/>
      <c r="R10543" s="183"/>
      <c r="S10543" s="183"/>
    </row>
    <row r="10544" spans="1:19">
      <c r="A10544" s="182"/>
      <c r="Q10544" s="183"/>
      <c r="R10544" s="183"/>
      <c r="S10544" s="183"/>
    </row>
    <row r="10545" spans="1:38">
      <c r="A10545" s="182"/>
      <c r="Q10545" s="183"/>
      <c r="R10545" s="183"/>
      <c r="S10545" s="183"/>
      <c r="AK10545" s="183"/>
      <c r="AL10545" s="183"/>
    </row>
    <row r="10546" spans="1:38">
      <c r="A10546" s="182"/>
      <c r="Q10546" s="183"/>
      <c r="R10546" s="183"/>
      <c r="S10546" s="183"/>
      <c r="AJ10546" s="183"/>
      <c r="AK10546" s="183"/>
      <c r="AL10546" s="183"/>
    </row>
    <row r="10547" spans="1:38">
      <c r="A10547" s="182"/>
      <c r="Q10547" s="183"/>
      <c r="R10547" s="183"/>
      <c r="S10547" s="183"/>
      <c r="AJ10547" s="183"/>
      <c r="AK10547" s="183"/>
      <c r="AL10547" s="183"/>
    </row>
    <row r="10548" spans="1:38">
      <c r="A10548" s="182"/>
      <c r="Q10548" s="183"/>
      <c r="R10548" s="183"/>
      <c r="S10548" s="183"/>
      <c r="AJ10548" s="183"/>
      <c r="AK10548" s="183"/>
      <c r="AL10548" s="183"/>
    </row>
    <row r="10549" spans="1:38">
      <c r="A10549" s="182"/>
      <c r="Q10549" s="183"/>
      <c r="R10549" s="183"/>
      <c r="S10549" s="183"/>
      <c r="AJ10549" s="183"/>
    </row>
    <row r="10550" spans="1:38">
      <c r="A10550" s="182"/>
      <c r="Q10550" s="183"/>
      <c r="R10550" s="183"/>
      <c r="S10550" s="183"/>
    </row>
    <row r="10551" spans="1:38">
      <c r="A10551" s="182"/>
      <c r="Q10551" s="183"/>
      <c r="R10551" s="183"/>
      <c r="S10551" s="183"/>
    </row>
    <row r="10552" spans="1:38">
      <c r="A10552" s="182"/>
      <c r="Q10552" s="183"/>
      <c r="R10552" s="183"/>
      <c r="S10552" s="183"/>
    </row>
    <row r="10553" spans="1:38">
      <c r="A10553" s="182"/>
      <c r="Q10553" s="183"/>
      <c r="R10553" s="183"/>
      <c r="S10553" s="183"/>
    </row>
    <row r="10554" spans="1:38">
      <c r="A10554" s="182"/>
      <c r="Q10554" s="183"/>
      <c r="R10554" s="183"/>
      <c r="S10554" s="183"/>
    </row>
    <row r="10555" spans="1:38">
      <c r="A10555" s="182"/>
      <c r="Q10555" s="183"/>
      <c r="R10555" s="183"/>
      <c r="S10555" s="183"/>
    </row>
    <row r="10556" spans="1:38">
      <c r="A10556" s="182"/>
      <c r="Q10556" s="183"/>
      <c r="R10556" s="183"/>
      <c r="S10556" s="183"/>
    </row>
    <row r="10557" spans="1:38">
      <c r="A10557" s="182"/>
      <c r="Q10557" s="183"/>
      <c r="R10557" s="183"/>
      <c r="S10557" s="183"/>
    </row>
    <row r="10558" spans="1:38">
      <c r="A10558" s="182"/>
      <c r="Q10558" s="183"/>
      <c r="R10558" s="183"/>
      <c r="S10558" s="183"/>
    </row>
    <row r="10559" spans="1:38">
      <c r="A10559" s="182"/>
      <c r="Q10559" s="183"/>
      <c r="R10559" s="183"/>
      <c r="S10559" s="183"/>
    </row>
    <row r="10560" spans="1:38">
      <c r="A10560" s="182"/>
      <c r="Q10560" s="183"/>
      <c r="R10560" s="183"/>
      <c r="S10560" s="183"/>
    </row>
    <row r="10561" spans="1:38">
      <c r="A10561" s="182"/>
      <c r="Q10561" s="183"/>
      <c r="R10561" s="183"/>
      <c r="S10561" s="183"/>
    </row>
    <row r="10562" spans="1:38">
      <c r="A10562" s="182"/>
      <c r="Q10562" s="183"/>
      <c r="R10562" s="183"/>
      <c r="S10562" s="183"/>
    </row>
    <row r="10563" spans="1:38">
      <c r="A10563" s="182"/>
      <c r="Q10563" s="183"/>
      <c r="R10563" s="183"/>
      <c r="S10563" s="183"/>
    </row>
    <row r="10564" spans="1:38">
      <c r="A10564" s="182"/>
      <c r="Q10564" s="183"/>
      <c r="R10564" s="183"/>
      <c r="S10564" s="183"/>
    </row>
    <row r="10565" spans="1:38">
      <c r="A10565" s="182"/>
      <c r="Q10565" s="183"/>
      <c r="R10565" s="183"/>
      <c r="S10565" s="183"/>
      <c r="AK10565" s="183"/>
      <c r="AL10565" s="183"/>
    </row>
    <row r="10566" spans="1:38">
      <c r="A10566" s="182"/>
      <c r="Q10566" s="183"/>
      <c r="R10566" s="183"/>
      <c r="S10566" s="183"/>
      <c r="AJ10566" s="183"/>
      <c r="AK10566" s="183"/>
      <c r="AL10566" s="183"/>
    </row>
    <row r="10567" spans="1:38">
      <c r="A10567" s="182"/>
      <c r="Q10567" s="183"/>
      <c r="R10567" s="183"/>
      <c r="S10567" s="183"/>
      <c r="AJ10567" s="183"/>
      <c r="AK10567" s="183"/>
      <c r="AL10567" s="183"/>
    </row>
    <row r="10568" spans="1:38">
      <c r="A10568" s="182"/>
      <c r="Q10568" s="183"/>
      <c r="R10568" s="183"/>
      <c r="S10568" s="183"/>
      <c r="AJ10568" s="183"/>
      <c r="AK10568" s="183"/>
      <c r="AL10568" s="183"/>
    </row>
    <row r="10569" spans="1:38">
      <c r="A10569" s="182"/>
      <c r="Q10569" s="183"/>
      <c r="R10569" s="183"/>
      <c r="S10569" s="183"/>
      <c r="AJ10569" s="183"/>
    </row>
    <row r="10570" spans="1:38">
      <c r="A10570" s="182"/>
      <c r="Q10570" s="183"/>
      <c r="R10570" s="183"/>
      <c r="S10570" s="183"/>
    </row>
    <row r="10571" spans="1:38">
      <c r="A10571" s="182"/>
      <c r="Q10571" s="183"/>
      <c r="R10571" s="183"/>
      <c r="S10571" s="183"/>
    </row>
    <row r="10572" spans="1:38">
      <c r="A10572" s="182"/>
      <c r="Q10572" s="183"/>
      <c r="R10572" s="183"/>
      <c r="S10572" s="183"/>
    </row>
    <row r="10573" spans="1:38">
      <c r="A10573" s="182"/>
      <c r="Q10573" s="183"/>
      <c r="R10573" s="183"/>
      <c r="S10573" s="183"/>
    </row>
    <row r="10574" spans="1:38">
      <c r="A10574" s="182"/>
      <c r="Q10574" s="183"/>
      <c r="R10574" s="183"/>
      <c r="S10574" s="183"/>
    </row>
    <row r="10575" spans="1:38">
      <c r="A10575" s="182"/>
      <c r="Q10575" s="183"/>
      <c r="R10575" s="183"/>
      <c r="S10575" s="183"/>
    </row>
    <row r="10576" spans="1:38">
      <c r="A10576" s="182"/>
      <c r="Q10576" s="183"/>
      <c r="R10576" s="183"/>
      <c r="S10576" s="183"/>
    </row>
    <row r="10577" spans="1:38">
      <c r="A10577" s="182"/>
      <c r="Q10577" s="183"/>
      <c r="R10577" s="183"/>
      <c r="S10577" s="183"/>
      <c r="AK10577" s="183"/>
      <c r="AL10577" s="183"/>
    </row>
    <row r="10578" spans="1:38">
      <c r="A10578" s="182"/>
      <c r="Q10578" s="183"/>
      <c r="R10578" s="183"/>
      <c r="S10578" s="183"/>
      <c r="AJ10578" s="183"/>
      <c r="AK10578" s="183"/>
      <c r="AL10578" s="183"/>
    </row>
    <row r="10579" spans="1:38">
      <c r="A10579" s="182"/>
      <c r="Q10579" s="183"/>
      <c r="R10579" s="183"/>
      <c r="S10579" s="183"/>
      <c r="AJ10579" s="183"/>
      <c r="AK10579" s="183"/>
      <c r="AL10579" s="183"/>
    </row>
    <row r="10580" spans="1:38">
      <c r="A10580" s="182"/>
      <c r="Q10580" s="183"/>
      <c r="R10580" s="183"/>
      <c r="S10580" s="183"/>
      <c r="AJ10580" s="183"/>
      <c r="AK10580" s="183"/>
      <c r="AL10580" s="183"/>
    </row>
    <row r="10581" spans="1:38">
      <c r="A10581" s="182"/>
      <c r="Q10581" s="183"/>
      <c r="R10581" s="183"/>
      <c r="S10581" s="183"/>
      <c r="AJ10581" s="183"/>
      <c r="AK10581" s="183"/>
      <c r="AL10581" s="183"/>
    </row>
    <row r="10582" spans="1:38">
      <c r="A10582" s="182"/>
      <c r="Q10582" s="183"/>
      <c r="R10582" s="183"/>
      <c r="S10582" s="183"/>
      <c r="AJ10582" s="183"/>
      <c r="AK10582" s="183"/>
      <c r="AL10582" s="183"/>
    </row>
    <row r="10583" spans="1:38">
      <c r="A10583" s="182"/>
      <c r="Q10583" s="183"/>
      <c r="R10583" s="183"/>
      <c r="S10583" s="183"/>
      <c r="AJ10583" s="183"/>
      <c r="AK10583" s="183"/>
      <c r="AL10583" s="183"/>
    </row>
    <row r="10584" spans="1:38">
      <c r="A10584" s="182"/>
      <c r="Q10584" s="183"/>
      <c r="R10584" s="183"/>
      <c r="S10584" s="183"/>
      <c r="AJ10584" s="183"/>
      <c r="AK10584" s="183"/>
      <c r="AL10584" s="183"/>
    </row>
    <row r="10585" spans="1:38">
      <c r="A10585" s="182"/>
      <c r="Q10585" s="183"/>
      <c r="R10585" s="183"/>
      <c r="S10585" s="183"/>
      <c r="AJ10585" s="183"/>
      <c r="AK10585" s="183"/>
      <c r="AL10585" s="183"/>
    </row>
    <row r="10586" spans="1:38">
      <c r="A10586" s="182"/>
      <c r="Q10586" s="183"/>
      <c r="R10586" s="183"/>
      <c r="S10586" s="183"/>
      <c r="AJ10586" s="183"/>
      <c r="AK10586" s="183"/>
      <c r="AL10586" s="183"/>
    </row>
    <row r="10587" spans="1:38">
      <c r="A10587" s="182"/>
      <c r="Q10587" s="183"/>
      <c r="R10587" s="183"/>
      <c r="S10587" s="183"/>
      <c r="AJ10587" s="183"/>
      <c r="AK10587" s="183"/>
      <c r="AL10587" s="183"/>
    </row>
    <row r="10588" spans="1:38">
      <c r="A10588" s="182"/>
      <c r="Q10588" s="183"/>
      <c r="R10588" s="183"/>
      <c r="S10588" s="183"/>
      <c r="AJ10588" s="183"/>
      <c r="AK10588" s="183"/>
      <c r="AL10588" s="183"/>
    </row>
    <row r="10589" spans="1:38">
      <c r="A10589" s="182"/>
      <c r="Q10589" s="183"/>
      <c r="R10589" s="183"/>
      <c r="S10589" s="183"/>
      <c r="AJ10589" s="183"/>
      <c r="AK10589" s="183"/>
      <c r="AL10589" s="183"/>
    </row>
    <row r="10590" spans="1:38">
      <c r="A10590" s="182"/>
      <c r="Q10590" s="183"/>
      <c r="R10590" s="183"/>
      <c r="S10590" s="183"/>
      <c r="AJ10590" s="183"/>
      <c r="AK10590" s="183"/>
      <c r="AL10590" s="183"/>
    </row>
    <row r="10591" spans="1:38">
      <c r="A10591" s="182"/>
      <c r="Q10591" s="183"/>
      <c r="R10591" s="183"/>
      <c r="S10591" s="183"/>
      <c r="AJ10591" s="183"/>
      <c r="AK10591" s="183"/>
      <c r="AL10591" s="183"/>
    </row>
    <row r="10592" spans="1:38">
      <c r="A10592" s="182"/>
      <c r="Q10592" s="183"/>
      <c r="R10592" s="183"/>
      <c r="S10592" s="183"/>
      <c r="AJ10592" s="183"/>
      <c r="AK10592" s="183"/>
      <c r="AL10592" s="183"/>
    </row>
    <row r="10593" spans="1:38">
      <c r="A10593" s="182"/>
      <c r="Q10593" s="183"/>
      <c r="R10593" s="183"/>
      <c r="S10593" s="183"/>
      <c r="AJ10593" s="183"/>
      <c r="AK10593" s="183"/>
      <c r="AL10593" s="183"/>
    </row>
    <row r="10594" spans="1:38">
      <c r="A10594" s="182"/>
      <c r="Q10594" s="183"/>
      <c r="R10594" s="183"/>
      <c r="S10594" s="183"/>
      <c r="AJ10594" s="183"/>
      <c r="AK10594" s="183"/>
      <c r="AL10594" s="183"/>
    </row>
    <row r="10595" spans="1:38">
      <c r="A10595" s="182"/>
      <c r="Q10595" s="183"/>
      <c r="R10595" s="183"/>
      <c r="S10595" s="183"/>
      <c r="AJ10595" s="183"/>
      <c r="AK10595" s="183"/>
      <c r="AL10595" s="183"/>
    </row>
    <row r="10596" spans="1:38">
      <c r="A10596" s="182"/>
      <c r="Q10596" s="183"/>
      <c r="R10596" s="183"/>
      <c r="S10596" s="183"/>
      <c r="AJ10596" s="183"/>
      <c r="AK10596" s="183"/>
      <c r="AL10596" s="183"/>
    </row>
    <row r="10597" spans="1:38">
      <c r="A10597" s="182"/>
      <c r="Q10597" s="183"/>
      <c r="R10597" s="183"/>
      <c r="S10597" s="183"/>
      <c r="AJ10597" s="183"/>
    </row>
    <row r="10598" spans="1:38">
      <c r="A10598" s="182"/>
      <c r="Q10598" s="183"/>
      <c r="R10598" s="183"/>
      <c r="S10598" s="183"/>
    </row>
    <row r="10599" spans="1:38">
      <c r="A10599" s="182"/>
      <c r="Q10599" s="183"/>
      <c r="R10599" s="183"/>
      <c r="S10599" s="183"/>
    </row>
    <row r="10600" spans="1:38">
      <c r="A10600" s="182"/>
      <c r="Q10600" s="183"/>
      <c r="R10600" s="183"/>
      <c r="S10600" s="183"/>
    </row>
    <row r="10601" spans="1:38">
      <c r="A10601" s="182"/>
      <c r="Q10601" s="183"/>
      <c r="R10601" s="183"/>
      <c r="S10601" s="183"/>
    </row>
    <row r="10602" spans="1:38">
      <c r="A10602" s="182"/>
      <c r="Q10602" s="183"/>
      <c r="R10602" s="183"/>
      <c r="S10602" s="183"/>
    </row>
    <row r="10603" spans="1:38">
      <c r="A10603" s="182"/>
      <c r="Q10603" s="183"/>
    </row>
    <row r="10604" spans="1:38">
      <c r="A10604" s="182"/>
      <c r="R10604" s="183"/>
      <c r="S10604" s="183"/>
    </row>
    <row r="10605" spans="1:38">
      <c r="A10605" s="182"/>
      <c r="Q10605" s="183"/>
      <c r="R10605" s="183"/>
      <c r="S10605" s="183"/>
    </row>
    <row r="10606" spans="1:38">
      <c r="A10606" s="182"/>
      <c r="Q10606" s="183"/>
      <c r="R10606" s="183"/>
      <c r="S10606" s="183"/>
    </row>
    <row r="10607" spans="1:38">
      <c r="A10607" s="182"/>
      <c r="Q10607" s="183"/>
      <c r="R10607" s="183"/>
      <c r="S10607" s="183"/>
    </row>
    <row r="10608" spans="1:38">
      <c r="A10608" s="182"/>
      <c r="Q10608" s="183"/>
      <c r="R10608" s="183"/>
      <c r="S10608" s="183"/>
    </row>
    <row r="10609" spans="1:19">
      <c r="A10609" s="182"/>
      <c r="Q10609" s="183"/>
      <c r="R10609" s="183"/>
      <c r="S10609" s="183"/>
    </row>
    <row r="10610" spans="1:19">
      <c r="A10610" s="182"/>
      <c r="Q10610" s="183"/>
      <c r="R10610" s="183"/>
      <c r="S10610" s="183"/>
    </row>
    <row r="10611" spans="1:19">
      <c r="A10611" s="182"/>
      <c r="Q10611" s="183"/>
      <c r="R10611" s="183"/>
      <c r="S10611" s="183"/>
    </row>
    <row r="10612" spans="1:19">
      <c r="A10612" s="182"/>
      <c r="Q10612" s="183"/>
      <c r="R10612" s="183"/>
      <c r="S10612" s="183"/>
    </row>
    <row r="10613" spans="1:19">
      <c r="A10613" s="182"/>
      <c r="Q10613" s="183"/>
      <c r="R10613" s="183"/>
      <c r="S10613" s="183"/>
    </row>
    <row r="10614" spans="1:19">
      <c r="A10614" s="182"/>
      <c r="Q10614" s="183"/>
      <c r="R10614" s="183"/>
      <c r="S10614" s="183"/>
    </row>
    <row r="10615" spans="1:19">
      <c r="A10615" s="182"/>
      <c r="Q10615" s="183"/>
      <c r="R10615" s="183"/>
      <c r="S10615" s="183"/>
    </row>
    <row r="10616" spans="1:19">
      <c r="A10616" s="182"/>
      <c r="Q10616" s="183"/>
      <c r="R10616" s="183"/>
      <c r="S10616" s="183"/>
    </row>
    <row r="10617" spans="1:19">
      <c r="A10617" s="182"/>
      <c r="Q10617" s="183"/>
      <c r="R10617" s="183"/>
      <c r="S10617" s="183"/>
    </row>
    <row r="10618" spans="1:19">
      <c r="A10618" s="182"/>
      <c r="Q10618" s="183"/>
      <c r="R10618" s="183"/>
      <c r="S10618" s="183"/>
    </row>
    <row r="10619" spans="1:19">
      <c r="A10619" s="182"/>
      <c r="Q10619" s="183"/>
      <c r="R10619" s="183"/>
      <c r="S10619" s="183"/>
    </row>
    <row r="10620" spans="1:19">
      <c r="A10620" s="182"/>
      <c r="Q10620" s="183"/>
      <c r="R10620" s="183"/>
      <c r="S10620" s="183"/>
    </row>
    <row r="10621" spans="1:19">
      <c r="A10621" s="182"/>
      <c r="Q10621" s="183"/>
      <c r="R10621" s="183"/>
      <c r="S10621" s="183"/>
    </row>
    <row r="10622" spans="1:19">
      <c r="A10622" s="182"/>
      <c r="Q10622" s="183"/>
      <c r="R10622" s="183"/>
      <c r="S10622" s="183"/>
    </row>
    <row r="10623" spans="1:19">
      <c r="A10623" s="182"/>
      <c r="Q10623" s="183"/>
      <c r="R10623" s="183"/>
      <c r="S10623" s="183"/>
    </row>
    <row r="10624" spans="1:19">
      <c r="A10624" s="182"/>
      <c r="Q10624" s="183"/>
      <c r="R10624" s="183"/>
      <c r="S10624" s="183"/>
    </row>
    <row r="10625" spans="1:38">
      <c r="A10625" s="182"/>
      <c r="Q10625" s="183"/>
      <c r="R10625" s="183"/>
      <c r="S10625" s="183"/>
    </row>
    <row r="10626" spans="1:38">
      <c r="A10626" s="182"/>
      <c r="Q10626" s="183"/>
      <c r="R10626" s="183"/>
      <c r="S10626" s="183"/>
    </row>
    <row r="10627" spans="1:38">
      <c r="A10627" s="182"/>
      <c r="Q10627" s="183"/>
      <c r="R10627" s="183"/>
      <c r="S10627" s="183"/>
    </row>
    <row r="10628" spans="1:38">
      <c r="A10628" s="182"/>
      <c r="Q10628" s="183"/>
      <c r="R10628" s="183"/>
      <c r="S10628" s="183"/>
    </row>
    <row r="10629" spans="1:38">
      <c r="A10629" s="182"/>
      <c r="Q10629" s="183"/>
      <c r="R10629" s="183"/>
      <c r="S10629" s="183"/>
      <c r="AK10629" s="183"/>
      <c r="AL10629" s="183"/>
    </row>
    <row r="10630" spans="1:38">
      <c r="A10630" s="182"/>
      <c r="Q10630" s="183"/>
      <c r="R10630" s="183"/>
      <c r="S10630" s="183"/>
      <c r="AJ10630" s="183"/>
      <c r="AK10630" s="183"/>
      <c r="AL10630" s="183"/>
    </row>
    <row r="10631" spans="1:38">
      <c r="A10631" s="182"/>
      <c r="Q10631" s="183"/>
      <c r="R10631" s="183"/>
      <c r="S10631" s="183"/>
      <c r="AJ10631" s="183"/>
      <c r="AK10631" s="183"/>
      <c r="AL10631" s="183"/>
    </row>
    <row r="10632" spans="1:38">
      <c r="A10632" s="182"/>
      <c r="Q10632" s="183"/>
      <c r="R10632" s="183"/>
      <c r="S10632" s="183"/>
      <c r="AJ10632" s="183"/>
      <c r="AK10632" s="183"/>
      <c r="AL10632" s="183"/>
    </row>
    <row r="10633" spans="1:38">
      <c r="A10633" s="182"/>
      <c r="Q10633" s="183"/>
      <c r="R10633" s="183"/>
      <c r="S10633" s="183"/>
      <c r="AJ10633" s="183"/>
      <c r="AK10633" s="183"/>
      <c r="AL10633" s="183"/>
    </row>
    <row r="10634" spans="1:38">
      <c r="A10634" s="182"/>
      <c r="Q10634" s="183"/>
      <c r="R10634" s="183"/>
      <c r="S10634" s="183"/>
      <c r="AJ10634" s="183"/>
      <c r="AK10634" s="183"/>
      <c r="AL10634" s="183"/>
    </row>
    <row r="10635" spans="1:38">
      <c r="A10635" s="182"/>
      <c r="Q10635" s="183"/>
      <c r="R10635" s="183"/>
      <c r="S10635" s="183"/>
      <c r="AJ10635" s="183"/>
      <c r="AK10635" s="183"/>
      <c r="AL10635" s="183"/>
    </row>
    <row r="10636" spans="1:38">
      <c r="A10636" s="182"/>
      <c r="Q10636" s="183"/>
      <c r="R10636" s="183"/>
      <c r="S10636" s="183"/>
      <c r="AJ10636" s="183"/>
      <c r="AK10636" s="183"/>
      <c r="AL10636" s="183"/>
    </row>
    <row r="10637" spans="1:38">
      <c r="A10637" s="182"/>
      <c r="Q10637" s="183"/>
      <c r="R10637" s="183"/>
      <c r="S10637" s="183"/>
      <c r="AJ10637" s="183"/>
    </row>
    <row r="10638" spans="1:38">
      <c r="A10638" s="182"/>
      <c r="Q10638" s="183"/>
      <c r="R10638" s="183"/>
      <c r="S10638" s="183"/>
    </row>
    <row r="10639" spans="1:38">
      <c r="A10639" s="182"/>
      <c r="Q10639" s="183"/>
      <c r="R10639" s="183"/>
      <c r="S10639" s="183"/>
    </row>
    <row r="10640" spans="1:38">
      <c r="A10640" s="182"/>
      <c r="Q10640" s="183"/>
      <c r="R10640" s="183"/>
      <c r="S10640" s="183"/>
    </row>
    <row r="10641" spans="1:19">
      <c r="A10641" s="182"/>
      <c r="Q10641" s="183"/>
      <c r="R10641" s="183"/>
      <c r="S10641" s="183"/>
    </row>
    <row r="10642" spans="1:19">
      <c r="A10642" s="182"/>
      <c r="Q10642" s="183"/>
      <c r="R10642" s="183"/>
      <c r="S10642" s="183"/>
    </row>
    <row r="10643" spans="1:19">
      <c r="A10643" s="182"/>
      <c r="Q10643" s="183"/>
      <c r="R10643" s="183"/>
      <c r="S10643" s="183"/>
    </row>
    <row r="10644" spans="1:19">
      <c r="A10644" s="182"/>
      <c r="Q10644" s="183"/>
      <c r="R10644" s="183"/>
      <c r="S10644" s="183"/>
    </row>
    <row r="10645" spans="1:19">
      <c r="A10645" s="182"/>
      <c r="Q10645" s="183"/>
      <c r="R10645" s="183"/>
      <c r="S10645" s="183"/>
    </row>
    <row r="10646" spans="1:19">
      <c r="A10646" s="182"/>
      <c r="Q10646" s="183"/>
      <c r="R10646" s="183"/>
      <c r="S10646" s="183"/>
    </row>
    <row r="10647" spans="1:19">
      <c r="A10647" s="182"/>
      <c r="Q10647" s="183"/>
      <c r="R10647" s="183"/>
      <c r="S10647" s="183"/>
    </row>
    <row r="10648" spans="1:19">
      <c r="A10648" s="182"/>
      <c r="Q10648" s="183"/>
      <c r="R10648" s="183"/>
      <c r="S10648" s="183"/>
    </row>
    <row r="10649" spans="1:19">
      <c r="A10649" s="182"/>
      <c r="Q10649" s="183"/>
      <c r="R10649" s="183"/>
      <c r="S10649" s="183"/>
    </row>
    <row r="10650" spans="1:19">
      <c r="A10650" s="182"/>
      <c r="Q10650" s="183"/>
      <c r="R10650" s="183"/>
      <c r="S10650" s="183"/>
    </row>
    <row r="10651" spans="1:19">
      <c r="A10651" s="182"/>
      <c r="Q10651" s="183"/>
      <c r="R10651" s="183"/>
      <c r="S10651" s="183"/>
    </row>
    <row r="10652" spans="1:19">
      <c r="A10652" s="182"/>
      <c r="Q10652" s="183"/>
      <c r="R10652" s="183"/>
      <c r="S10652" s="183"/>
    </row>
    <row r="10653" spans="1:19">
      <c r="A10653" s="182"/>
      <c r="Q10653" s="183"/>
      <c r="R10653" s="183"/>
      <c r="S10653" s="183"/>
    </row>
    <row r="10654" spans="1:19">
      <c r="A10654" s="182"/>
      <c r="Q10654" s="183"/>
      <c r="R10654" s="183"/>
      <c r="S10654" s="183"/>
    </row>
    <row r="10655" spans="1:19">
      <c r="A10655" s="182"/>
      <c r="Q10655" s="183"/>
      <c r="R10655" s="183"/>
      <c r="S10655" s="183"/>
    </row>
    <row r="10656" spans="1:19">
      <c r="A10656" s="182"/>
      <c r="Q10656" s="183"/>
      <c r="R10656" s="183"/>
      <c r="S10656" s="183"/>
    </row>
    <row r="10657" spans="1:19">
      <c r="A10657" s="182"/>
      <c r="Q10657" s="183"/>
      <c r="R10657" s="183"/>
      <c r="S10657" s="183"/>
    </row>
    <row r="10658" spans="1:19">
      <c r="A10658" s="182"/>
      <c r="Q10658" s="183"/>
      <c r="R10658" s="183"/>
      <c r="S10658" s="183"/>
    </row>
    <row r="10659" spans="1:19">
      <c r="A10659" s="182"/>
      <c r="Q10659" s="183"/>
      <c r="R10659" s="183"/>
      <c r="S10659" s="183"/>
    </row>
    <row r="10660" spans="1:19">
      <c r="A10660" s="182"/>
      <c r="Q10660" s="183"/>
      <c r="R10660" s="183"/>
      <c r="S10660" s="183"/>
    </row>
    <row r="10661" spans="1:19">
      <c r="A10661" s="182"/>
      <c r="Q10661" s="183"/>
      <c r="R10661" s="183"/>
      <c r="S10661" s="183"/>
    </row>
    <row r="10662" spans="1:19">
      <c r="A10662" s="182"/>
      <c r="Q10662" s="183"/>
      <c r="R10662" s="183"/>
      <c r="S10662" s="183"/>
    </row>
    <row r="10663" spans="1:19">
      <c r="A10663" s="182"/>
      <c r="Q10663" s="183"/>
      <c r="R10663" s="183"/>
      <c r="S10663" s="183"/>
    </row>
    <row r="10664" spans="1:19">
      <c r="A10664" s="182"/>
      <c r="Q10664" s="183"/>
      <c r="R10664" s="183"/>
      <c r="S10664" s="183"/>
    </row>
    <row r="10665" spans="1:19">
      <c r="A10665" s="182"/>
      <c r="Q10665" s="183"/>
      <c r="R10665" s="183"/>
      <c r="S10665" s="183"/>
    </row>
    <row r="10666" spans="1:19">
      <c r="A10666" s="182"/>
      <c r="Q10666" s="183"/>
      <c r="R10666" s="183"/>
      <c r="S10666" s="183"/>
    </row>
    <row r="10667" spans="1:19">
      <c r="A10667" s="182"/>
      <c r="Q10667" s="183"/>
      <c r="R10667" s="183"/>
      <c r="S10667" s="183"/>
    </row>
    <row r="10668" spans="1:19">
      <c r="A10668" s="182"/>
      <c r="Q10668" s="183"/>
      <c r="R10668" s="183"/>
      <c r="S10668" s="183"/>
    </row>
    <row r="10669" spans="1:19">
      <c r="A10669" s="182"/>
      <c r="Q10669" s="183"/>
      <c r="R10669" s="183"/>
      <c r="S10669" s="183"/>
    </row>
    <row r="10670" spans="1:19">
      <c r="A10670" s="182"/>
      <c r="Q10670" s="183"/>
      <c r="R10670" s="183"/>
      <c r="S10670" s="183"/>
    </row>
    <row r="10671" spans="1:19">
      <c r="A10671" s="182"/>
      <c r="Q10671" s="183"/>
      <c r="R10671" s="183"/>
      <c r="S10671" s="183"/>
    </row>
    <row r="10672" spans="1:19">
      <c r="A10672" s="182"/>
      <c r="Q10672" s="183"/>
      <c r="R10672" s="183"/>
      <c r="S10672" s="183"/>
    </row>
    <row r="10673" spans="1:19">
      <c r="A10673" s="182"/>
      <c r="Q10673" s="183"/>
      <c r="R10673" s="183"/>
      <c r="S10673" s="183"/>
    </row>
    <row r="10674" spans="1:19">
      <c r="A10674" s="182"/>
      <c r="Q10674" s="183"/>
      <c r="R10674" s="183"/>
      <c r="S10674" s="183"/>
    </row>
    <row r="10675" spans="1:19">
      <c r="A10675" s="182"/>
      <c r="Q10675" s="183"/>
      <c r="R10675" s="183"/>
      <c r="S10675" s="183"/>
    </row>
    <row r="10676" spans="1:19">
      <c r="A10676" s="182"/>
      <c r="Q10676" s="183"/>
      <c r="R10676" s="183"/>
      <c r="S10676" s="183"/>
    </row>
    <row r="10677" spans="1:19">
      <c r="A10677" s="182"/>
      <c r="Q10677" s="183"/>
      <c r="R10677" s="183"/>
      <c r="S10677" s="183"/>
    </row>
    <row r="10678" spans="1:19">
      <c r="A10678" s="182"/>
      <c r="Q10678" s="183"/>
      <c r="R10678" s="183"/>
      <c r="S10678" s="183"/>
    </row>
    <row r="10679" spans="1:19">
      <c r="A10679" s="182"/>
      <c r="Q10679" s="183"/>
      <c r="R10679" s="183"/>
      <c r="S10679" s="183"/>
    </row>
    <row r="10680" spans="1:19">
      <c r="A10680" s="182"/>
      <c r="Q10680" s="183"/>
      <c r="R10680" s="183"/>
      <c r="S10680" s="183"/>
    </row>
    <row r="10681" spans="1:19">
      <c r="A10681" s="182"/>
      <c r="Q10681" s="183"/>
      <c r="R10681" s="183"/>
      <c r="S10681" s="183"/>
    </row>
    <row r="10682" spans="1:19">
      <c r="A10682" s="182"/>
      <c r="Q10682" s="183"/>
    </row>
    <row r="10683" spans="1:19">
      <c r="A10683" s="182"/>
      <c r="R10683" s="183"/>
      <c r="S10683" s="183"/>
    </row>
    <row r="10684" spans="1:19">
      <c r="A10684" s="182"/>
      <c r="Q10684" s="183"/>
      <c r="R10684" s="183"/>
      <c r="S10684" s="183"/>
    </row>
    <row r="10685" spans="1:19">
      <c r="A10685" s="182"/>
      <c r="Q10685" s="183"/>
      <c r="R10685" s="183"/>
      <c r="S10685" s="183"/>
    </row>
    <row r="10686" spans="1:19">
      <c r="A10686" s="182"/>
      <c r="Q10686" s="183"/>
      <c r="R10686" s="183"/>
      <c r="S10686" s="183"/>
    </row>
    <row r="10687" spans="1:19">
      <c r="A10687" s="182"/>
      <c r="Q10687" s="183"/>
      <c r="R10687" s="183"/>
      <c r="S10687" s="183"/>
    </row>
    <row r="10688" spans="1:19">
      <c r="A10688" s="182"/>
      <c r="Q10688" s="183"/>
      <c r="R10688" s="183"/>
      <c r="S10688" s="183"/>
    </row>
    <row r="10689" spans="1:38">
      <c r="A10689" s="182"/>
      <c r="Q10689" s="183"/>
      <c r="R10689" s="183"/>
      <c r="S10689" s="183"/>
      <c r="AK10689" s="183"/>
      <c r="AL10689" s="183"/>
    </row>
    <row r="10690" spans="1:38">
      <c r="A10690" s="182"/>
      <c r="Q10690" s="183"/>
      <c r="R10690" s="183"/>
      <c r="S10690" s="183"/>
      <c r="AJ10690" s="183"/>
      <c r="AK10690" s="183"/>
      <c r="AL10690" s="183"/>
    </row>
    <row r="10691" spans="1:38">
      <c r="A10691" s="182"/>
      <c r="Q10691" s="183"/>
      <c r="R10691" s="183"/>
      <c r="S10691" s="183"/>
      <c r="AJ10691" s="183"/>
      <c r="AK10691" s="183"/>
      <c r="AL10691" s="183"/>
    </row>
    <row r="10692" spans="1:38">
      <c r="A10692" s="182"/>
      <c r="Q10692" s="183"/>
      <c r="AJ10692" s="183"/>
      <c r="AK10692" s="183"/>
      <c r="AL10692" s="183"/>
    </row>
    <row r="10693" spans="1:38">
      <c r="A10693" s="182"/>
      <c r="R10693" s="183"/>
      <c r="S10693" s="183"/>
      <c r="AJ10693" s="183"/>
    </row>
    <row r="10694" spans="1:38">
      <c r="A10694" s="182"/>
      <c r="Q10694" s="183"/>
      <c r="R10694" s="183"/>
      <c r="S10694" s="183"/>
    </row>
    <row r="10695" spans="1:38">
      <c r="A10695" s="182"/>
      <c r="Q10695" s="183"/>
      <c r="R10695" s="183"/>
      <c r="S10695" s="183"/>
    </row>
    <row r="10696" spans="1:38">
      <c r="A10696" s="182"/>
      <c r="Q10696" s="183"/>
      <c r="R10696" s="183"/>
      <c r="S10696" s="183"/>
    </row>
    <row r="10697" spans="1:38">
      <c r="A10697" s="182"/>
      <c r="Q10697" s="183"/>
      <c r="R10697" s="183"/>
      <c r="S10697" s="183"/>
    </row>
    <row r="10698" spans="1:38">
      <c r="A10698" s="182"/>
      <c r="Q10698" s="183"/>
      <c r="R10698" s="183"/>
      <c r="S10698" s="183"/>
    </row>
    <row r="10699" spans="1:38">
      <c r="A10699" s="182"/>
      <c r="Q10699" s="183"/>
      <c r="R10699" s="183"/>
      <c r="S10699" s="183"/>
    </row>
    <row r="10700" spans="1:38">
      <c r="A10700" s="182"/>
      <c r="Q10700" s="183"/>
      <c r="R10700" s="183"/>
      <c r="S10700" s="183"/>
    </row>
    <row r="10701" spans="1:38">
      <c r="A10701" s="182"/>
      <c r="Q10701" s="183"/>
      <c r="R10701" s="183"/>
      <c r="S10701" s="183"/>
    </row>
    <row r="10702" spans="1:38">
      <c r="A10702" s="182"/>
      <c r="Q10702" s="183"/>
      <c r="R10702" s="183"/>
      <c r="S10702" s="183"/>
    </row>
    <row r="10703" spans="1:38">
      <c r="A10703" s="182"/>
      <c r="Q10703" s="183"/>
      <c r="R10703" s="183"/>
      <c r="S10703" s="183"/>
    </row>
    <row r="10704" spans="1:38">
      <c r="A10704" s="182"/>
      <c r="Q10704" s="183"/>
      <c r="R10704" s="183"/>
      <c r="S10704" s="183"/>
    </row>
    <row r="10705" spans="1:19">
      <c r="A10705" s="182"/>
      <c r="Q10705" s="183"/>
    </row>
    <row r="10706" spans="1:19">
      <c r="A10706" s="182"/>
      <c r="R10706" s="183"/>
      <c r="S10706" s="183"/>
    </row>
    <row r="10707" spans="1:19">
      <c r="A10707" s="182"/>
      <c r="Q10707" s="183"/>
      <c r="R10707" s="183"/>
      <c r="S10707" s="183"/>
    </row>
    <row r="10708" spans="1:19">
      <c r="A10708" s="182"/>
      <c r="Q10708" s="183"/>
      <c r="R10708" s="183"/>
      <c r="S10708" s="183"/>
    </row>
    <row r="10709" spans="1:19">
      <c r="A10709" s="182"/>
      <c r="Q10709" s="183"/>
      <c r="R10709" s="183"/>
      <c r="S10709" s="183"/>
    </row>
    <row r="10710" spans="1:19">
      <c r="A10710" s="182"/>
      <c r="Q10710" s="183"/>
      <c r="R10710" s="183"/>
      <c r="S10710" s="183"/>
    </row>
    <row r="10711" spans="1:19">
      <c r="A10711" s="182"/>
      <c r="Q10711" s="183"/>
      <c r="R10711" s="183"/>
      <c r="S10711" s="183"/>
    </row>
    <row r="10712" spans="1:19">
      <c r="A10712" s="182"/>
      <c r="Q10712" s="183"/>
      <c r="R10712" s="183"/>
      <c r="S10712" s="183"/>
    </row>
    <row r="10713" spans="1:19">
      <c r="A10713" s="182"/>
      <c r="Q10713" s="183"/>
      <c r="R10713" s="183"/>
      <c r="S10713" s="183"/>
    </row>
    <row r="10714" spans="1:19">
      <c r="A10714" s="182"/>
      <c r="Q10714" s="183"/>
      <c r="R10714" s="183"/>
      <c r="S10714" s="183"/>
    </row>
    <row r="10715" spans="1:19">
      <c r="A10715" s="182"/>
      <c r="Q10715" s="183"/>
      <c r="R10715" s="183"/>
      <c r="S10715" s="183"/>
    </row>
    <row r="10716" spans="1:19">
      <c r="A10716" s="182"/>
      <c r="Q10716" s="183"/>
      <c r="R10716" s="183"/>
      <c r="S10716" s="183"/>
    </row>
    <row r="10717" spans="1:19">
      <c r="A10717" s="182"/>
      <c r="Q10717" s="183"/>
      <c r="R10717" s="183"/>
      <c r="S10717" s="183"/>
    </row>
    <row r="10718" spans="1:19">
      <c r="A10718" s="182"/>
      <c r="Q10718" s="183"/>
      <c r="R10718" s="183"/>
      <c r="S10718" s="183"/>
    </row>
    <row r="10719" spans="1:19">
      <c r="A10719" s="182"/>
      <c r="Q10719" s="183"/>
      <c r="R10719" s="183"/>
      <c r="S10719" s="183"/>
    </row>
    <row r="10720" spans="1:19">
      <c r="A10720" s="182"/>
      <c r="Q10720" s="183"/>
      <c r="R10720" s="183"/>
      <c r="S10720" s="183"/>
    </row>
    <row r="10721" spans="1:19">
      <c r="A10721" s="182"/>
      <c r="Q10721" s="183"/>
      <c r="R10721" s="183"/>
      <c r="S10721" s="183"/>
    </row>
    <row r="10722" spans="1:19">
      <c r="A10722" s="182"/>
      <c r="Q10722" s="183"/>
      <c r="R10722" s="183"/>
      <c r="S10722" s="183"/>
    </row>
    <row r="10723" spans="1:19">
      <c r="A10723" s="182"/>
      <c r="Q10723" s="183"/>
      <c r="R10723" s="183"/>
      <c r="S10723" s="183"/>
    </row>
    <row r="10724" spans="1:19">
      <c r="A10724" s="182"/>
      <c r="Q10724" s="183"/>
      <c r="R10724" s="183"/>
      <c r="S10724" s="183"/>
    </row>
    <row r="10725" spans="1:19">
      <c r="A10725" s="182"/>
      <c r="Q10725" s="183"/>
      <c r="R10725" s="183"/>
      <c r="S10725" s="183"/>
    </row>
    <row r="10726" spans="1:19">
      <c r="A10726" s="182"/>
      <c r="Q10726" s="183"/>
      <c r="R10726" s="183"/>
      <c r="S10726" s="183"/>
    </row>
    <row r="10727" spans="1:19">
      <c r="A10727" s="182"/>
      <c r="Q10727" s="183"/>
      <c r="R10727" s="183"/>
      <c r="S10727" s="183"/>
    </row>
    <row r="10728" spans="1:19">
      <c r="A10728" s="182"/>
      <c r="Q10728" s="183"/>
      <c r="R10728" s="183"/>
      <c r="S10728" s="183"/>
    </row>
    <row r="10729" spans="1:19">
      <c r="A10729" s="182"/>
      <c r="Q10729" s="183"/>
      <c r="R10729" s="183"/>
      <c r="S10729" s="183"/>
    </row>
    <row r="10730" spans="1:19">
      <c r="A10730" s="182"/>
      <c r="Q10730" s="183"/>
      <c r="R10730" s="183"/>
      <c r="S10730" s="183"/>
    </row>
    <row r="10731" spans="1:19">
      <c r="A10731" s="182"/>
      <c r="Q10731" s="183"/>
      <c r="R10731" s="183"/>
      <c r="S10731" s="183"/>
    </row>
    <row r="10732" spans="1:19">
      <c r="A10732" s="182"/>
      <c r="Q10732" s="183"/>
    </row>
    <row r="10733" spans="1:19">
      <c r="A10733" s="182"/>
      <c r="R10733" s="183"/>
      <c r="S10733" s="183"/>
    </row>
    <row r="10734" spans="1:19">
      <c r="A10734" s="182"/>
      <c r="Q10734" s="183"/>
      <c r="R10734" s="183"/>
      <c r="S10734" s="183"/>
    </row>
    <row r="10735" spans="1:19">
      <c r="A10735" s="182"/>
      <c r="Q10735" s="183"/>
      <c r="R10735" s="183"/>
      <c r="S10735" s="183"/>
    </row>
    <row r="10736" spans="1:19">
      <c r="A10736" s="182"/>
      <c r="Q10736" s="183"/>
      <c r="R10736" s="183"/>
      <c r="S10736" s="183"/>
    </row>
    <row r="10737" spans="1:19">
      <c r="A10737" s="182"/>
      <c r="Q10737" s="183"/>
      <c r="R10737" s="183"/>
      <c r="S10737" s="183"/>
    </row>
    <row r="10738" spans="1:19">
      <c r="A10738" s="182"/>
      <c r="Q10738" s="183"/>
      <c r="R10738" s="183"/>
      <c r="S10738" s="183"/>
    </row>
    <row r="10739" spans="1:19">
      <c r="A10739" s="182"/>
      <c r="Q10739" s="183"/>
    </row>
    <row r="10740" spans="1:19">
      <c r="A10740" s="182"/>
      <c r="R10740" s="183"/>
      <c r="S10740" s="183"/>
    </row>
    <row r="10741" spans="1:19">
      <c r="A10741" s="182"/>
      <c r="Q10741" s="183"/>
      <c r="R10741" s="183"/>
      <c r="S10741" s="183"/>
    </row>
    <row r="10742" spans="1:19">
      <c r="A10742" s="182"/>
      <c r="Q10742" s="183"/>
      <c r="R10742" s="183"/>
      <c r="S10742" s="183"/>
    </row>
    <row r="10743" spans="1:19">
      <c r="A10743" s="182"/>
      <c r="Q10743" s="183"/>
      <c r="R10743" s="183"/>
      <c r="S10743" s="183"/>
    </row>
    <row r="10744" spans="1:19">
      <c r="A10744" s="182"/>
      <c r="Q10744" s="183"/>
      <c r="R10744" s="183"/>
      <c r="S10744" s="183"/>
    </row>
    <row r="10745" spans="1:19">
      <c r="A10745" s="182"/>
      <c r="Q10745" s="183"/>
      <c r="R10745" s="183"/>
      <c r="S10745" s="183"/>
    </row>
    <row r="10746" spans="1:19">
      <c r="A10746" s="182"/>
      <c r="Q10746" s="183"/>
      <c r="R10746" s="183"/>
      <c r="S10746" s="183"/>
    </row>
    <row r="10747" spans="1:19">
      <c r="A10747" s="182"/>
      <c r="Q10747" s="183"/>
      <c r="R10747" s="183"/>
      <c r="S10747" s="183"/>
    </row>
    <row r="10748" spans="1:19">
      <c r="A10748" s="182"/>
      <c r="Q10748" s="183"/>
      <c r="R10748" s="183"/>
      <c r="S10748" s="183"/>
    </row>
    <row r="10749" spans="1:19">
      <c r="A10749" s="182"/>
      <c r="Q10749" s="183"/>
      <c r="R10749" s="183"/>
      <c r="S10749" s="183"/>
    </row>
    <row r="10750" spans="1:19">
      <c r="A10750" s="182"/>
      <c r="Q10750" s="183"/>
      <c r="R10750" s="183"/>
      <c r="S10750" s="183"/>
    </row>
    <row r="10751" spans="1:19">
      <c r="A10751" s="182"/>
      <c r="Q10751" s="183"/>
      <c r="R10751" s="183"/>
      <c r="S10751" s="183"/>
    </row>
    <row r="10752" spans="1:19">
      <c r="A10752" s="182"/>
      <c r="Q10752" s="183"/>
      <c r="R10752" s="183"/>
      <c r="S10752" s="183"/>
    </row>
    <row r="10753" spans="1:19">
      <c r="A10753" s="182"/>
      <c r="Q10753" s="183"/>
      <c r="R10753" s="183"/>
      <c r="S10753" s="183"/>
    </row>
    <row r="10754" spans="1:19">
      <c r="A10754" s="182"/>
      <c r="Q10754" s="183"/>
      <c r="R10754" s="183"/>
      <c r="S10754" s="183"/>
    </row>
    <row r="10755" spans="1:19">
      <c r="A10755" s="182"/>
      <c r="Q10755" s="183"/>
      <c r="R10755" s="183"/>
      <c r="S10755" s="183"/>
    </row>
    <row r="10756" spans="1:19">
      <c r="A10756" s="182"/>
      <c r="Q10756" s="183"/>
      <c r="R10756" s="183"/>
      <c r="S10756" s="183"/>
    </row>
    <row r="10757" spans="1:19">
      <c r="A10757" s="182"/>
      <c r="Q10757" s="183"/>
      <c r="R10757" s="183"/>
      <c r="S10757" s="183"/>
    </row>
    <row r="10758" spans="1:19">
      <c r="A10758" s="182"/>
      <c r="Q10758" s="183"/>
      <c r="R10758" s="183"/>
      <c r="S10758" s="183"/>
    </row>
    <row r="10759" spans="1:19">
      <c r="A10759" s="182"/>
      <c r="Q10759" s="183"/>
      <c r="R10759" s="183"/>
      <c r="S10759" s="183"/>
    </row>
    <row r="10760" spans="1:19">
      <c r="A10760" s="182"/>
      <c r="Q10760" s="183"/>
      <c r="R10760" s="183"/>
      <c r="S10760" s="183"/>
    </row>
    <row r="10761" spans="1:19">
      <c r="A10761" s="182"/>
      <c r="Q10761" s="183"/>
      <c r="R10761" s="183"/>
      <c r="S10761" s="183"/>
    </row>
    <row r="10762" spans="1:19">
      <c r="A10762" s="182"/>
      <c r="Q10762" s="183"/>
      <c r="R10762" s="183"/>
      <c r="S10762" s="183"/>
    </row>
    <row r="10763" spans="1:19">
      <c r="A10763" s="182"/>
      <c r="Q10763" s="183"/>
      <c r="R10763" s="183"/>
      <c r="S10763" s="183"/>
    </row>
    <row r="10764" spans="1:19">
      <c r="A10764" s="182"/>
      <c r="Q10764" s="183"/>
      <c r="R10764" s="183"/>
      <c r="S10764" s="183"/>
    </row>
    <row r="10765" spans="1:19">
      <c r="A10765" s="182"/>
      <c r="Q10765" s="183"/>
      <c r="R10765" s="183"/>
      <c r="S10765" s="183"/>
    </row>
    <row r="10766" spans="1:19">
      <c r="A10766" s="182"/>
      <c r="Q10766" s="183"/>
      <c r="R10766" s="183"/>
      <c r="S10766" s="183"/>
    </row>
    <row r="10767" spans="1:19">
      <c r="A10767" s="182"/>
      <c r="Q10767" s="183"/>
      <c r="R10767" s="183"/>
      <c r="S10767" s="183"/>
    </row>
    <row r="10768" spans="1:19">
      <c r="A10768" s="182"/>
      <c r="Q10768" s="183"/>
      <c r="R10768" s="183"/>
      <c r="S10768" s="183"/>
    </row>
    <row r="10769" spans="1:38">
      <c r="A10769" s="182"/>
      <c r="Q10769" s="183"/>
      <c r="R10769" s="183"/>
      <c r="S10769" s="183"/>
      <c r="AK10769" s="183"/>
      <c r="AL10769" s="183"/>
    </row>
    <row r="10770" spans="1:38">
      <c r="A10770" s="182"/>
      <c r="Q10770" s="183"/>
      <c r="R10770" s="183"/>
      <c r="S10770" s="183"/>
      <c r="AJ10770" s="183"/>
      <c r="AK10770" s="183"/>
      <c r="AL10770" s="183"/>
    </row>
    <row r="10771" spans="1:38">
      <c r="A10771" s="182"/>
      <c r="Q10771" s="183"/>
      <c r="R10771" s="183"/>
      <c r="S10771" s="183"/>
      <c r="AJ10771" s="183"/>
      <c r="AK10771" s="183"/>
      <c r="AL10771" s="183"/>
    </row>
    <row r="10772" spans="1:38">
      <c r="A10772" s="182"/>
      <c r="Q10772" s="183"/>
      <c r="R10772" s="183"/>
      <c r="S10772" s="183"/>
      <c r="AJ10772" s="183"/>
      <c r="AK10772" s="183"/>
      <c r="AL10772" s="183"/>
    </row>
    <row r="10773" spans="1:38">
      <c r="A10773" s="182"/>
      <c r="Q10773" s="183"/>
      <c r="R10773" s="183"/>
      <c r="S10773" s="183"/>
      <c r="AJ10773" s="183"/>
    </row>
    <row r="10774" spans="1:38">
      <c r="A10774" s="182"/>
      <c r="Q10774" s="183"/>
      <c r="R10774" s="183"/>
      <c r="S10774" s="183"/>
    </row>
    <row r="10775" spans="1:38">
      <c r="A10775" s="182"/>
      <c r="Q10775" s="183"/>
      <c r="R10775" s="183"/>
      <c r="S10775" s="183"/>
    </row>
    <row r="10776" spans="1:38">
      <c r="A10776" s="182"/>
      <c r="Q10776" s="183"/>
      <c r="R10776" s="183"/>
      <c r="S10776" s="183"/>
    </row>
    <row r="10777" spans="1:38">
      <c r="A10777" s="182"/>
      <c r="Q10777" s="183"/>
      <c r="R10777" s="183"/>
      <c r="S10777" s="183"/>
    </row>
    <row r="10778" spans="1:38">
      <c r="A10778" s="182"/>
      <c r="Q10778" s="183"/>
      <c r="R10778" s="183"/>
      <c r="S10778" s="183"/>
    </row>
    <row r="10779" spans="1:38">
      <c r="A10779" s="182"/>
      <c r="Q10779" s="183"/>
      <c r="R10779" s="183"/>
      <c r="S10779" s="183"/>
    </row>
    <row r="10780" spans="1:38">
      <c r="A10780" s="182"/>
      <c r="Q10780" s="183"/>
      <c r="R10780" s="183"/>
      <c r="S10780" s="183"/>
    </row>
    <row r="10781" spans="1:38">
      <c r="A10781" s="182"/>
      <c r="Q10781" s="183"/>
      <c r="R10781" s="183"/>
      <c r="S10781" s="183"/>
    </row>
    <row r="10782" spans="1:38">
      <c r="A10782" s="182"/>
      <c r="Q10782" s="183"/>
    </row>
    <row r="10783" spans="1:38">
      <c r="A10783" s="182"/>
    </row>
    <row r="10784" spans="1:38">
      <c r="A10784" s="182"/>
      <c r="R10784" s="183"/>
      <c r="S10784" s="183"/>
    </row>
    <row r="10785" spans="1:19">
      <c r="A10785" s="182"/>
      <c r="Q10785" s="183"/>
      <c r="R10785" s="183"/>
      <c r="S10785" s="183"/>
    </row>
    <row r="10786" spans="1:19">
      <c r="A10786" s="182"/>
      <c r="Q10786" s="183"/>
      <c r="R10786" s="183"/>
      <c r="S10786" s="183"/>
    </row>
    <row r="10787" spans="1:19">
      <c r="A10787" s="182"/>
      <c r="Q10787" s="183"/>
      <c r="R10787" s="183"/>
      <c r="S10787" s="183"/>
    </row>
    <row r="10788" spans="1:19">
      <c r="A10788" s="182"/>
      <c r="Q10788" s="183"/>
      <c r="R10788" s="183"/>
      <c r="S10788" s="183"/>
    </row>
    <row r="10789" spans="1:19">
      <c r="A10789" s="182"/>
      <c r="Q10789" s="183"/>
      <c r="R10789" s="183"/>
      <c r="S10789" s="183"/>
    </row>
    <row r="10790" spans="1:19">
      <c r="A10790" s="182"/>
      <c r="Q10790" s="183"/>
      <c r="R10790" s="183"/>
      <c r="S10790" s="183"/>
    </row>
    <row r="10791" spans="1:19">
      <c r="A10791" s="182"/>
      <c r="Q10791" s="183"/>
      <c r="R10791" s="183"/>
      <c r="S10791" s="183"/>
    </row>
    <row r="10792" spans="1:19">
      <c r="A10792" s="182"/>
      <c r="Q10792" s="183"/>
      <c r="R10792" s="183"/>
      <c r="S10792" s="183"/>
    </row>
    <row r="10793" spans="1:19">
      <c r="A10793" s="182"/>
      <c r="Q10793" s="183"/>
      <c r="R10793" s="183"/>
      <c r="S10793" s="183"/>
    </row>
    <row r="10794" spans="1:19">
      <c r="A10794" s="182"/>
      <c r="Q10794" s="183"/>
      <c r="R10794" s="183"/>
      <c r="S10794" s="183"/>
    </row>
    <row r="10795" spans="1:19">
      <c r="A10795" s="182"/>
      <c r="Q10795" s="183"/>
      <c r="R10795" s="183"/>
      <c r="S10795" s="183"/>
    </row>
    <row r="10796" spans="1:19">
      <c r="A10796" s="182"/>
      <c r="Q10796" s="183"/>
      <c r="R10796" s="183"/>
      <c r="S10796" s="183"/>
    </row>
    <row r="10797" spans="1:19">
      <c r="A10797" s="182"/>
      <c r="Q10797" s="183"/>
      <c r="R10797" s="183"/>
      <c r="S10797" s="183"/>
    </row>
    <row r="10798" spans="1:19">
      <c r="A10798" s="182"/>
      <c r="Q10798" s="183"/>
      <c r="R10798" s="183"/>
      <c r="S10798" s="183"/>
    </row>
    <row r="10799" spans="1:19">
      <c r="A10799" s="182"/>
      <c r="Q10799" s="183"/>
      <c r="R10799" s="183"/>
      <c r="S10799" s="183"/>
    </row>
    <row r="10800" spans="1:19">
      <c r="A10800" s="182"/>
      <c r="Q10800" s="183"/>
      <c r="R10800" s="183"/>
      <c r="S10800" s="183"/>
    </row>
    <row r="10801" spans="1:19">
      <c r="A10801" s="182"/>
      <c r="Q10801" s="183"/>
      <c r="R10801" s="183"/>
      <c r="S10801" s="183"/>
    </row>
    <row r="10802" spans="1:19">
      <c r="A10802" s="182"/>
      <c r="Q10802" s="183"/>
      <c r="R10802" s="183"/>
      <c r="S10802" s="183"/>
    </row>
    <row r="10803" spans="1:19">
      <c r="A10803" s="182"/>
      <c r="Q10803" s="183"/>
      <c r="R10803" s="183"/>
      <c r="S10803" s="183"/>
    </row>
    <row r="10804" spans="1:19">
      <c r="A10804" s="182"/>
      <c r="Q10804" s="183"/>
      <c r="R10804" s="183"/>
      <c r="S10804" s="183"/>
    </row>
    <row r="10805" spans="1:19">
      <c r="A10805" s="182"/>
      <c r="Q10805" s="183"/>
      <c r="R10805" s="183"/>
      <c r="S10805" s="183"/>
    </row>
    <row r="10806" spans="1:19">
      <c r="A10806" s="182"/>
      <c r="Q10806" s="183"/>
      <c r="R10806" s="183"/>
      <c r="S10806" s="183"/>
    </row>
    <row r="10807" spans="1:19">
      <c r="A10807" s="182"/>
      <c r="Q10807" s="183"/>
      <c r="R10807" s="183"/>
      <c r="S10807" s="183"/>
    </row>
    <row r="10808" spans="1:19">
      <c r="A10808" s="182"/>
      <c r="Q10808" s="183"/>
      <c r="R10808" s="183"/>
      <c r="S10808" s="183"/>
    </row>
    <row r="10809" spans="1:19">
      <c r="A10809" s="182"/>
      <c r="Q10809" s="183"/>
      <c r="R10809" s="183"/>
      <c r="S10809" s="183"/>
    </row>
    <row r="10810" spans="1:19">
      <c r="A10810" s="182"/>
      <c r="Q10810" s="183"/>
      <c r="R10810" s="183"/>
      <c r="S10810" s="183"/>
    </row>
    <row r="10811" spans="1:19">
      <c r="A10811" s="182"/>
      <c r="Q10811" s="183"/>
      <c r="R10811" s="183"/>
      <c r="S10811" s="183"/>
    </row>
    <row r="10812" spans="1:19">
      <c r="A10812" s="182"/>
      <c r="Q10812" s="183"/>
      <c r="R10812" s="183"/>
      <c r="S10812" s="183"/>
    </row>
    <row r="10813" spans="1:19">
      <c r="A10813" s="182"/>
      <c r="Q10813" s="183"/>
      <c r="R10813" s="183"/>
      <c r="S10813" s="183"/>
    </row>
    <row r="10814" spans="1:19">
      <c r="A10814" s="182"/>
      <c r="Q10814" s="183"/>
      <c r="R10814" s="183"/>
      <c r="S10814" s="183"/>
    </row>
    <row r="10815" spans="1:19">
      <c r="A10815" s="182"/>
      <c r="Q10815" s="183"/>
      <c r="R10815" s="183"/>
      <c r="S10815" s="183"/>
    </row>
    <row r="10816" spans="1:19">
      <c r="A10816" s="182"/>
      <c r="Q10816" s="183"/>
      <c r="R10816" s="183"/>
      <c r="S10816" s="183"/>
    </row>
    <row r="10817" spans="1:38">
      <c r="A10817" s="182"/>
      <c r="Q10817" s="183"/>
      <c r="R10817" s="183"/>
      <c r="S10817" s="183"/>
    </row>
    <row r="10818" spans="1:38">
      <c r="A10818" s="182"/>
      <c r="Q10818" s="183"/>
      <c r="R10818" s="183"/>
      <c r="S10818" s="183"/>
    </row>
    <row r="10819" spans="1:38">
      <c r="A10819" s="182"/>
      <c r="Q10819" s="183"/>
      <c r="R10819" s="183"/>
      <c r="S10819" s="183"/>
    </row>
    <row r="10820" spans="1:38">
      <c r="A10820" s="182"/>
      <c r="Q10820" s="183"/>
      <c r="R10820" s="183"/>
      <c r="S10820" s="183"/>
    </row>
    <row r="10821" spans="1:38">
      <c r="A10821" s="182"/>
      <c r="Q10821" s="183"/>
      <c r="R10821" s="183"/>
      <c r="S10821" s="183"/>
      <c r="AK10821" s="183"/>
      <c r="AL10821" s="183"/>
    </row>
    <row r="10822" spans="1:38">
      <c r="A10822" s="182"/>
      <c r="Q10822" s="183"/>
      <c r="R10822" s="183"/>
      <c r="S10822" s="183"/>
      <c r="AJ10822" s="183"/>
      <c r="AK10822" s="183"/>
      <c r="AL10822" s="183"/>
    </row>
    <row r="10823" spans="1:38">
      <c r="A10823" s="182"/>
      <c r="Q10823" s="183"/>
      <c r="R10823" s="183"/>
      <c r="S10823" s="183"/>
      <c r="AJ10823" s="183"/>
      <c r="AK10823" s="183"/>
      <c r="AL10823" s="183"/>
    </row>
    <row r="10824" spans="1:38">
      <c r="A10824" s="182"/>
      <c r="Q10824" s="183"/>
      <c r="R10824" s="183"/>
      <c r="S10824" s="183"/>
      <c r="AJ10824" s="183"/>
      <c r="AK10824" s="183"/>
      <c r="AL10824" s="183"/>
    </row>
    <row r="10825" spans="1:38">
      <c r="A10825" s="182"/>
      <c r="Q10825" s="183"/>
      <c r="R10825" s="183"/>
      <c r="S10825" s="183"/>
      <c r="AJ10825" s="183"/>
    </row>
    <row r="10826" spans="1:38">
      <c r="A10826" s="182"/>
      <c r="Q10826" s="183"/>
      <c r="R10826" s="183"/>
      <c r="S10826" s="183"/>
    </row>
    <row r="10827" spans="1:38">
      <c r="A10827" s="182"/>
      <c r="Q10827" s="183"/>
      <c r="R10827" s="183"/>
      <c r="S10827" s="183"/>
    </row>
    <row r="10828" spans="1:38">
      <c r="A10828" s="182"/>
      <c r="Q10828" s="183"/>
      <c r="R10828" s="183"/>
      <c r="S10828" s="183"/>
    </row>
    <row r="10829" spans="1:38">
      <c r="A10829" s="182"/>
      <c r="Q10829" s="183"/>
      <c r="R10829" s="183"/>
      <c r="S10829" s="183"/>
    </row>
    <row r="10830" spans="1:38">
      <c r="A10830" s="182"/>
      <c r="Q10830" s="183"/>
      <c r="R10830" s="183"/>
      <c r="S10830" s="183"/>
    </row>
    <row r="10831" spans="1:38">
      <c r="A10831" s="182"/>
      <c r="Q10831" s="183"/>
      <c r="R10831" s="183"/>
      <c r="S10831" s="183"/>
    </row>
    <row r="10832" spans="1:38">
      <c r="A10832" s="182"/>
      <c r="Q10832" s="183"/>
      <c r="R10832" s="183"/>
      <c r="S10832" s="183"/>
    </row>
    <row r="10833" spans="1:38">
      <c r="A10833" s="182"/>
      <c r="Q10833" s="183"/>
      <c r="R10833" s="183"/>
      <c r="S10833" s="183"/>
    </row>
    <row r="10834" spans="1:38">
      <c r="A10834" s="182"/>
      <c r="Q10834" s="183"/>
      <c r="R10834" s="183"/>
      <c r="S10834" s="183"/>
    </row>
    <row r="10835" spans="1:38">
      <c r="A10835" s="182"/>
      <c r="Q10835" s="183"/>
      <c r="R10835" s="183"/>
      <c r="S10835" s="183"/>
    </row>
    <row r="10836" spans="1:38">
      <c r="A10836" s="182"/>
      <c r="Q10836" s="183"/>
      <c r="R10836" s="183"/>
      <c r="S10836" s="183"/>
    </row>
    <row r="10837" spans="1:38">
      <c r="A10837" s="182"/>
      <c r="Q10837" s="183"/>
      <c r="R10837" s="183"/>
      <c r="S10837" s="183"/>
    </row>
    <row r="10838" spans="1:38">
      <c r="A10838" s="182"/>
      <c r="Q10838" s="183"/>
      <c r="R10838" s="183"/>
      <c r="S10838" s="183"/>
    </row>
    <row r="10839" spans="1:38">
      <c r="A10839" s="182"/>
      <c r="Q10839" s="183"/>
      <c r="R10839" s="183"/>
      <c r="S10839" s="183"/>
    </row>
    <row r="10840" spans="1:38">
      <c r="A10840" s="182"/>
      <c r="Q10840" s="183"/>
      <c r="R10840" s="183"/>
      <c r="S10840" s="183"/>
    </row>
    <row r="10841" spans="1:38">
      <c r="A10841" s="182"/>
      <c r="Q10841" s="183"/>
      <c r="R10841" s="183"/>
      <c r="S10841" s="183"/>
      <c r="AK10841" s="183"/>
      <c r="AL10841" s="183"/>
    </row>
    <row r="10842" spans="1:38">
      <c r="A10842" s="182"/>
      <c r="Q10842" s="183"/>
      <c r="R10842" s="183"/>
      <c r="S10842" s="183"/>
      <c r="AJ10842" s="183"/>
      <c r="AK10842" s="183"/>
      <c r="AL10842" s="183"/>
    </row>
    <row r="10843" spans="1:38">
      <c r="A10843" s="182"/>
      <c r="Q10843" s="183"/>
      <c r="R10843" s="183"/>
      <c r="S10843" s="183"/>
      <c r="AJ10843" s="183"/>
      <c r="AK10843" s="183"/>
      <c r="AL10843" s="183"/>
    </row>
    <row r="10844" spans="1:38">
      <c r="A10844" s="182"/>
      <c r="Q10844" s="183"/>
      <c r="R10844" s="183"/>
      <c r="S10844" s="183"/>
      <c r="AJ10844" s="183"/>
      <c r="AK10844" s="183"/>
      <c r="AL10844" s="183"/>
    </row>
    <row r="10845" spans="1:38">
      <c r="A10845" s="182"/>
      <c r="Q10845" s="183"/>
      <c r="R10845" s="183"/>
      <c r="S10845" s="183"/>
      <c r="AJ10845" s="183"/>
      <c r="AK10845" s="183"/>
      <c r="AL10845" s="183"/>
    </row>
    <row r="10846" spans="1:38">
      <c r="A10846" s="182"/>
      <c r="Q10846" s="183"/>
      <c r="R10846" s="183"/>
      <c r="S10846" s="183"/>
      <c r="AJ10846" s="183"/>
      <c r="AK10846" s="183"/>
      <c r="AL10846" s="183"/>
    </row>
    <row r="10847" spans="1:38">
      <c r="A10847" s="182"/>
      <c r="Q10847" s="183"/>
      <c r="R10847" s="183"/>
      <c r="S10847" s="183"/>
      <c r="AJ10847" s="183"/>
      <c r="AK10847" s="183"/>
      <c r="AL10847" s="183"/>
    </row>
    <row r="10848" spans="1:38">
      <c r="A10848" s="182"/>
      <c r="Q10848" s="183"/>
      <c r="R10848" s="183"/>
      <c r="S10848" s="183"/>
      <c r="AJ10848" s="183"/>
      <c r="AK10848" s="183"/>
      <c r="AL10848" s="183"/>
    </row>
    <row r="10849" spans="1:38">
      <c r="A10849" s="182"/>
      <c r="Q10849" s="183"/>
      <c r="R10849" s="183"/>
      <c r="S10849" s="183"/>
      <c r="AJ10849" s="183"/>
    </row>
    <row r="10850" spans="1:38">
      <c r="A10850" s="182"/>
      <c r="Q10850" s="183"/>
      <c r="R10850" s="183"/>
      <c r="S10850" s="183"/>
    </row>
    <row r="10851" spans="1:38">
      <c r="A10851" s="182"/>
      <c r="Q10851" s="183"/>
      <c r="R10851" s="183"/>
      <c r="S10851" s="183"/>
    </row>
    <row r="10852" spans="1:38">
      <c r="A10852" s="182"/>
      <c r="Q10852" s="183"/>
      <c r="R10852" s="183"/>
      <c r="S10852" s="183"/>
    </row>
    <row r="10853" spans="1:38">
      <c r="A10853" s="182"/>
      <c r="Q10853" s="183"/>
      <c r="R10853" s="183"/>
      <c r="S10853" s="183"/>
      <c r="AK10853" s="183"/>
      <c r="AL10853" s="183"/>
    </row>
    <row r="10854" spans="1:38">
      <c r="A10854" s="182"/>
      <c r="Q10854" s="183"/>
      <c r="R10854" s="183"/>
      <c r="S10854" s="183"/>
      <c r="AJ10854" s="183"/>
      <c r="AK10854" s="183"/>
      <c r="AL10854" s="183"/>
    </row>
    <row r="10855" spans="1:38">
      <c r="A10855" s="182"/>
      <c r="Q10855" s="183"/>
      <c r="R10855" s="183"/>
      <c r="S10855" s="183"/>
      <c r="AJ10855" s="183"/>
      <c r="AK10855" s="183"/>
      <c r="AL10855" s="183"/>
    </row>
    <row r="10856" spans="1:38">
      <c r="A10856" s="182"/>
      <c r="Q10856" s="183"/>
      <c r="R10856" s="183"/>
      <c r="S10856" s="183"/>
      <c r="AJ10856" s="183"/>
      <c r="AK10856" s="183"/>
      <c r="AL10856" s="183"/>
    </row>
    <row r="10857" spans="1:38">
      <c r="A10857" s="182"/>
      <c r="Q10857" s="183"/>
      <c r="R10857" s="183"/>
      <c r="S10857" s="183"/>
      <c r="AJ10857" s="183"/>
    </row>
    <row r="10858" spans="1:38">
      <c r="A10858" s="182"/>
      <c r="Q10858" s="183"/>
      <c r="R10858" s="183"/>
      <c r="S10858" s="183"/>
    </row>
    <row r="10859" spans="1:38">
      <c r="A10859" s="182"/>
      <c r="Q10859" s="183"/>
      <c r="R10859" s="183"/>
      <c r="S10859" s="183"/>
    </row>
    <row r="10860" spans="1:38">
      <c r="A10860" s="182"/>
      <c r="Q10860" s="183"/>
      <c r="R10860" s="183"/>
      <c r="S10860" s="183"/>
    </row>
    <row r="10861" spans="1:38">
      <c r="A10861" s="182"/>
      <c r="Q10861" s="183"/>
      <c r="R10861" s="183"/>
      <c r="S10861" s="183"/>
    </row>
    <row r="10862" spans="1:38">
      <c r="A10862" s="182"/>
      <c r="Q10862" s="183"/>
      <c r="R10862" s="183"/>
      <c r="S10862" s="183"/>
    </row>
    <row r="10863" spans="1:38">
      <c r="A10863" s="182"/>
      <c r="Q10863" s="183"/>
      <c r="R10863" s="183"/>
      <c r="S10863" s="183"/>
    </row>
    <row r="10864" spans="1:38">
      <c r="A10864" s="182"/>
      <c r="Q10864" s="183"/>
      <c r="R10864" s="183"/>
      <c r="S10864" s="183"/>
    </row>
    <row r="10865" spans="1:19">
      <c r="A10865" s="182"/>
      <c r="Q10865" s="183"/>
      <c r="R10865" s="183"/>
      <c r="S10865" s="183"/>
    </row>
    <row r="10866" spans="1:19">
      <c r="A10866" s="182"/>
      <c r="Q10866" s="183"/>
      <c r="R10866" s="183"/>
      <c r="S10866" s="183"/>
    </row>
    <row r="10867" spans="1:19">
      <c r="A10867" s="182"/>
      <c r="Q10867" s="183"/>
      <c r="R10867" s="183"/>
      <c r="S10867" s="183"/>
    </row>
    <row r="10868" spans="1:19">
      <c r="A10868" s="182"/>
      <c r="Q10868" s="183"/>
      <c r="R10868" s="183"/>
      <c r="S10868" s="183"/>
    </row>
    <row r="10869" spans="1:19">
      <c r="A10869" s="182"/>
      <c r="Q10869" s="183"/>
      <c r="R10869" s="183"/>
      <c r="S10869" s="183"/>
    </row>
    <row r="10870" spans="1:19">
      <c r="A10870" s="182"/>
      <c r="Q10870" s="183"/>
      <c r="R10870" s="183"/>
      <c r="S10870" s="183"/>
    </row>
    <row r="10871" spans="1:19">
      <c r="A10871" s="182"/>
      <c r="Q10871" s="183"/>
      <c r="R10871" s="183"/>
      <c r="S10871" s="183"/>
    </row>
    <row r="10872" spans="1:19">
      <c r="A10872" s="182"/>
      <c r="Q10872" s="183"/>
      <c r="R10872" s="183"/>
      <c r="S10872" s="183"/>
    </row>
    <row r="10873" spans="1:19">
      <c r="A10873" s="182"/>
      <c r="Q10873" s="183"/>
      <c r="R10873" s="183"/>
      <c r="S10873" s="183"/>
    </row>
    <row r="10874" spans="1:19">
      <c r="A10874" s="182"/>
      <c r="Q10874" s="183"/>
      <c r="R10874" s="183"/>
      <c r="S10874" s="183"/>
    </row>
    <row r="10875" spans="1:19">
      <c r="A10875" s="182"/>
      <c r="Q10875" s="183"/>
      <c r="R10875" s="183"/>
      <c r="S10875" s="183"/>
    </row>
    <row r="10876" spans="1:19">
      <c r="A10876" s="182"/>
      <c r="Q10876" s="183"/>
      <c r="R10876" s="183"/>
      <c r="S10876" s="183"/>
    </row>
    <row r="10877" spans="1:19">
      <c r="A10877" s="182"/>
      <c r="Q10877" s="183"/>
      <c r="R10877" s="183"/>
      <c r="S10877" s="183"/>
    </row>
    <row r="10878" spans="1:19">
      <c r="A10878" s="182"/>
      <c r="Q10878" s="183"/>
      <c r="R10878" s="183"/>
      <c r="S10878" s="183"/>
    </row>
    <row r="10879" spans="1:19">
      <c r="A10879" s="182"/>
      <c r="Q10879" s="183"/>
    </row>
    <row r="10880" spans="1:19">
      <c r="A10880" s="182"/>
      <c r="R10880" s="183"/>
      <c r="S10880" s="183"/>
    </row>
    <row r="10881" spans="1:19">
      <c r="A10881" s="182"/>
      <c r="Q10881" s="183"/>
      <c r="R10881" s="183"/>
      <c r="S10881" s="183"/>
    </row>
    <row r="10882" spans="1:19">
      <c r="A10882" s="182"/>
      <c r="Q10882" s="183"/>
      <c r="R10882" s="183"/>
      <c r="S10882" s="183"/>
    </row>
    <row r="10883" spans="1:19">
      <c r="A10883" s="182"/>
      <c r="Q10883" s="183"/>
      <c r="R10883" s="183"/>
      <c r="S10883" s="183"/>
    </row>
    <row r="10884" spans="1:19">
      <c r="A10884" s="182"/>
      <c r="Q10884" s="183"/>
      <c r="R10884" s="183"/>
      <c r="S10884" s="183"/>
    </row>
    <row r="10885" spans="1:19">
      <c r="A10885" s="182"/>
      <c r="Q10885" s="183"/>
      <c r="R10885" s="183"/>
      <c r="S10885" s="183"/>
    </row>
    <row r="10886" spans="1:19">
      <c r="A10886" s="182"/>
      <c r="Q10886" s="183"/>
      <c r="R10886" s="183"/>
      <c r="S10886" s="183"/>
    </row>
    <row r="10887" spans="1:19">
      <c r="A10887" s="182"/>
      <c r="Q10887" s="183"/>
      <c r="R10887" s="183"/>
      <c r="S10887" s="183"/>
    </row>
    <row r="10888" spans="1:19">
      <c r="A10888" s="182"/>
      <c r="Q10888" s="183"/>
      <c r="R10888" s="183"/>
      <c r="S10888" s="183"/>
    </row>
    <row r="10889" spans="1:19">
      <c r="A10889" s="182"/>
      <c r="Q10889" s="183"/>
      <c r="R10889" s="183"/>
      <c r="S10889" s="183"/>
    </row>
    <row r="10890" spans="1:19">
      <c r="A10890" s="182"/>
      <c r="Q10890" s="183"/>
      <c r="R10890" s="183"/>
      <c r="S10890" s="183"/>
    </row>
    <row r="10891" spans="1:19">
      <c r="A10891" s="182"/>
      <c r="Q10891" s="183"/>
      <c r="R10891" s="183"/>
      <c r="S10891" s="183"/>
    </row>
    <row r="10892" spans="1:19">
      <c r="A10892" s="182"/>
      <c r="Q10892" s="183"/>
      <c r="R10892" s="183"/>
      <c r="S10892" s="183"/>
    </row>
    <row r="10893" spans="1:19">
      <c r="A10893" s="182"/>
      <c r="Q10893" s="183"/>
      <c r="R10893" s="183"/>
      <c r="S10893" s="183"/>
    </row>
    <row r="10894" spans="1:19">
      <c r="A10894" s="182"/>
      <c r="Q10894" s="183"/>
      <c r="R10894" s="183"/>
      <c r="S10894" s="183"/>
    </row>
    <row r="10895" spans="1:19">
      <c r="A10895" s="182"/>
      <c r="Q10895" s="183"/>
      <c r="R10895" s="183"/>
      <c r="S10895" s="183"/>
    </row>
    <row r="10896" spans="1:19">
      <c r="A10896" s="182"/>
      <c r="Q10896" s="183"/>
      <c r="R10896" s="183"/>
      <c r="S10896" s="183"/>
    </row>
    <row r="10897" spans="1:19">
      <c r="A10897" s="182"/>
      <c r="Q10897" s="183"/>
    </row>
    <row r="10898" spans="1:19">
      <c r="A10898" s="182"/>
      <c r="R10898" s="183"/>
      <c r="S10898" s="183"/>
    </row>
    <row r="10899" spans="1:19">
      <c r="A10899" s="182"/>
      <c r="Q10899" s="183"/>
      <c r="R10899" s="183"/>
      <c r="S10899" s="183"/>
    </row>
    <row r="10900" spans="1:19">
      <c r="A10900" s="182"/>
      <c r="Q10900" s="183"/>
      <c r="R10900" s="183"/>
      <c r="S10900" s="183"/>
    </row>
    <row r="10901" spans="1:19">
      <c r="A10901" s="182"/>
      <c r="Q10901" s="183"/>
      <c r="R10901" s="183"/>
      <c r="S10901" s="183"/>
    </row>
    <row r="10902" spans="1:19">
      <c r="A10902" s="182"/>
      <c r="Q10902" s="183"/>
      <c r="R10902" s="183"/>
      <c r="S10902" s="183"/>
    </row>
    <row r="10903" spans="1:19">
      <c r="A10903" s="182"/>
      <c r="Q10903" s="183"/>
      <c r="R10903" s="183"/>
      <c r="S10903" s="183"/>
    </row>
    <row r="10904" spans="1:19">
      <c r="A10904" s="182"/>
      <c r="Q10904" s="183"/>
      <c r="R10904" s="183"/>
      <c r="S10904" s="183"/>
    </row>
    <row r="10905" spans="1:19">
      <c r="A10905" s="182"/>
      <c r="Q10905" s="183"/>
      <c r="R10905" s="183"/>
      <c r="S10905" s="183"/>
    </row>
    <row r="10906" spans="1:19">
      <c r="A10906" s="182"/>
      <c r="Q10906" s="183"/>
      <c r="R10906" s="183"/>
      <c r="S10906" s="183"/>
    </row>
    <row r="10907" spans="1:19">
      <c r="A10907" s="182"/>
      <c r="Q10907" s="183"/>
      <c r="R10907" s="183"/>
      <c r="S10907" s="183"/>
    </row>
    <row r="10908" spans="1:19">
      <c r="A10908" s="182"/>
      <c r="Q10908" s="183"/>
      <c r="R10908" s="183"/>
      <c r="S10908" s="183"/>
    </row>
    <row r="10909" spans="1:19">
      <c r="A10909" s="182"/>
      <c r="Q10909" s="183"/>
      <c r="R10909" s="183"/>
      <c r="S10909" s="183"/>
    </row>
    <row r="10910" spans="1:19">
      <c r="A10910" s="182"/>
      <c r="Q10910" s="183"/>
      <c r="R10910" s="183"/>
      <c r="S10910" s="183"/>
    </row>
    <row r="10911" spans="1:19">
      <c r="A10911" s="182"/>
      <c r="Q10911" s="183"/>
      <c r="R10911" s="183"/>
      <c r="S10911" s="183"/>
    </row>
    <row r="10912" spans="1:19">
      <c r="A10912" s="182"/>
      <c r="Q10912" s="183"/>
      <c r="R10912" s="183"/>
      <c r="S10912" s="183"/>
    </row>
    <row r="10913" spans="1:19">
      <c r="A10913" s="182"/>
      <c r="Q10913" s="183"/>
      <c r="R10913" s="183"/>
      <c r="S10913" s="183"/>
    </row>
    <row r="10914" spans="1:19">
      <c r="A10914" s="182"/>
      <c r="Q10914" s="183"/>
      <c r="R10914" s="183"/>
      <c r="S10914" s="183"/>
    </row>
    <row r="10915" spans="1:19">
      <c r="A10915" s="182"/>
      <c r="Q10915" s="183"/>
      <c r="R10915" s="183"/>
      <c r="S10915" s="183"/>
    </row>
    <row r="10916" spans="1:19">
      <c r="A10916" s="182"/>
      <c r="Q10916" s="183"/>
      <c r="R10916" s="183"/>
      <c r="S10916" s="183"/>
    </row>
    <row r="10917" spans="1:19">
      <c r="A10917" s="182"/>
      <c r="Q10917" s="183"/>
      <c r="R10917" s="183"/>
      <c r="S10917" s="183"/>
    </row>
    <row r="10918" spans="1:19">
      <c r="A10918" s="182"/>
      <c r="Q10918" s="183"/>
      <c r="R10918" s="183"/>
      <c r="S10918" s="183"/>
    </row>
    <row r="10919" spans="1:19">
      <c r="A10919" s="182"/>
      <c r="Q10919" s="183"/>
      <c r="R10919" s="183"/>
      <c r="S10919" s="183"/>
    </row>
    <row r="10920" spans="1:19">
      <c r="A10920" s="182"/>
      <c r="Q10920" s="183"/>
      <c r="R10920" s="183"/>
      <c r="S10920" s="183"/>
    </row>
    <row r="10921" spans="1:19">
      <c r="A10921" s="182"/>
      <c r="Q10921" s="183"/>
      <c r="R10921" s="183"/>
      <c r="S10921" s="183"/>
    </row>
    <row r="10922" spans="1:19">
      <c r="A10922" s="182"/>
      <c r="Q10922" s="183"/>
      <c r="R10922" s="183"/>
      <c r="S10922" s="183"/>
    </row>
    <row r="10923" spans="1:19">
      <c r="A10923" s="182"/>
      <c r="Q10923" s="183"/>
      <c r="R10923" s="183"/>
      <c r="S10923" s="183"/>
    </row>
    <row r="10924" spans="1:19">
      <c r="A10924" s="182"/>
      <c r="Q10924" s="183"/>
      <c r="R10924" s="183"/>
      <c r="S10924" s="183"/>
    </row>
    <row r="10925" spans="1:19">
      <c r="A10925" s="182"/>
      <c r="Q10925" s="183"/>
    </row>
    <row r="10926" spans="1:19">
      <c r="A10926" s="182"/>
      <c r="R10926" s="183"/>
      <c r="S10926" s="183"/>
    </row>
    <row r="10927" spans="1:19">
      <c r="A10927" s="182"/>
      <c r="Q10927" s="183"/>
      <c r="R10927" s="183"/>
      <c r="S10927" s="183"/>
    </row>
    <row r="10928" spans="1:19">
      <c r="A10928" s="182"/>
      <c r="Q10928" s="183"/>
      <c r="R10928" s="183"/>
      <c r="S10928" s="183"/>
    </row>
    <row r="10929" spans="1:19">
      <c r="A10929" s="182"/>
      <c r="Q10929" s="183"/>
      <c r="R10929" s="183"/>
      <c r="S10929" s="183"/>
    </row>
    <row r="10930" spans="1:19">
      <c r="A10930" s="182"/>
      <c r="Q10930" s="183"/>
      <c r="R10930" s="183"/>
      <c r="S10930" s="183"/>
    </row>
    <row r="10931" spans="1:19">
      <c r="A10931" s="182"/>
      <c r="Q10931" s="183"/>
      <c r="R10931" s="183"/>
      <c r="S10931" s="183"/>
    </row>
    <row r="10932" spans="1:19">
      <c r="A10932" s="182"/>
      <c r="Q10932" s="183"/>
      <c r="R10932" s="183"/>
      <c r="S10932" s="183"/>
    </row>
    <row r="10933" spans="1:19">
      <c r="A10933" s="182"/>
      <c r="Q10933" s="183"/>
      <c r="R10933" s="183"/>
      <c r="S10933" s="183"/>
    </row>
    <row r="10934" spans="1:19">
      <c r="A10934" s="182"/>
      <c r="Q10934" s="183"/>
      <c r="R10934" s="183"/>
      <c r="S10934" s="183"/>
    </row>
    <row r="10935" spans="1:19">
      <c r="A10935" s="182"/>
      <c r="Q10935" s="183"/>
      <c r="R10935" s="183"/>
      <c r="S10935" s="183"/>
    </row>
    <row r="10936" spans="1:19">
      <c r="A10936" s="182"/>
      <c r="Q10936" s="183"/>
      <c r="R10936" s="183"/>
      <c r="S10936" s="183"/>
    </row>
    <row r="10937" spans="1:19">
      <c r="A10937" s="182"/>
      <c r="Q10937" s="183"/>
      <c r="R10937" s="183"/>
      <c r="S10937" s="183"/>
    </row>
    <row r="10938" spans="1:19">
      <c r="A10938" s="182"/>
      <c r="Q10938" s="183"/>
      <c r="R10938" s="183"/>
      <c r="S10938" s="183"/>
    </row>
    <row r="10939" spans="1:19">
      <c r="A10939" s="182"/>
      <c r="Q10939" s="183"/>
      <c r="R10939" s="183"/>
      <c r="S10939" s="183"/>
    </row>
    <row r="10940" spans="1:19">
      <c r="A10940" s="182"/>
      <c r="Q10940" s="183"/>
      <c r="R10940" s="183"/>
      <c r="S10940" s="183"/>
    </row>
    <row r="10941" spans="1:19">
      <c r="A10941" s="182"/>
      <c r="Q10941" s="183"/>
      <c r="R10941" s="183"/>
      <c r="S10941" s="183"/>
    </row>
    <row r="10942" spans="1:19">
      <c r="A10942" s="182"/>
      <c r="Q10942" s="183"/>
      <c r="R10942" s="183"/>
      <c r="S10942" s="183"/>
    </row>
    <row r="10943" spans="1:19">
      <c r="A10943" s="182"/>
      <c r="Q10943" s="183"/>
      <c r="R10943" s="183"/>
      <c r="S10943" s="183"/>
    </row>
    <row r="10944" spans="1:19">
      <c r="A10944" s="182"/>
      <c r="Q10944" s="183"/>
      <c r="R10944" s="183"/>
      <c r="S10944" s="183"/>
    </row>
    <row r="10945" spans="1:38">
      <c r="A10945" s="182"/>
      <c r="Q10945" s="183"/>
      <c r="R10945" s="183"/>
      <c r="S10945" s="183"/>
    </row>
    <row r="10946" spans="1:38">
      <c r="A10946" s="182"/>
      <c r="Q10946" s="183"/>
      <c r="R10946" s="183"/>
      <c r="S10946" s="183"/>
    </row>
    <row r="10947" spans="1:38">
      <c r="A10947" s="182"/>
      <c r="Q10947" s="183"/>
      <c r="R10947" s="183"/>
      <c r="S10947" s="183"/>
    </row>
    <row r="10948" spans="1:38">
      <c r="A10948" s="182"/>
      <c r="Q10948" s="183"/>
      <c r="R10948" s="183"/>
      <c r="S10948" s="183"/>
    </row>
    <row r="10949" spans="1:38">
      <c r="A10949" s="182"/>
      <c r="Q10949" s="183"/>
      <c r="R10949" s="183"/>
      <c r="S10949" s="183"/>
    </row>
    <row r="10950" spans="1:38">
      <c r="A10950" s="182"/>
      <c r="Q10950" s="183"/>
      <c r="R10950" s="183"/>
      <c r="S10950" s="183"/>
    </row>
    <row r="10951" spans="1:38">
      <c r="A10951" s="182"/>
      <c r="Q10951" s="183"/>
      <c r="R10951" s="183"/>
      <c r="S10951" s="183"/>
    </row>
    <row r="10952" spans="1:38">
      <c r="A10952" s="182"/>
      <c r="Q10952" s="183"/>
      <c r="R10952" s="183"/>
      <c r="S10952" s="183"/>
    </row>
    <row r="10953" spans="1:38">
      <c r="A10953" s="182"/>
      <c r="Q10953" s="183"/>
      <c r="R10953" s="183"/>
      <c r="S10953" s="183"/>
    </row>
    <row r="10954" spans="1:38">
      <c r="A10954" s="182"/>
      <c r="Q10954" s="183"/>
      <c r="R10954" s="183"/>
      <c r="S10954" s="183"/>
    </row>
    <row r="10955" spans="1:38">
      <c r="A10955" s="182"/>
      <c r="Q10955" s="183"/>
      <c r="R10955" s="183"/>
      <c r="S10955" s="183"/>
    </row>
    <row r="10956" spans="1:38">
      <c r="A10956" s="182"/>
      <c r="Q10956" s="183"/>
      <c r="R10956" s="183"/>
      <c r="S10956" s="183"/>
    </row>
    <row r="10957" spans="1:38">
      <c r="A10957" s="182"/>
      <c r="Q10957" s="183"/>
      <c r="R10957" s="183"/>
      <c r="S10957" s="183"/>
      <c r="AK10957" s="183"/>
      <c r="AL10957" s="183"/>
    </row>
    <row r="10958" spans="1:38">
      <c r="A10958" s="182"/>
      <c r="Q10958" s="183"/>
      <c r="R10958" s="183"/>
      <c r="S10958" s="183"/>
      <c r="AJ10958" s="183"/>
      <c r="AK10958" s="183"/>
      <c r="AL10958" s="183"/>
    </row>
    <row r="10959" spans="1:38">
      <c r="A10959" s="182"/>
      <c r="Q10959" s="183"/>
      <c r="R10959" s="183"/>
      <c r="S10959" s="183"/>
      <c r="AJ10959" s="183"/>
      <c r="AK10959" s="183"/>
      <c r="AL10959" s="183"/>
    </row>
    <row r="10960" spans="1:38">
      <c r="A10960" s="182"/>
      <c r="Q10960" s="183"/>
      <c r="R10960" s="183"/>
      <c r="S10960" s="183"/>
      <c r="AJ10960" s="183"/>
      <c r="AK10960" s="183"/>
      <c r="AL10960" s="183"/>
    </row>
    <row r="10961" spans="1:38">
      <c r="A10961" s="182"/>
      <c r="Q10961" s="183"/>
      <c r="R10961" s="183"/>
      <c r="S10961" s="183"/>
      <c r="AJ10961" s="183"/>
    </row>
    <row r="10962" spans="1:38">
      <c r="A10962" s="182"/>
      <c r="Q10962" s="183"/>
      <c r="R10962" s="183"/>
      <c r="S10962" s="183"/>
    </row>
    <row r="10963" spans="1:38">
      <c r="A10963" s="182"/>
      <c r="Q10963" s="183"/>
      <c r="R10963" s="183"/>
      <c r="S10963" s="183"/>
    </row>
    <row r="10964" spans="1:38">
      <c r="A10964" s="182"/>
      <c r="Q10964" s="183"/>
      <c r="R10964" s="183"/>
      <c r="S10964" s="183"/>
    </row>
    <row r="10965" spans="1:38">
      <c r="A10965" s="182"/>
      <c r="Q10965" s="183"/>
      <c r="R10965" s="183"/>
      <c r="S10965" s="183"/>
    </row>
    <row r="10966" spans="1:38">
      <c r="A10966" s="182"/>
      <c r="Q10966" s="183"/>
      <c r="R10966" s="183"/>
      <c r="S10966" s="183"/>
    </row>
    <row r="10967" spans="1:38">
      <c r="A10967" s="182"/>
      <c r="Q10967" s="183"/>
      <c r="R10967" s="183"/>
      <c r="S10967" s="183"/>
    </row>
    <row r="10968" spans="1:38">
      <c r="A10968" s="182"/>
      <c r="Q10968" s="183"/>
      <c r="R10968" s="183"/>
      <c r="S10968" s="183"/>
    </row>
    <row r="10969" spans="1:38">
      <c r="A10969" s="182"/>
      <c r="Q10969" s="183"/>
      <c r="R10969" s="183"/>
      <c r="S10969" s="183"/>
      <c r="AK10969" s="183"/>
      <c r="AL10969" s="183"/>
    </row>
    <row r="10970" spans="1:38">
      <c r="A10970" s="182"/>
      <c r="Q10970" s="183"/>
      <c r="R10970" s="183"/>
      <c r="S10970" s="183"/>
      <c r="AJ10970" s="183"/>
      <c r="AK10970" s="183"/>
      <c r="AL10970" s="183"/>
    </row>
    <row r="10971" spans="1:38">
      <c r="A10971" s="182"/>
      <c r="Q10971" s="183"/>
      <c r="R10971" s="183"/>
      <c r="S10971" s="183"/>
      <c r="AJ10971" s="183"/>
      <c r="AK10971" s="183"/>
      <c r="AL10971" s="183"/>
    </row>
    <row r="10972" spans="1:38">
      <c r="A10972" s="182"/>
      <c r="Q10972" s="183"/>
      <c r="R10972" s="183"/>
      <c r="S10972" s="183"/>
      <c r="AJ10972" s="183"/>
      <c r="AK10972" s="183"/>
      <c r="AL10972" s="183"/>
    </row>
    <row r="10973" spans="1:38">
      <c r="A10973" s="182"/>
      <c r="Q10973" s="183"/>
      <c r="R10973" s="183"/>
      <c r="S10973" s="183"/>
      <c r="AJ10973" s="183"/>
      <c r="AK10973" s="183"/>
      <c r="AL10973" s="183"/>
    </row>
    <row r="10974" spans="1:38">
      <c r="A10974" s="182"/>
      <c r="Q10974" s="183"/>
      <c r="R10974" s="183"/>
      <c r="S10974" s="183"/>
      <c r="AJ10974" s="183"/>
      <c r="AK10974" s="183"/>
      <c r="AL10974" s="183"/>
    </row>
    <row r="10975" spans="1:38">
      <c r="A10975" s="182"/>
      <c r="Q10975" s="183"/>
      <c r="R10975" s="183"/>
      <c r="S10975" s="183"/>
      <c r="AJ10975" s="183"/>
      <c r="AK10975" s="183"/>
      <c r="AL10975" s="183"/>
    </row>
    <row r="10976" spans="1:38">
      <c r="A10976" s="182"/>
      <c r="Q10976" s="183"/>
      <c r="AJ10976" s="183"/>
      <c r="AK10976" s="183"/>
      <c r="AL10976" s="183"/>
    </row>
    <row r="10977" spans="1:36">
      <c r="A10977" s="182"/>
      <c r="R10977" s="183"/>
      <c r="S10977" s="183"/>
      <c r="AJ10977" s="183"/>
    </row>
    <row r="10978" spans="1:36">
      <c r="A10978" s="182"/>
      <c r="Q10978" s="183"/>
      <c r="R10978" s="183"/>
      <c r="S10978" s="183"/>
    </row>
    <row r="10979" spans="1:36">
      <c r="A10979" s="182"/>
      <c r="Q10979" s="183"/>
    </row>
    <row r="10980" spans="1:36">
      <c r="A10980" s="182"/>
      <c r="R10980" s="183"/>
      <c r="S10980" s="183"/>
    </row>
    <row r="10981" spans="1:36">
      <c r="A10981" s="182"/>
      <c r="Q10981" s="183"/>
      <c r="R10981" s="183"/>
      <c r="S10981" s="183"/>
    </row>
    <row r="10982" spans="1:36">
      <c r="A10982" s="182"/>
      <c r="Q10982" s="183"/>
      <c r="R10982" s="183"/>
      <c r="S10982" s="183"/>
    </row>
    <row r="10983" spans="1:36">
      <c r="A10983" s="182"/>
      <c r="Q10983" s="183"/>
      <c r="R10983" s="183"/>
      <c r="S10983" s="183"/>
    </row>
    <row r="10984" spans="1:36">
      <c r="A10984" s="182"/>
      <c r="Q10984" s="183"/>
      <c r="R10984" s="183"/>
      <c r="S10984" s="183"/>
    </row>
    <row r="10985" spans="1:36">
      <c r="A10985" s="182"/>
      <c r="Q10985" s="183"/>
      <c r="R10985" s="183"/>
      <c r="S10985" s="183"/>
    </row>
    <row r="10986" spans="1:36">
      <c r="A10986" s="182"/>
      <c r="Q10986" s="183"/>
      <c r="R10986" s="183"/>
      <c r="S10986" s="183"/>
    </row>
    <row r="10987" spans="1:36">
      <c r="A10987" s="182"/>
      <c r="Q10987" s="183"/>
      <c r="R10987" s="183"/>
      <c r="S10987" s="183"/>
    </row>
    <row r="10988" spans="1:36">
      <c r="A10988" s="182"/>
      <c r="Q10988" s="183"/>
      <c r="R10988" s="183"/>
      <c r="S10988" s="183"/>
    </row>
    <row r="10989" spans="1:36">
      <c r="A10989" s="182"/>
      <c r="Q10989" s="183"/>
      <c r="R10989" s="183"/>
      <c r="S10989" s="183"/>
    </row>
    <row r="10990" spans="1:36">
      <c r="A10990" s="182"/>
      <c r="Q10990" s="183"/>
      <c r="R10990" s="183"/>
      <c r="S10990" s="183"/>
    </row>
    <row r="10991" spans="1:36">
      <c r="A10991" s="182"/>
      <c r="Q10991" s="183"/>
      <c r="R10991" s="183"/>
      <c r="S10991" s="183"/>
    </row>
    <row r="10992" spans="1:36">
      <c r="A10992" s="182"/>
      <c r="Q10992" s="183"/>
      <c r="R10992" s="183"/>
      <c r="S10992" s="183"/>
    </row>
    <row r="10993" spans="1:19">
      <c r="A10993" s="182"/>
      <c r="Q10993" s="183"/>
      <c r="R10993" s="183"/>
      <c r="S10993" s="183"/>
    </row>
    <row r="10994" spans="1:19">
      <c r="A10994" s="182"/>
      <c r="Q10994" s="183"/>
      <c r="R10994" s="183"/>
      <c r="S10994" s="183"/>
    </row>
    <row r="10995" spans="1:19">
      <c r="A10995" s="182"/>
      <c r="Q10995" s="183"/>
      <c r="R10995" s="183"/>
      <c r="S10995" s="183"/>
    </row>
    <row r="10996" spans="1:19">
      <c r="A10996" s="182"/>
      <c r="Q10996" s="183"/>
      <c r="R10996" s="183"/>
      <c r="S10996" s="183"/>
    </row>
    <row r="10997" spans="1:19">
      <c r="A10997" s="182"/>
      <c r="Q10997" s="183"/>
      <c r="R10997" s="183"/>
      <c r="S10997" s="183"/>
    </row>
    <row r="10998" spans="1:19">
      <c r="A10998" s="182"/>
      <c r="Q10998" s="183"/>
      <c r="R10998" s="183"/>
      <c r="S10998" s="183"/>
    </row>
    <row r="10999" spans="1:19">
      <c r="A10999" s="182"/>
      <c r="Q10999" s="183"/>
      <c r="R10999" s="183"/>
      <c r="S10999" s="183"/>
    </row>
    <row r="11000" spans="1:19">
      <c r="A11000" s="182"/>
      <c r="Q11000" s="183"/>
      <c r="R11000" s="183"/>
      <c r="S11000" s="183"/>
    </row>
    <row r="11001" spans="1:19">
      <c r="A11001" s="182"/>
      <c r="Q11001" s="183"/>
      <c r="R11001" s="183"/>
      <c r="S11001" s="183"/>
    </row>
    <row r="11002" spans="1:19">
      <c r="A11002" s="182"/>
      <c r="Q11002" s="183"/>
      <c r="R11002" s="183"/>
      <c r="S11002" s="183"/>
    </row>
    <row r="11003" spans="1:19">
      <c r="A11003" s="182"/>
      <c r="Q11003" s="183"/>
      <c r="R11003" s="183"/>
      <c r="S11003" s="183"/>
    </row>
    <row r="11004" spans="1:19">
      <c r="A11004" s="182"/>
      <c r="Q11004" s="183"/>
      <c r="R11004" s="183"/>
      <c r="S11004" s="183"/>
    </row>
    <row r="11005" spans="1:19">
      <c r="A11005" s="182"/>
      <c r="Q11005" s="183"/>
      <c r="R11005" s="183"/>
      <c r="S11005" s="183"/>
    </row>
    <row r="11006" spans="1:19">
      <c r="A11006" s="182"/>
      <c r="Q11006" s="183"/>
      <c r="R11006" s="183"/>
      <c r="S11006" s="183"/>
    </row>
    <row r="11007" spans="1:19">
      <c r="A11007" s="182"/>
      <c r="Q11007" s="183"/>
      <c r="R11007" s="183"/>
      <c r="S11007" s="183"/>
    </row>
    <row r="11008" spans="1:19">
      <c r="A11008" s="182"/>
      <c r="Q11008" s="183"/>
      <c r="R11008" s="183"/>
      <c r="S11008" s="183"/>
    </row>
    <row r="11009" spans="1:38">
      <c r="A11009" s="182"/>
      <c r="Q11009" s="183"/>
      <c r="R11009" s="183"/>
      <c r="S11009" s="183"/>
    </row>
    <row r="11010" spans="1:38">
      <c r="A11010" s="182"/>
      <c r="Q11010" s="183"/>
      <c r="R11010" s="183"/>
      <c r="S11010" s="183"/>
    </row>
    <row r="11011" spans="1:38">
      <c r="A11011" s="182"/>
      <c r="Q11011" s="183"/>
      <c r="R11011" s="183"/>
      <c r="S11011" s="183"/>
    </row>
    <row r="11012" spans="1:38">
      <c r="A11012" s="182"/>
      <c r="Q11012" s="183"/>
      <c r="R11012" s="183"/>
      <c r="S11012" s="183"/>
    </row>
    <row r="11013" spans="1:38">
      <c r="A11013" s="182"/>
      <c r="Q11013" s="183"/>
      <c r="R11013" s="183"/>
      <c r="S11013" s="183"/>
    </row>
    <row r="11014" spans="1:38">
      <c r="A11014" s="182"/>
      <c r="Q11014" s="183"/>
      <c r="R11014" s="183"/>
      <c r="S11014" s="183"/>
    </row>
    <row r="11015" spans="1:38">
      <c r="A11015" s="182"/>
      <c r="Q11015" s="183"/>
      <c r="R11015" s="183"/>
      <c r="S11015" s="183"/>
    </row>
    <row r="11016" spans="1:38">
      <c r="A11016" s="182"/>
      <c r="Q11016" s="183"/>
      <c r="R11016" s="183"/>
      <c r="S11016" s="183"/>
    </row>
    <row r="11017" spans="1:38">
      <c r="A11017" s="182"/>
      <c r="Q11017" s="183"/>
      <c r="R11017" s="183"/>
      <c r="S11017" s="183"/>
      <c r="AK11017" s="183"/>
      <c r="AL11017" s="183"/>
    </row>
    <row r="11018" spans="1:38">
      <c r="A11018" s="182"/>
      <c r="Q11018" s="183"/>
      <c r="R11018" s="183"/>
      <c r="S11018" s="183"/>
      <c r="AJ11018" s="183"/>
      <c r="AK11018" s="183"/>
      <c r="AL11018" s="183"/>
    </row>
    <row r="11019" spans="1:38">
      <c r="A11019" s="182"/>
      <c r="Q11019" s="183"/>
      <c r="R11019" s="183"/>
      <c r="S11019" s="183"/>
      <c r="AJ11019" s="183"/>
      <c r="AK11019" s="183"/>
      <c r="AL11019" s="183"/>
    </row>
    <row r="11020" spans="1:38">
      <c r="A11020" s="182"/>
      <c r="Q11020" s="183"/>
      <c r="R11020" s="183"/>
      <c r="S11020" s="183"/>
      <c r="AJ11020" s="183"/>
      <c r="AK11020" s="183"/>
      <c r="AL11020" s="183"/>
    </row>
    <row r="11021" spans="1:38">
      <c r="A11021" s="182"/>
      <c r="Q11021" s="183"/>
      <c r="R11021" s="183"/>
      <c r="S11021" s="183"/>
      <c r="AJ11021" s="183"/>
    </row>
    <row r="11022" spans="1:38">
      <c r="A11022" s="182"/>
      <c r="Q11022" s="183"/>
      <c r="R11022" s="183"/>
      <c r="S11022" s="183"/>
    </row>
    <row r="11023" spans="1:38">
      <c r="A11023" s="182"/>
      <c r="Q11023" s="183"/>
      <c r="R11023" s="183"/>
      <c r="S11023" s="183"/>
    </row>
    <row r="11024" spans="1:38">
      <c r="A11024" s="182"/>
      <c r="Q11024" s="183"/>
      <c r="R11024" s="183"/>
      <c r="S11024" s="183"/>
    </row>
    <row r="11025" spans="1:19">
      <c r="A11025" s="182"/>
      <c r="Q11025" s="183"/>
      <c r="R11025" s="183"/>
      <c r="S11025" s="183"/>
    </row>
    <row r="11026" spans="1:19">
      <c r="A11026" s="182"/>
      <c r="Q11026" s="183"/>
      <c r="R11026" s="183"/>
      <c r="S11026" s="183"/>
    </row>
    <row r="11027" spans="1:19">
      <c r="A11027" s="182"/>
      <c r="Q11027" s="183"/>
    </row>
    <row r="11028" spans="1:19">
      <c r="A11028" s="182"/>
    </row>
    <row r="11029" spans="1:19">
      <c r="A11029" s="182"/>
      <c r="R11029" s="183"/>
      <c r="S11029" s="183"/>
    </row>
    <row r="11030" spans="1:19">
      <c r="A11030" s="182"/>
      <c r="Q11030" s="183"/>
      <c r="R11030" s="183"/>
      <c r="S11030" s="183"/>
    </row>
    <row r="11031" spans="1:19">
      <c r="A11031" s="182"/>
      <c r="Q11031" s="183"/>
      <c r="R11031" s="183"/>
      <c r="S11031" s="183"/>
    </row>
    <row r="11032" spans="1:19">
      <c r="A11032" s="182"/>
      <c r="Q11032" s="183"/>
      <c r="R11032" s="183"/>
      <c r="S11032" s="183"/>
    </row>
    <row r="11033" spans="1:19">
      <c r="A11033" s="182"/>
      <c r="Q11033" s="183"/>
      <c r="R11033" s="183"/>
      <c r="S11033" s="183"/>
    </row>
    <row r="11034" spans="1:19">
      <c r="A11034" s="182"/>
      <c r="Q11034" s="183"/>
      <c r="R11034" s="183"/>
      <c r="S11034" s="183"/>
    </row>
    <row r="11035" spans="1:19">
      <c r="A11035" s="182"/>
      <c r="Q11035" s="183"/>
      <c r="R11035" s="183"/>
      <c r="S11035" s="183"/>
    </row>
    <row r="11036" spans="1:19">
      <c r="A11036" s="182"/>
      <c r="Q11036" s="183"/>
      <c r="R11036" s="183"/>
      <c r="S11036" s="183"/>
    </row>
    <row r="11037" spans="1:19">
      <c r="A11037" s="182"/>
      <c r="Q11037" s="183"/>
      <c r="R11037" s="183"/>
      <c r="S11037" s="183"/>
    </row>
    <row r="11038" spans="1:19">
      <c r="A11038" s="182"/>
      <c r="Q11038" s="183"/>
      <c r="R11038" s="183"/>
      <c r="S11038" s="183"/>
    </row>
    <row r="11039" spans="1:19">
      <c r="A11039" s="182"/>
      <c r="Q11039" s="183"/>
      <c r="R11039" s="183"/>
      <c r="S11039" s="183"/>
    </row>
    <row r="11040" spans="1:19">
      <c r="A11040" s="182"/>
      <c r="Q11040" s="183"/>
      <c r="R11040" s="183"/>
      <c r="S11040" s="183"/>
    </row>
    <row r="11041" spans="1:38">
      <c r="A11041" s="182"/>
      <c r="Q11041" s="183"/>
      <c r="R11041" s="183"/>
      <c r="S11041" s="183"/>
    </row>
    <row r="11042" spans="1:38">
      <c r="A11042" s="182"/>
      <c r="Q11042" s="183"/>
      <c r="R11042" s="183"/>
      <c r="S11042" s="183"/>
    </row>
    <row r="11043" spans="1:38">
      <c r="A11043" s="182"/>
      <c r="Q11043" s="183"/>
      <c r="R11043" s="183"/>
      <c r="S11043" s="183"/>
    </row>
    <row r="11044" spans="1:38">
      <c r="A11044" s="182"/>
      <c r="Q11044" s="183"/>
      <c r="R11044" s="183"/>
      <c r="S11044" s="183"/>
    </row>
    <row r="11045" spans="1:38">
      <c r="A11045" s="182"/>
      <c r="Q11045" s="183"/>
      <c r="R11045" s="183"/>
      <c r="S11045" s="183"/>
    </row>
    <row r="11046" spans="1:38">
      <c r="A11046" s="182"/>
      <c r="Q11046" s="183"/>
      <c r="R11046" s="183"/>
      <c r="S11046" s="183"/>
    </row>
    <row r="11047" spans="1:38">
      <c r="A11047" s="182"/>
      <c r="Q11047" s="183"/>
      <c r="R11047" s="183"/>
      <c r="S11047" s="183"/>
    </row>
    <row r="11048" spans="1:38">
      <c r="A11048" s="182"/>
      <c r="Q11048" s="183"/>
      <c r="R11048" s="183"/>
      <c r="S11048" s="183"/>
    </row>
    <row r="11049" spans="1:38">
      <c r="A11049" s="182"/>
      <c r="Q11049" s="183"/>
      <c r="R11049" s="183"/>
      <c r="S11049" s="183"/>
    </row>
    <row r="11050" spans="1:38">
      <c r="A11050" s="182"/>
      <c r="Q11050" s="183"/>
      <c r="R11050" s="183"/>
      <c r="S11050" s="183"/>
    </row>
    <row r="11051" spans="1:38">
      <c r="A11051" s="182"/>
      <c r="Q11051" s="183"/>
      <c r="R11051" s="183"/>
      <c r="S11051" s="183"/>
    </row>
    <row r="11052" spans="1:38">
      <c r="A11052" s="182"/>
      <c r="Q11052" s="183"/>
      <c r="R11052" s="183"/>
      <c r="S11052" s="183"/>
    </row>
    <row r="11053" spans="1:38">
      <c r="A11053" s="182"/>
      <c r="Q11053" s="183"/>
      <c r="R11053" s="183"/>
      <c r="S11053" s="183"/>
      <c r="AK11053" s="183"/>
      <c r="AL11053" s="183"/>
    </row>
    <row r="11054" spans="1:38">
      <c r="A11054" s="182"/>
      <c r="Q11054" s="183"/>
      <c r="R11054" s="183"/>
      <c r="S11054" s="183"/>
      <c r="AJ11054" s="183"/>
      <c r="AK11054" s="183"/>
      <c r="AL11054" s="183"/>
    </row>
    <row r="11055" spans="1:38">
      <c r="A11055" s="182"/>
      <c r="Q11055" s="183"/>
      <c r="R11055" s="183"/>
      <c r="S11055" s="183"/>
      <c r="AJ11055" s="183"/>
      <c r="AK11055" s="183"/>
      <c r="AL11055" s="183"/>
    </row>
    <row r="11056" spans="1:38">
      <c r="A11056" s="182"/>
      <c r="Q11056" s="183"/>
      <c r="R11056" s="183"/>
      <c r="S11056" s="183"/>
      <c r="AJ11056" s="183"/>
      <c r="AK11056" s="183"/>
      <c r="AL11056" s="183"/>
    </row>
    <row r="11057" spans="1:38">
      <c r="A11057" s="182"/>
      <c r="Q11057" s="183"/>
      <c r="AJ11057" s="183"/>
      <c r="AK11057" s="183"/>
      <c r="AL11057" s="183"/>
    </row>
    <row r="11058" spans="1:38">
      <c r="A11058" s="182"/>
      <c r="R11058" s="183"/>
      <c r="S11058" s="183"/>
      <c r="AJ11058" s="183"/>
      <c r="AK11058" s="183"/>
      <c r="AL11058" s="183"/>
    </row>
    <row r="11059" spans="1:38">
      <c r="A11059" s="182"/>
      <c r="Q11059" s="183"/>
      <c r="R11059" s="183"/>
      <c r="S11059" s="183"/>
      <c r="AJ11059" s="183"/>
      <c r="AK11059" s="183"/>
      <c r="AL11059" s="183"/>
    </row>
    <row r="11060" spans="1:38">
      <c r="A11060" s="182"/>
      <c r="Q11060" s="183"/>
      <c r="R11060" s="183"/>
      <c r="S11060" s="183"/>
      <c r="AJ11060" s="183"/>
      <c r="AK11060" s="183"/>
      <c r="AL11060" s="183"/>
    </row>
    <row r="11061" spans="1:38">
      <c r="A11061" s="182"/>
      <c r="Q11061" s="183"/>
      <c r="R11061" s="183"/>
      <c r="S11061" s="183"/>
      <c r="AJ11061" s="183"/>
    </row>
    <row r="11062" spans="1:38">
      <c r="A11062" s="182"/>
      <c r="Q11062" s="183"/>
      <c r="R11062" s="183"/>
      <c r="S11062" s="183"/>
    </row>
    <row r="11063" spans="1:38">
      <c r="A11063" s="182"/>
      <c r="Q11063" s="183"/>
      <c r="R11063" s="183"/>
      <c r="S11063" s="183"/>
    </row>
    <row r="11064" spans="1:38">
      <c r="A11064" s="182"/>
      <c r="Q11064" s="183"/>
      <c r="R11064" s="183"/>
      <c r="S11064" s="183"/>
    </row>
    <row r="11065" spans="1:38">
      <c r="A11065" s="182"/>
      <c r="Q11065" s="183"/>
    </row>
    <row r="11066" spans="1:38">
      <c r="A11066" s="182"/>
    </row>
    <row r="11067" spans="1:38">
      <c r="A11067" s="182"/>
    </row>
    <row r="11068" spans="1:38">
      <c r="A11068" s="182"/>
      <c r="R11068" s="183"/>
      <c r="S11068" s="183"/>
    </row>
    <row r="11069" spans="1:38">
      <c r="A11069" s="182"/>
      <c r="Q11069" s="183"/>
      <c r="AK11069" s="183"/>
      <c r="AL11069" s="183"/>
    </row>
    <row r="11070" spans="1:38">
      <c r="A11070" s="182"/>
      <c r="R11070" s="183"/>
      <c r="S11070" s="183"/>
      <c r="AJ11070" s="183"/>
      <c r="AK11070" s="183"/>
      <c r="AL11070" s="183"/>
    </row>
    <row r="11071" spans="1:38">
      <c r="A11071" s="182"/>
      <c r="Q11071" s="183"/>
      <c r="R11071" s="183"/>
      <c r="S11071" s="183"/>
      <c r="AJ11071" s="183"/>
      <c r="AK11071" s="183"/>
      <c r="AL11071" s="183"/>
    </row>
    <row r="11072" spans="1:38">
      <c r="A11072" s="182"/>
      <c r="Q11072" s="183"/>
      <c r="R11072" s="183"/>
      <c r="S11072" s="183"/>
      <c r="AJ11072" s="183"/>
      <c r="AK11072" s="183"/>
      <c r="AL11072" s="183"/>
    </row>
    <row r="11073" spans="1:38">
      <c r="A11073" s="182"/>
      <c r="Q11073" s="183"/>
      <c r="R11073" s="183"/>
      <c r="S11073" s="183"/>
      <c r="AJ11073" s="183"/>
    </row>
    <row r="11074" spans="1:38">
      <c r="A11074" s="182"/>
      <c r="Q11074" s="183"/>
      <c r="R11074" s="183"/>
      <c r="S11074" s="183"/>
    </row>
    <row r="11075" spans="1:38">
      <c r="A11075" s="182"/>
      <c r="Q11075" s="183"/>
      <c r="R11075" s="183"/>
      <c r="S11075" s="183"/>
    </row>
    <row r="11076" spans="1:38">
      <c r="A11076" s="182"/>
      <c r="Q11076" s="183"/>
      <c r="R11076" s="183"/>
      <c r="S11076" s="183"/>
    </row>
    <row r="11077" spans="1:38">
      <c r="A11077" s="182"/>
      <c r="Q11077" s="183"/>
      <c r="R11077" s="183"/>
      <c r="S11077" s="183"/>
    </row>
    <row r="11078" spans="1:38">
      <c r="A11078" s="182"/>
      <c r="Q11078" s="183"/>
      <c r="R11078" s="183"/>
      <c r="S11078" s="183"/>
    </row>
    <row r="11079" spans="1:38">
      <c r="A11079" s="182"/>
      <c r="Q11079" s="183"/>
      <c r="R11079" s="183"/>
      <c r="S11079" s="183"/>
    </row>
    <row r="11080" spans="1:38">
      <c r="A11080" s="182"/>
      <c r="Q11080" s="183"/>
      <c r="R11080" s="183"/>
      <c r="S11080" s="183"/>
    </row>
    <row r="11081" spans="1:38">
      <c r="A11081" s="182"/>
      <c r="Q11081" s="183"/>
      <c r="R11081" s="183"/>
      <c r="S11081" s="183"/>
    </row>
    <row r="11082" spans="1:38">
      <c r="A11082" s="182"/>
      <c r="Q11082" s="183"/>
      <c r="R11082" s="183"/>
      <c r="S11082" s="183"/>
    </row>
    <row r="11083" spans="1:38">
      <c r="A11083" s="182"/>
      <c r="Q11083" s="183"/>
      <c r="R11083" s="183"/>
      <c r="S11083" s="183"/>
    </row>
    <row r="11084" spans="1:38">
      <c r="A11084" s="182"/>
      <c r="Q11084" s="183"/>
      <c r="R11084" s="183"/>
      <c r="S11084" s="183"/>
    </row>
    <row r="11085" spans="1:38">
      <c r="A11085" s="182"/>
      <c r="Q11085" s="183"/>
      <c r="R11085" s="183"/>
      <c r="S11085" s="183"/>
      <c r="AK11085" s="183"/>
      <c r="AL11085" s="183"/>
    </row>
    <row r="11086" spans="1:38">
      <c r="A11086" s="182"/>
      <c r="Q11086" s="183"/>
      <c r="R11086" s="183"/>
      <c r="S11086" s="183"/>
      <c r="AJ11086" s="183"/>
      <c r="AK11086" s="183"/>
      <c r="AL11086" s="183"/>
    </row>
    <row r="11087" spans="1:38">
      <c r="A11087" s="182"/>
      <c r="Q11087" s="183"/>
      <c r="R11087" s="183"/>
      <c r="S11087" s="183"/>
      <c r="AJ11087" s="183"/>
      <c r="AK11087" s="183"/>
      <c r="AL11087" s="183"/>
    </row>
    <row r="11088" spans="1:38">
      <c r="A11088" s="182"/>
      <c r="Q11088" s="183"/>
      <c r="R11088" s="183"/>
      <c r="S11088" s="183"/>
      <c r="AJ11088" s="183"/>
      <c r="AK11088" s="183"/>
      <c r="AL11088" s="183"/>
    </row>
    <row r="11089" spans="1:36">
      <c r="A11089" s="182"/>
      <c r="Q11089" s="183"/>
      <c r="R11089" s="183"/>
      <c r="S11089" s="183"/>
      <c r="AJ11089" s="183"/>
    </row>
    <row r="11090" spans="1:36">
      <c r="A11090" s="182"/>
      <c r="Q11090" s="183"/>
      <c r="R11090" s="183"/>
      <c r="S11090" s="183"/>
    </row>
    <row r="11091" spans="1:36">
      <c r="A11091" s="182"/>
      <c r="Q11091" s="183"/>
      <c r="R11091" s="183"/>
      <c r="S11091" s="183"/>
    </row>
    <row r="11092" spans="1:36">
      <c r="A11092" s="182"/>
      <c r="Q11092" s="183"/>
      <c r="R11092" s="183"/>
      <c r="S11092" s="183"/>
    </row>
    <row r="11093" spans="1:36">
      <c r="A11093" s="182"/>
      <c r="Q11093" s="183"/>
      <c r="R11093" s="183"/>
      <c r="S11093" s="183"/>
    </row>
    <row r="11094" spans="1:36">
      <c r="A11094" s="182"/>
      <c r="Q11094" s="183"/>
      <c r="R11094" s="183"/>
      <c r="S11094" s="183"/>
    </row>
    <row r="11095" spans="1:36">
      <c r="A11095" s="182"/>
      <c r="Q11095" s="183"/>
      <c r="R11095" s="183"/>
      <c r="S11095" s="183"/>
    </row>
    <row r="11096" spans="1:36">
      <c r="A11096" s="182"/>
      <c r="Q11096" s="183"/>
      <c r="R11096" s="183"/>
      <c r="S11096" s="183"/>
    </row>
    <row r="11097" spans="1:36">
      <c r="A11097" s="182"/>
      <c r="Q11097" s="183"/>
      <c r="R11097" s="183"/>
      <c r="S11097" s="183"/>
    </row>
    <row r="11098" spans="1:36">
      <c r="A11098" s="182"/>
      <c r="Q11098" s="183"/>
      <c r="R11098" s="183"/>
      <c r="S11098" s="183"/>
    </row>
    <row r="11099" spans="1:36">
      <c r="A11099" s="182"/>
      <c r="Q11099" s="183"/>
      <c r="R11099" s="183"/>
      <c r="S11099" s="183"/>
    </row>
    <row r="11100" spans="1:36">
      <c r="A11100" s="182"/>
      <c r="Q11100" s="183"/>
      <c r="R11100" s="183"/>
      <c r="S11100" s="183"/>
    </row>
    <row r="11101" spans="1:36">
      <c r="A11101" s="182"/>
      <c r="Q11101" s="183"/>
      <c r="R11101" s="183"/>
      <c r="S11101" s="183"/>
    </row>
    <row r="11102" spans="1:36">
      <c r="A11102" s="182"/>
      <c r="Q11102" s="183"/>
      <c r="R11102" s="183"/>
      <c r="S11102" s="183"/>
    </row>
    <row r="11103" spans="1:36">
      <c r="A11103" s="182"/>
      <c r="Q11103" s="183"/>
      <c r="R11103" s="183"/>
      <c r="S11103" s="183"/>
    </row>
    <row r="11104" spans="1:36">
      <c r="A11104" s="182"/>
      <c r="Q11104" s="183"/>
      <c r="R11104" s="183"/>
      <c r="S11104" s="183"/>
    </row>
    <row r="11105" spans="1:19">
      <c r="A11105" s="182"/>
      <c r="Q11105" s="183"/>
      <c r="R11105" s="183"/>
      <c r="S11105" s="183"/>
    </row>
    <row r="11106" spans="1:19">
      <c r="A11106" s="182"/>
      <c r="Q11106" s="183"/>
      <c r="R11106" s="183"/>
      <c r="S11106" s="183"/>
    </row>
    <row r="11107" spans="1:19">
      <c r="A11107" s="182"/>
      <c r="Q11107" s="183"/>
      <c r="R11107" s="183"/>
      <c r="S11107" s="183"/>
    </row>
    <row r="11108" spans="1:19">
      <c r="A11108" s="182"/>
      <c r="Q11108" s="183"/>
      <c r="R11108" s="183"/>
      <c r="S11108" s="183"/>
    </row>
    <row r="11109" spans="1:19">
      <c r="A11109" s="182"/>
      <c r="Q11109" s="183"/>
      <c r="R11109" s="183"/>
      <c r="S11109" s="183"/>
    </row>
    <row r="11110" spans="1:19">
      <c r="A11110" s="182"/>
      <c r="Q11110" s="183"/>
      <c r="R11110" s="183"/>
      <c r="S11110" s="183"/>
    </row>
    <row r="11111" spans="1:19">
      <c r="A11111" s="182"/>
      <c r="Q11111" s="183"/>
      <c r="R11111" s="183"/>
      <c r="S11111" s="183"/>
    </row>
    <row r="11112" spans="1:19">
      <c r="A11112" s="182"/>
      <c r="Q11112" s="183"/>
      <c r="R11112" s="183"/>
      <c r="S11112" s="183"/>
    </row>
    <row r="11113" spans="1:19">
      <c r="A11113" s="182"/>
      <c r="Q11113" s="183"/>
      <c r="R11113" s="183"/>
      <c r="S11113" s="183"/>
    </row>
    <row r="11114" spans="1:19">
      <c r="A11114" s="182"/>
      <c r="Q11114" s="183"/>
      <c r="R11114" s="183"/>
      <c r="S11114" s="183"/>
    </row>
    <row r="11115" spans="1:19">
      <c r="A11115" s="182"/>
      <c r="Q11115" s="183"/>
      <c r="R11115" s="183"/>
      <c r="S11115" s="183"/>
    </row>
    <row r="11116" spans="1:19">
      <c r="A11116" s="182"/>
      <c r="Q11116" s="183"/>
      <c r="R11116" s="183"/>
      <c r="S11116" s="183"/>
    </row>
    <row r="11117" spans="1:19">
      <c r="A11117" s="182"/>
      <c r="Q11117" s="183"/>
      <c r="R11117" s="183"/>
      <c r="S11117" s="183"/>
    </row>
    <row r="11118" spans="1:19">
      <c r="A11118" s="182"/>
      <c r="Q11118" s="183"/>
      <c r="R11118" s="183"/>
      <c r="S11118" s="183"/>
    </row>
    <row r="11119" spans="1:19">
      <c r="A11119" s="182"/>
      <c r="Q11119" s="183"/>
      <c r="R11119" s="183"/>
      <c r="S11119" s="183"/>
    </row>
    <row r="11120" spans="1:19">
      <c r="A11120" s="182"/>
      <c r="Q11120" s="183"/>
      <c r="R11120" s="183"/>
      <c r="S11120" s="183"/>
    </row>
    <row r="11121" spans="1:19">
      <c r="A11121" s="182"/>
      <c r="Q11121" s="183"/>
      <c r="R11121" s="183"/>
      <c r="S11121" s="183"/>
    </row>
    <row r="11122" spans="1:19">
      <c r="A11122" s="182"/>
      <c r="Q11122" s="183"/>
      <c r="R11122" s="183"/>
      <c r="S11122" s="183"/>
    </row>
    <row r="11123" spans="1:19">
      <c r="A11123" s="182"/>
      <c r="Q11123" s="183"/>
      <c r="R11123" s="183"/>
      <c r="S11123" s="183"/>
    </row>
    <row r="11124" spans="1:19">
      <c r="A11124" s="182"/>
      <c r="Q11124" s="183"/>
      <c r="R11124" s="183"/>
      <c r="S11124" s="183"/>
    </row>
    <row r="11125" spans="1:19">
      <c r="A11125" s="182"/>
      <c r="Q11125" s="183"/>
      <c r="R11125" s="183"/>
      <c r="S11125" s="183"/>
    </row>
    <row r="11126" spans="1:19">
      <c r="A11126" s="182"/>
      <c r="Q11126" s="183"/>
      <c r="R11126" s="183"/>
      <c r="S11126" s="183"/>
    </row>
    <row r="11127" spans="1:19">
      <c r="A11127" s="182"/>
      <c r="Q11127" s="183"/>
      <c r="R11127" s="183"/>
      <c r="S11127" s="183"/>
    </row>
    <row r="11128" spans="1:19">
      <c r="A11128" s="182"/>
      <c r="Q11128" s="183"/>
      <c r="R11128" s="183"/>
      <c r="S11128" s="183"/>
    </row>
    <row r="11129" spans="1:19">
      <c r="A11129" s="182"/>
      <c r="Q11129" s="183"/>
      <c r="R11129" s="183"/>
      <c r="S11129" s="183"/>
    </row>
    <row r="11130" spans="1:19">
      <c r="A11130" s="182"/>
      <c r="Q11130" s="183"/>
      <c r="R11130" s="183"/>
      <c r="S11130" s="183"/>
    </row>
    <row r="11131" spans="1:19">
      <c r="A11131" s="182"/>
      <c r="Q11131" s="183"/>
      <c r="R11131" s="183"/>
      <c r="S11131" s="183"/>
    </row>
    <row r="11132" spans="1:19">
      <c r="A11132" s="182"/>
      <c r="Q11132" s="183"/>
      <c r="R11132" s="183"/>
      <c r="S11132" s="183"/>
    </row>
    <row r="11133" spans="1:19">
      <c r="A11133" s="182"/>
      <c r="Q11133" s="183"/>
      <c r="R11133" s="183"/>
      <c r="S11133" s="183"/>
    </row>
    <row r="11134" spans="1:19">
      <c r="A11134" s="182"/>
      <c r="Q11134" s="183"/>
      <c r="R11134" s="183"/>
      <c r="S11134" s="183"/>
    </row>
    <row r="11135" spans="1:19">
      <c r="A11135" s="182"/>
      <c r="Q11135" s="183"/>
      <c r="R11135" s="183"/>
      <c r="S11135" s="183"/>
    </row>
    <row r="11136" spans="1:19">
      <c r="A11136" s="182"/>
      <c r="Q11136" s="183"/>
      <c r="R11136" s="183"/>
      <c r="S11136" s="183"/>
    </row>
    <row r="11137" spans="1:38">
      <c r="A11137" s="182"/>
      <c r="Q11137" s="183"/>
      <c r="R11137" s="183"/>
      <c r="S11137" s="183"/>
    </row>
    <row r="11138" spans="1:38">
      <c r="A11138" s="182"/>
      <c r="Q11138" s="183"/>
      <c r="R11138" s="183"/>
      <c r="S11138" s="183"/>
    </row>
    <row r="11139" spans="1:38">
      <c r="A11139" s="182"/>
      <c r="Q11139" s="183"/>
      <c r="R11139" s="183"/>
      <c r="S11139" s="183"/>
    </row>
    <row r="11140" spans="1:38">
      <c r="A11140" s="182"/>
      <c r="Q11140" s="183"/>
      <c r="R11140" s="183"/>
      <c r="S11140" s="183"/>
    </row>
    <row r="11141" spans="1:38">
      <c r="A11141" s="182"/>
      <c r="Q11141" s="183"/>
      <c r="R11141" s="183"/>
      <c r="S11141" s="183"/>
    </row>
    <row r="11142" spans="1:38">
      <c r="A11142" s="182"/>
      <c r="Q11142" s="183"/>
      <c r="R11142" s="183"/>
      <c r="S11142" s="183"/>
    </row>
    <row r="11143" spans="1:38">
      <c r="A11143" s="182"/>
      <c r="Q11143" s="183"/>
      <c r="R11143" s="183"/>
      <c r="S11143" s="183"/>
    </row>
    <row r="11144" spans="1:38">
      <c r="A11144" s="182"/>
      <c r="Q11144" s="183"/>
      <c r="R11144" s="183"/>
      <c r="S11144" s="183"/>
    </row>
    <row r="11145" spans="1:38">
      <c r="A11145" s="182"/>
      <c r="Q11145" s="183"/>
      <c r="R11145" s="183"/>
      <c r="S11145" s="183"/>
    </row>
    <row r="11146" spans="1:38">
      <c r="A11146" s="182"/>
      <c r="Q11146" s="183"/>
      <c r="R11146" s="183"/>
      <c r="S11146" s="183"/>
    </row>
    <row r="11147" spans="1:38">
      <c r="A11147" s="182"/>
      <c r="Q11147" s="183"/>
      <c r="R11147" s="183"/>
      <c r="S11147" s="183"/>
    </row>
    <row r="11148" spans="1:38">
      <c r="A11148" s="182"/>
      <c r="Q11148" s="183"/>
      <c r="R11148" s="183"/>
      <c r="S11148" s="183"/>
    </row>
    <row r="11149" spans="1:38">
      <c r="A11149" s="182"/>
      <c r="Q11149" s="183"/>
      <c r="R11149" s="183"/>
      <c r="S11149" s="183"/>
      <c r="AK11149" s="183"/>
      <c r="AL11149" s="183"/>
    </row>
    <row r="11150" spans="1:38">
      <c r="A11150" s="182"/>
      <c r="Q11150" s="183"/>
      <c r="R11150" s="183"/>
      <c r="S11150" s="183"/>
      <c r="AJ11150" s="183"/>
      <c r="AK11150" s="183"/>
      <c r="AL11150" s="183"/>
    </row>
    <row r="11151" spans="1:38">
      <c r="A11151" s="182"/>
      <c r="Q11151" s="183"/>
      <c r="R11151" s="183"/>
      <c r="S11151" s="183"/>
      <c r="AJ11151" s="183"/>
      <c r="AK11151" s="183"/>
      <c r="AL11151" s="183"/>
    </row>
    <row r="11152" spans="1:38">
      <c r="A11152" s="182"/>
      <c r="Q11152" s="183"/>
      <c r="R11152" s="183"/>
      <c r="S11152" s="183"/>
      <c r="AJ11152" s="183"/>
      <c r="AK11152" s="183"/>
      <c r="AL11152" s="183"/>
    </row>
    <row r="11153" spans="1:38">
      <c r="A11153" s="182"/>
      <c r="Q11153" s="183"/>
      <c r="R11153" s="183"/>
      <c r="S11153" s="183"/>
      <c r="AJ11153" s="183"/>
      <c r="AK11153" s="183"/>
      <c r="AL11153" s="183"/>
    </row>
    <row r="11154" spans="1:38">
      <c r="A11154" s="182"/>
      <c r="Q11154" s="183"/>
      <c r="R11154" s="183"/>
      <c r="S11154" s="183"/>
      <c r="AJ11154" s="183"/>
      <c r="AK11154" s="183"/>
      <c r="AL11154" s="183"/>
    </row>
    <row r="11155" spans="1:38">
      <c r="A11155" s="182"/>
      <c r="Q11155" s="183"/>
      <c r="R11155" s="183"/>
      <c r="S11155" s="183"/>
      <c r="AJ11155" s="183"/>
      <c r="AK11155" s="183"/>
      <c r="AL11155" s="183"/>
    </row>
    <row r="11156" spans="1:38">
      <c r="A11156" s="182"/>
      <c r="Q11156" s="183"/>
      <c r="R11156" s="183"/>
      <c r="S11156" s="183"/>
      <c r="AJ11156" s="183"/>
      <c r="AK11156" s="183"/>
      <c r="AL11156" s="183"/>
    </row>
    <row r="11157" spans="1:38">
      <c r="A11157" s="182"/>
      <c r="Q11157" s="183"/>
      <c r="R11157" s="183"/>
      <c r="S11157" s="183"/>
      <c r="AJ11157" s="183"/>
    </row>
    <row r="11158" spans="1:38">
      <c r="A11158" s="182"/>
      <c r="Q11158" s="183"/>
      <c r="R11158" s="183"/>
      <c r="S11158" s="183"/>
    </row>
    <row r="11159" spans="1:38">
      <c r="A11159" s="182"/>
      <c r="Q11159" s="183"/>
      <c r="R11159" s="183"/>
      <c r="S11159" s="183"/>
    </row>
    <row r="11160" spans="1:38">
      <c r="A11160" s="182"/>
      <c r="Q11160" s="183"/>
      <c r="R11160" s="183"/>
      <c r="S11160" s="183"/>
    </row>
    <row r="11161" spans="1:38">
      <c r="A11161" s="182"/>
      <c r="Q11161" s="183"/>
      <c r="R11161" s="183"/>
      <c r="S11161" s="183"/>
    </row>
    <row r="11162" spans="1:38">
      <c r="A11162" s="182"/>
      <c r="Q11162" s="183"/>
      <c r="R11162" s="183"/>
      <c r="S11162" s="183"/>
    </row>
    <row r="11163" spans="1:38">
      <c r="A11163" s="182"/>
      <c r="Q11163" s="183"/>
      <c r="R11163" s="183"/>
      <c r="S11163" s="183"/>
    </row>
    <row r="11164" spans="1:38">
      <c r="A11164" s="182"/>
      <c r="Q11164" s="183"/>
      <c r="R11164" s="183"/>
      <c r="S11164" s="183"/>
    </row>
    <row r="11165" spans="1:38">
      <c r="A11165" s="182"/>
      <c r="Q11165" s="183"/>
      <c r="R11165" s="183"/>
      <c r="S11165" s="183"/>
    </row>
    <row r="11166" spans="1:38">
      <c r="A11166" s="182"/>
      <c r="Q11166" s="183"/>
      <c r="R11166" s="183"/>
      <c r="S11166" s="183"/>
    </row>
    <row r="11167" spans="1:38">
      <c r="A11167" s="182"/>
      <c r="Q11167" s="183"/>
      <c r="R11167" s="183"/>
      <c r="S11167" s="183"/>
    </row>
    <row r="11168" spans="1:38">
      <c r="A11168" s="182"/>
      <c r="Q11168" s="183"/>
      <c r="R11168" s="183"/>
      <c r="S11168" s="183"/>
    </row>
    <row r="11169" spans="1:19">
      <c r="A11169" s="182"/>
      <c r="Q11169" s="183"/>
      <c r="R11169" s="183"/>
      <c r="S11169" s="183"/>
    </row>
    <row r="11170" spans="1:19">
      <c r="A11170" s="182"/>
      <c r="Q11170" s="183"/>
      <c r="R11170" s="183"/>
      <c r="S11170" s="183"/>
    </row>
    <row r="11171" spans="1:19">
      <c r="A11171" s="182"/>
      <c r="Q11171" s="183"/>
      <c r="R11171" s="183"/>
      <c r="S11171" s="183"/>
    </row>
    <row r="11172" spans="1:19">
      <c r="A11172" s="182"/>
      <c r="Q11172" s="183"/>
      <c r="R11172" s="183"/>
      <c r="S11172" s="183"/>
    </row>
    <row r="11173" spans="1:19">
      <c r="A11173" s="182"/>
      <c r="Q11173" s="183"/>
      <c r="R11173" s="183"/>
      <c r="S11173" s="183"/>
    </row>
    <row r="11174" spans="1:19">
      <c r="A11174" s="182"/>
      <c r="Q11174" s="183"/>
      <c r="R11174" s="183"/>
      <c r="S11174" s="183"/>
    </row>
    <row r="11175" spans="1:19">
      <c r="A11175" s="182"/>
      <c r="Q11175" s="183"/>
      <c r="R11175" s="183"/>
      <c r="S11175" s="183"/>
    </row>
    <row r="11176" spans="1:19">
      <c r="A11176" s="182"/>
      <c r="Q11176" s="183"/>
      <c r="R11176" s="183"/>
      <c r="S11176" s="183"/>
    </row>
    <row r="11177" spans="1:19">
      <c r="A11177" s="182"/>
      <c r="Q11177" s="183"/>
      <c r="R11177" s="183"/>
      <c r="S11177" s="183"/>
    </row>
    <row r="11178" spans="1:19">
      <c r="A11178" s="182"/>
      <c r="Q11178" s="183"/>
      <c r="R11178" s="183"/>
      <c r="S11178" s="183"/>
    </row>
    <row r="11179" spans="1:19">
      <c r="A11179" s="182"/>
      <c r="Q11179" s="183"/>
      <c r="R11179" s="183"/>
      <c r="S11179" s="183"/>
    </row>
    <row r="11180" spans="1:19">
      <c r="A11180" s="182"/>
      <c r="Q11180" s="183"/>
      <c r="R11180" s="183"/>
      <c r="S11180" s="183"/>
    </row>
    <row r="11181" spans="1:19">
      <c r="A11181" s="182"/>
      <c r="Q11181" s="183"/>
      <c r="R11181" s="183"/>
      <c r="S11181" s="183"/>
    </row>
    <row r="11182" spans="1:19">
      <c r="A11182" s="182"/>
      <c r="Q11182" s="183"/>
      <c r="R11182" s="183"/>
      <c r="S11182" s="183"/>
    </row>
    <row r="11183" spans="1:19">
      <c r="A11183" s="182"/>
      <c r="Q11183" s="183"/>
      <c r="R11183" s="183"/>
      <c r="S11183" s="183"/>
    </row>
    <row r="11184" spans="1:19">
      <c r="A11184" s="182"/>
      <c r="Q11184" s="183"/>
      <c r="R11184" s="183"/>
      <c r="S11184" s="183"/>
    </row>
    <row r="11185" spans="1:19">
      <c r="A11185" s="182"/>
      <c r="Q11185" s="183"/>
      <c r="R11185" s="183"/>
      <c r="S11185" s="183"/>
    </row>
    <row r="11186" spans="1:19">
      <c r="A11186" s="182"/>
      <c r="Q11186" s="183"/>
      <c r="R11186" s="183"/>
      <c r="S11186" s="183"/>
    </row>
    <row r="11187" spans="1:19">
      <c r="A11187" s="182"/>
      <c r="Q11187" s="183"/>
      <c r="R11187" s="183"/>
      <c r="S11187" s="183"/>
    </row>
    <row r="11188" spans="1:19">
      <c r="A11188" s="182"/>
      <c r="Q11188" s="183"/>
      <c r="R11188" s="183"/>
      <c r="S11188" s="183"/>
    </row>
    <row r="11189" spans="1:19">
      <c r="A11189" s="182"/>
      <c r="Q11189" s="183"/>
      <c r="R11189" s="183"/>
      <c r="S11189" s="183"/>
    </row>
    <row r="11190" spans="1:19">
      <c r="A11190" s="182"/>
      <c r="Q11190" s="183"/>
      <c r="R11190" s="183"/>
      <c r="S11190" s="183"/>
    </row>
    <row r="11191" spans="1:19">
      <c r="A11191" s="182"/>
      <c r="Q11191" s="183"/>
      <c r="R11191" s="183"/>
      <c r="S11191" s="183"/>
    </row>
    <row r="11192" spans="1:19">
      <c r="A11192" s="182"/>
      <c r="Q11192" s="183"/>
      <c r="R11192" s="183"/>
      <c r="S11192" s="183"/>
    </row>
    <row r="11193" spans="1:19">
      <c r="A11193" s="182"/>
      <c r="Q11193" s="183"/>
      <c r="R11193" s="183"/>
      <c r="S11193" s="183"/>
    </row>
    <row r="11194" spans="1:19">
      <c r="A11194" s="182"/>
      <c r="Q11194" s="183"/>
      <c r="R11194" s="183"/>
      <c r="S11194" s="183"/>
    </row>
    <row r="11195" spans="1:19">
      <c r="A11195" s="182"/>
      <c r="Q11195" s="183"/>
      <c r="R11195" s="183"/>
      <c r="S11195" s="183"/>
    </row>
    <row r="11196" spans="1:19">
      <c r="A11196" s="182"/>
      <c r="Q11196" s="183"/>
      <c r="R11196" s="183"/>
      <c r="S11196" s="183"/>
    </row>
    <row r="11197" spans="1:19">
      <c r="A11197" s="182"/>
      <c r="Q11197" s="183"/>
      <c r="R11197" s="183"/>
      <c r="S11197" s="183"/>
    </row>
    <row r="11198" spans="1:19">
      <c r="A11198" s="182"/>
      <c r="Q11198" s="183"/>
      <c r="R11198" s="183"/>
      <c r="S11198" s="183"/>
    </row>
    <row r="11199" spans="1:19">
      <c r="A11199" s="182"/>
      <c r="Q11199" s="183"/>
      <c r="R11199" s="183"/>
      <c r="S11199" s="183"/>
    </row>
    <row r="11200" spans="1:19">
      <c r="A11200" s="182"/>
      <c r="Q11200" s="183"/>
      <c r="R11200" s="183"/>
      <c r="S11200" s="183"/>
    </row>
    <row r="11201" spans="1:19">
      <c r="A11201" s="182"/>
      <c r="Q11201" s="183"/>
      <c r="R11201" s="183"/>
      <c r="S11201" s="183"/>
    </row>
    <row r="11202" spans="1:19">
      <c r="A11202" s="182"/>
      <c r="Q11202" s="183"/>
      <c r="R11202" s="183"/>
      <c r="S11202" s="183"/>
    </row>
    <row r="11203" spans="1:19">
      <c r="A11203" s="182"/>
      <c r="Q11203" s="183"/>
      <c r="R11203" s="183"/>
      <c r="S11203" s="183"/>
    </row>
    <row r="11204" spans="1:19">
      <c r="A11204" s="182"/>
      <c r="Q11204" s="183"/>
      <c r="R11204" s="183"/>
      <c r="S11204" s="183"/>
    </row>
    <row r="11205" spans="1:19">
      <c r="A11205" s="182"/>
      <c r="Q11205" s="183"/>
      <c r="R11205" s="183"/>
      <c r="S11205" s="183"/>
    </row>
    <row r="11206" spans="1:19">
      <c r="A11206" s="182"/>
      <c r="Q11206" s="183"/>
      <c r="R11206" s="183"/>
      <c r="S11206" s="183"/>
    </row>
    <row r="11207" spans="1:19">
      <c r="A11207" s="182"/>
      <c r="Q11207" s="183"/>
      <c r="R11207" s="183"/>
      <c r="S11207" s="183"/>
    </row>
    <row r="11208" spans="1:19">
      <c r="A11208" s="182"/>
      <c r="Q11208" s="183"/>
      <c r="R11208" s="183"/>
      <c r="S11208" s="183"/>
    </row>
    <row r="11209" spans="1:19">
      <c r="A11209" s="182"/>
      <c r="Q11209" s="183"/>
      <c r="R11209" s="183"/>
      <c r="S11209" s="183"/>
    </row>
    <row r="11210" spans="1:19">
      <c r="A11210" s="182"/>
      <c r="Q11210" s="183"/>
      <c r="R11210" s="183"/>
      <c r="S11210" s="183"/>
    </row>
    <row r="11211" spans="1:19">
      <c r="A11211" s="182"/>
      <c r="Q11211" s="183"/>
      <c r="R11211" s="183"/>
      <c r="S11211" s="183"/>
    </row>
    <row r="11212" spans="1:19">
      <c r="A11212" s="182"/>
      <c r="Q11212" s="183"/>
      <c r="R11212" s="183"/>
      <c r="S11212" s="183"/>
    </row>
    <row r="11213" spans="1:19">
      <c r="A11213" s="182"/>
      <c r="Q11213" s="183"/>
      <c r="R11213" s="183"/>
      <c r="S11213" s="183"/>
    </row>
    <row r="11214" spans="1:19">
      <c r="A11214" s="182"/>
      <c r="Q11214" s="183"/>
      <c r="R11214" s="183"/>
      <c r="S11214" s="183"/>
    </row>
    <row r="11215" spans="1:19">
      <c r="A11215" s="182"/>
      <c r="Q11215" s="183"/>
      <c r="R11215" s="183"/>
      <c r="S11215" s="183"/>
    </row>
    <row r="11216" spans="1:19">
      <c r="A11216" s="182"/>
      <c r="Q11216" s="183"/>
      <c r="R11216" s="183"/>
      <c r="S11216" s="183"/>
    </row>
    <row r="11217" spans="1:38">
      <c r="A11217" s="182"/>
      <c r="Q11217" s="183"/>
      <c r="R11217" s="183"/>
      <c r="S11217" s="183"/>
    </row>
    <row r="11218" spans="1:38">
      <c r="A11218" s="182"/>
      <c r="Q11218" s="183"/>
      <c r="R11218" s="183"/>
      <c r="S11218" s="183"/>
    </row>
    <row r="11219" spans="1:38">
      <c r="A11219" s="182"/>
      <c r="Q11219" s="183"/>
      <c r="R11219" s="183"/>
      <c r="S11219" s="183"/>
    </row>
    <row r="11220" spans="1:38">
      <c r="A11220" s="182"/>
      <c r="Q11220" s="183"/>
      <c r="R11220" s="183"/>
      <c r="S11220" s="183"/>
    </row>
    <row r="11221" spans="1:38">
      <c r="A11221" s="182"/>
      <c r="Q11221" s="183"/>
      <c r="R11221" s="183"/>
      <c r="S11221" s="183"/>
    </row>
    <row r="11222" spans="1:38">
      <c r="A11222" s="182"/>
      <c r="Q11222" s="183"/>
      <c r="R11222" s="183"/>
      <c r="S11222" s="183"/>
    </row>
    <row r="11223" spans="1:38">
      <c r="A11223" s="182"/>
      <c r="Q11223" s="183"/>
      <c r="R11223" s="183"/>
      <c r="S11223" s="183"/>
    </row>
    <row r="11224" spans="1:38">
      <c r="A11224" s="182"/>
      <c r="Q11224" s="183"/>
      <c r="R11224" s="183"/>
      <c r="S11224" s="183"/>
    </row>
    <row r="11225" spans="1:38">
      <c r="A11225" s="182"/>
      <c r="Q11225" s="183"/>
      <c r="R11225" s="183"/>
      <c r="S11225" s="183"/>
      <c r="AK11225" s="183"/>
      <c r="AL11225" s="183"/>
    </row>
    <row r="11226" spans="1:38">
      <c r="A11226" s="182"/>
      <c r="Q11226" s="183"/>
      <c r="R11226" s="183"/>
      <c r="S11226" s="183"/>
      <c r="AJ11226" s="183"/>
      <c r="AK11226" s="183"/>
      <c r="AL11226" s="183"/>
    </row>
    <row r="11227" spans="1:38">
      <c r="A11227" s="182"/>
      <c r="Q11227" s="183"/>
      <c r="R11227" s="183"/>
      <c r="S11227" s="183"/>
      <c r="AJ11227" s="183"/>
      <c r="AK11227" s="183"/>
      <c r="AL11227" s="183"/>
    </row>
    <row r="11228" spans="1:38">
      <c r="A11228" s="182"/>
      <c r="Q11228" s="183"/>
      <c r="R11228" s="183"/>
      <c r="S11228" s="183"/>
      <c r="AJ11228" s="183"/>
      <c r="AK11228" s="183"/>
      <c r="AL11228" s="183"/>
    </row>
    <row r="11229" spans="1:38">
      <c r="A11229" s="182"/>
      <c r="Q11229" s="183"/>
      <c r="R11229" s="183"/>
      <c r="S11229" s="183"/>
      <c r="AJ11229" s="183"/>
      <c r="AK11229" s="183"/>
      <c r="AL11229" s="183"/>
    </row>
    <row r="11230" spans="1:38">
      <c r="A11230" s="182"/>
      <c r="Q11230" s="183"/>
      <c r="R11230" s="183"/>
      <c r="S11230" s="183"/>
      <c r="AJ11230" s="183"/>
      <c r="AK11230" s="183"/>
      <c r="AL11230" s="183"/>
    </row>
    <row r="11231" spans="1:38">
      <c r="A11231" s="182"/>
      <c r="Q11231" s="183"/>
      <c r="R11231" s="183"/>
      <c r="S11231" s="183"/>
      <c r="AJ11231" s="183"/>
      <c r="AK11231" s="183"/>
      <c r="AL11231" s="183"/>
    </row>
    <row r="11232" spans="1:38">
      <c r="A11232" s="182"/>
      <c r="Q11232" s="183"/>
      <c r="R11232" s="183"/>
      <c r="S11232" s="183"/>
      <c r="AJ11232" s="183"/>
      <c r="AK11232" s="183"/>
      <c r="AL11232" s="183"/>
    </row>
    <row r="11233" spans="1:38">
      <c r="A11233" s="182"/>
      <c r="Q11233" s="183"/>
      <c r="R11233" s="183"/>
      <c r="S11233" s="183"/>
      <c r="AJ11233" s="183"/>
    </row>
    <row r="11234" spans="1:38">
      <c r="A11234" s="182"/>
      <c r="Q11234" s="183"/>
      <c r="R11234" s="183"/>
      <c r="S11234" s="183"/>
    </row>
    <row r="11235" spans="1:38">
      <c r="A11235" s="182"/>
      <c r="Q11235" s="183"/>
      <c r="R11235" s="183"/>
      <c r="S11235" s="183"/>
    </row>
    <row r="11236" spans="1:38">
      <c r="A11236" s="182"/>
      <c r="Q11236" s="183"/>
      <c r="R11236" s="183"/>
      <c r="S11236" s="183"/>
    </row>
    <row r="11237" spans="1:38">
      <c r="A11237" s="182"/>
      <c r="Q11237" s="183"/>
      <c r="R11237" s="183"/>
      <c r="S11237" s="183"/>
    </row>
    <row r="11238" spans="1:38">
      <c r="A11238" s="182"/>
      <c r="Q11238" s="183"/>
      <c r="R11238" s="183"/>
      <c r="S11238" s="183"/>
    </row>
    <row r="11239" spans="1:38">
      <c r="A11239" s="182"/>
      <c r="Q11239" s="183"/>
      <c r="R11239" s="183"/>
      <c r="S11239" s="183"/>
    </row>
    <row r="11240" spans="1:38">
      <c r="A11240" s="182"/>
      <c r="Q11240" s="183"/>
      <c r="R11240" s="183"/>
      <c r="S11240" s="183"/>
    </row>
    <row r="11241" spans="1:38">
      <c r="A11241" s="182"/>
      <c r="Q11241" s="183"/>
      <c r="R11241" s="183"/>
      <c r="S11241" s="183"/>
      <c r="AK11241" s="183"/>
      <c r="AL11241" s="183"/>
    </row>
    <row r="11242" spans="1:38">
      <c r="A11242" s="182"/>
      <c r="Q11242" s="183"/>
      <c r="R11242" s="183"/>
      <c r="S11242" s="183"/>
      <c r="AJ11242" s="183"/>
      <c r="AK11242" s="183"/>
      <c r="AL11242" s="183"/>
    </row>
    <row r="11243" spans="1:38">
      <c r="A11243" s="182"/>
      <c r="Q11243" s="183"/>
      <c r="R11243" s="183"/>
      <c r="S11243" s="183"/>
      <c r="AJ11243" s="183"/>
      <c r="AK11243" s="183"/>
      <c r="AL11243" s="183"/>
    </row>
    <row r="11244" spans="1:38">
      <c r="A11244" s="182"/>
      <c r="Q11244" s="183"/>
      <c r="R11244" s="183"/>
      <c r="S11244" s="183"/>
      <c r="AJ11244" s="183"/>
      <c r="AK11244" s="183"/>
      <c r="AL11244" s="183"/>
    </row>
    <row r="11245" spans="1:38">
      <c r="A11245" s="182"/>
      <c r="Q11245" s="183"/>
      <c r="R11245" s="183"/>
      <c r="S11245" s="183"/>
      <c r="AJ11245" s="183"/>
    </row>
    <row r="11246" spans="1:38">
      <c r="A11246" s="182"/>
      <c r="Q11246" s="183"/>
      <c r="R11246" s="183"/>
      <c r="S11246" s="183"/>
    </row>
    <row r="11247" spans="1:38">
      <c r="A11247" s="182"/>
      <c r="Q11247" s="183"/>
      <c r="R11247" s="183"/>
      <c r="S11247" s="183"/>
    </row>
    <row r="11248" spans="1:38">
      <c r="A11248" s="182"/>
      <c r="Q11248" s="183"/>
      <c r="R11248" s="183"/>
      <c r="S11248" s="183"/>
    </row>
    <row r="11249" spans="1:38">
      <c r="A11249" s="182"/>
      <c r="Q11249" s="183"/>
      <c r="R11249" s="183"/>
      <c r="S11249" s="183"/>
    </row>
    <row r="11250" spans="1:38">
      <c r="A11250" s="182"/>
      <c r="Q11250" s="183"/>
      <c r="R11250" s="183"/>
      <c r="S11250" s="183"/>
    </row>
    <row r="11251" spans="1:38">
      <c r="A11251" s="182"/>
      <c r="Q11251" s="183"/>
      <c r="R11251" s="183"/>
      <c r="S11251" s="183"/>
    </row>
    <row r="11252" spans="1:38">
      <c r="A11252" s="182"/>
      <c r="Q11252" s="183"/>
      <c r="R11252" s="183"/>
      <c r="S11252" s="183"/>
    </row>
    <row r="11253" spans="1:38">
      <c r="A11253" s="182"/>
      <c r="Q11253" s="183"/>
      <c r="R11253" s="183"/>
      <c r="S11253" s="183"/>
    </row>
    <row r="11254" spans="1:38">
      <c r="A11254" s="182"/>
      <c r="Q11254" s="183"/>
      <c r="R11254" s="183"/>
      <c r="S11254" s="183"/>
    </row>
    <row r="11255" spans="1:38">
      <c r="A11255" s="182"/>
      <c r="Q11255" s="183"/>
      <c r="R11255" s="183"/>
      <c r="S11255" s="183"/>
    </row>
    <row r="11256" spans="1:38">
      <c r="A11256" s="182"/>
      <c r="Q11256" s="183"/>
      <c r="R11256" s="183"/>
      <c r="S11256" s="183"/>
    </row>
    <row r="11257" spans="1:38">
      <c r="A11257" s="182"/>
      <c r="Q11257" s="183"/>
      <c r="R11257" s="183"/>
      <c r="S11257" s="183"/>
      <c r="AK11257" s="183"/>
      <c r="AL11257" s="183"/>
    </row>
    <row r="11258" spans="1:38">
      <c r="A11258" s="182"/>
      <c r="Q11258" s="183"/>
      <c r="R11258" s="183"/>
      <c r="S11258" s="183"/>
      <c r="AJ11258" s="183"/>
      <c r="AK11258" s="183"/>
      <c r="AL11258" s="183"/>
    </row>
    <row r="11259" spans="1:38">
      <c r="A11259" s="182"/>
      <c r="Q11259" s="183"/>
      <c r="R11259" s="183"/>
      <c r="S11259" s="183"/>
      <c r="AJ11259" s="183"/>
      <c r="AK11259" s="183"/>
      <c r="AL11259" s="183"/>
    </row>
    <row r="11260" spans="1:38">
      <c r="A11260" s="182"/>
      <c r="Q11260" s="183"/>
      <c r="R11260" s="183"/>
      <c r="S11260" s="183"/>
      <c r="AJ11260" s="183"/>
      <c r="AK11260" s="183"/>
      <c r="AL11260" s="183"/>
    </row>
    <row r="11261" spans="1:38">
      <c r="A11261" s="182"/>
      <c r="Q11261" s="183"/>
      <c r="R11261" s="183"/>
      <c r="S11261" s="183"/>
      <c r="AJ11261" s="183"/>
    </row>
    <row r="11262" spans="1:38">
      <c r="A11262" s="182"/>
      <c r="Q11262" s="183"/>
      <c r="R11262" s="183"/>
      <c r="S11262" s="183"/>
    </row>
    <row r="11263" spans="1:38">
      <c r="A11263" s="182"/>
      <c r="Q11263" s="183"/>
      <c r="R11263" s="183"/>
      <c r="S11263" s="183"/>
    </row>
    <row r="11264" spans="1:38">
      <c r="A11264" s="182"/>
      <c r="Q11264" s="183"/>
      <c r="R11264" s="183"/>
      <c r="S11264" s="183"/>
    </row>
    <row r="11265" spans="1:38">
      <c r="A11265" s="182"/>
      <c r="Q11265" s="183"/>
      <c r="R11265" s="183"/>
      <c r="S11265" s="183"/>
    </row>
    <row r="11266" spans="1:38">
      <c r="A11266" s="182"/>
      <c r="Q11266" s="183"/>
      <c r="R11266" s="183"/>
      <c r="S11266" s="183"/>
    </row>
    <row r="11267" spans="1:38">
      <c r="A11267" s="182"/>
      <c r="Q11267" s="183"/>
      <c r="R11267" s="183"/>
      <c r="S11267" s="183"/>
    </row>
    <row r="11268" spans="1:38">
      <c r="A11268" s="182"/>
      <c r="Q11268" s="183"/>
      <c r="R11268" s="183"/>
      <c r="S11268" s="183"/>
    </row>
    <row r="11269" spans="1:38">
      <c r="A11269" s="182"/>
      <c r="Q11269" s="183"/>
      <c r="R11269" s="183"/>
      <c r="S11269" s="183"/>
      <c r="AK11269" s="183"/>
      <c r="AL11269" s="183"/>
    </row>
    <row r="11270" spans="1:38">
      <c r="A11270" s="182"/>
      <c r="Q11270" s="183"/>
      <c r="R11270" s="183"/>
      <c r="S11270" s="183"/>
      <c r="AJ11270" s="183"/>
      <c r="AK11270" s="183"/>
      <c r="AL11270" s="183"/>
    </row>
    <row r="11271" spans="1:38">
      <c r="A11271" s="182"/>
      <c r="Q11271" s="183"/>
      <c r="R11271" s="183"/>
      <c r="S11271" s="183"/>
      <c r="AJ11271" s="183"/>
      <c r="AK11271" s="183"/>
      <c r="AL11271" s="183"/>
    </row>
    <row r="11272" spans="1:38">
      <c r="A11272" s="182"/>
      <c r="Q11272" s="183"/>
      <c r="R11272" s="183"/>
      <c r="S11272" s="183"/>
      <c r="AJ11272" s="183"/>
      <c r="AK11272" s="183"/>
      <c r="AL11272" s="183"/>
    </row>
    <row r="11273" spans="1:38">
      <c r="A11273" s="182"/>
      <c r="Q11273" s="183"/>
      <c r="R11273" s="183"/>
      <c r="S11273" s="183"/>
      <c r="AJ11273" s="183"/>
    </row>
    <row r="11274" spans="1:38">
      <c r="A11274" s="182"/>
      <c r="Q11274" s="183"/>
      <c r="R11274" s="183"/>
      <c r="S11274" s="183"/>
    </row>
    <row r="11275" spans="1:38">
      <c r="A11275" s="182"/>
      <c r="Q11275" s="183"/>
      <c r="R11275" s="183"/>
      <c r="S11275" s="183"/>
    </row>
    <row r="11276" spans="1:38">
      <c r="A11276" s="182"/>
      <c r="Q11276" s="183"/>
      <c r="R11276" s="183"/>
      <c r="S11276" s="183"/>
    </row>
    <row r="11277" spans="1:38">
      <c r="A11277" s="182"/>
      <c r="Q11277" s="183"/>
      <c r="R11277" s="183"/>
      <c r="S11277" s="183"/>
    </row>
    <row r="11278" spans="1:38">
      <c r="A11278" s="182"/>
      <c r="Q11278" s="183"/>
      <c r="R11278" s="183"/>
      <c r="S11278" s="183"/>
    </row>
    <row r="11279" spans="1:38">
      <c r="A11279" s="182"/>
      <c r="Q11279" s="183"/>
      <c r="R11279" s="183"/>
      <c r="S11279" s="183"/>
    </row>
    <row r="11280" spans="1:38">
      <c r="A11280" s="182"/>
      <c r="Q11280" s="183"/>
      <c r="R11280" s="183"/>
      <c r="S11280" s="183"/>
    </row>
    <row r="11281" spans="1:19">
      <c r="A11281" s="182"/>
      <c r="Q11281" s="183"/>
      <c r="R11281" s="183"/>
      <c r="S11281" s="183"/>
    </row>
    <row r="11282" spans="1:19">
      <c r="A11282" s="182"/>
      <c r="Q11282" s="183"/>
      <c r="R11282" s="183"/>
      <c r="S11282" s="183"/>
    </row>
    <row r="11283" spans="1:19">
      <c r="A11283" s="182"/>
      <c r="Q11283" s="183"/>
      <c r="R11283" s="183"/>
      <c r="S11283" s="183"/>
    </row>
    <row r="11284" spans="1:19">
      <c r="A11284" s="182"/>
      <c r="Q11284" s="183"/>
      <c r="R11284" s="183"/>
      <c r="S11284" s="183"/>
    </row>
    <row r="11285" spans="1:19">
      <c r="A11285" s="182"/>
      <c r="Q11285" s="183"/>
      <c r="R11285" s="183"/>
      <c r="S11285" s="183"/>
    </row>
    <row r="11286" spans="1:19">
      <c r="A11286" s="182"/>
      <c r="Q11286" s="183"/>
      <c r="R11286" s="183"/>
      <c r="S11286" s="183"/>
    </row>
    <row r="11287" spans="1:19">
      <c r="A11287" s="182"/>
      <c r="Q11287" s="183"/>
      <c r="R11287" s="183"/>
      <c r="S11287" s="183"/>
    </row>
    <row r="11288" spans="1:19">
      <c r="A11288" s="182"/>
      <c r="Q11288" s="183"/>
      <c r="R11288" s="183"/>
      <c r="S11288" s="183"/>
    </row>
    <row r="11289" spans="1:19">
      <c r="A11289" s="182"/>
      <c r="Q11289" s="183"/>
      <c r="R11289" s="183"/>
      <c r="S11289" s="183"/>
    </row>
    <row r="11290" spans="1:19">
      <c r="A11290" s="182"/>
      <c r="Q11290" s="183"/>
      <c r="R11290" s="183"/>
      <c r="S11290" s="183"/>
    </row>
    <row r="11291" spans="1:19">
      <c r="A11291" s="182"/>
      <c r="Q11291" s="183"/>
      <c r="R11291" s="183"/>
      <c r="S11291" s="183"/>
    </row>
    <row r="11292" spans="1:19">
      <c r="A11292" s="182"/>
      <c r="Q11292" s="183"/>
      <c r="R11292" s="183"/>
      <c r="S11292" s="183"/>
    </row>
    <row r="11293" spans="1:19">
      <c r="A11293" s="182"/>
      <c r="Q11293" s="183"/>
      <c r="R11293" s="183"/>
      <c r="S11293" s="183"/>
    </row>
    <row r="11294" spans="1:19">
      <c r="A11294" s="182"/>
      <c r="Q11294" s="183"/>
      <c r="R11294" s="183"/>
      <c r="S11294" s="183"/>
    </row>
    <row r="11295" spans="1:19">
      <c r="A11295" s="182"/>
      <c r="Q11295" s="183"/>
      <c r="R11295" s="183"/>
      <c r="S11295" s="183"/>
    </row>
    <row r="11296" spans="1:19">
      <c r="A11296" s="182"/>
      <c r="Q11296" s="183"/>
      <c r="R11296" s="183"/>
      <c r="S11296" s="183"/>
    </row>
    <row r="11297" spans="1:19">
      <c r="A11297" s="182"/>
      <c r="Q11297" s="183"/>
      <c r="R11297" s="183"/>
      <c r="S11297" s="183"/>
    </row>
    <row r="11298" spans="1:19">
      <c r="A11298" s="182"/>
      <c r="Q11298" s="183"/>
      <c r="R11298" s="183"/>
      <c r="S11298" s="183"/>
    </row>
    <row r="11299" spans="1:19">
      <c r="A11299" s="182"/>
      <c r="Q11299" s="183"/>
      <c r="R11299" s="183"/>
      <c r="S11299" s="183"/>
    </row>
    <row r="11300" spans="1:19">
      <c r="A11300" s="182"/>
      <c r="Q11300" s="183"/>
      <c r="R11300" s="183"/>
      <c r="S11300" s="183"/>
    </row>
    <row r="11301" spans="1:19">
      <c r="A11301" s="182"/>
      <c r="Q11301" s="183"/>
      <c r="R11301" s="183"/>
      <c r="S11301" s="183"/>
    </row>
    <row r="11302" spans="1:19">
      <c r="A11302" s="182"/>
      <c r="Q11302" s="183"/>
      <c r="R11302" s="183"/>
      <c r="S11302" s="183"/>
    </row>
    <row r="11303" spans="1:19">
      <c r="A11303" s="182"/>
      <c r="Q11303" s="183"/>
      <c r="R11303" s="183"/>
      <c r="S11303" s="183"/>
    </row>
    <row r="11304" spans="1:19">
      <c r="A11304" s="182"/>
      <c r="Q11304" s="183"/>
      <c r="R11304" s="183"/>
      <c r="S11304" s="183"/>
    </row>
    <row r="11305" spans="1:19">
      <c r="A11305" s="182"/>
      <c r="Q11305" s="183"/>
      <c r="R11305" s="183"/>
      <c r="S11305" s="183"/>
    </row>
    <row r="11306" spans="1:19">
      <c r="A11306" s="182"/>
      <c r="Q11306" s="183"/>
      <c r="R11306" s="183"/>
      <c r="S11306" s="183"/>
    </row>
    <row r="11307" spans="1:19">
      <c r="A11307" s="182"/>
      <c r="Q11307" s="183"/>
      <c r="R11307" s="183"/>
      <c r="S11307" s="183"/>
    </row>
    <row r="11308" spans="1:19">
      <c r="A11308" s="182"/>
      <c r="Q11308" s="183"/>
      <c r="R11308" s="183"/>
      <c r="S11308" s="183"/>
    </row>
    <row r="11309" spans="1:19">
      <c r="A11309" s="182"/>
      <c r="Q11309" s="183"/>
      <c r="R11309" s="183"/>
      <c r="S11309" s="183"/>
    </row>
    <row r="11310" spans="1:19">
      <c r="A11310" s="182"/>
      <c r="Q11310" s="183"/>
      <c r="R11310" s="183"/>
      <c r="S11310" s="183"/>
    </row>
    <row r="11311" spans="1:19">
      <c r="A11311" s="182"/>
      <c r="Q11311" s="183"/>
    </row>
    <row r="11312" spans="1:19">
      <c r="A11312" s="182"/>
      <c r="R11312" s="183"/>
      <c r="S11312" s="183"/>
    </row>
    <row r="11313" spans="1:19">
      <c r="A11313" s="182"/>
      <c r="Q11313" s="183"/>
      <c r="R11313" s="183"/>
      <c r="S11313" s="183"/>
    </row>
    <row r="11314" spans="1:19">
      <c r="A11314" s="182"/>
      <c r="Q11314" s="183"/>
      <c r="R11314" s="183"/>
      <c r="S11314" s="183"/>
    </row>
    <row r="11315" spans="1:19">
      <c r="A11315" s="182"/>
      <c r="Q11315" s="183"/>
      <c r="R11315" s="183"/>
      <c r="S11315" s="183"/>
    </row>
    <row r="11316" spans="1:19">
      <c r="A11316" s="182"/>
      <c r="Q11316" s="183"/>
      <c r="R11316" s="183"/>
      <c r="S11316" s="183"/>
    </row>
    <row r="11317" spans="1:19">
      <c r="A11317" s="182"/>
      <c r="Q11317" s="183"/>
      <c r="R11317" s="183"/>
      <c r="S11317" s="183"/>
    </row>
    <row r="11318" spans="1:19">
      <c r="A11318" s="182"/>
      <c r="Q11318" s="183"/>
      <c r="R11318" s="183"/>
      <c r="S11318" s="183"/>
    </row>
    <row r="11319" spans="1:19">
      <c r="A11319" s="182"/>
      <c r="Q11319" s="183"/>
      <c r="R11319" s="183"/>
      <c r="S11319" s="183"/>
    </row>
    <row r="11320" spans="1:19">
      <c r="A11320" s="182"/>
      <c r="Q11320" s="183"/>
      <c r="R11320" s="183"/>
      <c r="S11320" s="183"/>
    </row>
    <row r="11321" spans="1:19">
      <c r="A11321" s="182"/>
      <c r="Q11321" s="183"/>
    </row>
    <row r="11322" spans="1:19">
      <c r="A11322" s="182"/>
      <c r="R11322" s="183"/>
      <c r="S11322" s="183"/>
    </row>
    <row r="11323" spans="1:19">
      <c r="A11323" s="182"/>
      <c r="Q11323" s="183"/>
    </row>
    <row r="11324" spans="1:19">
      <c r="A11324" s="182"/>
    </row>
    <row r="11325" spans="1:19">
      <c r="A11325" s="182"/>
    </row>
    <row r="11326" spans="1:19">
      <c r="A11326" s="182"/>
    </row>
    <row r="11327" spans="1:19">
      <c r="A11327" s="182"/>
    </row>
    <row r="11328" spans="1:19">
      <c r="A11328" s="182"/>
      <c r="R11328" s="183"/>
      <c r="S11328" s="183"/>
    </row>
    <row r="11329" spans="1:38">
      <c r="A11329" s="182"/>
      <c r="Q11329" s="183"/>
      <c r="R11329" s="183"/>
      <c r="S11329" s="183"/>
    </row>
    <row r="11330" spans="1:38">
      <c r="A11330" s="182"/>
      <c r="Q11330" s="183"/>
    </row>
    <row r="11331" spans="1:38">
      <c r="A11331" s="182"/>
    </row>
    <row r="11332" spans="1:38">
      <c r="A11332" s="182"/>
      <c r="R11332" s="183"/>
      <c r="S11332" s="183"/>
    </row>
    <row r="11333" spans="1:38">
      <c r="A11333" s="182"/>
      <c r="Q11333" s="183"/>
      <c r="R11333" s="183"/>
      <c r="S11333" s="183"/>
    </row>
    <row r="11334" spans="1:38">
      <c r="A11334" s="182"/>
      <c r="Q11334" s="183"/>
    </row>
    <row r="11335" spans="1:38">
      <c r="A11335" s="182"/>
    </row>
    <row r="11336" spans="1:38">
      <c r="A11336" s="182"/>
      <c r="R11336" s="183"/>
      <c r="S11336" s="183"/>
    </row>
    <row r="11337" spans="1:38">
      <c r="A11337" s="182"/>
      <c r="Q11337" s="183"/>
      <c r="R11337" s="183"/>
      <c r="S11337" s="183"/>
      <c r="AK11337" s="183"/>
      <c r="AL11337" s="183"/>
    </row>
    <row r="11338" spans="1:38">
      <c r="A11338" s="182"/>
      <c r="Q11338" s="183"/>
      <c r="R11338" s="183"/>
      <c r="S11338" s="183"/>
      <c r="AJ11338" s="183"/>
      <c r="AK11338" s="183"/>
      <c r="AL11338" s="183"/>
    </row>
    <row r="11339" spans="1:38">
      <c r="A11339" s="182"/>
      <c r="Q11339" s="183"/>
      <c r="R11339" s="183"/>
      <c r="S11339" s="183"/>
      <c r="AJ11339" s="183"/>
      <c r="AK11339" s="183"/>
      <c r="AL11339" s="183"/>
    </row>
    <row r="11340" spans="1:38">
      <c r="A11340" s="182"/>
      <c r="Q11340" s="183"/>
      <c r="R11340" s="183"/>
      <c r="S11340" s="183"/>
      <c r="AJ11340" s="183"/>
      <c r="AK11340" s="183"/>
      <c r="AL11340" s="183"/>
    </row>
    <row r="11341" spans="1:38">
      <c r="A11341" s="182"/>
      <c r="Q11341" s="183"/>
      <c r="R11341" s="183"/>
      <c r="S11341" s="183"/>
      <c r="AJ11341" s="183"/>
      <c r="AK11341" s="183"/>
      <c r="AL11341" s="183"/>
    </row>
    <row r="11342" spans="1:38">
      <c r="A11342" s="182"/>
      <c r="Q11342" s="183"/>
      <c r="R11342" s="183"/>
      <c r="S11342" s="183"/>
      <c r="AJ11342" s="183"/>
      <c r="AK11342" s="183"/>
      <c r="AL11342" s="183"/>
    </row>
    <row r="11343" spans="1:38">
      <c r="A11343" s="182"/>
      <c r="Q11343" s="183"/>
      <c r="R11343" s="183"/>
      <c r="S11343" s="183"/>
      <c r="AJ11343" s="183"/>
      <c r="AK11343" s="183"/>
      <c r="AL11343" s="183"/>
    </row>
    <row r="11344" spans="1:38">
      <c r="A11344" s="182"/>
      <c r="Q11344" s="183"/>
      <c r="R11344" s="183"/>
      <c r="S11344" s="183"/>
      <c r="AJ11344" s="183"/>
      <c r="AK11344" s="183"/>
      <c r="AL11344" s="183"/>
    </row>
    <row r="11345" spans="1:38">
      <c r="A11345" s="182"/>
      <c r="Q11345" s="183"/>
      <c r="R11345" s="183"/>
      <c r="S11345" s="183"/>
      <c r="AJ11345" s="183"/>
    </row>
    <row r="11346" spans="1:38">
      <c r="A11346" s="182"/>
      <c r="Q11346" s="183"/>
      <c r="R11346" s="183"/>
      <c r="S11346" s="183"/>
    </row>
    <row r="11347" spans="1:38">
      <c r="A11347" s="182"/>
      <c r="Q11347" s="183"/>
      <c r="R11347" s="183"/>
      <c r="S11347" s="183"/>
    </row>
    <row r="11348" spans="1:38">
      <c r="A11348" s="182"/>
      <c r="Q11348" s="183"/>
      <c r="R11348" s="183"/>
      <c r="S11348" s="183"/>
    </row>
    <row r="11349" spans="1:38">
      <c r="A11349" s="182"/>
      <c r="Q11349" s="183"/>
      <c r="R11349" s="183"/>
      <c r="S11349" s="183"/>
    </row>
    <row r="11350" spans="1:38">
      <c r="A11350" s="182"/>
      <c r="Q11350" s="183"/>
      <c r="R11350" s="183"/>
      <c r="S11350" s="183"/>
    </row>
    <row r="11351" spans="1:38">
      <c r="A11351" s="182"/>
      <c r="Q11351" s="183"/>
      <c r="R11351" s="183"/>
      <c r="S11351" s="183"/>
    </row>
    <row r="11352" spans="1:38">
      <c r="A11352" s="182"/>
      <c r="Q11352" s="183"/>
      <c r="R11352" s="183"/>
      <c r="S11352" s="183"/>
    </row>
    <row r="11353" spans="1:38">
      <c r="A11353" s="182"/>
      <c r="Q11353" s="183"/>
      <c r="R11353" s="183"/>
      <c r="S11353" s="183"/>
      <c r="AK11353" s="183"/>
      <c r="AL11353" s="183"/>
    </row>
    <row r="11354" spans="1:38">
      <c r="A11354" s="182"/>
      <c r="Q11354" s="183"/>
      <c r="R11354" s="183"/>
      <c r="S11354" s="183"/>
      <c r="AJ11354" s="183"/>
      <c r="AK11354" s="183"/>
      <c r="AL11354" s="183"/>
    </row>
    <row r="11355" spans="1:38">
      <c r="A11355" s="182"/>
      <c r="Q11355" s="183"/>
      <c r="R11355" s="183"/>
      <c r="S11355" s="183"/>
      <c r="AJ11355" s="183"/>
      <c r="AK11355" s="183"/>
      <c r="AL11355" s="183"/>
    </row>
    <row r="11356" spans="1:38">
      <c r="A11356" s="182"/>
      <c r="Q11356" s="183"/>
      <c r="R11356" s="183"/>
      <c r="S11356" s="183"/>
      <c r="AJ11356" s="183"/>
      <c r="AK11356" s="183"/>
      <c r="AL11356" s="183"/>
    </row>
    <row r="11357" spans="1:38">
      <c r="A11357" s="182"/>
      <c r="Q11357" s="183"/>
      <c r="R11357" s="183"/>
      <c r="S11357" s="183"/>
      <c r="AJ11357" s="183"/>
    </row>
    <row r="11358" spans="1:38">
      <c r="A11358" s="182"/>
      <c r="Q11358" s="183"/>
      <c r="R11358" s="183"/>
      <c r="S11358" s="183"/>
    </row>
    <row r="11359" spans="1:38">
      <c r="A11359" s="182"/>
      <c r="Q11359" s="183"/>
      <c r="R11359" s="183"/>
      <c r="S11359" s="183"/>
    </row>
    <row r="11360" spans="1:38">
      <c r="A11360" s="182"/>
      <c r="Q11360" s="183"/>
      <c r="R11360" s="183"/>
      <c r="S11360" s="183"/>
    </row>
    <row r="11361" spans="1:19">
      <c r="A11361" s="182"/>
      <c r="Q11361" s="183"/>
      <c r="R11361" s="183"/>
      <c r="S11361" s="183"/>
    </row>
    <row r="11362" spans="1:19">
      <c r="A11362" s="182"/>
      <c r="Q11362" s="183"/>
      <c r="R11362" s="183"/>
      <c r="S11362" s="183"/>
    </row>
    <row r="11363" spans="1:19">
      <c r="A11363" s="182"/>
      <c r="Q11363" s="183"/>
      <c r="R11363" s="183"/>
      <c r="S11363" s="183"/>
    </row>
    <row r="11364" spans="1:19">
      <c r="A11364" s="182"/>
      <c r="Q11364" s="183"/>
      <c r="R11364" s="183"/>
      <c r="S11364" s="183"/>
    </row>
    <row r="11365" spans="1:19">
      <c r="A11365" s="182"/>
      <c r="Q11365" s="183"/>
      <c r="R11365" s="183"/>
      <c r="S11365" s="183"/>
    </row>
    <row r="11366" spans="1:19">
      <c r="A11366" s="182"/>
      <c r="Q11366" s="183"/>
      <c r="R11366" s="183"/>
      <c r="S11366" s="183"/>
    </row>
    <row r="11367" spans="1:19">
      <c r="A11367" s="182"/>
      <c r="Q11367" s="183"/>
      <c r="R11367" s="183"/>
      <c r="S11367" s="183"/>
    </row>
    <row r="11368" spans="1:19">
      <c r="A11368" s="182"/>
      <c r="Q11368" s="183"/>
      <c r="R11368" s="183"/>
      <c r="S11368" s="183"/>
    </row>
    <row r="11369" spans="1:19">
      <c r="A11369" s="182"/>
      <c r="Q11369" s="183"/>
      <c r="R11369" s="183"/>
      <c r="S11369" s="183"/>
    </row>
    <row r="11370" spans="1:19">
      <c r="A11370" s="182"/>
      <c r="Q11370" s="183"/>
      <c r="R11370" s="183"/>
      <c r="S11370" s="183"/>
    </row>
    <row r="11371" spans="1:19">
      <c r="A11371" s="182"/>
      <c r="Q11371" s="183"/>
      <c r="R11371" s="183"/>
      <c r="S11371" s="183"/>
    </row>
    <row r="11372" spans="1:19">
      <c r="A11372" s="182"/>
      <c r="Q11372" s="183"/>
      <c r="R11372" s="183"/>
      <c r="S11372" s="183"/>
    </row>
    <row r="11373" spans="1:19">
      <c r="A11373" s="182"/>
      <c r="Q11373" s="183"/>
      <c r="R11373" s="183"/>
      <c r="S11373" s="183"/>
    </row>
    <row r="11374" spans="1:19">
      <c r="A11374" s="182"/>
      <c r="Q11374" s="183"/>
      <c r="R11374" s="183"/>
      <c r="S11374" s="183"/>
    </row>
    <row r="11375" spans="1:19">
      <c r="A11375" s="182"/>
      <c r="Q11375" s="183"/>
      <c r="R11375" s="183"/>
      <c r="S11375" s="183"/>
    </row>
    <row r="11376" spans="1:19">
      <c r="A11376" s="182"/>
      <c r="Q11376" s="183"/>
      <c r="R11376" s="183"/>
      <c r="S11376" s="183"/>
    </row>
    <row r="11377" spans="1:19">
      <c r="A11377" s="182"/>
      <c r="Q11377" s="183"/>
      <c r="R11377" s="183"/>
      <c r="S11377" s="183"/>
    </row>
    <row r="11378" spans="1:19">
      <c r="A11378" s="182"/>
      <c r="Q11378" s="183"/>
      <c r="R11378" s="183"/>
      <c r="S11378" s="183"/>
    </row>
    <row r="11379" spans="1:19">
      <c r="A11379" s="182"/>
      <c r="Q11379" s="183"/>
      <c r="R11379" s="183"/>
      <c r="S11379" s="183"/>
    </row>
    <row r="11380" spans="1:19">
      <c r="A11380" s="182"/>
      <c r="Q11380" s="183"/>
      <c r="R11380" s="183"/>
      <c r="S11380" s="183"/>
    </row>
    <row r="11381" spans="1:19">
      <c r="A11381" s="182"/>
      <c r="Q11381" s="183"/>
      <c r="R11381" s="183"/>
      <c r="S11381" s="183"/>
    </row>
    <row r="11382" spans="1:19">
      <c r="A11382" s="182"/>
      <c r="Q11382" s="183"/>
      <c r="R11382" s="183"/>
      <c r="S11382" s="183"/>
    </row>
    <row r="11383" spans="1:19">
      <c r="A11383" s="182"/>
      <c r="Q11383" s="183"/>
      <c r="R11383" s="183"/>
      <c r="S11383" s="183"/>
    </row>
    <row r="11384" spans="1:19">
      <c r="A11384" s="182"/>
      <c r="Q11384" s="183"/>
      <c r="R11384" s="183"/>
      <c r="S11384" s="183"/>
    </row>
    <row r="11385" spans="1:19">
      <c r="A11385" s="182"/>
      <c r="Q11385" s="183"/>
      <c r="R11385" s="183"/>
      <c r="S11385" s="183"/>
    </row>
    <row r="11386" spans="1:19">
      <c r="A11386" s="182"/>
      <c r="Q11386" s="183"/>
      <c r="R11386" s="183"/>
      <c r="S11386" s="183"/>
    </row>
    <row r="11387" spans="1:19">
      <c r="A11387" s="182"/>
      <c r="Q11387" s="183"/>
      <c r="R11387" s="183"/>
      <c r="S11387" s="183"/>
    </row>
    <row r="11388" spans="1:19">
      <c r="A11388" s="182"/>
      <c r="Q11388" s="183"/>
      <c r="R11388" s="183"/>
      <c r="S11388" s="183"/>
    </row>
    <row r="11389" spans="1:19">
      <c r="A11389" s="182"/>
      <c r="Q11389" s="183"/>
      <c r="R11389" s="183"/>
      <c r="S11389" s="183"/>
    </row>
    <row r="11390" spans="1:19">
      <c r="A11390" s="182"/>
      <c r="Q11390" s="183"/>
      <c r="R11390" s="183"/>
      <c r="S11390" s="183"/>
    </row>
    <row r="11391" spans="1:19">
      <c r="A11391" s="182"/>
      <c r="Q11391" s="183"/>
      <c r="R11391" s="183"/>
      <c r="S11391" s="183"/>
    </row>
    <row r="11392" spans="1:19">
      <c r="A11392" s="182"/>
      <c r="Q11392" s="183"/>
      <c r="R11392" s="183"/>
      <c r="S11392" s="183"/>
    </row>
    <row r="11393" spans="1:38">
      <c r="A11393" s="182"/>
      <c r="Q11393" s="183"/>
      <c r="R11393" s="183"/>
      <c r="S11393" s="183"/>
    </row>
    <row r="11394" spans="1:38">
      <c r="A11394" s="182"/>
      <c r="Q11394" s="183"/>
      <c r="R11394" s="183"/>
      <c r="S11394" s="183"/>
    </row>
    <row r="11395" spans="1:38">
      <c r="A11395" s="182"/>
      <c r="Q11395" s="183"/>
      <c r="R11395" s="183"/>
      <c r="S11395" s="183"/>
    </row>
    <row r="11396" spans="1:38">
      <c r="A11396" s="182"/>
      <c r="Q11396" s="183"/>
      <c r="R11396" s="183"/>
      <c r="S11396" s="183"/>
    </row>
    <row r="11397" spans="1:38">
      <c r="A11397" s="182"/>
      <c r="Q11397" s="183"/>
      <c r="R11397" s="183"/>
      <c r="S11397" s="183"/>
    </row>
    <row r="11398" spans="1:38">
      <c r="A11398" s="182"/>
      <c r="Q11398" s="183"/>
      <c r="R11398" s="183"/>
      <c r="S11398" s="183"/>
    </row>
    <row r="11399" spans="1:38">
      <c r="A11399" s="182"/>
      <c r="Q11399" s="183"/>
      <c r="R11399" s="183"/>
      <c r="S11399" s="183"/>
    </row>
    <row r="11400" spans="1:38">
      <c r="A11400" s="182"/>
      <c r="Q11400" s="183"/>
      <c r="R11400" s="183"/>
      <c r="S11400" s="183"/>
    </row>
    <row r="11401" spans="1:38">
      <c r="A11401" s="182"/>
      <c r="Q11401" s="183"/>
      <c r="R11401" s="183"/>
      <c r="S11401" s="183"/>
      <c r="AK11401" s="183"/>
      <c r="AL11401" s="183"/>
    </row>
    <row r="11402" spans="1:38">
      <c r="A11402" s="182"/>
      <c r="Q11402" s="183"/>
      <c r="R11402" s="183"/>
      <c r="S11402" s="183"/>
      <c r="AJ11402" s="183"/>
      <c r="AK11402" s="183"/>
      <c r="AL11402" s="183"/>
    </row>
    <row r="11403" spans="1:38">
      <c r="A11403" s="182"/>
      <c r="Q11403" s="183"/>
      <c r="R11403" s="183"/>
      <c r="S11403" s="183"/>
      <c r="AJ11403" s="183"/>
      <c r="AK11403" s="183"/>
      <c r="AL11403" s="183"/>
    </row>
    <row r="11404" spans="1:38">
      <c r="A11404" s="182"/>
      <c r="Q11404" s="183"/>
      <c r="R11404" s="183"/>
      <c r="S11404" s="183"/>
      <c r="AJ11404" s="183"/>
      <c r="AK11404" s="183"/>
      <c r="AL11404" s="183"/>
    </row>
    <row r="11405" spans="1:38">
      <c r="A11405" s="182"/>
      <c r="Q11405" s="183"/>
      <c r="R11405" s="183"/>
      <c r="S11405" s="183"/>
      <c r="AJ11405" s="183"/>
    </row>
    <row r="11406" spans="1:38">
      <c r="A11406" s="182"/>
      <c r="Q11406" s="183"/>
      <c r="R11406" s="183"/>
      <c r="S11406" s="183"/>
    </row>
    <row r="11407" spans="1:38">
      <c r="A11407" s="182"/>
      <c r="Q11407" s="183"/>
      <c r="R11407" s="183"/>
      <c r="S11407" s="183"/>
    </row>
    <row r="11408" spans="1:38">
      <c r="A11408" s="182"/>
      <c r="Q11408" s="183"/>
      <c r="R11408" s="183"/>
      <c r="S11408" s="183"/>
    </row>
    <row r="11409" spans="1:38">
      <c r="A11409" s="182"/>
      <c r="Q11409" s="183"/>
      <c r="R11409" s="183"/>
      <c r="S11409" s="183"/>
    </row>
    <row r="11410" spans="1:38">
      <c r="A11410" s="182"/>
      <c r="Q11410" s="183"/>
      <c r="R11410" s="183"/>
      <c r="S11410" s="183"/>
    </row>
    <row r="11411" spans="1:38">
      <c r="A11411" s="182"/>
      <c r="Q11411" s="183"/>
      <c r="R11411" s="183"/>
      <c r="S11411" s="183"/>
    </row>
    <row r="11412" spans="1:38">
      <c r="A11412" s="182"/>
      <c r="Q11412" s="183"/>
      <c r="R11412" s="183"/>
      <c r="S11412" s="183"/>
    </row>
    <row r="11413" spans="1:38">
      <c r="A11413" s="182"/>
      <c r="Q11413" s="183"/>
      <c r="R11413" s="183"/>
      <c r="S11413" s="183"/>
    </row>
    <row r="11414" spans="1:38">
      <c r="A11414" s="182"/>
      <c r="Q11414" s="183"/>
      <c r="R11414" s="183"/>
      <c r="S11414" s="183"/>
    </row>
    <row r="11415" spans="1:38">
      <c r="A11415" s="182"/>
      <c r="Q11415" s="183"/>
      <c r="R11415" s="183"/>
      <c r="S11415" s="183"/>
    </row>
    <row r="11416" spans="1:38">
      <c r="A11416" s="182"/>
      <c r="Q11416" s="183"/>
      <c r="R11416" s="183"/>
      <c r="S11416" s="183"/>
    </row>
    <row r="11417" spans="1:38">
      <c r="A11417" s="182"/>
      <c r="Q11417" s="183"/>
      <c r="R11417" s="183"/>
      <c r="S11417" s="183"/>
    </row>
    <row r="11418" spans="1:38">
      <c r="A11418" s="182"/>
      <c r="Q11418" s="183"/>
      <c r="R11418" s="183"/>
      <c r="S11418" s="183"/>
    </row>
    <row r="11419" spans="1:38">
      <c r="A11419" s="182"/>
      <c r="Q11419" s="183"/>
      <c r="R11419" s="183"/>
      <c r="S11419" s="183"/>
    </row>
    <row r="11420" spans="1:38">
      <c r="A11420" s="182"/>
      <c r="Q11420" s="183"/>
      <c r="R11420" s="183"/>
      <c r="S11420" s="183"/>
    </row>
    <row r="11421" spans="1:38">
      <c r="A11421" s="182"/>
      <c r="Q11421" s="183"/>
      <c r="R11421" s="183"/>
      <c r="S11421" s="183"/>
      <c r="AK11421" s="183"/>
      <c r="AL11421" s="183"/>
    </row>
    <row r="11422" spans="1:38">
      <c r="A11422" s="182"/>
      <c r="Q11422" s="183"/>
      <c r="R11422" s="183"/>
      <c r="S11422" s="183"/>
      <c r="AJ11422" s="183"/>
      <c r="AK11422" s="183"/>
      <c r="AL11422" s="183"/>
    </row>
    <row r="11423" spans="1:38">
      <c r="A11423" s="182"/>
      <c r="Q11423" s="183"/>
      <c r="R11423" s="183"/>
      <c r="S11423" s="183"/>
      <c r="AJ11423" s="183"/>
      <c r="AK11423" s="183"/>
      <c r="AL11423" s="183"/>
    </row>
    <row r="11424" spans="1:38">
      <c r="A11424" s="182"/>
      <c r="Q11424" s="183"/>
      <c r="R11424" s="183"/>
      <c r="S11424" s="183"/>
      <c r="AJ11424" s="183"/>
      <c r="AK11424" s="183"/>
      <c r="AL11424" s="183"/>
    </row>
    <row r="11425" spans="1:36">
      <c r="A11425" s="182"/>
      <c r="Q11425" s="183"/>
      <c r="R11425" s="183"/>
      <c r="S11425" s="183"/>
      <c r="AJ11425" s="183"/>
    </row>
    <row r="11426" spans="1:36">
      <c r="A11426" s="182"/>
      <c r="Q11426" s="183"/>
      <c r="R11426" s="183"/>
      <c r="S11426" s="183"/>
    </row>
    <row r="11427" spans="1:36">
      <c r="A11427" s="182"/>
      <c r="Q11427" s="183"/>
      <c r="R11427" s="183"/>
      <c r="S11427" s="183"/>
    </row>
    <row r="11428" spans="1:36">
      <c r="A11428" s="182"/>
      <c r="Q11428" s="183"/>
      <c r="R11428" s="183"/>
      <c r="S11428" s="183"/>
    </row>
    <row r="11429" spans="1:36">
      <c r="A11429" s="182"/>
      <c r="Q11429" s="183"/>
      <c r="R11429" s="183"/>
      <c r="S11429" s="183"/>
    </row>
    <row r="11430" spans="1:36">
      <c r="A11430" s="182"/>
      <c r="Q11430" s="183"/>
      <c r="R11430" s="183"/>
      <c r="S11430" s="183"/>
    </row>
    <row r="11431" spans="1:36">
      <c r="A11431" s="182"/>
      <c r="Q11431" s="183"/>
      <c r="R11431" s="183"/>
      <c r="S11431" s="183"/>
    </row>
    <row r="11432" spans="1:36">
      <c r="A11432" s="182"/>
      <c r="Q11432" s="183"/>
      <c r="R11432" s="183"/>
      <c r="S11432" s="183"/>
    </row>
    <row r="11433" spans="1:36">
      <c r="A11433" s="182"/>
      <c r="Q11433" s="183"/>
      <c r="R11433" s="183"/>
      <c r="S11433" s="183"/>
    </row>
    <row r="11434" spans="1:36">
      <c r="A11434" s="182"/>
      <c r="Q11434" s="183"/>
      <c r="R11434" s="183"/>
      <c r="S11434" s="183"/>
    </row>
    <row r="11435" spans="1:36">
      <c r="A11435" s="182"/>
      <c r="Q11435" s="183"/>
    </row>
    <row r="11436" spans="1:36">
      <c r="A11436" s="182"/>
    </row>
    <row r="11437" spans="1:36">
      <c r="A11437" s="182"/>
      <c r="R11437" s="183"/>
      <c r="S11437" s="183"/>
    </row>
    <row r="11438" spans="1:36">
      <c r="A11438" s="182"/>
      <c r="Q11438" s="183"/>
      <c r="R11438" s="183"/>
      <c r="S11438" s="183"/>
    </row>
    <row r="11439" spans="1:36">
      <c r="A11439" s="182"/>
      <c r="Q11439" s="183"/>
    </row>
    <row r="11440" spans="1:36">
      <c r="A11440" s="182"/>
    </row>
    <row r="11441" spans="1:38">
      <c r="A11441" s="182"/>
    </row>
    <row r="11442" spans="1:38">
      <c r="A11442" s="182"/>
      <c r="R11442" s="183"/>
      <c r="S11442" s="183"/>
    </row>
    <row r="11443" spans="1:38">
      <c r="A11443" s="182"/>
      <c r="Q11443" s="183"/>
      <c r="R11443" s="183"/>
      <c r="S11443" s="183"/>
    </row>
    <row r="11444" spans="1:38">
      <c r="A11444" s="182"/>
      <c r="Q11444" s="183"/>
    </row>
    <row r="11445" spans="1:38">
      <c r="A11445" s="182"/>
    </row>
    <row r="11446" spans="1:38">
      <c r="A11446" s="182"/>
    </row>
    <row r="11447" spans="1:38">
      <c r="A11447" s="182"/>
      <c r="R11447" s="183"/>
      <c r="S11447" s="183"/>
    </row>
    <row r="11448" spans="1:38">
      <c r="A11448" s="182"/>
      <c r="Q11448" s="183"/>
      <c r="R11448" s="183"/>
      <c r="S11448" s="183"/>
    </row>
    <row r="11449" spans="1:38">
      <c r="A11449" s="182"/>
      <c r="Q11449" s="183"/>
      <c r="R11449" s="183"/>
      <c r="S11449" s="183"/>
      <c r="AK11449" s="183"/>
      <c r="AL11449" s="183"/>
    </row>
    <row r="11450" spans="1:38">
      <c r="A11450" s="182"/>
      <c r="Q11450" s="183"/>
      <c r="R11450" s="183"/>
      <c r="S11450" s="183"/>
      <c r="AJ11450" s="183"/>
      <c r="AK11450" s="183"/>
      <c r="AL11450" s="183"/>
    </row>
    <row r="11451" spans="1:38">
      <c r="A11451" s="182"/>
      <c r="Q11451" s="183"/>
      <c r="AJ11451" s="183"/>
      <c r="AK11451" s="183"/>
      <c r="AL11451" s="183"/>
    </row>
    <row r="11452" spans="1:38">
      <c r="A11452" s="182"/>
      <c r="R11452" s="183"/>
      <c r="S11452" s="183"/>
      <c r="AJ11452" s="183"/>
      <c r="AK11452" s="183"/>
      <c r="AL11452" s="183"/>
    </row>
    <row r="11453" spans="1:38">
      <c r="A11453" s="182"/>
      <c r="Q11453" s="183"/>
      <c r="R11453" s="183"/>
      <c r="S11453" s="183"/>
      <c r="AJ11453" s="183"/>
    </row>
    <row r="11454" spans="1:38">
      <c r="A11454" s="182"/>
      <c r="Q11454" s="183"/>
      <c r="R11454" s="183"/>
      <c r="S11454" s="183"/>
    </row>
    <row r="11455" spans="1:38">
      <c r="A11455" s="182"/>
      <c r="Q11455" s="183"/>
      <c r="R11455" s="183"/>
      <c r="S11455" s="183"/>
    </row>
    <row r="11456" spans="1:38">
      <c r="A11456" s="182"/>
      <c r="Q11456" s="183"/>
      <c r="R11456" s="183"/>
      <c r="S11456" s="183"/>
    </row>
    <row r="11457" spans="1:19">
      <c r="A11457" s="182"/>
      <c r="Q11457" s="183"/>
      <c r="R11457" s="183"/>
      <c r="S11457" s="183"/>
    </row>
    <row r="11458" spans="1:19">
      <c r="A11458" s="182"/>
      <c r="Q11458" s="183"/>
      <c r="R11458" s="183"/>
      <c r="S11458" s="183"/>
    </row>
    <row r="11459" spans="1:19">
      <c r="A11459" s="182"/>
      <c r="Q11459" s="183"/>
      <c r="R11459" s="183"/>
      <c r="S11459" s="183"/>
    </row>
    <row r="11460" spans="1:19">
      <c r="A11460" s="182"/>
      <c r="Q11460" s="183"/>
      <c r="R11460" s="183"/>
      <c r="S11460" s="183"/>
    </row>
    <row r="11461" spans="1:19">
      <c r="A11461" s="182"/>
      <c r="Q11461" s="183"/>
      <c r="R11461" s="183"/>
      <c r="S11461" s="183"/>
    </row>
    <row r="11462" spans="1:19">
      <c r="A11462" s="182"/>
      <c r="Q11462" s="183"/>
      <c r="R11462" s="183"/>
      <c r="S11462" s="183"/>
    </row>
    <row r="11463" spans="1:19">
      <c r="A11463" s="182"/>
      <c r="Q11463" s="183"/>
      <c r="R11463" s="183"/>
      <c r="S11463" s="183"/>
    </row>
    <row r="11464" spans="1:19">
      <c r="A11464" s="182"/>
      <c r="Q11464" s="183"/>
      <c r="R11464" s="183"/>
      <c r="S11464" s="183"/>
    </row>
    <row r="11465" spans="1:19">
      <c r="A11465" s="182"/>
      <c r="Q11465" s="183"/>
      <c r="R11465" s="183"/>
      <c r="S11465" s="183"/>
    </row>
    <row r="11466" spans="1:19">
      <c r="A11466" s="182"/>
      <c r="Q11466" s="183"/>
      <c r="R11466" s="183"/>
      <c r="S11466" s="183"/>
    </row>
    <row r="11467" spans="1:19">
      <c r="A11467" s="182"/>
      <c r="Q11467" s="183"/>
      <c r="R11467" s="183"/>
      <c r="S11467" s="183"/>
    </row>
    <row r="11468" spans="1:19">
      <c r="A11468" s="182"/>
      <c r="Q11468" s="183"/>
      <c r="R11468" s="183"/>
      <c r="S11468" s="183"/>
    </row>
    <row r="11469" spans="1:19">
      <c r="A11469" s="182"/>
      <c r="Q11469" s="183"/>
      <c r="R11469" s="183"/>
      <c r="S11469" s="183"/>
    </row>
    <row r="11470" spans="1:19">
      <c r="A11470" s="182"/>
      <c r="Q11470" s="183"/>
      <c r="R11470" s="183"/>
      <c r="S11470" s="183"/>
    </row>
    <row r="11471" spans="1:19">
      <c r="A11471" s="182"/>
      <c r="Q11471" s="183"/>
      <c r="R11471" s="183"/>
      <c r="S11471" s="183"/>
    </row>
    <row r="11472" spans="1:19">
      <c r="A11472" s="182"/>
      <c r="Q11472" s="183"/>
      <c r="R11472" s="183"/>
      <c r="S11472" s="183"/>
    </row>
    <row r="11473" spans="1:19">
      <c r="A11473" s="182"/>
      <c r="Q11473" s="183"/>
      <c r="R11473" s="183"/>
      <c r="S11473" s="183"/>
    </row>
    <row r="11474" spans="1:19">
      <c r="A11474" s="182"/>
      <c r="Q11474" s="183"/>
      <c r="R11474" s="183"/>
      <c r="S11474" s="183"/>
    </row>
    <row r="11475" spans="1:19">
      <c r="A11475" s="182"/>
      <c r="Q11475" s="183"/>
      <c r="R11475" s="183"/>
      <c r="S11475" s="183"/>
    </row>
    <row r="11476" spans="1:19">
      <c r="A11476" s="182"/>
      <c r="Q11476" s="183"/>
      <c r="R11476" s="183"/>
      <c r="S11476" s="183"/>
    </row>
    <row r="11477" spans="1:19">
      <c r="A11477" s="182"/>
      <c r="Q11477" s="183"/>
      <c r="R11477" s="183"/>
      <c r="S11477" s="183"/>
    </row>
    <row r="11478" spans="1:19">
      <c r="A11478" s="182"/>
      <c r="Q11478" s="183"/>
      <c r="R11478" s="183"/>
      <c r="S11478" s="183"/>
    </row>
    <row r="11479" spans="1:19">
      <c r="A11479" s="182"/>
      <c r="Q11479" s="183"/>
      <c r="R11479" s="183"/>
      <c r="S11479" s="183"/>
    </row>
    <row r="11480" spans="1:19">
      <c r="A11480" s="182"/>
      <c r="Q11480" s="183"/>
      <c r="R11480" s="183"/>
      <c r="S11480" s="183"/>
    </row>
    <row r="11481" spans="1:19">
      <c r="A11481" s="182"/>
      <c r="Q11481" s="183"/>
      <c r="R11481" s="183"/>
      <c r="S11481" s="183"/>
    </row>
    <row r="11482" spans="1:19">
      <c r="A11482" s="182"/>
      <c r="Q11482" s="183"/>
      <c r="R11482" s="183"/>
      <c r="S11482" s="183"/>
    </row>
    <row r="11483" spans="1:19">
      <c r="A11483" s="182"/>
      <c r="Q11483" s="183"/>
      <c r="R11483" s="183"/>
      <c r="S11483" s="183"/>
    </row>
    <row r="11484" spans="1:19">
      <c r="A11484" s="182"/>
      <c r="Q11484" s="183"/>
      <c r="R11484" s="183"/>
      <c r="S11484" s="183"/>
    </row>
    <row r="11485" spans="1:19">
      <c r="A11485" s="182"/>
      <c r="Q11485" s="183"/>
      <c r="R11485" s="183"/>
      <c r="S11485" s="183"/>
    </row>
    <row r="11486" spans="1:19">
      <c r="A11486" s="182"/>
      <c r="Q11486" s="183"/>
      <c r="R11486" s="183"/>
      <c r="S11486" s="183"/>
    </row>
    <row r="11487" spans="1:19">
      <c r="A11487" s="182"/>
      <c r="Q11487" s="183"/>
      <c r="R11487" s="183"/>
      <c r="S11487" s="183"/>
    </row>
    <row r="11488" spans="1:19">
      <c r="A11488" s="182"/>
      <c r="Q11488" s="183"/>
      <c r="R11488" s="183"/>
      <c r="S11488" s="183"/>
    </row>
    <row r="11489" spans="1:19">
      <c r="A11489" s="182"/>
      <c r="Q11489" s="183"/>
      <c r="R11489" s="183"/>
      <c r="S11489" s="183"/>
    </row>
    <row r="11490" spans="1:19">
      <c r="A11490" s="182"/>
      <c r="Q11490" s="183"/>
      <c r="R11490" s="183"/>
      <c r="S11490" s="183"/>
    </row>
    <row r="11491" spans="1:19">
      <c r="A11491" s="182"/>
      <c r="Q11491" s="183"/>
      <c r="R11491" s="183"/>
      <c r="S11491" s="183"/>
    </row>
    <row r="11492" spans="1:19">
      <c r="A11492" s="182"/>
      <c r="Q11492" s="183"/>
      <c r="R11492" s="183"/>
      <c r="S11492" s="183"/>
    </row>
    <row r="11493" spans="1:19">
      <c r="A11493" s="182"/>
      <c r="Q11493" s="183"/>
      <c r="R11493" s="183"/>
      <c r="S11493" s="183"/>
    </row>
    <row r="11494" spans="1:19">
      <c r="A11494" s="182"/>
      <c r="Q11494" s="183"/>
      <c r="R11494" s="183"/>
      <c r="S11494" s="183"/>
    </row>
    <row r="11495" spans="1:19">
      <c r="A11495" s="182"/>
      <c r="Q11495" s="183"/>
      <c r="R11495" s="183"/>
      <c r="S11495" s="183"/>
    </row>
    <row r="11496" spans="1:19">
      <c r="A11496" s="182"/>
      <c r="Q11496" s="183"/>
      <c r="R11496" s="183"/>
      <c r="S11496" s="183"/>
    </row>
    <row r="11497" spans="1:19">
      <c r="A11497" s="182"/>
      <c r="Q11497" s="183"/>
      <c r="R11497" s="183"/>
      <c r="S11497" s="183"/>
    </row>
    <row r="11498" spans="1:19">
      <c r="A11498" s="182"/>
      <c r="Q11498" s="183"/>
      <c r="R11498" s="183"/>
      <c r="S11498" s="183"/>
    </row>
    <row r="11499" spans="1:19">
      <c r="A11499" s="182"/>
      <c r="Q11499" s="183"/>
      <c r="R11499" s="183"/>
      <c r="S11499" s="183"/>
    </row>
    <row r="11500" spans="1:19">
      <c r="A11500" s="182"/>
      <c r="Q11500" s="183"/>
      <c r="R11500" s="183"/>
      <c r="S11500" s="183"/>
    </row>
    <row r="11501" spans="1:19">
      <c r="A11501" s="182"/>
      <c r="Q11501" s="183"/>
      <c r="R11501" s="183"/>
      <c r="S11501" s="183"/>
    </row>
    <row r="11502" spans="1:19">
      <c r="A11502" s="182"/>
      <c r="Q11502" s="183"/>
      <c r="R11502" s="183"/>
      <c r="S11502" s="183"/>
    </row>
    <row r="11503" spans="1:19">
      <c r="A11503" s="182"/>
      <c r="Q11503" s="183"/>
      <c r="R11503" s="183"/>
      <c r="S11503" s="183"/>
    </row>
    <row r="11504" spans="1:19">
      <c r="A11504" s="182"/>
      <c r="Q11504" s="183"/>
      <c r="R11504" s="183"/>
      <c r="S11504" s="183"/>
    </row>
    <row r="11505" spans="1:19">
      <c r="A11505" s="182"/>
      <c r="Q11505" s="183"/>
      <c r="R11505" s="183"/>
      <c r="S11505" s="183"/>
    </row>
    <row r="11506" spans="1:19">
      <c r="A11506" s="182"/>
      <c r="Q11506" s="183"/>
      <c r="R11506" s="183"/>
      <c r="S11506" s="183"/>
    </row>
    <row r="11507" spans="1:19">
      <c r="A11507" s="182"/>
      <c r="Q11507" s="183"/>
      <c r="R11507" s="183"/>
      <c r="S11507" s="183"/>
    </row>
    <row r="11508" spans="1:19">
      <c r="A11508" s="182"/>
      <c r="Q11508" s="183"/>
      <c r="R11508" s="183"/>
      <c r="S11508" s="183"/>
    </row>
    <row r="11509" spans="1:19">
      <c r="A11509" s="182"/>
      <c r="Q11509" s="183"/>
      <c r="R11509" s="183"/>
      <c r="S11509" s="183"/>
    </row>
    <row r="11510" spans="1:19">
      <c r="A11510" s="182"/>
      <c r="Q11510" s="183"/>
      <c r="R11510" s="183"/>
      <c r="S11510" s="183"/>
    </row>
    <row r="11511" spans="1:19">
      <c r="A11511" s="182"/>
      <c r="Q11511" s="183"/>
      <c r="R11511" s="183"/>
      <c r="S11511" s="183"/>
    </row>
    <row r="11512" spans="1:19">
      <c r="A11512" s="182"/>
      <c r="Q11512" s="183"/>
      <c r="R11512" s="183"/>
      <c r="S11512" s="183"/>
    </row>
    <row r="11513" spans="1:19">
      <c r="A11513" s="182"/>
      <c r="Q11513" s="183"/>
      <c r="R11513" s="183"/>
      <c r="S11513" s="183"/>
    </row>
    <row r="11514" spans="1:19">
      <c r="A11514" s="182"/>
      <c r="Q11514" s="183"/>
      <c r="R11514" s="183"/>
      <c r="S11514" s="183"/>
    </row>
    <row r="11515" spans="1:19">
      <c r="A11515" s="182"/>
      <c r="Q11515" s="183"/>
      <c r="R11515" s="183"/>
      <c r="S11515" s="183"/>
    </row>
    <row r="11516" spans="1:19">
      <c r="A11516" s="182"/>
      <c r="Q11516" s="183"/>
      <c r="R11516" s="183"/>
      <c r="S11516" s="183"/>
    </row>
    <row r="11517" spans="1:19">
      <c r="A11517" s="182"/>
      <c r="Q11517" s="183"/>
      <c r="R11517" s="183"/>
      <c r="S11517" s="183"/>
    </row>
    <row r="11518" spans="1:19">
      <c r="A11518" s="182"/>
      <c r="Q11518" s="183"/>
      <c r="R11518" s="183"/>
      <c r="S11518" s="183"/>
    </row>
    <row r="11519" spans="1:19">
      <c r="A11519" s="182"/>
      <c r="Q11519" s="183"/>
      <c r="R11519" s="183"/>
      <c r="S11519" s="183"/>
    </row>
    <row r="11520" spans="1:19">
      <c r="A11520" s="182"/>
      <c r="Q11520" s="183"/>
      <c r="R11520" s="183"/>
      <c r="S11520" s="183"/>
    </row>
    <row r="11521" spans="1:38">
      <c r="A11521" s="182"/>
      <c r="Q11521" s="183"/>
      <c r="R11521" s="183"/>
      <c r="S11521" s="183"/>
    </row>
    <row r="11522" spans="1:38">
      <c r="A11522" s="182"/>
      <c r="Q11522" s="183"/>
      <c r="R11522" s="183"/>
      <c r="S11522" s="183"/>
    </row>
    <row r="11523" spans="1:38">
      <c r="A11523" s="182"/>
      <c r="Q11523" s="183"/>
      <c r="R11523" s="183"/>
      <c r="S11523" s="183"/>
    </row>
    <row r="11524" spans="1:38">
      <c r="A11524" s="182"/>
      <c r="Q11524" s="183"/>
      <c r="R11524" s="183"/>
      <c r="S11524" s="183"/>
    </row>
    <row r="11525" spans="1:38">
      <c r="A11525" s="182"/>
      <c r="Q11525" s="183"/>
      <c r="R11525" s="183"/>
      <c r="S11525" s="183"/>
    </row>
    <row r="11526" spans="1:38">
      <c r="A11526" s="182"/>
      <c r="Q11526" s="183"/>
      <c r="R11526" s="183"/>
      <c r="S11526" s="183"/>
    </row>
    <row r="11527" spans="1:38">
      <c r="A11527" s="182"/>
      <c r="Q11527" s="183"/>
      <c r="R11527" s="183"/>
      <c r="S11527" s="183"/>
    </row>
    <row r="11528" spans="1:38">
      <c r="A11528" s="182"/>
      <c r="Q11528" s="183"/>
      <c r="R11528" s="183"/>
      <c r="S11528" s="183"/>
    </row>
    <row r="11529" spans="1:38">
      <c r="A11529" s="182"/>
      <c r="Q11529" s="183"/>
      <c r="R11529" s="183"/>
      <c r="S11529" s="183"/>
    </row>
    <row r="11530" spans="1:38">
      <c r="A11530" s="182"/>
      <c r="Q11530" s="183"/>
      <c r="R11530" s="183"/>
      <c r="S11530" s="183"/>
    </row>
    <row r="11531" spans="1:38">
      <c r="A11531" s="182"/>
      <c r="Q11531" s="183"/>
      <c r="R11531" s="183"/>
      <c r="S11531" s="183"/>
    </row>
    <row r="11532" spans="1:38">
      <c r="A11532" s="182"/>
      <c r="Q11532" s="183"/>
      <c r="R11532" s="183"/>
      <c r="S11532" s="183"/>
    </row>
    <row r="11533" spans="1:38">
      <c r="A11533" s="182"/>
      <c r="Q11533" s="183"/>
      <c r="R11533" s="183"/>
      <c r="S11533" s="183"/>
      <c r="AK11533" s="183"/>
      <c r="AL11533" s="183"/>
    </row>
    <row r="11534" spans="1:38">
      <c r="A11534" s="182"/>
      <c r="Q11534" s="183"/>
      <c r="R11534" s="183"/>
      <c r="S11534" s="183"/>
      <c r="AJ11534" s="183"/>
      <c r="AK11534" s="183"/>
      <c r="AL11534" s="183"/>
    </row>
    <row r="11535" spans="1:38">
      <c r="A11535" s="182"/>
      <c r="Q11535" s="183"/>
      <c r="R11535" s="183"/>
      <c r="S11535" s="183"/>
      <c r="AJ11535" s="183"/>
      <c r="AK11535" s="183"/>
      <c r="AL11535" s="183"/>
    </row>
    <row r="11536" spans="1:38">
      <c r="A11536" s="182"/>
      <c r="Q11536" s="183"/>
      <c r="R11536" s="183"/>
      <c r="S11536" s="183"/>
      <c r="AJ11536" s="183"/>
      <c r="AK11536" s="183"/>
      <c r="AL11536" s="183"/>
    </row>
    <row r="11537" spans="1:38">
      <c r="A11537" s="182"/>
      <c r="Q11537" s="183"/>
      <c r="R11537" s="183"/>
      <c r="S11537" s="183"/>
      <c r="AJ11537" s="183"/>
    </row>
    <row r="11538" spans="1:38">
      <c r="A11538" s="182"/>
      <c r="Q11538" s="183"/>
      <c r="R11538" s="183"/>
      <c r="S11538" s="183"/>
    </row>
    <row r="11539" spans="1:38">
      <c r="A11539" s="182"/>
      <c r="Q11539" s="183"/>
      <c r="R11539" s="183"/>
      <c r="S11539" s="183"/>
    </row>
    <row r="11540" spans="1:38">
      <c r="A11540" s="182"/>
      <c r="Q11540" s="183"/>
      <c r="R11540" s="183"/>
      <c r="S11540" s="183"/>
    </row>
    <row r="11541" spans="1:38">
      <c r="A11541" s="182"/>
      <c r="Q11541" s="183"/>
      <c r="R11541" s="183"/>
      <c r="S11541" s="183"/>
    </row>
    <row r="11542" spans="1:38">
      <c r="A11542" s="182"/>
      <c r="Q11542" s="183"/>
      <c r="R11542" s="183"/>
      <c r="S11542" s="183"/>
    </row>
    <row r="11543" spans="1:38">
      <c r="A11543" s="182"/>
      <c r="Q11543" s="183"/>
      <c r="R11543" s="183"/>
      <c r="S11543" s="183"/>
    </row>
    <row r="11544" spans="1:38">
      <c r="A11544" s="182"/>
      <c r="Q11544" s="183"/>
      <c r="R11544" s="183"/>
      <c r="S11544" s="183"/>
    </row>
    <row r="11545" spans="1:38">
      <c r="A11545" s="182"/>
      <c r="Q11545" s="183"/>
      <c r="R11545" s="183"/>
      <c r="S11545" s="183"/>
      <c r="AK11545" s="183"/>
      <c r="AL11545" s="183"/>
    </row>
    <row r="11546" spans="1:38">
      <c r="A11546" s="182"/>
      <c r="Q11546" s="183"/>
      <c r="R11546" s="183"/>
      <c r="S11546" s="183"/>
      <c r="AJ11546" s="183"/>
      <c r="AK11546" s="183"/>
      <c r="AL11546" s="183"/>
    </row>
    <row r="11547" spans="1:38">
      <c r="A11547" s="182"/>
      <c r="Q11547" s="183"/>
      <c r="R11547" s="183"/>
      <c r="S11547" s="183"/>
      <c r="AJ11547" s="183"/>
      <c r="AK11547" s="183"/>
      <c r="AL11547" s="183"/>
    </row>
    <row r="11548" spans="1:38">
      <c r="A11548" s="182"/>
      <c r="Q11548" s="183"/>
      <c r="R11548" s="183"/>
      <c r="S11548" s="183"/>
      <c r="AJ11548" s="183"/>
      <c r="AK11548" s="183"/>
      <c r="AL11548" s="183"/>
    </row>
    <row r="11549" spans="1:38">
      <c r="A11549" s="182"/>
      <c r="Q11549" s="183"/>
      <c r="R11549" s="183"/>
      <c r="S11549" s="183"/>
      <c r="AJ11549" s="183"/>
    </row>
    <row r="11550" spans="1:38">
      <c r="A11550" s="182"/>
      <c r="Q11550" s="183"/>
      <c r="R11550" s="183"/>
      <c r="S11550" s="183"/>
    </row>
    <row r="11551" spans="1:38">
      <c r="A11551" s="182"/>
      <c r="Q11551" s="183"/>
      <c r="R11551" s="183"/>
      <c r="S11551" s="183"/>
    </row>
    <row r="11552" spans="1:38">
      <c r="A11552" s="182"/>
      <c r="Q11552" s="183"/>
      <c r="R11552" s="183"/>
      <c r="S11552" s="183"/>
    </row>
    <row r="11553" spans="1:19">
      <c r="A11553" s="182"/>
      <c r="Q11553" s="183"/>
      <c r="R11553" s="183"/>
      <c r="S11553" s="183"/>
    </row>
    <row r="11554" spans="1:19">
      <c r="A11554" s="182"/>
      <c r="Q11554" s="183"/>
      <c r="R11554" s="183"/>
      <c r="S11554" s="183"/>
    </row>
    <row r="11555" spans="1:19">
      <c r="A11555" s="182"/>
      <c r="Q11555" s="183"/>
      <c r="R11555" s="183"/>
      <c r="S11555" s="183"/>
    </row>
    <row r="11556" spans="1:19">
      <c r="A11556" s="182"/>
      <c r="Q11556" s="183"/>
      <c r="R11556" s="183"/>
      <c r="S11556" s="183"/>
    </row>
    <row r="11557" spans="1:19">
      <c r="A11557" s="182"/>
      <c r="Q11557" s="183"/>
      <c r="R11557" s="183"/>
      <c r="S11557" s="183"/>
    </row>
    <row r="11558" spans="1:19">
      <c r="A11558" s="182"/>
      <c r="Q11558" s="183"/>
      <c r="R11558" s="183"/>
      <c r="S11558" s="183"/>
    </row>
    <row r="11559" spans="1:19">
      <c r="A11559" s="182"/>
      <c r="Q11559" s="183"/>
      <c r="R11559" s="183"/>
      <c r="S11559" s="183"/>
    </row>
    <row r="11560" spans="1:19">
      <c r="A11560" s="182"/>
      <c r="Q11560" s="183"/>
      <c r="R11560" s="183"/>
      <c r="S11560" s="183"/>
    </row>
    <row r="11561" spans="1:19">
      <c r="A11561" s="182"/>
      <c r="Q11561" s="183"/>
      <c r="R11561" s="183"/>
      <c r="S11561" s="183"/>
    </row>
    <row r="11562" spans="1:19">
      <c r="A11562" s="182"/>
      <c r="Q11562" s="183"/>
      <c r="R11562" s="183"/>
      <c r="S11562" s="183"/>
    </row>
    <row r="11563" spans="1:19">
      <c r="A11563" s="182"/>
      <c r="Q11563" s="183"/>
      <c r="R11563" s="183"/>
      <c r="S11563" s="183"/>
    </row>
    <row r="11564" spans="1:19">
      <c r="A11564" s="182"/>
      <c r="Q11564" s="183"/>
      <c r="R11564" s="183"/>
      <c r="S11564" s="183"/>
    </row>
    <row r="11565" spans="1:19">
      <c r="A11565" s="182"/>
      <c r="Q11565" s="183"/>
      <c r="R11565" s="183"/>
      <c r="S11565" s="183"/>
    </row>
    <row r="11566" spans="1:19">
      <c r="A11566" s="182"/>
      <c r="Q11566" s="183"/>
      <c r="R11566" s="183"/>
      <c r="S11566" s="183"/>
    </row>
    <row r="11567" spans="1:19">
      <c r="A11567" s="182"/>
      <c r="Q11567" s="183"/>
      <c r="R11567" s="183"/>
      <c r="S11567" s="183"/>
    </row>
    <row r="11568" spans="1:19">
      <c r="A11568" s="182"/>
      <c r="Q11568" s="183"/>
      <c r="R11568" s="183"/>
      <c r="S11568" s="183"/>
    </row>
    <row r="11569" spans="1:19">
      <c r="A11569" s="182"/>
      <c r="Q11569" s="183"/>
      <c r="R11569" s="183"/>
      <c r="S11569" s="183"/>
    </row>
    <row r="11570" spans="1:19">
      <c r="A11570" s="182"/>
      <c r="Q11570" s="183"/>
      <c r="R11570" s="183"/>
      <c r="S11570" s="183"/>
    </row>
    <row r="11571" spans="1:19">
      <c r="A11571" s="182"/>
      <c r="Q11571" s="183"/>
      <c r="R11571" s="183"/>
      <c r="S11571" s="183"/>
    </row>
    <row r="11572" spans="1:19">
      <c r="A11572" s="182"/>
      <c r="Q11572" s="183"/>
      <c r="R11572" s="183"/>
      <c r="S11572" s="183"/>
    </row>
    <row r="11573" spans="1:19">
      <c r="A11573" s="182"/>
      <c r="Q11573" s="183"/>
      <c r="R11573" s="183"/>
      <c r="S11573" s="183"/>
    </row>
    <row r="11574" spans="1:19">
      <c r="A11574" s="182"/>
      <c r="Q11574" s="183"/>
      <c r="R11574" s="183"/>
      <c r="S11574" s="183"/>
    </row>
    <row r="11575" spans="1:19">
      <c r="A11575" s="182"/>
      <c r="Q11575" s="183"/>
      <c r="R11575" s="183"/>
      <c r="S11575" s="183"/>
    </row>
    <row r="11576" spans="1:19">
      <c r="A11576" s="182"/>
      <c r="Q11576" s="183"/>
      <c r="R11576" s="183"/>
      <c r="S11576" s="183"/>
    </row>
    <row r="11577" spans="1:19">
      <c r="A11577" s="182"/>
      <c r="Q11577" s="183"/>
      <c r="R11577" s="183"/>
      <c r="S11577" s="183"/>
    </row>
    <row r="11578" spans="1:19">
      <c r="A11578" s="182"/>
      <c r="Q11578" s="183"/>
      <c r="R11578" s="183"/>
      <c r="S11578" s="183"/>
    </row>
    <row r="11579" spans="1:19">
      <c r="A11579" s="182"/>
      <c r="Q11579" s="183"/>
      <c r="R11579" s="183"/>
      <c r="S11579" s="183"/>
    </row>
    <row r="11580" spans="1:19">
      <c r="A11580" s="182"/>
      <c r="Q11580" s="183"/>
      <c r="R11580" s="183"/>
      <c r="S11580" s="183"/>
    </row>
    <row r="11581" spans="1:19">
      <c r="A11581" s="182"/>
      <c r="Q11581" s="183"/>
      <c r="R11581" s="183"/>
      <c r="S11581" s="183"/>
    </row>
    <row r="11582" spans="1:19">
      <c r="A11582" s="182"/>
      <c r="Q11582" s="183"/>
      <c r="R11582" s="183"/>
      <c r="S11582" s="183"/>
    </row>
    <row r="11583" spans="1:19">
      <c r="A11583" s="182"/>
      <c r="Q11583" s="183"/>
      <c r="R11583" s="183"/>
      <c r="S11583" s="183"/>
    </row>
    <row r="11584" spans="1:19">
      <c r="A11584" s="182"/>
      <c r="Q11584" s="183"/>
      <c r="R11584" s="183"/>
      <c r="S11584" s="183"/>
    </row>
    <row r="11585" spans="1:19">
      <c r="A11585" s="182"/>
      <c r="Q11585" s="183"/>
      <c r="R11585" s="183"/>
      <c r="S11585" s="183"/>
    </row>
    <row r="11586" spans="1:19">
      <c r="A11586" s="182"/>
      <c r="Q11586" s="183"/>
      <c r="R11586" s="183"/>
      <c r="S11586" s="183"/>
    </row>
    <row r="11587" spans="1:19">
      <c r="A11587" s="182"/>
      <c r="Q11587" s="183"/>
      <c r="R11587" s="183"/>
      <c r="S11587" s="183"/>
    </row>
    <row r="11588" spans="1:19">
      <c r="A11588" s="182"/>
      <c r="Q11588" s="183"/>
      <c r="R11588" s="183"/>
      <c r="S11588" s="183"/>
    </row>
    <row r="11589" spans="1:19">
      <c r="A11589" s="182"/>
      <c r="Q11589" s="183"/>
      <c r="R11589" s="183"/>
      <c r="S11589" s="183"/>
    </row>
    <row r="11590" spans="1:19">
      <c r="A11590" s="182"/>
      <c r="Q11590" s="183"/>
      <c r="R11590" s="183"/>
      <c r="S11590" s="183"/>
    </row>
    <row r="11591" spans="1:19">
      <c r="A11591" s="182"/>
      <c r="Q11591" s="183"/>
      <c r="R11591" s="183"/>
      <c r="S11591" s="183"/>
    </row>
    <row r="11592" spans="1:19">
      <c r="A11592" s="182"/>
      <c r="Q11592" s="183"/>
      <c r="R11592" s="183"/>
      <c r="S11592" s="183"/>
    </row>
    <row r="11593" spans="1:19">
      <c r="A11593" s="182"/>
      <c r="Q11593" s="183"/>
      <c r="R11593" s="183"/>
      <c r="S11593" s="183"/>
    </row>
    <row r="11594" spans="1:19">
      <c r="A11594" s="182"/>
      <c r="Q11594" s="183"/>
      <c r="R11594" s="183"/>
      <c r="S11594" s="183"/>
    </row>
    <row r="11595" spans="1:19">
      <c r="A11595" s="182"/>
      <c r="Q11595" s="183"/>
      <c r="R11595" s="183"/>
      <c r="S11595" s="183"/>
    </row>
    <row r="11596" spans="1:19">
      <c r="A11596" s="182"/>
      <c r="Q11596" s="183"/>
      <c r="R11596" s="183"/>
      <c r="S11596" s="183"/>
    </row>
    <row r="11597" spans="1:19">
      <c r="A11597" s="182"/>
      <c r="Q11597" s="183"/>
      <c r="R11597" s="183"/>
      <c r="S11597" s="183"/>
    </row>
    <row r="11598" spans="1:19">
      <c r="A11598" s="182"/>
      <c r="Q11598" s="183"/>
      <c r="R11598" s="183"/>
      <c r="S11598" s="183"/>
    </row>
    <row r="11599" spans="1:19">
      <c r="A11599" s="182"/>
      <c r="Q11599" s="183"/>
      <c r="R11599" s="183"/>
      <c r="S11599" s="183"/>
    </row>
    <row r="11600" spans="1:19">
      <c r="A11600" s="182"/>
      <c r="Q11600" s="183"/>
      <c r="R11600" s="183"/>
      <c r="S11600" s="183"/>
    </row>
    <row r="11601" spans="1:19">
      <c r="A11601" s="182"/>
      <c r="Q11601" s="183"/>
      <c r="R11601" s="183"/>
      <c r="S11601" s="183"/>
    </row>
    <row r="11602" spans="1:19">
      <c r="A11602" s="182"/>
      <c r="Q11602" s="183"/>
      <c r="R11602" s="183"/>
      <c r="S11602" s="183"/>
    </row>
    <row r="11603" spans="1:19">
      <c r="A11603" s="182"/>
      <c r="Q11603" s="183"/>
      <c r="R11603" s="183"/>
      <c r="S11603" s="183"/>
    </row>
    <row r="11604" spans="1:19">
      <c r="A11604" s="182"/>
      <c r="Q11604" s="183"/>
      <c r="R11604" s="183"/>
      <c r="S11604" s="183"/>
    </row>
    <row r="11605" spans="1:19">
      <c r="A11605" s="182"/>
      <c r="Q11605" s="183"/>
      <c r="R11605" s="183"/>
      <c r="S11605" s="183"/>
    </row>
    <row r="11606" spans="1:19">
      <c r="A11606" s="182"/>
      <c r="Q11606" s="183"/>
      <c r="R11606" s="183"/>
      <c r="S11606" s="183"/>
    </row>
    <row r="11607" spans="1:19">
      <c r="A11607" s="182"/>
      <c r="Q11607" s="183"/>
      <c r="R11607" s="183"/>
      <c r="S11607" s="183"/>
    </row>
    <row r="11608" spans="1:19">
      <c r="A11608" s="182"/>
      <c r="Q11608" s="183"/>
      <c r="R11608" s="183"/>
      <c r="S11608" s="183"/>
    </row>
    <row r="11609" spans="1:19">
      <c r="A11609" s="182"/>
      <c r="Q11609" s="183"/>
      <c r="R11609" s="183"/>
      <c r="S11609" s="183"/>
    </row>
    <row r="11610" spans="1:19">
      <c r="A11610" s="182"/>
      <c r="Q11610" s="183"/>
      <c r="R11610" s="183"/>
      <c r="S11610" s="183"/>
    </row>
    <row r="11611" spans="1:19">
      <c r="A11611" s="182"/>
      <c r="Q11611" s="183"/>
      <c r="R11611" s="183"/>
      <c r="S11611" s="183"/>
    </row>
    <row r="11612" spans="1:19">
      <c r="A11612" s="182"/>
      <c r="Q11612" s="183"/>
      <c r="R11612" s="183"/>
      <c r="S11612" s="183"/>
    </row>
    <row r="11613" spans="1:19">
      <c r="A11613" s="182"/>
      <c r="Q11613" s="183"/>
      <c r="R11613" s="183"/>
      <c r="S11613" s="183"/>
    </row>
    <row r="11614" spans="1:19">
      <c r="A11614" s="182"/>
      <c r="Q11614" s="183"/>
      <c r="R11614" s="183"/>
      <c r="S11614" s="183"/>
    </row>
    <row r="11615" spans="1:19">
      <c r="A11615" s="182"/>
      <c r="Q11615" s="183"/>
      <c r="R11615" s="183"/>
      <c r="S11615" s="183"/>
    </row>
    <row r="11616" spans="1:19">
      <c r="A11616" s="182"/>
      <c r="Q11616" s="183"/>
      <c r="R11616" s="183"/>
      <c r="S11616" s="183"/>
    </row>
    <row r="11617" spans="1:38">
      <c r="A11617" s="182"/>
      <c r="Q11617" s="183"/>
      <c r="R11617" s="183"/>
      <c r="S11617" s="183"/>
    </row>
    <row r="11618" spans="1:38">
      <c r="A11618" s="182"/>
      <c r="Q11618" s="183"/>
      <c r="R11618" s="183"/>
      <c r="S11618" s="183"/>
    </row>
    <row r="11619" spans="1:38">
      <c r="A11619" s="182"/>
      <c r="Q11619" s="183"/>
      <c r="R11619" s="183"/>
      <c r="S11619" s="183"/>
    </row>
    <row r="11620" spans="1:38">
      <c r="A11620" s="182"/>
      <c r="Q11620" s="183"/>
      <c r="R11620" s="183"/>
      <c r="S11620" s="183"/>
    </row>
    <row r="11621" spans="1:38">
      <c r="A11621" s="182"/>
      <c r="Q11621" s="183"/>
      <c r="R11621" s="183"/>
      <c r="S11621" s="183"/>
    </row>
    <row r="11622" spans="1:38">
      <c r="A11622" s="182"/>
      <c r="Q11622" s="183"/>
      <c r="R11622" s="183"/>
      <c r="S11622" s="183"/>
    </row>
    <row r="11623" spans="1:38">
      <c r="A11623" s="182"/>
      <c r="Q11623" s="183"/>
      <c r="R11623" s="183"/>
      <c r="S11623" s="183"/>
    </row>
    <row r="11624" spans="1:38">
      <c r="A11624" s="182"/>
      <c r="Q11624" s="183"/>
      <c r="R11624" s="183"/>
      <c r="S11624" s="183"/>
    </row>
    <row r="11625" spans="1:38">
      <c r="A11625" s="182"/>
      <c r="Q11625" s="183"/>
      <c r="R11625" s="183"/>
      <c r="S11625" s="183"/>
      <c r="AK11625" s="183"/>
      <c r="AL11625" s="183"/>
    </row>
    <row r="11626" spans="1:38">
      <c r="A11626" s="182"/>
      <c r="Q11626" s="183"/>
      <c r="R11626" s="183"/>
      <c r="S11626" s="183"/>
      <c r="AJ11626" s="183"/>
      <c r="AK11626" s="183"/>
      <c r="AL11626" s="183"/>
    </row>
    <row r="11627" spans="1:38">
      <c r="A11627" s="182"/>
      <c r="Q11627" s="183"/>
      <c r="R11627" s="183"/>
      <c r="S11627" s="183"/>
      <c r="AJ11627" s="183"/>
      <c r="AK11627" s="183"/>
      <c r="AL11627" s="183"/>
    </row>
    <row r="11628" spans="1:38">
      <c r="A11628" s="182"/>
      <c r="Q11628" s="183"/>
      <c r="R11628" s="183"/>
      <c r="S11628" s="183"/>
      <c r="AJ11628" s="183"/>
      <c r="AK11628" s="183"/>
      <c r="AL11628" s="183"/>
    </row>
    <row r="11629" spans="1:38">
      <c r="A11629" s="182"/>
      <c r="Q11629" s="183"/>
      <c r="R11629" s="183"/>
      <c r="S11629" s="183"/>
      <c r="AJ11629" s="183"/>
    </row>
    <row r="11630" spans="1:38">
      <c r="A11630" s="182"/>
      <c r="Q11630" s="183"/>
      <c r="R11630" s="183"/>
      <c r="S11630" s="183"/>
    </row>
    <row r="11631" spans="1:38">
      <c r="A11631" s="182"/>
      <c r="Q11631" s="183"/>
      <c r="R11631" s="183"/>
      <c r="S11631" s="183"/>
    </row>
    <row r="11632" spans="1:38">
      <c r="A11632" s="182"/>
      <c r="Q11632" s="183"/>
      <c r="R11632" s="183"/>
      <c r="S11632" s="183"/>
    </row>
    <row r="11633" spans="1:38">
      <c r="A11633" s="182"/>
      <c r="Q11633" s="183"/>
      <c r="R11633" s="183"/>
      <c r="S11633" s="183"/>
    </row>
    <row r="11634" spans="1:38">
      <c r="A11634" s="182"/>
      <c r="Q11634" s="183"/>
      <c r="R11634" s="183"/>
      <c r="S11634" s="183"/>
    </row>
    <row r="11635" spans="1:38">
      <c r="A11635" s="182"/>
      <c r="Q11635" s="183"/>
      <c r="R11635" s="183"/>
      <c r="S11635" s="183"/>
    </row>
    <row r="11636" spans="1:38">
      <c r="A11636" s="182"/>
      <c r="Q11636" s="183"/>
      <c r="R11636" s="183"/>
      <c r="S11636" s="183"/>
    </row>
    <row r="11637" spans="1:38">
      <c r="A11637" s="182"/>
      <c r="Q11637" s="183"/>
      <c r="R11637" s="183"/>
      <c r="S11637" s="183"/>
    </row>
    <row r="11638" spans="1:38">
      <c r="A11638" s="182"/>
      <c r="Q11638" s="183"/>
      <c r="R11638" s="183"/>
      <c r="S11638" s="183"/>
    </row>
    <row r="11639" spans="1:38">
      <c r="A11639" s="182"/>
      <c r="Q11639" s="183"/>
      <c r="R11639" s="183"/>
      <c r="S11639" s="183"/>
    </row>
    <row r="11640" spans="1:38">
      <c r="A11640" s="182"/>
      <c r="Q11640" s="183"/>
      <c r="R11640" s="183"/>
      <c r="S11640" s="183"/>
    </row>
    <row r="11641" spans="1:38">
      <c r="A11641" s="182"/>
      <c r="Q11641" s="183"/>
      <c r="R11641" s="183"/>
      <c r="S11641" s="183"/>
      <c r="AK11641" s="183"/>
      <c r="AL11641" s="183"/>
    </row>
    <row r="11642" spans="1:38">
      <c r="A11642" s="182"/>
      <c r="Q11642" s="183"/>
      <c r="R11642" s="183"/>
      <c r="S11642" s="183"/>
      <c r="AJ11642" s="183"/>
      <c r="AK11642" s="183"/>
      <c r="AL11642" s="183"/>
    </row>
    <row r="11643" spans="1:38">
      <c r="A11643" s="182"/>
      <c r="Q11643" s="183"/>
      <c r="R11643" s="183"/>
      <c r="S11643" s="183"/>
      <c r="AJ11643" s="183"/>
      <c r="AK11643" s="183"/>
      <c r="AL11643" s="183"/>
    </row>
    <row r="11644" spans="1:38">
      <c r="A11644" s="182"/>
      <c r="Q11644" s="183"/>
      <c r="R11644" s="183"/>
      <c r="S11644" s="183"/>
      <c r="AJ11644" s="183"/>
      <c r="AK11644" s="183"/>
      <c r="AL11644" s="183"/>
    </row>
    <row r="11645" spans="1:38">
      <c r="A11645" s="182"/>
      <c r="Q11645" s="183"/>
      <c r="R11645" s="183"/>
      <c r="S11645" s="183"/>
      <c r="AJ11645" s="183"/>
    </row>
    <row r="11646" spans="1:38">
      <c r="A11646" s="182"/>
      <c r="Q11646" s="183"/>
      <c r="R11646" s="183"/>
      <c r="S11646" s="183"/>
    </row>
    <row r="11647" spans="1:38">
      <c r="A11647" s="182"/>
      <c r="Q11647" s="183"/>
      <c r="R11647" s="183"/>
      <c r="S11647" s="183"/>
    </row>
    <row r="11648" spans="1:38">
      <c r="A11648" s="182"/>
      <c r="Q11648" s="183"/>
      <c r="R11648" s="183"/>
      <c r="S11648" s="183"/>
    </row>
    <row r="11649" spans="1:19">
      <c r="A11649" s="182"/>
      <c r="Q11649" s="183"/>
      <c r="R11649" s="183"/>
      <c r="S11649" s="183"/>
    </row>
    <row r="11650" spans="1:19">
      <c r="A11650" s="182"/>
      <c r="Q11650" s="183"/>
      <c r="R11650" s="183"/>
      <c r="S11650" s="183"/>
    </row>
    <row r="11651" spans="1:19">
      <c r="A11651" s="182"/>
      <c r="Q11651" s="183"/>
      <c r="R11651" s="183"/>
      <c r="S11651" s="183"/>
    </row>
    <row r="11652" spans="1:19">
      <c r="A11652" s="182"/>
      <c r="Q11652" s="183"/>
      <c r="R11652" s="183"/>
      <c r="S11652" s="183"/>
    </row>
    <row r="11653" spans="1:19">
      <c r="A11653" s="182"/>
      <c r="Q11653" s="183"/>
      <c r="R11653" s="183"/>
      <c r="S11653" s="183"/>
    </row>
    <row r="11654" spans="1:19">
      <c r="A11654" s="182"/>
      <c r="Q11654" s="183"/>
      <c r="R11654" s="183"/>
      <c r="S11654" s="183"/>
    </row>
    <row r="11655" spans="1:19">
      <c r="A11655" s="182"/>
      <c r="Q11655" s="183"/>
      <c r="R11655" s="183"/>
      <c r="S11655" s="183"/>
    </row>
    <row r="11656" spans="1:19">
      <c r="A11656" s="182"/>
      <c r="Q11656" s="183"/>
      <c r="R11656" s="183"/>
      <c r="S11656" s="183"/>
    </row>
    <row r="11657" spans="1:19">
      <c r="A11657" s="182"/>
      <c r="Q11657" s="183"/>
      <c r="R11657" s="183"/>
      <c r="S11657" s="183"/>
    </row>
    <row r="11658" spans="1:19">
      <c r="A11658" s="182"/>
      <c r="Q11658" s="183"/>
      <c r="R11658" s="183"/>
      <c r="S11658" s="183"/>
    </row>
    <row r="11659" spans="1:19">
      <c r="A11659" s="182"/>
      <c r="Q11659" s="183"/>
      <c r="R11659" s="183"/>
      <c r="S11659" s="183"/>
    </row>
    <row r="11660" spans="1:19">
      <c r="A11660" s="182"/>
      <c r="Q11660" s="183"/>
      <c r="R11660" s="183"/>
      <c r="S11660" s="183"/>
    </row>
    <row r="11661" spans="1:19">
      <c r="A11661" s="182"/>
      <c r="Q11661" s="183"/>
      <c r="R11661" s="183"/>
      <c r="S11661" s="183"/>
    </row>
    <row r="11662" spans="1:19">
      <c r="A11662" s="182"/>
      <c r="Q11662" s="183"/>
      <c r="R11662" s="183"/>
      <c r="S11662" s="183"/>
    </row>
    <row r="11663" spans="1:19">
      <c r="A11663" s="182"/>
      <c r="Q11663" s="183"/>
      <c r="R11663" s="183"/>
      <c r="S11663" s="183"/>
    </row>
    <row r="11664" spans="1:19">
      <c r="A11664" s="182"/>
      <c r="Q11664" s="183"/>
      <c r="R11664" s="183"/>
      <c r="S11664" s="183"/>
    </row>
    <row r="11665" spans="1:19">
      <c r="A11665" s="182"/>
      <c r="Q11665" s="183"/>
      <c r="R11665" s="183"/>
      <c r="S11665" s="183"/>
    </row>
    <row r="11666" spans="1:19">
      <c r="A11666" s="182"/>
      <c r="Q11666" s="183"/>
      <c r="R11666" s="183"/>
      <c r="S11666" s="183"/>
    </row>
    <row r="11667" spans="1:19">
      <c r="A11667" s="182"/>
      <c r="Q11667" s="183"/>
      <c r="R11667" s="183"/>
      <c r="S11667" s="183"/>
    </row>
    <row r="11668" spans="1:19">
      <c r="A11668" s="182"/>
      <c r="Q11668" s="183"/>
      <c r="R11668" s="183"/>
      <c r="S11668" s="183"/>
    </row>
    <row r="11669" spans="1:19">
      <c r="A11669" s="182"/>
      <c r="Q11669" s="183"/>
      <c r="R11669" s="183"/>
      <c r="S11669" s="183"/>
    </row>
    <row r="11670" spans="1:19">
      <c r="A11670" s="182"/>
      <c r="Q11670" s="183"/>
      <c r="R11670" s="183"/>
      <c r="S11670" s="183"/>
    </row>
    <row r="11671" spans="1:19">
      <c r="A11671" s="182"/>
      <c r="Q11671" s="183"/>
      <c r="R11671" s="183"/>
      <c r="S11671" s="183"/>
    </row>
    <row r="11672" spans="1:19">
      <c r="A11672" s="182"/>
      <c r="Q11672" s="183"/>
      <c r="R11672" s="183"/>
      <c r="S11672" s="183"/>
    </row>
    <row r="11673" spans="1:19">
      <c r="A11673" s="182"/>
      <c r="Q11673" s="183"/>
      <c r="R11673" s="183"/>
      <c r="S11673" s="183"/>
    </row>
    <row r="11674" spans="1:19">
      <c r="A11674" s="182"/>
      <c r="Q11674" s="183"/>
      <c r="R11674" s="183"/>
      <c r="S11674" s="183"/>
    </row>
    <row r="11675" spans="1:19">
      <c r="A11675" s="182"/>
      <c r="Q11675" s="183"/>
      <c r="R11675" s="183"/>
      <c r="S11675" s="183"/>
    </row>
    <row r="11676" spans="1:19">
      <c r="A11676" s="182"/>
      <c r="Q11676" s="183"/>
      <c r="R11676" s="183"/>
      <c r="S11676" s="183"/>
    </row>
    <row r="11677" spans="1:19">
      <c r="A11677" s="182"/>
      <c r="Q11677" s="183"/>
      <c r="R11677" s="183"/>
      <c r="S11677" s="183"/>
    </row>
    <row r="11678" spans="1:19">
      <c r="A11678" s="182"/>
      <c r="Q11678" s="183"/>
      <c r="R11678" s="183"/>
      <c r="S11678" s="183"/>
    </row>
    <row r="11679" spans="1:19">
      <c r="A11679" s="182"/>
      <c r="Q11679" s="183"/>
      <c r="R11679" s="183"/>
      <c r="S11679" s="183"/>
    </row>
    <row r="11680" spans="1:19">
      <c r="A11680" s="182"/>
      <c r="Q11680" s="183"/>
      <c r="R11680" s="183"/>
      <c r="S11680" s="183"/>
    </row>
    <row r="11681" spans="1:38">
      <c r="A11681" s="182"/>
      <c r="Q11681" s="183"/>
      <c r="R11681" s="183"/>
      <c r="S11681" s="183"/>
    </row>
    <row r="11682" spans="1:38">
      <c r="A11682" s="182"/>
      <c r="Q11682" s="183"/>
      <c r="R11682" s="183"/>
      <c r="S11682" s="183"/>
    </row>
    <row r="11683" spans="1:38">
      <c r="A11683" s="182"/>
      <c r="Q11683" s="183"/>
      <c r="R11683" s="183"/>
      <c r="S11683" s="183"/>
    </row>
    <row r="11684" spans="1:38">
      <c r="A11684" s="182"/>
      <c r="Q11684" s="183"/>
      <c r="R11684" s="183"/>
      <c r="S11684" s="183"/>
    </row>
    <row r="11685" spans="1:38">
      <c r="A11685" s="182"/>
      <c r="Q11685" s="183"/>
      <c r="R11685" s="183"/>
      <c r="S11685" s="183"/>
    </row>
    <row r="11686" spans="1:38">
      <c r="A11686" s="182"/>
      <c r="Q11686" s="183"/>
      <c r="R11686" s="183"/>
      <c r="S11686" s="183"/>
    </row>
    <row r="11687" spans="1:38">
      <c r="A11687" s="182"/>
      <c r="Q11687" s="183"/>
      <c r="R11687" s="183"/>
      <c r="S11687" s="183"/>
    </row>
    <row r="11688" spans="1:38">
      <c r="A11688" s="182"/>
      <c r="Q11688" s="183"/>
      <c r="R11688" s="183"/>
      <c r="S11688" s="183"/>
    </row>
    <row r="11689" spans="1:38">
      <c r="A11689" s="182"/>
      <c r="Q11689" s="183"/>
      <c r="R11689" s="183"/>
      <c r="S11689" s="183"/>
    </row>
    <row r="11690" spans="1:38">
      <c r="A11690" s="182"/>
      <c r="Q11690" s="183"/>
      <c r="R11690" s="183"/>
      <c r="S11690" s="183"/>
    </row>
    <row r="11691" spans="1:38">
      <c r="A11691" s="182"/>
      <c r="Q11691" s="183"/>
      <c r="R11691" s="183"/>
      <c r="S11691" s="183"/>
    </row>
    <row r="11692" spans="1:38">
      <c r="A11692" s="182"/>
      <c r="Q11692" s="183"/>
      <c r="R11692" s="183"/>
      <c r="S11692" s="183"/>
    </row>
    <row r="11693" spans="1:38">
      <c r="A11693" s="182"/>
      <c r="Q11693" s="183"/>
      <c r="R11693" s="183"/>
      <c r="S11693" s="183"/>
      <c r="AK11693" s="183"/>
      <c r="AL11693" s="183"/>
    </row>
    <row r="11694" spans="1:38">
      <c r="A11694" s="182"/>
      <c r="Q11694" s="183"/>
      <c r="R11694" s="183"/>
      <c r="S11694" s="183"/>
      <c r="AJ11694" s="183"/>
      <c r="AK11694" s="183"/>
      <c r="AL11694" s="183"/>
    </row>
    <row r="11695" spans="1:38">
      <c r="A11695" s="182"/>
      <c r="Q11695" s="183"/>
      <c r="R11695" s="183"/>
      <c r="S11695" s="183"/>
      <c r="AJ11695" s="183"/>
      <c r="AK11695" s="183"/>
      <c r="AL11695" s="183"/>
    </row>
    <row r="11696" spans="1:38">
      <c r="A11696" s="182"/>
      <c r="Q11696" s="183"/>
      <c r="R11696" s="183"/>
      <c r="S11696" s="183"/>
      <c r="AJ11696" s="183"/>
      <c r="AK11696" s="183"/>
      <c r="AL11696" s="183"/>
    </row>
    <row r="11697" spans="1:36">
      <c r="A11697" s="182"/>
      <c r="Q11697" s="183"/>
      <c r="R11697" s="183"/>
      <c r="S11697" s="183"/>
      <c r="AJ11697" s="183"/>
    </row>
    <row r="11698" spans="1:36">
      <c r="A11698" s="182"/>
      <c r="Q11698" s="183"/>
      <c r="R11698" s="183"/>
      <c r="S11698" s="183"/>
    </row>
    <row r="11699" spans="1:36">
      <c r="A11699" s="182"/>
      <c r="Q11699" s="183"/>
      <c r="R11699" s="183"/>
      <c r="S11699" s="183"/>
    </row>
    <row r="11700" spans="1:36">
      <c r="A11700" s="182"/>
      <c r="Q11700" s="183"/>
      <c r="R11700" s="183"/>
      <c r="S11700" s="183"/>
    </row>
    <row r="11701" spans="1:36">
      <c r="A11701" s="182"/>
      <c r="Q11701" s="183"/>
      <c r="R11701" s="183"/>
      <c r="S11701" s="183"/>
    </row>
    <row r="11702" spans="1:36">
      <c r="A11702" s="182"/>
      <c r="Q11702" s="183"/>
      <c r="R11702" s="183"/>
      <c r="S11702" s="183"/>
    </row>
    <row r="11703" spans="1:36">
      <c r="A11703" s="182"/>
      <c r="Q11703" s="183"/>
      <c r="R11703" s="183"/>
      <c r="S11703" s="183"/>
    </row>
    <row r="11704" spans="1:36">
      <c r="A11704" s="182"/>
      <c r="Q11704" s="183"/>
      <c r="R11704" s="183"/>
      <c r="S11704" s="183"/>
    </row>
    <row r="11705" spans="1:36">
      <c r="A11705" s="182"/>
      <c r="Q11705" s="183"/>
      <c r="R11705" s="183"/>
      <c r="S11705" s="183"/>
    </row>
    <row r="11706" spans="1:36">
      <c r="A11706" s="182"/>
      <c r="Q11706" s="183"/>
      <c r="R11706" s="183"/>
      <c r="S11706" s="183"/>
    </row>
    <row r="11707" spans="1:36">
      <c r="A11707" s="182"/>
      <c r="Q11707" s="183"/>
      <c r="R11707" s="183"/>
      <c r="S11707" s="183"/>
    </row>
    <row r="11708" spans="1:36">
      <c r="A11708" s="182"/>
      <c r="Q11708" s="183"/>
      <c r="R11708" s="183"/>
      <c r="S11708" s="183"/>
    </row>
    <row r="11709" spans="1:36">
      <c r="A11709" s="182"/>
      <c r="Q11709" s="183"/>
      <c r="R11709" s="183"/>
      <c r="S11709" s="183"/>
    </row>
    <row r="11710" spans="1:36">
      <c r="A11710" s="182"/>
      <c r="Q11710" s="183"/>
      <c r="R11710" s="183"/>
      <c r="S11710" s="183"/>
    </row>
    <row r="11711" spans="1:36">
      <c r="A11711" s="182"/>
      <c r="Q11711" s="183"/>
      <c r="R11711" s="183"/>
      <c r="S11711" s="183"/>
    </row>
    <row r="11712" spans="1:36">
      <c r="A11712" s="182"/>
      <c r="Q11712" s="183"/>
      <c r="R11712" s="183"/>
      <c r="S11712" s="183"/>
    </row>
    <row r="11713" spans="1:19">
      <c r="A11713" s="182"/>
      <c r="Q11713" s="183"/>
      <c r="R11713" s="183"/>
      <c r="S11713" s="183"/>
    </row>
    <row r="11714" spans="1:19">
      <c r="A11714" s="182"/>
      <c r="Q11714" s="183"/>
      <c r="R11714" s="183"/>
      <c r="S11714" s="183"/>
    </row>
    <row r="11715" spans="1:19">
      <c r="A11715" s="182"/>
      <c r="Q11715" s="183"/>
      <c r="R11715" s="183"/>
      <c r="S11715" s="183"/>
    </row>
    <row r="11716" spans="1:19">
      <c r="A11716" s="182"/>
      <c r="Q11716" s="183"/>
      <c r="R11716" s="183"/>
      <c r="S11716" s="183"/>
    </row>
    <row r="11717" spans="1:19">
      <c r="A11717" s="182"/>
      <c r="Q11717" s="183"/>
      <c r="R11717" s="183"/>
      <c r="S11717" s="183"/>
    </row>
    <row r="11718" spans="1:19">
      <c r="A11718" s="182"/>
      <c r="Q11718" s="183"/>
      <c r="R11718" s="183"/>
      <c r="S11718" s="183"/>
    </row>
    <row r="11719" spans="1:19">
      <c r="A11719" s="182"/>
      <c r="Q11719" s="183"/>
      <c r="R11719" s="183"/>
      <c r="S11719" s="183"/>
    </row>
    <row r="11720" spans="1:19">
      <c r="A11720" s="182"/>
      <c r="Q11720" s="183"/>
      <c r="R11720" s="183"/>
      <c r="S11720" s="183"/>
    </row>
    <row r="11721" spans="1:19">
      <c r="A11721" s="182"/>
      <c r="Q11721" s="183"/>
      <c r="R11721" s="183"/>
      <c r="S11721" s="183"/>
    </row>
    <row r="11722" spans="1:19">
      <c r="A11722" s="182"/>
      <c r="Q11722" s="183"/>
      <c r="R11722" s="183"/>
      <c r="S11722" s="183"/>
    </row>
    <row r="11723" spans="1:19">
      <c r="A11723" s="182"/>
      <c r="Q11723" s="183"/>
      <c r="R11723" s="183"/>
      <c r="S11723" s="183"/>
    </row>
    <row r="11724" spans="1:19">
      <c r="A11724" s="182"/>
      <c r="Q11724" s="183"/>
      <c r="R11724" s="183"/>
      <c r="S11724" s="183"/>
    </row>
    <row r="11725" spans="1:19">
      <c r="A11725" s="182"/>
      <c r="Q11725" s="183"/>
      <c r="R11725" s="183"/>
      <c r="S11725" s="183"/>
    </row>
    <row r="11726" spans="1:19">
      <c r="A11726" s="182"/>
      <c r="Q11726" s="183"/>
      <c r="R11726" s="183"/>
      <c r="S11726" s="183"/>
    </row>
    <row r="11727" spans="1:19">
      <c r="A11727" s="182"/>
      <c r="Q11727" s="183"/>
      <c r="R11727" s="183"/>
      <c r="S11727" s="183"/>
    </row>
    <row r="11728" spans="1:19">
      <c r="A11728" s="182"/>
      <c r="Q11728" s="183"/>
      <c r="R11728" s="183"/>
      <c r="S11728" s="183"/>
    </row>
    <row r="11729" spans="1:19">
      <c r="A11729" s="182"/>
      <c r="Q11729" s="183"/>
      <c r="R11729" s="183"/>
      <c r="S11729" s="183"/>
    </row>
    <row r="11730" spans="1:19">
      <c r="A11730" s="182"/>
      <c r="Q11730" s="183"/>
      <c r="R11730" s="183"/>
      <c r="S11730" s="183"/>
    </row>
    <row r="11731" spans="1:19">
      <c r="A11731" s="182"/>
      <c r="Q11731" s="183"/>
      <c r="R11731" s="183"/>
      <c r="S11731" s="183"/>
    </row>
    <row r="11732" spans="1:19">
      <c r="A11732" s="182"/>
      <c r="Q11732" s="183"/>
      <c r="R11732" s="183"/>
      <c r="S11732" s="183"/>
    </row>
    <row r="11733" spans="1:19">
      <c r="A11733" s="182"/>
      <c r="Q11733" s="183"/>
      <c r="R11733" s="183"/>
      <c r="S11733" s="183"/>
    </row>
    <row r="11734" spans="1:19">
      <c r="A11734" s="182"/>
      <c r="Q11734" s="183"/>
      <c r="R11734" s="183"/>
      <c r="S11734" s="183"/>
    </row>
    <row r="11735" spans="1:19">
      <c r="A11735" s="182"/>
      <c r="Q11735" s="183"/>
      <c r="R11735" s="183"/>
      <c r="S11735" s="183"/>
    </row>
    <row r="11736" spans="1:19">
      <c r="A11736" s="182"/>
      <c r="Q11736" s="183"/>
      <c r="R11736" s="183"/>
      <c r="S11736" s="183"/>
    </row>
    <row r="11737" spans="1:19">
      <c r="A11737" s="182"/>
      <c r="Q11737" s="183"/>
      <c r="R11737" s="183"/>
      <c r="S11737" s="183"/>
    </row>
    <row r="11738" spans="1:19">
      <c r="A11738" s="182"/>
      <c r="Q11738" s="183"/>
      <c r="R11738" s="183"/>
      <c r="S11738" s="183"/>
    </row>
    <row r="11739" spans="1:19">
      <c r="A11739" s="182"/>
      <c r="Q11739" s="183"/>
      <c r="R11739" s="183"/>
      <c r="S11739" s="183"/>
    </row>
    <row r="11740" spans="1:19">
      <c r="A11740" s="182"/>
      <c r="Q11740" s="183"/>
      <c r="R11740" s="183"/>
      <c r="S11740" s="183"/>
    </row>
    <row r="11741" spans="1:19">
      <c r="A11741" s="182"/>
      <c r="Q11741" s="183"/>
      <c r="R11741" s="183"/>
      <c r="S11741" s="183"/>
    </row>
    <row r="11742" spans="1:19">
      <c r="A11742" s="182"/>
      <c r="Q11742" s="183"/>
      <c r="R11742" s="183"/>
      <c r="S11742" s="183"/>
    </row>
    <row r="11743" spans="1:19">
      <c r="A11743" s="182"/>
      <c r="Q11743" s="183"/>
      <c r="R11743" s="183"/>
      <c r="S11743" s="183"/>
    </row>
    <row r="11744" spans="1:19">
      <c r="A11744" s="182"/>
      <c r="Q11744" s="183"/>
      <c r="R11744" s="183"/>
      <c r="S11744" s="183"/>
    </row>
    <row r="11745" spans="1:19">
      <c r="A11745" s="182"/>
      <c r="Q11745" s="183"/>
      <c r="R11745" s="183"/>
      <c r="S11745" s="183"/>
    </row>
    <row r="11746" spans="1:19">
      <c r="A11746" s="182"/>
      <c r="Q11746" s="183"/>
      <c r="R11746" s="183"/>
      <c r="S11746" s="183"/>
    </row>
    <row r="11747" spans="1:19">
      <c r="A11747" s="182"/>
      <c r="Q11747" s="183"/>
      <c r="R11747" s="183"/>
      <c r="S11747" s="183"/>
    </row>
    <row r="11748" spans="1:19">
      <c r="A11748" s="182"/>
      <c r="Q11748" s="183"/>
      <c r="R11748" s="183"/>
      <c r="S11748" s="183"/>
    </row>
    <row r="11749" spans="1:19">
      <c r="A11749" s="182"/>
      <c r="Q11749" s="183"/>
      <c r="R11749" s="183"/>
      <c r="S11749" s="183"/>
    </row>
    <row r="11750" spans="1:19">
      <c r="A11750" s="182"/>
      <c r="Q11750" s="183"/>
    </row>
    <row r="11751" spans="1:19">
      <c r="A11751" s="182"/>
      <c r="R11751" s="183"/>
      <c r="S11751" s="183"/>
    </row>
    <row r="11752" spans="1:19">
      <c r="A11752" s="182"/>
      <c r="Q11752" s="183"/>
      <c r="R11752" s="183"/>
      <c r="S11752" s="183"/>
    </row>
    <row r="11753" spans="1:19">
      <c r="A11753" s="182"/>
      <c r="Q11753" s="183"/>
      <c r="R11753" s="183"/>
      <c r="S11753" s="183"/>
    </row>
    <row r="11754" spans="1:19">
      <c r="A11754" s="182"/>
      <c r="Q11754" s="183"/>
      <c r="R11754" s="183"/>
      <c r="S11754" s="183"/>
    </row>
    <row r="11755" spans="1:19">
      <c r="A11755" s="182"/>
      <c r="Q11755" s="183"/>
      <c r="R11755" s="183"/>
      <c r="S11755" s="183"/>
    </row>
    <row r="11756" spans="1:19">
      <c r="A11756" s="182"/>
      <c r="Q11756" s="183"/>
      <c r="R11756" s="183"/>
      <c r="S11756" s="183"/>
    </row>
    <row r="11757" spans="1:19">
      <c r="A11757" s="182"/>
      <c r="Q11757" s="183"/>
      <c r="R11757" s="183"/>
      <c r="S11757" s="183"/>
    </row>
    <row r="11758" spans="1:19">
      <c r="A11758" s="182"/>
      <c r="Q11758" s="183"/>
    </row>
    <row r="11759" spans="1:19">
      <c r="A11759" s="182"/>
      <c r="R11759" s="183"/>
      <c r="S11759" s="183"/>
    </row>
    <row r="11760" spans="1:19">
      <c r="A11760" s="182"/>
      <c r="Q11760" s="183"/>
      <c r="R11760" s="183"/>
      <c r="S11760" s="183"/>
    </row>
    <row r="11761" spans="1:19">
      <c r="A11761" s="182"/>
      <c r="Q11761" s="183"/>
      <c r="R11761" s="183"/>
      <c r="S11761" s="183"/>
    </row>
    <row r="11762" spans="1:19">
      <c r="A11762" s="182"/>
      <c r="Q11762" s="183"/>
      <c r="R11762" s="183"/>
      <c r="S11762" s="183"/>
    </row>
    <row r="11763" spans="1:19">
      <c r="A11763" s="182"/>
      <c r="Q11763" s="183"/>
    </row>
    <row r="11764" spans="1:19">
      <c r="A11764" s="182"/>
      <c r="R11764" s="183"/>
      <c r="S11764" s="183"/>
    </row>
    <row r="11765" spans="1:19">
      <c r="A11765" s="182"/>
      <c r="Q11765" s="183"/>
    </row>
    <row r="11766" spans="1:19">
      <c r="A11766" s="182"/>
      <c r="R11766" s="183"/>
      <c r="S11766" s="183"/>
    </row>
    <row r="11767" spans="1:19">
      <c r="A11767" s="182"/>
      <c r="Q11767" s="183"/>
      <c r="R11767" s="183"/>
      <c r="S11767" s="183"/>
    </row>
    <row r="11768" spans="1:19">
      <c r="A11768" s="182"/>
      <c r="Q11768" s="183"/>
      <c r="R11768" s="183"/>
      <c r="S11768" s="183"/>
    </row>
    <row r="11769" spans="1:19">
      <c r="A11769" s="182"/>
      <c r="Q11769" s="183"/>
    </row>
    <row r="11770" spans="1:19">
      <c r="A11770" s="182"/>
      <c r="R11770" s="183"/>
      <c r="S11770" s="183"/>
    </row>
    <row r="11771" spans="1:19">
      <c r="A11771" s="182"/>
      <c r="Q11771" s="183"/>
      <c r="R11771" s="183"/>
      <c r="S11771" s="183"/>
    </row>
    <row r="11772" spans="1:19">
      <c r="A11772" s="182"/>
      <c r="Q11772" s="183"/>
      <c r="R11772" s="183"/>
      <c r="S11772" s="183"/>
    </row>
    <row r="11773" spans="1:19">
      <c r="A11773" s="182"/>
      <c r="Q11773" s="183"/>
      <c r="R11773" s="183"/>
      <c r="S11773" s="183"/>
    </row>
    <row r="11774" spans="1:19">
      <c r="A11774" s="182"/>
      <c r="Q11774" s="183"/>
    </row>
    <row r="11775" spans="1:19">
      <c r="A11775" s="182"/>
    </row>
    <row r="11776" spans="1:19">
      <c r="A11776" s="182"/>
    </row>
    <row r="11777" spans="1:38">
      <c r="A11777" s="182"/>
      <c r="R11777" s="183"/>
      <c r="S11777" s="183"/>
    </row>
    <row r="11778" spans="1:38">
      <c r="A11778" s="182"/>
      <c r="Q11778" s="183"/>
    </row>
    <row r="11779" spans="1:38">
      <c r="A11779" s="182"/>
      <c r="R11779" s="183"/>
      <c r="S11779" s="183"/>
    </row>
    <row r="11780" spans="1:38">
      <c r="A11780" s="182"/>
      <c r="Q11780" s="183"/>
    </row>
    <row r="11781" spans="1:38">
      <c r="A11781" s="182"/>
      <c r="AK11781" s="183"/>
      <c r="AL11781" s="183"/>
    </row>
    <row r="11782" spans="1:38">
      <c r="A11782" s="182"/>
      <c r="AJ11782" s="183"/>
      <c r="AK11782" s="183"/>
      <c r="AL11782" s="183"/>
    </row>
    <row r="11783" spans="1:38">
      <c r="A11783" s="182"/>
      <c r="AJ11783" s="183"/>
      <c r="AK11783" s="183"/>
      <c r="AL11783" s="183"/>
    </row>
    <row r="11784" spans="1:38">
      <c r="A11784" s="182"/>
      <c r="R11784" s="183"/>
      <c r="S11784" s="183"/>
      <c r="AJ11784" s="183"/>
      <c r="AK11784" s="183"/>
      <c r="AL11784" s="183"/>
    </row>
    <row r="11785" spans="1:38">
      <c r="A11785" s="182"/>
      <c r="Q11785" s="183"/>
      <c r="R11785" s="183"/>
      <c r="S11785" s="183"/>
      <c r="AJ11785" s="183"/>
    </row>
    <row r="11786" spans="1:38">
      <c r="A11786" s="182"/>
      <c r="Q11786" s="183"/>
      <c r="R11786" s="183"/>
      <c r="S11786" s="183"/>
    </row>
    <row r="11787" spans="1:38">
      <c r="A11787" s="182"/>
      <c r="Q11787" s="183"/>
    </row>
    <row r="11788" spans="1:38">
      <c r="A11788" s="182"/>
      <c r="R11788" s="183"/>
      <c r="S11788" s="183"/>
    </row>
    <row r="11789" spans="1:38">
      <c r="A11789" s="182"/>
      <c r="Q11789" s="183"/>
      <c r="R11789" s="183"/>
      <c r="S11789" s="183"/>
    </row>
    <row r="11790" spans="1:38">
      <c r="A11790" s="182"/>
      <c r="Q11790" s="183"/>
      <c r="R11790" s="183"/>
      <c r="S11790" s="183"/>
    </row>
    <row r="11791" spans="1:38">
      <c r="A11791" s="182"/>
      <c r="Q11791" s="183"/>
      <c r="R11791" s="183"/>
      <c r="S11791" s="183"/>
    </row>
    <row r="11792" spans="1:38">
      <c r="A11792" s="182"/>
      <c r="Q11792" s="183"/>
      <c r="R11792" s="183"/>
      <c r="S11792" s="183"/>
    </row>
    <row r="11793" spans="1:19">
      <c r="A11793" s="182"/>
      <c r="Q11793" s="183"/>
      <c r="R11793" s="183"/>
      <c r="S11793" s="183"/>
    </row>
    <row r="11794" spans="1:19">
      <c r="A11794" s="182"/>
      <c r="Q11794" s="183"/>
      <c r="R11794" s="183"/>
      <c r="S11794" s="183"/>
    </row>
    <row r="11795" spans="1:19">
      <c r="A11795" s="182"/>
      <c r="Q11795" s="183"/>
      <c r="R11795" s="183"/>
      <c r="S11795" s="183"/>
    </row>
    <row r="11796" spans="1:19">
      <c r="A11796" s="182"/>
      <c r="Q11796" s="183"/>
      <c r="R11796" s="183"/>
      <c r="S11796" s="183"/>
    </row>
    <row r="11797" spans="1:19">
      <c r="A11797" s="182"/>
      <c r="Q11797" s="183"/>
      <c r="R11797" s="183"/>
      <c r="S11797" s="183"/>
    </row>
    <row r="11798" spans="1:19">
      <c r="A11798" s="182"/>
      <c r="Q11798" s="183"/>
      <c r="R11798" s="183"/>
      <c r="S11798" s="183"/>
    </row>
    <row r="11799" spans="1:19">
      <c r="A11799" s="182"/>
      <c r="Q11799" s="183"/>
      <c r="R11799" s="183"/>
      <c r="S11799" s="183"/>
    </row>
    <row r="11800" spans="1:19">
      <c r="A11800" s="182"/>
      <c r="Q11800" s="183"/>
      <c r="R11800" s="183"/>
      <c r="S11800" s="183"/>
    </row>
    <row r="11801" spans="1:19">
      <c r="A11801" s="182"/>
      <c r="Q11801" s="183"/>
      <c r="R11801" s="183"/>
      <c r="S11801" s="183"/>
    </row>
    <row r="11802" spans="1:19">
      <c r="A11802" s="182"/>
      <c r="Q11802" s="183"/>
      <c r="R11802" s="183"/>
      <c r="S11802" s="183"/>
    </row>
    <row r="11803" spans="1:19">
      <c r="A11803" s="182"/>
      <c r="Q11803" s="183"/>
      <c r="R11803" s="183"/>
      <c r="S11803" s="183"/>
    </row>
    <row r="11804" spans="1:19">
      <c r="A11804" s="182"/>
      <c r="Q11804" s="183"/>
      <c r="R11804" s="183"/>
      <c r="S11804" s="183"/>
    </row>
    <row r="11805" spans="1:19">
      <c r="A11805" s="182"/>
      <c r="Q11805" s="183"/>
      <c r="R11805" s="183"/>
      <c r="S11805" s="183"/>
    </row>
    <row r="11806" spans="1:19">
      <c r="A11806" s="182"/>
      <c r="Q11806" s="183"/>
      <c r="R11806" s="183"/>
      <c r="S11806" s="183"/>
    </row>
    <row r="11807" spans="1:19">
      <c r="A11807" s="182"/>
      <c r="Q11807" s="183"/>
      <c r="R11807" s="183"/>
      <c r="S11807" s="183"/>
    </row>
    <row r="11808" spans="1:19">
      <c r="A11808" s="182"/>
      <c r="Q11808" s="183"/>
      <c r="R11808" s="183"/>
      <c r="S11808" s="183"/>
    </row>
    <row r="11809" spans="1:19">
      <c r="A11809" s="182"/>
      <c r="Q11809" s="183"/>
      <c r="R11809" s="183"/>
      <c r="S11809" s="183"/>
    </row>
    <row r="11810" spans="1:19">
      <c r="A11810" s="182"/>
      <c r="Q11810" s="183"/>
      <c r="R11810" s="183"/>
      <c r="S11810" s="183"/>
    </row>
    <row r="11811" spans="1:19">
      <c r="A11811" s="182"/>
      <c r="Q11811" s="183"/>
      <c r="R11811" s="183"/>
      <c r="S11811" s="183"/>
    </row>
    <row r="11812" spans="1:19">
      <c r="A11812" s="182"/>
      <c r="Q11812" s="183"/>
      <c r="R11812" s="183"/>
      <c r="S11812" s="183"/>
    </row>
    <row r="11813" spans="1:19">
      <c r="A11813" s="182"/>
      <c r="Q11813" s="183"/>
      <c r="R11813" s="183"/>
      <c r="S11813" s="183"/>
    </row>
    <row r="11814" spans="1:19">
      <c r="A11814" s="182"/>
      <c r="Q11814" s="183"/>
      <c r="R11814" s="183"/>
      <c r="S11814" s="183"/>
    </row>
    <row r="11815" spans="1:19">
      <c r="A11815" s="182"/>
      <c r="Q11815" s="183"/>
      <c r="R11815" s="183"/>
      <c r="S11815" s="183"/>
    </row>
    <row r="11816" spans="1:19">
      <c r="A11816" s="182"/>
      <c r="Q11816" s="183"/>
      <c r="R11816" s="183"/>
      <c r="S11816" s="183"/>
    </row>
    <row r="11817" spans="1:19">
      <c r="A11817" s="182"/>
      <c r="Q11817" s="183"/>
      <c r="R11817" s="183"/>
      <c r="S11817" s="183"/>
    </row>
    <row r="11818" spans="1:19">
      <c r="A11818" s="182"/>
      <c r="Q11818" s="183"/>
      <c r="R11818" s="183"/>
      <c r="S11818" s="183"/>
    </row>
    <row r="11819" spans="1:19">
      <c r="A11819" s="182"/>
      <c r="Q11819" s="183"/>
      <c r="R11819" s="183"/>
      <c r="S11819" s="183"/>
    </row>
    <row r="11820" spans="1:19">
      <c r="A11820" s="182"/>
      <c r="Q11820" s="183"/>
      <c r="R11820" s="183"/>
      <c r="S11820" s="183"/>
    </row>
    <row r="11821" spans="1:19">
      <c r="A11821" s="182"/>
      <c r="Q11821" s="183"/>
      <c r="R11821" s="183"/>
      <c r="S11821" s="183"/>
    </row>
    <row r="11822" spans="1:19">
      <c r="A11822" s="182"/>
      <c r="Q11822" s="183"/>
      <c r="R11822" s="183"/>
      <c r="S11822" s="183"/>
    </row>
    <row r="11823" spans="1:19">
      <c r="A11823" s="182"/>
      <c r="Q11823" s="183"/>
      <c r="R11823" s="183"/>
      <c r="S11823" s="183"/>
    </row>
    <row r="11824" spans="1:19">
      <c r="A11824" s="182"/>
      <c r="Q11824" s="183"/>
      <c r="R11824" s="183"/>
      <c r="S11824" s="183"/>
    </row>
    <row r="11825" spans="1:19">
      <c r="A11825" s="182"/>
      <c r="Q11825" s="183"/>
      <c r="R11825" s="183"/>
      <c r="S11825" s="183"/>
    </row>
    <row r="11826" spans="1:19">
      <c r="A11826" s="182"/>
      <c r="Q11826" s="183"/>
      <c r="R11826" s="183"/>
      <c r="S11826" s="183"/>
    </row>
    <row r="11827" spans="1:19">
      <c r="A11827" s="182"/>
      <c r="Q11827" s="183"/>
      <c r="R11827" s="183"/>
      <c r="S11827" s="183"/>
    </row>
    <row r="11828" spans="1:19">
      <c r="A11828" s="182"/>
      <c r="Q11828" s="183"/>
      <c r="R11828" s="183"/>
      <c r="S11828" s="183"/>
    </row>
    <row r="11829" spans="1:19">
      <c r="A11829" s="182"/>
      <c r="Q11829" s="183"/>
      <c r="R11829" s="183"/>
      <c r="S11829" s="183"/>
    </row>
    <row r="11830" spans="1:19">
      <c r="A11830" s="182"/>
      <c r="Q11830" s="183"/>
      <c r="R11830" s="183"/>
      <c r="S11830" s="183"/>
    </row>
    <row r="11831" spans="1:19">
      <c r="A11831" s="182"/>
      <c r="Q11831" s="183"/>
      <c r="R11831" s="183"/>
      <c r="S11831" s="183"/>
    </row>
    <row r="11832" spans="1:19">
      <c r="A11832" s="182"/>
      <c r="Q11832" s="183"/>
      <c r="R11832" s="183"/>
      <c r="S11832" s="183"/>
    </row>
    <row r="11833" spans="1:19">
      <c r="A11833" s="182"/>
      <c r="Q11833" s="183"/>
      <c r="R11833" s="183"/>
      <c r="S11833" s="183"/>
    </row>
    <row r="11834" spans="1:19">
      <c r="A11834" s="182"/>
      <c r="Q11834" s="183"/>
      <c r="R11834" s="183"/>
      <c r="S11834" s="183"/>
    </row>
    <row r="11835" spans="1:19">
      <c r="A11835" s="182"/>
      <c r="Q11835" s="183"/>
      <c r="R11835" s="183"/>
      <c r="S11835" s="183"/>
    </row>
    <row r="11836" spans="1:19">
      <c r="A11836" s="182"/>
      <c r="Q11836" s="183"/>
      <c r="R11836" s="183"/>
      <c r="S11836" s="183"/>
    </row>
    <row r="11837" spans="1:19">
      <c r="A11837" s="182"/>
      <c r="Q11837" s="183"/>
      <c r="R11837" s="183"/>
      <c r="S11837" s="183"/>
    </row>
    <row r="11838" spans="1:19">
      <c r="A11838" s="182"/>
      <c r="Q11838" s="183"/>
      <c r="R11838" s="183"/>
      <c r="S11838" s="183"/>
    </row>
    <row r="11839" spans="1:19">
      <c r="A11839" s="182"/>
      <c r="Q11839" s="183"/>
      <c r="R11839" s="183"/>
      <c r="S11839" s="183"/>
    </row>
    <row r="11840" spans="1:19">
      <c r="A11840" s="182"/>
      <c r="Q11840" s="183"/>
      <c r="R11840" s="183"/>
      <c r="S11840" s="183"/>
    </row>
    <row r="11841" spans="1:19">
      <c r="A11841" s="182"/>
      <c r="Q11841" s="183"/>
      <c r="R11841" s="183"/>
      <c r="S11841" s="183"/>
    </row>
    <row r="11842" spans="1:19">
      <c r="A11842" s="182"/>
      <c r="Q11842" s="183"/>
      <c r="R11842" s="183"/>
      <c r="S11842" s="183"/>
    </row>
    <row r="11843" spans="1:19">
      <c r="A11843" s="182"/>
      <c r="Q11843" s="183"/>
      <c r="R11843" s="183"/>
      <c r="S11843" s="183"/>
    </row>
    <row r="11844" spans="1:19">
      <c r="A11844" s="182"/>
      <c r="Q11844" s="183"/>
      <c r="R11844" s="183"/>
      <c r="S11844" s="183"/>
    </row>
    <row r="11845" spans="1:19">
      <c r="A11845" s="182"/>
      <c r="Q11845" s="183"/>
      <c r="R11845" s="183"/>
      <c r="S11845" s="183"/>
    </row>
    <row r="11846" spans="1:19">
      <c r="A11846" s="182"/>
      <c r="Q11846" s="183"/>
      <c r="R11846" s="183"/>
      <c r="S11846" s="183"/>
    </row>
    <row r="11847" spans="1:19">
      <c r="A11847" s="182"/>
      <c r="Q11847" s="183"/>
    </row>
    <row r="11848" spans="1:19">
      <c r="A11848" s="182"/>
      <c r="R11848" s="183"/>
      <c r="S11848" s="183"/>
    </row>
    <row r="11849" spans="1:19">
      <c r="A11849" s="182"/>
      <c r="Q11849" s="183"/>
      <c r="R11849" s="183"/>
      <c r="S11849" s="183"/>
    </row>
    <row r="11850" spans="1:19">
      <c r="A11850" s="182"/>
      <c r="Q11850" s="183"/>
    </row>
    <row r="11851" spans="1:19">
      <c r="A11851" s="182"/>
      <c r="R11851" s="183"/>
      <c r="S11851" s="183"/>
    </row>
    <row r="11852" spans="1:19">
      <c r="A11852" s="182"/>
      <c r="Q11852" s="183"/>
      <c r="R11852" s="183"/>
      <c r="S11852" s="183"/>
    </row>
    <row r="11853" spans="1:19">
      <c r="A11853" s="182"/>
      <c r="Q11853" s="183"/>
      <c r="R11853" s="183"/>
      <c r="S11853" s="183"/>
    </row>
    <row r="11854" spans="1:19">
      <c r="A11854" s="182"/>
      <c r="Q11854" s="183"/>
      <c r="R11854" s="183"/>
      <c r="S11854" s="183"/>
    </row>
    <row r="11855" spans="1:19">
      <c r="A11855" s="182"/>
      <c r="Q11855" s="183"/>
      <c r="R11855" s="183"/>
      <c r="S11855" s="183"/>
    </row>
    <row r="11856" spans="1:19">
      <c r="A11856" s="182"/>
      <c r="Q11856" s="183"/>
      <c r="R11856" s="183"/>
      <c r="S11856" s="183"/>
    </row>
    <row r="11857" spans="1:19">
      <c r="A11857" s="182"/>
      <c r="Q11857" s="183"/>
      <c r="R11857" s="183"/>
      <c r="S11857" s="183"/>
    </row>
    <row r="11858" spans="1:19">
      <c r="A11858" s="182"/>
      <c r="Q11858" s="183"/>
      <c r="R11858" s="183"/>
      <c r="S11858" s="183"/>
    </row>
    <row r="11859" spans="1:19">
      <c r="A11859" s="182"/>
      <c r="Q11859" s="183"/>
    </row>
    <row r="11860" spans="1:19">
      <c r="A11860" s="182"/>
      <c r="R11860" s="183"/>
      <c r="S11860" s="183"/>
    </row>
    <row r="11861" spans="1:19">
      <c r="A11861" s="182"/>
      <c r="Q11861" s="183"/>
      <c r="R11861" s="183"/>
      <c r="S11861" s="183"/>
    </row>
    <row r="11862" spans="1:19">
      <c r="A11862" s="182"/>
      <c r="Q11862" s="183"/>
      <c r="R11862" s="183"/>
      <c r="S11862" s="183"/>
    </row>
    <row r="11863" spans="1:19">
      <c r="A11863" s="182"/>
      <c r="Q11863" s="183"/>
    </row>
    <row r="11864" spans="1:19">
      <c r="A11864" s="182"/>
      <c r="R11864" s="183"/>
      <c r="S11864" s="183"/>
    </row>
    <row r="11865" spans="1:19">
      <c r="A11865" s="182"/>
      <c r="Q11865" s="183"/>
      <c r="R11865" s="183"/>
      <c r="S11865" s="183"/>
    </row>
    <row r="11866" spans="1:19">
      <c r="A11866" s="182"/>
      <c r="Q11866" s="183"/>
    </row>
    <row r="11867" spans="1:19">
      <c r="A11867" s="182"/>
      <c r="R11867" s="183"/>
      <c r="S11867" s="183"/>
    </row>
    <row r="11868" spans="1:19">
      <c r="A11868" s="182"/>
      <c r="Q11868" s="183"/>
    </row>
    <row r="11869" spans="1:19">
      <c r="A11869" s="182"/>
    </row>
    <row r="11870" spans="1:19">
      <c r="A11870" s="182"/>
    </row>
    <row r="11871" spans="1:19">
      <c r="A11871" s="182"/>
    </row>
    <row r="11872" spans="1:19">
      <c r="A11872" s="182"/>
    </row>
    <row r="11873" spans="1:38">
      <c r="A11873" s="182"/>
      <c r="R11873" s="183"/>
      <c r="S11873" s="183"/>
    </row>
    <row r="11874" spans="1:38">
      <c r="A11874" s="182"/>
      <c r="Q11874" s="183"/>
    </row>
    <row r="11875" spans="1:38">
      <c r="A11875" s="182"/>
      <c r="R11875" s="183"/>
      <c r="S11875" s="183"/>
    </row>
    <row r="11876" spans="1:38">
      <c r="A11876" s="182"/>
      <c r="Q11876" s="183"/>
      <c r="R11876" s="183"/>
      <c r="S11876" s="183"/>
    </row>
    <row r="11877" spans="1:38">
      <c r="A11877" s="182"/>
      <c r="Q11877" s="183"/>
      <c r="R11877" s="183"/>
      <c r="S11877" s="183"/>
    </row>
    <row r="11878" spans="1:38">
      <c r="A11878" s="182"/>
      <c r="Q11878" s="183"/>
      <c r="R11878" s="183"/>
      <c r="S11878" s="183"/>
    </row>
    <row r="11879" spans="1:38">
      <c r="A11879" s="182"/>
      <c r="Q11879" s="183"/>
    </row>
    <row r="11880" spans="1:38">
      <c r="A11880" s="182"/>
      <c r="R11880" s="183"/>
      <c r="S11880" s="183"/>
    </row>
    <row r="11881" spans="1:38">
      <c r="A11881" s="182"/>
      <c r="Q11881" s="183"/>
      <c r="R11881" s="183"/>
      <c r="S11881" s="183"/>
      <c r="AK11881" s="183"/>
      <c r="AL11881" s="183"/>
    </row>
    <row r="11882" spans="1:38">
      <c r="A11882" s="182"/>
      <c r="Q11882" s="183"/>
      <c r="R11882" s="183"/>
      <c r="S11882" s="183"/>
      <c r="AJ11882" s="183"/>
      <c r="AK11882" s="183"/>
      <c r="AL11882" s="183"/>
    </row>
    <row r="11883" spans="1:38">
      <c r="A11883" s="182"/>
      <c r="Q11883" s="183"/>
      <c r="R11883" s="183"/>
      <c r="S11883" s="183"/>
      <c r="AJ11883" s="183"/>
      <c r="AK11883" s="183"/>
      <c r="AL11883" s="183"/>
    </row>
    <row r="11884" spans="1:38">
      <c r="A11884" s="182"/>
      <c r="Q11884" s="183"/>
      <c r="R11884" s="183"/>
      <c r="S11884" s="183"/>
      <c r="AJ11884" s="183"/>
      <c r="AK11884" s="183"/>
      <c r="AL11884" s="183"/>
    </row>
    <row r="11885" spans="1:38">
      <c r="A11885" s="182"/>
      <c r="Q11885" s="183"/>
      <c r="R11885" s="183"/>
      <c r="S11885" s="183"/>
      <c r="AJ11885" s="183"/>
    </row>
    <row r="11886" spans="1:38">
      <c r="A11886" s="182"/>
      <c r="Q11886" s="183"/>
      <c r="R11886" s="183"/>
      <c r="S11886" s="183"/>
    </row>
    <row r="11887" spans="1:38">
      <c r="A11887" s="182"/>
      <c r="Q11887" s="183"/>
      <c r="R11887" s="183"/>
      <c r="S11887" s="183"/>
    </row>
    <row r="11888" spans="1:38">
      <c r="A11888" s="182"/>
      <c r="Q11888" s="183"/>
      <c r="R11888" s="183"/>
      <c r="S11888" s="183"/>
    </row>
    <row r="11889" spans="1:19">
      <c r="A11889" s="182"/>
      <c r="Q11889" s="183"/>
      <c r="R11889" s="183"/>
      <c r="S11889" s="183"/>
    </row>
    <row r="11890" spans="1:19">
      <c r="A11890" s="182"/>
      <c r="Q11890" s="183"/>
      <c r="R11890" s="183"/>
      <c r="S11890" s="183"/>
    </row>
    <row r="11891" spans="1:19">
      <c r="A11891" s="182"/>
      <c r="Q11891" s="183"/>
      <c r="R11891" s="183"/>
      <c r="S11891" s="183"/>
    </row>
    <row r="11892" spans="1:19">
      <c r="A11892" s="182"/>
      <c r="Q11892" s="183"/>
      <c r="R11892" s="183"/>
      <c r="S11892" s="183"/>
    </row>
    <row r="11893" spans="1:19">
      <c r="A11893" s="182"/>
      <c r="Q11893" s="183"/>
      <c r="R11893" s="183"/>
      <c r="S11893" s="183"/>
    </row>
    <row r="11894" spans="1:19">
      <c r="A11894" s="182"/>
      <c r="Q11894" s="183"/>
      <c r="R11894" s="183"/>
      <c r="S11894" s="183"/>
    </row>
    <row r="11895" spans="1:19">
      <c r="A11895" s="182"/>
      <c r="Q11895" s="183"/>
      <c r="R11895" s="183"/>
      <c r="S11895" s="183"/>
    </row>
    <row r="11896" spans="1:19">
      <c r="A11896" s="182"/>
      <c r="Q11896" s="183"/>
      <c r="R11896" s="183"/>
      <c r="S11896" s="183"/>
    </row>
    <row r="11897" spans="1:19">
      <c r="A11897" s="182"/>
      <c r="Q11897" s="183"/>
      <c r="R11897" s="183"/>
      <c r="S11897" s="183"/>
    </row>
    <row r="11898" spans="1:19">
      <c r="A11898" s="182"/>
      <c r="Q11898" s="183"/>
      <c r="R11898" s="183"/>
      <c r="S11898" s="183"/>
    </row>
    <row r="11899" spans="1:19">
      <c r="A11899" s="182"/>
      <c r="Q11899" s="183"/>
      <c r="R11899" s="183"/>
      <c r="S11899" s="183"/>
    </row>
    <row r="11900" spans="1:19">
      <c r="A11900" s="182"/>
      <c r="Q11900" s="183"/>
      <c r="R11900" s="183"/>
      <c r="S11900" s="183"/>
    </row>
    <row r="11901" spans="1:19">
      <c r="A11901" s="182"/>
      <c r="Q11901" s="183"/>
      <c r="R11901" s="183"/>
      <c r="S11901" s="183"/>
    </row>
    <row r="11902" spans="1:19">
      <c r="A11902" s="182"/>
      <c r="Q11902" s="183"/>
      <c r="R11902" s="183"/>
      <c r="S11902" s="183"/>
    </row>
    <row r="11903" spans="1:19">
      <c r="A11903" s="182"/>
      <c r="Q11903" s="183"/>
      <c r="R11903" s="183"/>
      <c r="S11903" s="183"/>
    </row>
    <row r="11904" spans="1:19">
      <c r="A11904" s="182"/>
      <c r="Q11904" s="183"/>
      <c r="R11904" s="183"/>
      <c r="S11904" s="183"/>
    </row>
    <row r="11905" spans="1:38">
      <c r="A11905" s="182"/>
      <c r="Q11905" s="183"/>
      <c r="R11905" s="183"/>
      <c r="S11905" s="183"/>
      <c r="AK11905" s="183"/>
      <c r="AL11905" s="183"/>
    </row>
    <row r="11906" spans="1:38">
      <c r="A11906" s="182"/>
      <c r="Q11906" s="183"/>
      <c r="R11906" s="183"/>
      <c r="S11906" s="183"/>
      <c r="AJ11906" s="183"/>
      <c r="AK11906" s="183"/>
      <c r="AL11906" s="183"/>
    </row>
    <row r="11907" spans="1:38">
      <c r="A11907" s="182"/>
      <c r="Q11907" s="183"/>
      <c r="R11907" s="183"/>
      <c r="S11907" s="183"/>
      <c r="AJ11907" s="183"/>
      <c r="AK11907" s="183"/>
      <c r="AL11907" s="183"/>
    </row>
    <row r="11908" spans="1:38">
      <c r="A11908" s="182"/>
      <c r="Q11908" s="183"/>
      <c r="R11908" s="183"/>
      <c r="S11908" s="183"/>
      <c r="AJ11908" s="183"/>
      <c r="AK11908" s="183"/>
      <c r="AL11908" s="183"/>
    </row>
    <row r="11909" spans="1:38">
      <c r="A11909" s="182"/>
      <c r="Q11909" s="183"/>
      <c r="R11909" s="183"/>
      <c r="S11909" s="183"/>
      <c r="AJ11909" s="183"/>
    </row>
    <row r="11910" spans="1:38">
      <c r="A11910" s="182"/>
      <c r="Q11910" s="183"/>
      <c r="R11910" s="183"/>
      <c r="S11910" s="183"/>
    </row>
    <row r="11911" spans="1:38">
      <c r="A11911" s="182"/>
      <c r="Q11911" s="183"/>
      <c r="R11911" s="183"/>
      <c r="S11911" s="183"/>
    </row>
    <row r="11912" spans="1:38">
      <c r="A11912" s="182"/>
      <c r="Q11912" s="183"/>
      <c r="R11912" s="183"/>
      <c r="S11912" s="183"/>
    </row>
    <row r="11913" spans="1:38">
      <c r="A11913" s="182"/>
      <c r="Q11913" s="183"/>
      <c r="R11913" s="183"/>
      <c r="S11913" s="183"/>
      <c r="AK11913" s="183"/>
      <c r="AL11913" s="183"/>
    </row>
    <row r="11914" spans="1:38">
      <c r="A11914" s="182"/>
      <c r="Q11914" s="183"/>
      <c r="R11914" s="183"/>
      <c r="S11914" s="183"/>
      <c r="AJ11914" s="183"/>
      <c r="AK11914" s="183"/>
      <c r="AL11914" s="183"/>
    </row>
    <row r="11915" spans="1:38">
      <c r="A11915" s="182"/>
      <c r="Q11915" s="183"/>
      <c r="R11915" s="183"/>
      <c r="S11915" s="183"/>
      <c r="AJ11915" s="183"/>
      <c r="AK11915" s="183"/>
      <c r="AL11915" s="183"/>
    </row>
    <row r="11916" spans="1:38">
      <c r="A11916" s="182"/>
      <c r="Q11916" s="183"/>
      <c r="R11916" s="183"/>
      <c r="S11916" s="183"/>
      <c r="AJ11916" s="183"/>
      <c r="AK11916" s="183"/>
      <c r="AL11916" s="183"/>
    </row>
    <row r="11917" spans="1:38">
      <c r="A11917" s="182"/>
      <c r="Q11917" s="183"/>
      <c r="R11917" s="183"/>
      <c r="S11917" s="183"/>
      <c r="AJ11917" s="183"/>
    </row>
    <row r="11918" spans="1:38">
      <c r="A11918" s="182"/>
      <c r="Q11918" s="183"/>
      <c r="R11918" s="183"/>
      <c r="S11918" s="183"/>
    </row>
    <row r="11919" spans="1:38">
      <c r="A11919" s="182"/>
      <c r="Q11919" s="183"/>
      <c r="R11919" s="183"/>
      <c r="S11919" s="183"/>
    </row>
    <row r="11920" spans="1:38">
      <c r="A11920" s="182"/>
      <c r="Q11920" s="183"/>
      <c r="R11920" s="183"/>
      <c r="S11920" s="183"/>
    </row>
    <row r="11921" spans="1:38">
      <c r="A11921" s="182"/>
      <c r="Q11921" s="183"/>
      <c r="R11921" s="183"/>
      <c r="S11921" s="183"/>
    </row>
    <row r="11922" spans="1:38">
      <c r="A11922" s="182"/>
      <c r="Q11922" s="183"/>
      <c r="R11922" s="183"/>
      <c r="S11922" s="183"/>
    </row>
    <row r="11923" spans="1:38">
      <c r="A11923" s="182"/>
      <c r="Q11923" s="183"/>
      <c r="R11923" s="183"/>
      <c r="S11923" s="183"/>
    </row>
    <row r="11924" spans="1:38">
      <c r="A11924" s="182"/>
      <c r="Q11924" s="183"/>
      <c r="R11924" s="183"/>
      <c r="S11924" s="183"/>
    </row>
    <row r="11925" spans="1:38">
      <c r="A11925" s="182"/>
      <c r="Q11925" s="183"/>
      <c r="R11925" s="183"/>
      <c r="S11925" s="183"/>
    </row>
    <row r="11926" spans="1:38">
      <c r="A11926" s="182"/>
      <c r="Q11926" s="183"/>
      <c r="R11926" s="183"/>
      <c r="S11926" s="183"/>
    </row>
    <row r="11927" spans="1:38">
      <c r="A11927" s="182"/>
      <c r="Q11927" s="183"/>
      <c r="R11927" s="183"/>
      <c r="S11927" s="183"/>
    </row>
    <row r="11928" spans="1:38">
      <c r="A11928" s="182"/>
      <c r="Q11928" s="183"/>
      <c r="R11928" s="183"/>
      <c r="S11928" s="183"/>
    </row>
    <row r="11929" spans="1:38">
      <c r="A11929" s="182"/>
      <c r="Q11929" s="183"/>
      <c r="R11929" s="183"/>
      <c r="S11929" s="183"/>
    </row>
    <row r="11930" spans="1:38">
      <c r="A11930" s="182"/>
      <c r="Q11930" s="183"/>
      <c r="R11930" s="183"/>
      <c r="S11930" s="183"/>
    </row>
    <row r="11931" spans="1:38">
      <c r="A11931" s="182"/>
      <c r="Q11931" s="183"/>
      <c r="R11931" s="183"/>
      <c r="S11931" s="183"/>
    </row>
    <row r="11932" spans="1:38">
      <c r="A11932" s="182"/>
      <c r="Q11932" s="183"/>
      <c r="R11932" s="183"/>
      <c r="S11932" s="183"/>
    </row>
    <row r="11933" spans="1:38">
      <c r="A11933" s="182"/>
      <c r="Q11933" s="183"/>
      <c r="R11933" s="183"/>
      <c r="S11933" s="183"/>
      <c r="AK11933" s="183"/>
      <c r="AL11933" s="183"/>
    </row>
    <row r="11934" spans="1:38">
      <c r="A11934" s="182"/>
      <c r="Q11934" s="183"/>
      <c r="R11934" s="183"/>
      <c r="S11934" s="183"/>
      <c r="AJ11934" s="183"/>
      <c r="AK11934" s="183"/>
      <c r="AL11934" s="183"/>
    </row>
    <row r="11935" spans="1:38">
      <c r="A11935" s="182"/>
      <c r="Q11935" s="183"/>
      <c r="R11935" s="183"/>
      <c r="S11935" s="183"/>
      <c r="AJ11935" s="183"/>
      <c r="AK11935" s="183"/>
      <c r="AL11935" s="183"/>
    </row>
    <row r="11936" spans="1:38">
      <c r="A11936" s="182"/>
      <c r="Q11936" s="183"/>
      <c r="R11936" s="183"/>
      <c r="S11936" s="183"/>
      <c r="AJ11936" s="183"/>
      <c r="AK11936" s="183"/>
      <c r="AL11936" s="183"/>
    </row>
    <row r="11937" spans="1:36">
      <c r="A11937" s="182"/>
      <c r="Q11937" s="183"/>
      <c r="R11937" s="183"/>
      <c r="S11937" s="183"/>
      <c r="AJ11937" s="183"/>
    </row>
    <row r="11938" spans="1:36">
      <c r="A11938" s="182"/>
      <c r="Q11938" s="183"/>
      <c r="R11938" s="183"/>
      <c r="S11938" s="183"/>
    </row>
    <row r="11939" spans="1:36">
      <c r="A11939" s="182"/>
      <c r="Q11939" s="183"/>
      <c r="R11939" s="183"/>
      <c r="S11939" s="183"/>
    </row>
    <row r="11940" spans="1:36">
      <c r="A11940" s="182"/>
      <c r="Q11940" s="183"/>
      <c r="R11940" s="183"/>
      <c r="S11940" s="183"/>
    </row>
    <row r="11941" spans="1:36">
      <c r="A11941" s="182"/>
      <c r="Q11941" s="183"/>
    </row>
    <row r="11942" spans="1:36">
      <c r="A11942" s="182"/>
      <c r="R11942" s="183"/>
      <c r="S11942" s="183"/>
    </row>
    <row r="11943" spans="1:36">
      <c r="A11943" s="182"/>
      <c r="Q11943" s="183"/>
      <c r="R11943" s="183"/>
      <c r="S11943" s="183"/>
    </row>
    <row r="11944" spans="1:36">
      <c r="A11944" s="182"/>
      <c r="Q11944" s="183"/>
      <c r="R11944" s="183"/>
      <c r="S11944" s="183"/>
    </row>
    <row r="11945" spans="1:36">
      <c r="A11945" s="182"/>
      <c r="Q11945" s="183"/>
      <c r="R11945" s="183"/>
      <c r="S11945" s="183"/>
    </row>
    <row r="11946" spans="1:36">
      <c r="A11946" s="182"/>
      <c r="Q11946" s="183"/>
    </row>
    <row r="11947" spans="1:36">
      <c r="A11947" s="182"/>
      <c r="R11947" s="183"/>
      <c r="S11947" s="183"/>
    </row>
    <row r="11948" spans="1:36">
      <c r="A11948" s="182"/>
      <c r="Q11948" s="183"/>
    </row>
    <row r="11949" spans="1:36">
      <c r="A11949" s="182"/>
      <c r="R11949" s="183"/>
      <c r="S11949" s="183"/>
    </row>
    <row r="11950" spans="1:36">
      <c r="A11950" s="182"/>
      <c r="Q11950" s="183"/>
    </row>
    <row r="11951" spans="1:36">
      <c r="A11951" s="182"/>
    </row>
    <row r="11952" spans="1:36">
      <c r="A11952" s="182"/>
      <c r="R11952" s="183"/>
      <c r="S11952" s="183"/>
    </row>
    <row r="11953" spans="1:19">
      <c r="A11953" s="182"/>
      <c r="Q11953" s="183"/>
    </row>
    <row r="11954" spans="1:19">
      <c r="A11954" s="182"/>
      <c r="R11954" s="183"/>
      <c r="S11954" s="183"/>
    </row>
    <row r="11955" spans="1:19">
      <c r="A11955" s="182"/>
      <c r="Q11955" s="183"/>
    </row>
    <row r="11956" spans="1:19">
      <c r="A11956" s="182"/>
      <c r="R11956" s="183"/>
      <c r="S11956" s="183"/>
    </row>
    <row r="11957" spans="1:19">
      <c r="A11957" s="182"/>
      <c r="Q11957" s="183"/>
    </row>
    <row r="11958" spans="1:19">
      <c r="A11958" s="182"/>
      <c r="R11958" s="183"/>
      <c r="S11958" s="183"/>
    </row>
    <row r="11959" spans="1:19">
      <c r="A11959" s="182"/>
      <c r="Q11959" s="183"/>
      <c r="R11959" s="183"/>
      <c r="S11959" s="183"/>
    </row>
    <row r="11960" spans="1:19">
      <c r="A11960" s="182"/>
      <c r="Q11960" s="183"/>
    </row>
    <row r="11961" spans="1:19">
      <c r="A11961" s="182"/>
      <c r="R11961" s="183"/>
      <c r="S11961" s="183"/>
    </row>
    <row r="11962" spans="1:19">
      <c r="A11962" s="182"/>
      <c r="Q11962" s="183"/>
      <c r="R11962" s="183"/>
      <c r="S11962" s="183"/>
    </row>
    <row r="11963" spans="1:19">
      <c r="A11963" s="182"/>
      <c r="Q11963" s="183"/>
      <c r="R11963" s="183"/>
      <c r="S11963" s="183"/>
    </row>
    <row r="11964" spans="1:19">
      <c r="A11964" s="182"/>
      <c r="Q11964" s="183"/>
      <c r="R11964" s="183"/>
      <c r="S11964" s="183"/>
    </row>
    <row r="11965" spans="1:19">
      <c r="A11965" s="182"/>
      <c r="Q11965" s="183"/>
    </row>
    <row r="11966" spans="1:19">
      <c r="A11966" s="182"/>
    </row>
    <row r="11967" spans="1:19">
      <c r="A11967" s="182"/>
      <c r="R11967" s="183"/>
      <c r="S11967" s="183"/>
    </row>
    <row r="11968" spans="1:19">
      <c r="A11968" s="182"/>
      <c r="Q11968" s="183"/>
      <c r="R11968" s="183"/>
      <c r="S11968" s="183"/>
    </row>
    <row r="11969" spans="1:19">
      <c r="A11969" s="182"/>
      <c r="Q11969" s="183"/>
      <c r="R11969" s="183"/>
      <c r="S11969" s="183"/>
    </row>
    <row r="11970" spans="1:19">
      <c r="A11970" s="182"/>
      <c r="Q11970" s="183"/>
      <c r="R11970" s="183"/>
      <c r="S11970" s="183"/>
    </row>
    <row r="11971" spans="1:19">
      <c r="A11971" s="182"/>
      <c r="Q11971" s="183"/>
    </row>
    <row r="11972" spans="1:19">
      <c r="A11972" s="182"/>
      <c r="R11972" s="183"/>
      <c r="S11972" s="183"/>
    </row>
    <row r="11973" spans="1:19">
      <c r="A11973" s="182"/>
      <c r="Q11973" s="183"/>
      <c r="R11973" s="183"/>
      <c r="S11973" s="183"/>
    </row>
    <row r="11974" spans="1:19">
      <c r="A11974" s="182"/>
      <c r="Q11974" s="183"/>
      <c r="R11974" s="183"/>
      <c r="S11974" s="183"/>
    </row>
    <row r="11975" spans="1:19">
      <c r="A11975" s="182"/>
      <c r="Q11975" s="183"/>
      <c r="R11975" s="183"/>
      <c r="S11975" s="183"/>
    </row>
    <row r="11976" spans="1:19">
      <c r="A11976" s="182"/>
      <c r="Q11976" s="183"/>
      <c r="R11976" s="183"/>
      <c r="S11976" s="183"/>
    </row>
    <row r="11977" spans="1:19">
      <c r="A11977" s="182"/>
      <c r="Q11977" s="183"/>
      <c r="R11977" s="183"/>
      <c r="S11977" s="183"/>
    </row>
    <row r="11978" spans="1:19">
      <c r="A11978" s="182"/>
      <c r="Q11978" s="183"/>
      <c r="R11978" s="183"/>
      <c r="S11978" s="183"/>
    </row>
    <row r="11979" spans="1:19">
      <c r="A11979" s="182"/>
      <c r="Q11979" s="183"/>
      <c r="R11979" s="183"/>
      <c r="S11979" s="183"/>
    </row>
    <row r="11980" spans="1:19">
      <c r="A11980" s="182"/>
      <c r="Q11980" s="183"/>
      <c r="R11980" s="183"/>
      <c r="S11980" s="183"/>
    </row>
    <row r="11981" spans="1:19">
      <c r="A11981" s="182"/>
      <c r="Q11981" s="183"/>
      <c r="R11981" s="183"/>
      <c r="S11981" s="183"/>
    </row>
    <row r="11982" spans="1:19">
      <c r="A11982" s="182"/>
      <c r="Q11982" s="183"/>
      <c r="R11982" s="183"/>
      <c r="S11982" s="183"/>
    </row>
    <row r="11983" spans="1:19">
      <c r="A11983" s="182"/>
      <c r="Q11983" s="183"/>
      <c r="R11983" s="183"/>
      <c r="S11983" s="183"/>
    </row>
    <row r="11984" spans="1:19">
      <c r="A11984" s="182"/>
      <c r="Q11984" s="183"/>
      <c r="R11984" s="183"/>
      <c r="S11984" s="183"/>
    </row>
    <row r="11985" spans="1:38">
      <c r="A11985" s="182"/>
      <c r="Q11985" s="183"/>
      <c r="R11985" s="183"/>
      <c r="S11985" s="183"/>
    </row>
    <row r="11986" spans="1:38">
      <c r="A11986" s="182"/>
      <c r="Q11986" s="183"/>
      <c r="R11986" s="183"/>
      <c r="S11986" s="183"/>
    </row>
    <row r="11987" spans="1:38">
      <c r="A11987" s="182"/>
      <c r="Q11987" s="183"/>
      <c r="R11987" s="183"/>
      <c r="S11987" s="183"/>
    </row>
    <row r="11988" spans="1:38">
      <c r="A11988" s="182"/>
      <c r="Q11988" s="183"/>
      <c r="R11988" s="183"/>
      <c r="S11988" s="183"/>
    </row>
    <row r="11989" spans="1:38">
      <c r="A11989" s="182"/>
      <c r="Q11989" s="183"/>
      <c r="R11989" s="183"/>
      <c r="S11989" s="183"/>
    </row>
    <row r="11990" spans="1:38">
      <c r="A11990" s="182"/>
      <c r="Q11990" s="183"/>
      <c r="R11990" s="183"/>
      <c r="S11990" s="183"/>
    </row>
    <row r="11991" spans="1:38">
      <c r="A11991" s="182"/>
      <c r="Q11991" s="183"/>
      <c r="R11991" s="183"/>
      <c r="S11991" s="183"/>
    </row>
    <row r="11992" spans="1:38">
      <c r="A11992" s="182"/>
      <c r="Q11992" s="183"/>
      <c r="R11992" s="183"/>
      <c r="S11992" s="183"/>
    </row>
    <row r="11993" spans="1:38">
      <c r="A11993" s="182"/>
      <c r="Q11993" s="183"/>
      <c r="R11993" s="183"/>
      <c r="S11993" s="183"/>
    </row>
    <row r="11994" spans="1:38">
      <c r="A11994" s="182"/>
      <c r="Q11994" s="183"/>
      <c r="R11994" s="183"/>
      <c r="S11994" s="183"/>
    </row>
    <row r="11995" spans="1:38">
      <c r="A11995" s="182"/>
      <c r="Q11995" s="183"/>
      <c r="R11995" s="183"/>
      <c r="S11995" s="183"/>
    </row>
    <row r="11996" spans="1:38">
      <c r="A11996" s="182"/>
      <c r="Q11996" s="183"/>
      <c r="R11996" s="183"/>
      <c r="S11996" s="183"/>
    </row>
    <row r="11997" spans="1:38">
      <c r="A11997" s="182"/>
      <c r="Q11997" s="183"/>
      <c r="R11997" s="183"/>
      <c r="S11997" s="183"/>
      <c r="AK11997" s="183"/>
      <c r="AL11997" s="183"/>
    </row>
    <row r="11998" spans="1:38">
      <c r="A11998" s="182"/>
      <c r="Q11998" s="183"/>
      <c r="R11998" s="183"/>
      <c r="S11998" s="183"/>
      <c r="AJ11998" s="183"/>
      <c r="AK11998" s="183"/>
      <c r="AL11998" s="183"/>
    </row>
    <row r="11999" spans="1:38">
      <c r="A11999" s="182"/>
      <c r="Q11999" s="183"/>
      <c r="R11999" s="183"/>
      <c r="S11999" s="183"/>
      <c r="AJ11999" s="183"/>
      <c r="AK11999" s="183"/>
      <c r="AL11999" s="183"/>
    </row>
    <row r="12000" spans="1:38">
      <c r="A12000" s="182"/>
      <c r="Q12000" s="183"/>
      <c r="R12000" s="183"/>
      <c r="S12000" s="183"/>
      <c r="AJ12000" s="183"/>
      <c r="AK12000" s="183"/>
      <c r="AL12000" s="183"/>
    </row>
    <row r="12001" spans="1:38">
      <c r="A12001" s="182"/>
      <c r="Q12001" s="183"/>
      <c r="R12001" s="183"/>
      <c r="S12001" s="183"/>
      <c r="AJ12001" s="183"/>
    </row>
    <row r="12002" spans="1:38">
      <c r="A12002" s="182"/>
      <c r="Q12002" s="183"/>
      <c r="R12002" s="183"/>
      <c r="S12002" s="183"/>
    </row>
    <row r="12003" spans="1:38">
      <c r="A12003" s="182"/>
      <c r="Q12003" s="183"/>
      <c r="R12003" s="183"/>
      <c r="S12003" s="183"/>
    </row>
    <row r="12004" spans="1:38">
      <c r="A12004" s="182"/>
      <c r="Q12004" s="183"/>
      <c r="R12004" s="183"/>
      <c r="S12004" s="183"/>
    </row>
    <row r="12005" spans="1:38">
      <c r="A12005" s="182"/>
      <c r="Q12005" s="183"/>
      <c r="R12005" s="183"/>
      <c r="S12005" s="183"/>
      <c r="AK12005" s="183"/>
      <c r="AL12005" s="183"/>
    </row>
    <row r="12006" spans="1:38">
      <c r="A12006" s="182"/>
      <c r="Q12006" s="183"/>
      <c r="R12006" s="183"/>
      <c r="S12006" s="183"/>
      <c r="AJ12006" s="183"/>
      <c r="AK12006" s="183"/>
      <c r="AL12006" s="183"/>
    </row>
    <row r="12007" spans="1:38">
      <c r="A12007" s="182"/>
      <c r="Q12007" s="183"/>
      <c r="R12007" s="183"/>
      <c r="S12007" s="183"/>
      <c r="AJ12007" s="183"/>
      <c r="AK12007" s="183"/>
      <c r="AL12007" s="183"/>
    </row>
    <row r="12008" spans="1:38">
      <c r="A12008" s="182"/>
      <c r="Q12008" s="183"/>
      <c r="R12008" s="183"/>
      <c r="S12008" s="183"/>
      <c r="AJ12008" s="183"/>
      <c r="AK12008" s="183"/>
      <c r="AL12008" s="183"/>
    </row>
    <row r="12009" spans="1:38">
      <c r="A12009" s="182"/>
      <c r="Q12009" s="183"/>
      <c r="R12009" s="183"/>
      <c r="S12009" s="183"/>
      <c r="AJ12009" s="183"/>
    </row>
    <row r="12010" spans="1:38">
      <c r="A12010" s="182"/>
      <c r="Q12010" s="183"/>
      <c r="R12010" s="183"/>
      <c r="S12010" s="183"/>
    </row>
    <row r="12011" spans="1:38">
      <c r="A12011" s="182"/>
      <c r="Q12011" s="183"/>
      <c r="R12011" s="183"/>
      <c r="S12011" s="183"/>
    </row>
    <row r="12012" spans="1:38">
      <c r="A12012" s="182"/>
      <c r="Q12012" s="183"/>
      <c r="R12012" s="183"/>
      <c r="S12012" s="183"/>
    </row>
    <row r="12013" spans="1:38">
      <c r="A12013" s="182"/>
      <c r="Q12013" s="183"/>
      <c r="R12013" s="183"/>
      <c r="S12013" s="183"/>
    </row>
    <row r="12014" spans="1:38">
      <c r="A12014" s="182"/>
      <c r="Q12014" s="183"/>
      <c r="R12014" s="183"/>
      <c r="S12014" s="183"/>
    </row>
    <row r="12015" spans="1:38">
      <c r="A12015" s="182"/>
      <c r="Q12015" s="183"/>
      <c r="R12015" s="183"/>
      <c r="S12015" s="183"/>
    </row>
    <row r="12016" spans="1:38">
      <c r="A12016" s="182"/>
      <c r="Q12016" s="183"/>
      <c r="R12016" s="183"/>
      <c r="S12016" s="183"/>
    </row>
    <row r="12017" spans="1:38">
      <c r="A12017" s="182"/>
      <c r="Q12017" s="183"/>
      <c r="R12017" s="183"/>
      <c r="S12017" s="183"/>
    </row>
    <row r="12018" spans="1:38">
      <c r="A12018" s="182"/>
      <c r="Q12018" s="183"/>
      <c r="R12018" s="183"/>
      <c r="S12018" s="183"/>
    </row>
    <row r="12019" spans="1:38">
      <c r="A12019" s="182"/>
      <c r="Q12019" s="183"/>
      <c r="R12019" s="183"/>
      <c r="S12019" s="183"/>
    </row>
    <row r="12020" spans="1:38">
      <c r="A12020" s="182"/>
      <c r="Q12020" s="183"/>
      <c r="R12020" s="183"/>
      <c r="S12020" s="183"/>
    </row>
    <row r="12021" spans="1:38">
      <c r="A12021" s="182"/>
      <c r="Q12021" s="183"/>
      <c r="R12021" s="183"/>
      <c r="S12021" s="183"/>
      <c r="AK12021" s="183"/>
      <c r="AL12021" s="183"/>
    </row>
    <row r="12022" spans="1:38">
      <c r="A12022" s="182"/>
      <c r="Q12022" s="183"/>
      <c r="R12022" s="183"/>
      <c r="S12022" s="183"/>
      <c r="AJ12022" s="183"/>
      <c r="AK12022" s="183"/>
      <c r="AL12022" s="183"/>
    </row>
    <row r="12023" spans="1:38">
      <c r="A12023" s="182"/>
      <c r="Q12023" s="183"/>
      <c r="R12023" s="183"/>
      <c r="S12023" s="183"/>
      <c r="AJ12023" s="183"/>
      <c r="AK12023" s="183"/>
      <c r="AL12023" s="183"/>
    </row>
    <row r="12024" spans="1:38">
      <c r="A12024" s="182"/>
      <c r="Q12024" s="183"/>
      <c r="R12024" s="183"/>
      <c r="S12024" s="183"/>
      <c r="AJ12024" s="183"/>
      <c r="AK12024" s="183"/>
      <c r="AL12024" s="183"/>
    </row>
    <row r="12025" spans="1:38">
      <c r="A12025" s="182"/>
      <c r="Q12025" s="183"/>
      <c r="R12025" s="183"/>
      <c r="S12025" s="183"/>
      <c r="AJ12025" s="183"/>
      <c r="AK12025" s="183"/>
      <c r="AL12025" s="183"/>
    </row>
    <row r="12026" spans="1:38">
      <c r="A12026" s="182"/>
      <c r="Q12026" s="183"/>
      <c r="R12026" s="183"/>
      <c r="S12026" s="183"/>
      <c r="AJ12026" s="183"/>
      <c r="AK12026" s="183"/>
      <c r="AL12026" s="183"/>
    </row>
    <row r="12027" spans="1:38">
      <c r="A12027" s="182"/>
      <c r="Q12027" s="183"/>
      <c r="R12027" s="183"/>
      <c r="S12027" s="183"/>
      <c r="AJ12027" s="183"/>
      <c r="AK12027" s="183"/>
      <c r="AL12027" s="183"/>
    </row>
    <row r="12028" spans="1:38">
      <c r="A12028" s="182"/>
      <c r="Q12028" s="183"/>
      <c r="R12028" s="183"/>
      <c r="S12028" s="183"/>
      <c r="AJ12028" s="183"/>
      <c r="AK12028" s="183"/>
      <c r="AL12028" s="183"/>
    </row>
    <row r="12029" spans="1:38">
      <c r="A12029" s="182"/>
      <c r="Q12029" s="183"/>
      <c r="R12029" s="183"/>
      <c r="S12029" s="183"/>
      <c r="AJ12029" s="183"/>
      <c r="AK12029" s="183"/>
      <c r="AL12029" s="183"/>
    </row>
    <row r="12030" spans="1:38">
      <c r="A12030" s="182"/>
      <c r="Q12030" s="183"/>
      <c r="R12030" s="183"/>
      <c r="S12030" s="183"/>
      <c r="AJ12030" s="183"/>
      <c r="AK12030" s="183"/>
      <c r="AL12030" s="183"/>
    </row>
    <row r="12031" spans="1:38">
      <c r="A12031" s="182"/>
      <c r="Q12031" s="183"/>
      <c r="R12031" s="183"/>
      <c r="S12031" s="183"/>
      <c r="AJ12031" s="183"/>
      <c r="AK12031" s="183"/>
      <c r="AL12031" s="183"/>
    </row>
    <row r="12032" spans="1:38">
      <c r="A12032" s="182"/>
      <c r="Q12032" s="183"/>
      <c r="R12032" s="183"/>
      <c r="S12032" s="183"/>
      <c r="AJ12032" s="183"/>
      <c r="AK12032" s="183"/>
      <c r="AL12032" s="183"/>
    </row>
    <row r="12033" spans="1:36">
      <c r="A12033" s="182"/>
      <c r="Q12033" s="183"/>
      <c r="R12033" s="183"/>
      <c r="S12033" s="183"/>
      <c r="AJ12033" s="183"/>
    </row>
    <row r="12034" spans="1:36">
      <c r="A12034" s="182"/>
      <c r="Q12034" s="183"/>
      <c r="R12034" s="183"/>
      <c r="S12034" s="183"/>
    </row>
    <row r="12035" spans="1:36">
      <c r="A12035" s="182"/>
      <c r="Q12035" s="183"/>
      <c r="R12035" s="183"/>
      <c r="S12035" s="183"/>
    </row>
    <row r="12036" spans="1:36">
      <c r="A12036" s="182"/>
      <c r="Q12036" s="183"/>
      <c r="R12036" s="183"/>
      <c r="S12036" s="183"/>
    </row>
    <row r="12037" spans="1:36">
      <c r="A12037" s="182"/>
      <c r="Q12037" s="183"/>
      <c r="R12037" s="183"/>
      <c r="S12037" s="183"/>
    </row>
    <row r="12038" spans="1:36">
      <c r="A12038" s="182"/>
      <c r="Q12038" s="183"/>
    </row>
    <row r="12039" spans="1:36">
      <c r="A12039" s="182"/>
      <c r="R12039" s="183"/>
      <c r="S12039" s="183"/>
    </row>
    <row r="12040" spans="1:36">
      <c r="A12040" s="182"/>
      <c r="Q12040" s="183"/>
      <c r="R12040" s="183"/>
      <c r="S12040" s="183"/>
    </row>
    <row r="12041" spans="1:36">
      <c r="A12041" s="182"/>
      <c r="Q12041" s="183"/>
      <c r="R12041" s="183"/>
      <c r="S12041" s="183"/>
    </row>
    <row r="12042" spans="1:36">
      <c r="A12042" s="182"/>
      <c r="Q12042" s="183"/>
      <c r="R12042" s="183"/>
      <c r="S12042" s="183"/>
    </row>
    <row r="12043" spans="1:36">
      <c r="A12043" s="182"/>
      <c r="Q12043" s="183"/>
      <c r="R12043" s="183"/>
      <c r="S12043" s="183"/>
    </row>
    <row r="12044" spans="1:36">
      <c r="A12044" s="182"/>
      <c r="Q12044" s="183"/>
      <c r="R12044" s="183"/>
      <c r="S12044" s="183"/>
    </row>
    <row r="12045" spans="1:36">
      <c r="A12045" s="182"/>
      <c r="Q12045" s="183"/>
      <c r="R12045" s="183"/>
      <c r="S12045" s="183"/>
    </row>
    <row r="12046" spans="1:36">
      <c r="A12046" s="182"/>
      <c r="Q12046" s="183"/>
      <c r="R12046" s="183"/>
      <c r="S12046" s="183"/>
    </row>
    <row r="12047" spans="1:36">
      <c r="A12047" s="182"/>
      <c r="Q12047" s="183"/>
    </row>
    <row r="12048" spans="1:36">
      <c r="A12048" s="182"/>
      <c r="R12048" s="183"/>
      <c r="S12048" s="183"/>
    </row>
    <row r="12049" spans="1:38">
      <c r="A12049" s="182"/>
      <c r="Q12049" s="183"/>
      <c r="R12049" s="183"/>
      <c r="S12049" s="183"/>
      <c r="AK12049" s="183"/>
      <c r="AL12049" s="183"/>
    </row>
    <row r="12050" spans="1:38">
      <c r="A12050" s="182"/>
      <c r="Q12050" s="183"/>
      <c r="R12050" s="183"/>
      <c r="S12050" s="183"/>
      <c r="AJ12050" s="183"/>
      <c r="AK12050" s="183"/>
      <c r="AL12050" s="183"/>
    </row>
    <row r="12051" spans="1:38">
      <c r="A12051" s="182"/>
      <c r="Q12051" s="183"/>
      <c r="AJ12051" s="183"/>
      <c r="AK12051" s="183"/>
      <c r="AL12051" s="183"/>
    </row>
    <row r="12052" spans="1:38">
      <c r="A12052" s="182"/>
      <c r="R12052" s="183"/>
      <c r="S12052" s="183"/>
      <c r="AJ12052" s="183"/>
      <c r="AK12052" s="183"/>
      <c r="AL12052" s="183"/>
    </row>
    <row r="12053" spans="1:38">
      <c r="A12053" s="182"/>
      <c r="Q12053" s="183"/>
      <c r="R12053" s="183"/>
      <c r="S12053" s="183"/>
      <c r="AJ12053" s="183"/>
    </row>
    <row r="12054" spans="1:38">
      <c r="A12054" s="182"/>
      <c r="Q12054" s="183"/>
      <c r="R12054" s="183"/>
      <c r="S12054" s="183"/>
    </row>
    <row r="12055" spans="1:38">
      <c r="A12055" s="182"/>
      <c r="Q12055" s="183"/>
      <c r="R12055" s="183"/>
      <c r="S12055" s="183"/>
    </row>
    <row r="12056" spans="1:38">
      <c r="A12056" s="182"/>
      <c r="Q12056" s="183"/>
      <c r="R12056" s="183"/>
      <c r="S12056" s="183"/>
    </row>
    <row r="12057" spans="1:38">
      <c r="A12057" s="182"/>
      <c r="Q12057" s="183"/>
    </row>
    <row r="12058" spans="1:38">
      <c r="A12058" s="182"/>
    </row>
    <row r="12059" spans="1:38">
      <c r="A12059" s="182"/>
      <c r="R12059" s="183"/>
      <c r="S12059" s="183"/>
    </row>
    <row r="12060" spans="1:38">
      <c r="A12060" s="182"/>
      <c r="Q12060" s="183"/>
    </row>
    <row r="12061" spans="1:38">
      <c r="A12061" s="182"/>
      <c r="AK12061" s="183"/>
      <c r="AL12061" s="183"/>
    </row>
    <row r="12062" spans="1:38">
      <c r="A12062" s="182"/>
      <c r="R12062" s="183"/>
      <c r="S12062" s="183"/>
      <c r="AJ12062" s="183"/>
      <c r="AK12062" s="183"/>
      <c r="AL12062" s="183"/>
    </row>
    <row r="12063" spans="1:38">
      <c r="A12063" s="182"/>
      <c r="Q12063" s="183"/>
      <c r="AJ12063" s="183"/>
      <c r="AK12063" s="183"/>
      <c r="AL12063" s="183"/>
    </row>
    <row r="12064" spans="1:38">
      <c r="A12064" s="182"/>
      <c r="R12064" s="183"/>
      <c r="S12064" s="183"/>
      <c r="AJ12064" s="183"/>
      <c r="AK12064" s="183"/>
      <c r="AL12064" s="183"/>
    </row>
    <row r="12065" spans="1:38">
      <c r="A12065" s="182"/>
      <c r="Q12065" s="183"/>
      <c r="R12065" s="183"/>
      <c r="S12065" s="183"/>
      <c r="AJ12065" s="183"/>
      <c r="AK12065" s="183"/>
      <c r="AL12065" s="183"/>
    </row>
    <row r="12066" spans="1:38">
      <c r="A12066" s="182"/>
      <c r="Q12066" s="183"/>
      <c r="R12066" s="183"/>
      <c r="S12066" s="183"/>
      <c r="AJ12066" s="183"/>
      <c r="AK12066" s="183"/>
      <c r="AL12066" s="183"/>
    </row>
    <row r="12067" spans="1:38">
      <c r="A12067" s="182"/>
      <c r="Q12067" s="183"/>
      <c r="R12067" s="183"/>
      <c r="S12067" s="183"/>
      <c r="AJ12067" s="183"/>
      <c r="AK12067" s="183"/>
      <c r="AL12067" s="183"/>
    </row>
    <row r="12068" spans="1:38">
      <c r="A12068" s="182"/>
      <c r="Q12068" s="183"/>
      <c r="R12068" s="183"/>
      <c r="S12068" s="183"/>
      <c r="AJ12068" s="183"/>
      <c r="AK12068" s="183"/>
      <c r="AL12068" s="183"/>
    </row>
    <row r="12069" spans="1:38">
      <c r="A12069" s="182"/>
      <c r="Q12069" s="183"/>
      <c r="R12069" s="183"/>
      <c r="S12069" s="183"/>
      <c r="AJ12069" s="183"/>
    </row>
    <row r="12070" spans="1:38">
      <c r="A12070" s="182"/>
      <c r="Q12070" s="183"/>
      <c r="R12070" s="183"/>
      <c r="S12070" s="183"/>
    </row>
    <row r="12071" spans="1:38">
      <c r="A12071" s="182"/>
      <c r="Q12071" s="183"/>
      <c r="R12071" s="183"/>
      <c r="S12071" s="183"/>
    </row>
    <row r="12072" spans="1:38">
      <c r="A12072" s="182"/>
      <c r="Q12072" s="183"/>
      <c r="R12072" s="183"/>
      <c r="S12072" s="183"/>
    </row>
    <row r="12073" spans="1:38">
      <c r="A12073" s="182"/>
      <c r="Q12073" s="183"/>
      <c r="R12073" s="183"/>
      <c r="S12073" s="183"/>
    </row>
    <row r="12074" spans="1:38">
      <c r="A12074" s="182"/>
      <c r="Q12074" s="183"/>
      <c r="R12074" s="183"/>
      <c r="S12074" s="183"/>
    </row>
    <row r="12075" spans="1:38">
      <c r="A12075" s="182"/>
      <c r="Q12075" s="183"/>
      <c r="R12075" s="183"/>
      <c r="S12075" s="183"/>
    </row>
    <row r="12076" spans="1:38">
      <c r="A12076" s="182"/>
      <c r="Q12076" s="183"/>
      <c r="R12076" s="183"/>
      <c r="S12076" s="183"/>
    </row>
    <row r="12077" spans="1:38">
      <c r="A12077" s="182"/>
      <c r="Q12077" s="183"/>
      <c r="R12077" s="183"/>
      <c r="S12077" s="183"/>
    </row>
    <row r="12078" spans="1:38">
      <c r="A12078" s="182"/>
      <c r="Q12078" s="183"/>
      <c r="R12078" s="183"/>
      <c r="S12078" s="183"/>
    </row>
    <row r="12079" spans="1:38">
      <c r="A12079" s="182"/>
      <c r="Q12079" s="183"/>
      <c r="R12079" s="183"/>
      <c r="S12079" s="183"/>
    </row>
    <row r="12080" spans="1:38">
      <c r="A12080" s="182"/>
      <c r="Q12080" s="183"/>
      <c r="R12080" s="183"/>
      <c r="S12080" s="183"/>
    </row>
    <row r="12081" spans="1:19">
      <c r="A12081" s="182"/>
      <c r="Q12081" s="183"/>
      <c r="R12081" s="183"/>
      <c r="S12081" s="183"/>
    </row>
    <row r="12082" spans="1:19">
      <c r="A12082" s="182"/>
      <c r="Q12082" s="183"/>
      <c r="R12082" s="183"/>
      <c r="S12082" s="183"/>
    </row>
    <row r="12083" spans="1:19">
      <c r="A12083" s="182"/>
      <c r="Q12083" s="183"/>
      <c r="R12083" s="183"/>
      <c r="S12083" s="183"/>
    </row>
    <row r="12084" spans="1:19">
      <c r="A12084" s="182"/>
      <c r="Q12084" s="183"/>
      <c r="R12084" s="183"/>
      <c r="S12084" s="183"/>
    </row>
    <row r="12085" spans="1:19">
      <c r="A12085" s="182"/>
      <c r="Q12085" s="183"/>
      <c r="R12085" s="183"/>
      <c r="S12085" s="183"/>
    </row>
    <row r="12086" spans="1:19">
      <c r="A12086" s="182"/>
      <c r="Q12086" s="183"/>
      <c r="R12086" s="183"/>
      <c r="S12086" s="183"/>
    </row>
    <row r="12087" spans="1:19">
      <c r="A12087" s="182"/>
      <c r="Q12087" s="183"/>
      <c r="R12087" s="183"/>
      <c r="S12087" s="183"/>
    </row>
    <row r="12088" spans="1:19">
      <c r="A12088" s="182"/>
      <c r="Q12088" s="183"/>
      <c r="R12088" s="183"/>
      <c r="S12088" s="183"/>
    </row>
    <row r="12089" spans="1:19">
      <c r="A12089" s="182"/>
      <c r="Q12089" s="183"/>
      <c r="R12089" s="183"/>
      <c r="S12089" s="183"/>
    </row>
    <row r="12090" spans="1:19">
      <c r="A12090" s="182"/>
      <c r="Q12090" s="183"/>
      <c r="R12090" s="183"/>
      <c r="S12090" s="183"/>
    </row>
    <row r="12091" spans="1:19">
      <c r="A12091" s="182"/>
      <c r="Q12091" s="183"/>
      <c r="R12091" s="183"/>
      <c r="S12091" s="183"/>
    </row>
    <row r="12092" spans="1:19">
      <c r="A12092" s="182"/>
      <c r="Q12092" s="183"/>
      <c r="R12092" s="183"/>
      <c r="S12092" s="183"/>
    </row>
    <row r="12093" spans="1:19">
      <c r="A12093" s="182"/>
      <c r="Q12093" s="183"/>
      <c r="R12093" s="183"/>
      <c r="S12093" s="183"/>
    </row>
    <row r="12094" spans="1:19">
      <c r="A12094" s="182"/>
      <c r="Q12094" s="183"/>
      <c r="R12094" s="183"/>
      <c r="S12094" s="183"/>
    </row>
    <row r="12095" spans="1:19">
      <c r="A12095" s="182"/>
      <c r="Q12095" s="183"/>
      <c r="R12095" s="183"/>
      <c r="S12095" s="183"/>
    </row>
    <row r="12096" spans="1:19">
      <c r="A12096" s="182"/>
      <c r="Q12096" s="183"/>
      <c r="R12096" s="183"/>
      <c r="S12096" s="183"/>
    </row>
    <row r="12097" spans="1:19">
      <c r="A12097" s="182"/>
      <c r="Q12097" s="183"/>
      <c r="R12097" s="183"/>
      <c r="S12097" s="183"/>
    </row>
    <row r="12098" spans="1:19">
      <c r="A12098" s="182"/>
      <c r="Q12098" s="183"/>
      <c r="R12098" s="183"/>
      <c r="S12098" s="183"/>
    </row>
    <row r="12099" spans="1:19">
      <c r="A12099" s="182"/>
      <c r="Q12099" s="183"/>
      <c r="R12099" s="183"/>
      <c r="S12099" s="183"/>
    </row>
    <row r="12100" spans="1:19">
      <c r="A12100" s="182"/>
      <c r="Q12100" s="183"/>
      <c r="R12100" s="183"/>
      <c r="S12100" s="183"/>
    </row>
    <row r="12101" spans="1:19">
      <c r="A12101" s="182"/>
      <c r="Q12101" s="183"/>
      <c r="R12101" s="183"/>
      <c r="S12101" s="183"/>
    </row>
    <row r="12102" spans="1:19">
      <c r="A12102" s="182"/>
      <c r="Q12102" s="183"/>
      <c r="R12102" s="183"/>
      <c r="S12102" s="183"/>
    </row>
    <row r="12103" spans="1:19">
      <c r="A12103" s="182"/>
      <c r="Q12103" s="183"/>
      <c r="R12103" s="183"/>
      <c r="S12103" s="183"/>
    </row>
    <row r="12104" spans="1:19">
      <c r="A12104" s="182"/>
      <c r="Q12104" s="183"/>
      <c r="R12104" s="183"/>
      <c r="S12104" s="183"/>
    </row>
    <row r="12105" spans="1:19">
      <c r="A12105" s="182"/>
      <c r="Q12105" s="183"/>
      <c r="R12105" s="183"/>
      <c r="S12105" s="183"/>
    </row>
    <row r="12106" spans="1:19">
      <c r="A12106" s="182"/>
      <c r="Q12106" s="183"/>
      <c r="R12106" s="183"/>
      <c r="S12106" s="183"/>
    </row>
    <row r="12107" spans="1:19">
      <c r="A12107" s="182"/>
      <c r="Q12107" s="183"/>
      <c r="R12107" s="183"/>
      <c r="S12107" s="183"/>
    </row>
    <row r="12108" spans="1:19">
      <c r="A12108" s="182"/>
      <c r="Q12108" s="183"/>
      <c r="R12108" s="183"/>
      <c r="S12108" s="183"/>
    </row>
    <row r="12109" spans="1:19">
      <c r="A12109" s="182"/>
      <c r="Q12109" s="183"/>
      <c r="R12109" s="183"/>
      <c r="S12109" s="183"/>
    </row>
    <row r="12110" spans="1:19">
      <c r="A12110" s="182"/>
      <c r="Q12110" s="183"/>
      <c r="R12110" s="183"/>
      <c r="S12110" s="183"/>
    </row>
    <row r="12111" spans="1:19">
      <c r="A12111" s="182"/>
      <c r="Q12111" s="183"/>
      <c r="R12111" s="183"/>
      <c r="S12111" s="183"/>
    </row>
    <row r="12112" spans="1:19">
      <c r="A12112" s="182"/>
      <c r="Q12112" s="183"/>
      <c r="R12112" s="183"/>
      <c r="S12112" s="183"/>
    </row>
    <row r="12113" spans="1:19">
      <c r="A12113" s="182"/>
      <c r="Q12113" s="183"/>
      <c r="R12113" s="183"/>
      <c r="S12113" s="183"/>
    </row>
    <row r="12114" spans="1:19">
      <c r="A12114" s="182"/>
      <c r="Q12114" s="183"/>
      <c r="R12114" s="183"/>
      <c r="S12114" s="183"/>
    </row>
    <row r="12115" spans="1:19">
      <c r="A12115" s="182"/>
      <c r="Q12115" s="183"/>
      <c r="R12115" s="183"/>
      <c r="S12115" s="183"/>
    </row>
    <row r="12116" spans="1:19">
      <c r="A12116" s="182"/>
      <c r="Q12116" s="183"/>
      <c r="R12116" s="183"/>
      <c r="S12116" s="183"/>
    </row>
    <row r="12117" spans="1:19">
      <c r="A12117" s="182"/>
      <c r="Q12117" s="183"/>
      <c r="R12117" s="183"/>
      <c r="S12117" s="183"/>
    </row>
    <row r="12118" spans="1:19">
      <c r="A12118" s="182"/>
      <c r="Q12118" s="183"/>
      <c r="R12118" s="183"/>
      <c r="S12118" s="183"/>
    </row>
    <row r="12119" spans="1:19">
      <c r="A12119" s="182"/>
      <c r="Q12119" s="183"/>
      <c r="R12119" s="183"/>
      <c r="S12119" s="183"/>
    </row>
    <row r="12120" spans="1:19">
      <c r="A12120" s="182"/>
      <c r="Q12120" s="183"/>
      <c r="R12120" s="183"/>
      <c r="S12120" s="183"/>
    </row>
    <row r="12121" spans="1:19">
      <c r="A12121" s="182"/>
      <c r="Q12121" s="183"/>
      <c r="R12121" s="183"/>
      <c r="S12121" s="183"/>
    </row>
    <row r="12122" spans="1:19">
      <c r="A12122" s="182"/>
      <c r="Q12122" s="183"/>
      <c r="R12122" s="183"/>
      <c r="S12122" s="183"/>
    </row>
    <row r="12123" spans="1:19">
      <c r="A12123" s="182"/>
      <c r="Q12123" s="183"/>
      <c r="R12123" s="183"/>
      <c r="S12123" s="183"/>
    </row>
    <row r="12124" spans="1:19">
      <c r="A12124" s="182"/>
      <c r="Q12124" s="183"/>
      <c r="R12124" s="183"/>
      <c r="S12124" s="183"/>
    </row>
    <row r="12125" spans="1:19">
      <c r="A12125" s="182"/>
      <c r="Q12125" s="183"/>
      <c r="R12125" s="183"/>
      <c r="S12125" s="183"/>
    </row>
    <row r="12126" spans="1:19">
      <c r="A12126" s="182"/>
      <c r="Q12126" s="183"/>
      <c r="R12126" s="183"/>
      <c r="S12126" s="183"/>
    </row>
    <row r="12127" spans="1:19">
      <c r="A12127" s="182"/>
      <c r="Q12127" s="183"/>
      <c r="R12127" s="183"/>
      <c r="S12127" s="183"/>
    </row>
    <row r="12128" spans="1:19">
      <c r="A12128" s="182"/>
      <c r="Q12128" s="183"/>
      <c r="R12128" s="183"/>
      <c r="S12128" s="183"/>
    </row>
    <row r="12129" spans="1:19">
      <c r="A12129" s="182"/>
      <c r="Q12129" s="183"/>
      <c r="R12129" s="183"/>
      <c r="S12129" s="183"/>
    </row>
    <row r="12130" spans="1:19">
      <c r="A12130" s="182"/>
      <c r="Q12130" s="183"/>
      <c r="R12130" s="183"/>
      <c r="S12130" s="183"/>
    </row>
    <row r="12131" spans="1:19">
      <c r="A12131" s="182"/>
      <c r="Q12131" s="183"/>
      <c r="R12131" s="183"/>
      <c r="S12131" s="183"/>
    </row>
    <row r="12132" spans="1:19">
      <c r="A12132" s="182"/>
      <c r="Q12132" s="183"/>
      <c r="R12132" s="183"/>
      <c r="S12132" s="183"/>
    </row>
    <row r="12133" spans="1:19">
      <c r="A12133" s="182"/>
      <c r="Q12133" s="183"/>
      <c r="R12133" s="183"/>
      <c r="S12133" s="183"/>
    </row>
    <row r="12134" spans="1:19">
      <c r="A12134" s="182"/>
      <c r="Q12134" s="183"/>
      <c r="R12134" s="183"/>
      <c r="S12134" s="183"/>
    </row>
    <row r="12135" spans="1:19">
      <c r="A12135" s="182"/>
      <c r="Q12135" s="183"/>
      <c r="R12135" s="183"/>
      <c r="S12135" s="183"/>
    </row>
    <row r="12136" spans="1:19">
      <c r="A12136" s="182"/>
      <c r="Q12136" s="183"/>
      <c r="R12136" s="183"/>
      <c r="S12136" s="183"/>
    </row>
    <row r="12137" spans="1:19">
      <c r="A12137" s="182"/>
      <c r="Q12137" s="183"/>
      <c r="R12137" s="183"/>
      <c r="S12137" s="183"/>
    </row>
    <row r="12138" spans="1:19">
      <c r="A12138" s="182"/>
      <c r="Q12138" s="183"/>
      <c r="R12138" s="183"/>
      <c r="S12138" s="183"/>
    </row>
    <row r="12139" spans="1:19">
      <c r="A12139" s="182"/>
      <c r="Q12139" s="183"/>
      <c r="R12139" s="183"/>
      <c r="S12139" s="183"/>
    </row>
    <row r="12140" spans="1:19">
      <c r="A12140" s="182"/>
      <c r="Q12140" s="183"/>
    </row>
    <row r="12141" spans="1:19">
      <c r="A12141" s="182"/>
      <c r="R12141" s="183"/>
      <c r="S12141" s="183"/>
    </row>
    <row r="12142" spans="1:19">
      <c r="A12142" s="182"/>
      <c r="Q12142" s="183"/>
      <c r="R12142" s="183"/>
      <c r="S12142" s="183"/>
    </row>
    <row r="12143" spans="1:19">
      <c r="A12143" s="182"/>
      <c r="Q12143" s="183"/>
      <c r="R12143" s="183"/>
      <c r="S12143" s="183"/>
    </row>
    <row r="12144" spans="1:19">
      <c r="A12144" s="182"/>
      <c r="Q12144" s="183"/>
    </row>
    <row r="12145" spans="1:19">
      <c r="A12145" s="182"/>
    </row>
    <row r="12146" spans="1:19">
      <c r="A12146" s="182"/>
    </row>
    <row r="12147" spans="1:19">
      <c r="A12147" s="182"/>
      <c r="R12147" s="183"/>
      <c r="S12147" s="183"/>
    </row>
    <row r="12148" spans="1:19">
      <c r="A12148" s="182"/>
      <c r="Q12148" s="183"/>
      <c r="R12148" s="183"/>
      <c r="S12148" s="183"/>
    </row>
    <row r="12149" spans="1:19">
      <c r="A12149" s="182"/>
      <c r="Q12149" s="183"/>
      <c r="R12149" s="183"/>
      <c r="S12149" s="183"/>
    </row>
    <row r="12150" spans="1:19">
      <c r="A12150" s="182"/>
      <c r="Q12150" s="183"/>
      <c r="R12150" s="183"/>
      <c r="S12150" s="183"/>
    </row>
    <row r="12151" spans="1:19">
      <c r="A12151" s="182"/>
      <c r="Q12151" s="183"/>
      <c r="R12151" s="183"/>
      <c r="S12151" s="183"/>
    </row>
    <row r="12152" spans="1:19">
      <c r="A12152" s="182"/>
      <c r="Q12152" s="183"/>
      <c r="R12152" s="183"/>
      <c r="S12152" s="183"/>
    </row>
    <row r="12153" spans="1:19">
      <c r="A12153" s="182"/>
      <c r="Q12153" s="183"/>
    </row>
    <row r="12154" spans="1:19">
      <c r="A12154" s="182"/>
    </row>
    <row r="12155" spans="1:19">
      <c r="A12155" s="182"/>
    </row>
    <row r="12156" spans="1:19">
      <c r="A12156" s="182"/>
    </row>
    <row r="12157" spans="1:19">
      <c r="A12157" s="182"/>
    </row>
    <row r="12158" spans="1:19">
      <c r="A12158" s="182"/>
    </row>
    <row r="12159" spans="1:19">
      <c r="A12159" s="182"/>
      <c r="R12159" s="183"/>
      <c r="S12159" s="183"/>
    </row>
    <row r="12160" spans="1:19">
      <c r="A12160" s="182"/>
      <c r="Q12160" s="183"/>
      <c r="R12160" s="183"/>
      <c r="S12160" s="183"/>
    </row>
    <row r="12161" spans="1:38">
      <c r="A12161" s="182"/>
      <c r="Q12161" s="183"/>
      <c r="R12161" s="183"/>
      <c r="S12161" s="183"/>
    </row>
    <row r="12162" spans="1:38">
      <c r="A12162" s="182"/>
      <c r="Q12162" s="183"/>
      <c r="R12162" s="183"/>
      <c r="S12162" s="183"/>
    </row>
    <row r="12163" spans="1:38">
      <c r="A12163" s="182"/>
      <c r="Q12163" s="183"/>
      <c r="R12163" s="183"/>
      <c r="S12163" s="183"/>
    </row>
    <row r="12164" spans="1:38">
      <c r="A12164" s="182"/>
      <c r="Q12164" s="183"/>
      <c r="R12164" s="183"/>
      <c r="S12164" s="183"/>
    </row>
    <row r="12165" spans="1:38">
      <c r="A12165" s="182"/>
      <c r="Q12165" s="183"/>
      <c r="R12165" s="183"/>
      <c r="S12165" s="183"/>
      <c r="AK12165" s="183"/>
      <c r="AL12165" s="183"/>
    </row>
    <row r="12166" spans="1:38">
      <c r="A12166" s="182"/>
      <c r="Q12166" s="183"/>
      <c r="R12166" s="183"/>
      <c r="S12166" s="183"/>
      <c r="AJ12166" s="183"/>
      <c r="AK12166" s="183"/>
      <c r="AL12166" s="183"/>
    </row>
    <row r="12167" spans="1:38">
      <c r="A12167" s="182"/>
      <c r="Q12167" s="183"/>
      <c r="R12167" s="183"/>
      <c r="S12167" s="183"/>
      <c r="AJ12167" s="183"/>
      <c r="AK12167" s="183"/>
      <c r="AL12167" s="183"/>
    </row>
    <row r="12168" spans="1:38">
      <c r="A12168" s="182"/>
      <c r="Q12168" s="183"/>
      <c r="R12168" s="183"/>
      <c r="S12168" s="183"/>
      <c r="AJ12168" s="183"/>
      <c r="AK12168" s="183"/>
      <c r="AL12168" s="183"/>
    </row>
    <row r="12169" spans="1:38">
      <c r="A12169" s="182"/>
      <c r="Q12169" s="183"/>
      <c r="R12169" s="183"/>
      <c r="S12169" s="183"/>
      <c r="AJ12169" s="183"/>
      <c r="AK12169" s="183"/>
      <c r="AL12169" s="183"/>
    </row>
    <row r="12170" spans="1:38">
      <c r="A12170" s="182"/>
      <c r="Q12170" s="183"/>
      <c r="R12170" s="183"/>
      <c r="S12170" s="183"/>
      <c r="AJ12170" s="183"/>
      <c r="AK12170" s="183"/>
      <c r="AL12170" s="183"/>
    </row>
    <row r="12171" spans="1:38">
      <c r="A12171" s="182"/>
      <c r="Q12171" s="183"/>
      <c r="R12171" s="183"/>
      <c r="S12171" s="183"/>
      <c r="AJ12171" s="183"/>
      <c r="AK12171" s="183"/>
      <c r="AL12171" s="183"/>
    </row>
    <row r="12172" spans="1:38">
      <c r="A12172" s="182"/>
      <c r="Q12172" s="183"/>
      <c r="R12172" s="183"/>
      <c r="S12172" s="183"/>
      <c r="AJ12172" s="183"/>
      <c r="AK12172" s="183"/>
      <c r="AL12172" s="183"/>
    </row>
    <row r="12173" spans="1:38">
      <c r="A12173" s="182"/>
      <c r="Q12173" s="183"/>
      <c r="R12173" s="183"/>
      <c r="S12173" s="183"/>
      <c r="AJ12173" s="183"/>
      <c r="AK12173" s="183"/>
      <c r="AL12173" s="183"/>
    </row>
    <row r="12174" spans="1:38">
      <c r="A12174" s="182"/>
      <c r="Q12174" s="183"/>
      <c r="R12174" s="183"/>
      <c r="S12174" s="183"/>
      <c r="AJ12174" s="183"/>
      <c r="AK12174" s="183"/>
      <c r="AL12174" s="183"/>
    </row>
    <row r="12175" spans="1:38">
      <c r="A12175" s="182"/>
      <c r="Q12175" s="183"/>
      <c r="R12175" s="183"/>
      <c r="S12175" s="183"/>
      <c r="AJ12175" s="183"/>
      <c r="AK12175" s="183"/>
      <c r="AL12175" s="183"/>
    </row>
    <row r="12176" spans="1:38">
      <c r="A12176" s="182"/>
      <c r="Q12176" s="183"/>
      <c r="R12176" s="183"/>
      <c r="S12176" s="183"/>
      <c r="AJ12176" s="183"/>
      <c r="AK12176" s="183"/>
      <c r="AL12176" s="183"/>
    </row>
    <row r="12177" spans="1:36">
      <c r="A12177" s="182"/>
      <c r="Q12177" s="183"/>
      <c r="R12177" s="183"/>
      <c r="S12177" s="183"/>
      <c r="AJ12177" s="183"/>
    </row>
    <row r="12178" spans="1:36">
      <c r="A12178" s="182"/>
      <c r="Q12178" s="183"/>
      <c r="R12178" s="183"/>
      <c r="S12178" s="183"/>
    </row>
    <row r="12179" spans="1:36">
      <c r="A12179" s="182"/>
      <c r="Q12179" s="183"/>
      <c r="R12179" s="183"/>
      <c r="S12179" s="183"/>
    </row>
    <row r="12180" spans="1:36">
      <c r="A12180" s="182"/>
      <c r="Q12180" s="183"/>
      <c r="R12180" s="183"/>
      <c r="S12180" s="183"/>
    </row>
    <row r="12181" spans="1:36">
      <c r="A12181" s="182"/>
      <c r="Q12181" s="183"/>
      <c r="R12181" s="183"/>
      <c r="S12181" s="183"/>
    </row>
    <row r="12182" spans="1:36">
      <c r="A12182" s="182"/>
      <c r="Q12182" s="183"/>
      <c r="R12182" s="183"/>
      <c r="S12182" s="183"/>
    </row>
    <row r="12183" spans="1:36">
      <c r="A12183" s="182"/>
      <c r="Q12183" s="183"/>
      <c r="R12183" s="183"/>
      <c r="S12183" s="183"/>
    </row>
    <row r="12184" spans="1:36">
      <c r="A12184" s="182"/>
      <c r="Q12184" s="183"/>
      <c r="R12184" s="183"/>
      <c r="S12184" s="183"/>
    </row>
    <row r="12185" spans="1:36">
      <c r="A12185" s="182"/>
      <c r="Q12185" s="183"/>
      <c r="R12185" s="183"/>
      <c r="S12185" s="183"/>
    </row>
    <row r="12186" spans="1:36">
      <c r="A12186" s="182"/>
      <c r="Q12186" s="183"/>
      <c r="R12186" s="183"/>
      <c r="S12186" s="183"/>
    </row>
    <row r="12187" spans="1:36">
      <c r="A12187" s="182"/>
      <c r="Q12187" s="183"/>
      <c r="R12187" s="183"/>
      <c r="S12187" s="183"/>
    </row>
    <row r="12188" spans="1:36">
      <c r="A12188" s="182"/>
      <c r="Q12188" s="183"/>
      <c r="R12188" s="183"/>
      <c r="S12188" s="183"/>
    </row>
    <row r="12189" spans="1:36">
      <c r="A12189" s="182"/>
      <c r="Q12189" s="183"/>
      <c r="R12189" s="183"/>
      <c r="S12189" s="183"/>
    </row>
    <row r="12190" spans="1:36">
      <c r="A12190" s="182"/>
      <c r="Q12190" s="183"/>
      <c r="R12190" s="183"/>
      <c r="S12190" s="183"/>
    </row>
    <row r="12191" spans="1:36">
      <c r="A12191" s="182"/>
      <c r="Q12191" s="183"/>
      <c r="R12191" s="183"/>
      <c r="S12191" s="183"/>
    </row>
    <row r="12192" spans="1:36">
      <c r="A12192" s="182"/>
      <c r="Q12192" s="183"/>
      <c r="R12192" s="183"/>
      <c r="S12192" s="183"/>
    </row>
    <row r="12193" spans="1:19">
      <c r="A12193" s="182"/>
      <c r="Q12193" s="183"/>
      <c r="R12193" s="183"/>
      <c r="S12193" s="183"/>
    </row>
    <row r="12194" spans="1:19">
      <c r="A12194" s="182"/>
      <c r="Q12194" s="183"/>
      <c r="R12194" s="183"/>
      <c r="S12194" s="183"/>
    </row>
    <row r="12195" spans="1:19">
      <c r="A12195" s="182"/>
      <c r="Q12195" s="183"/>
      <c r="R12195" s="183"/>
      <c r="S12195" s="183"/>
    </row>
    <row r="12196" spans="1:19">
      <c r="A12196" s="182"/>
      <c r="Q12196" s="183"/>
      <c r="R12196" s="183"/>
      <c r="S12196" s="183"/>
    </row>
    <row r="12197" spans="1:19">
      <c r="A12197" s="182"/>
      <c r="Q12197" s="183"/>
      <c r="R12197" s="183"/>
      <c r="S12197" s="183"/>
    </row>
    <row r="12198" spans="1:19">
      <c r="A12198" s="182"/>
      <c r="Q12198" s="183"/>
      <c r="R12198" s="183"/>
      <c r="S12198" s="183"/>
    </row>
    <row r="12199" spans="1:19">
      <c r="A12199" s="182"/>
      <c r="Q12199" s="183"/>
      <c r="R12199" s="183"/>
      <c r="S12199" s="183"/>
    </row>
    <row r="12200" spans="1:19">
      <c r="A12200" s="182"/>
      <c r="Q12200" s="183"/>
      <c r="R12200" s="183"/>
      <c r="S12200" s="183"/>
    </row>
    <row r="12201" spans="1:19">
      <c r="A12201" s="182"/>
      <c r="Q12201" s="183"/>
      <c r="R12201" s="183"/>
      <c r="S12201" s="183"/>
    </row>
    <row r="12202" spans="1:19">
      <c r="A12202" s="182"/>
      <c r="Q12202" s="183"/>
      <c r="R12202" s="183"/>
      <c r="S12202" s="183"/>
    </row>
    <row r="12203" spans="1:19">
      <c r="A12203" s="182"/>
      <c r="Q12203" s="183"/>
      <c r="R12203" s="183"/>
      <c r="S12203" s="183"/>
    </row>
    <row r="12204" spans="1:19">
      <c r="A12204" s="182"/>
      <c r="Q12204" s="183"/>
      <c r="R12204" s="183"/>
      <c r="S12204" s="183"/>
    </row>
    <row r="12205" spans="1:19">
      <c r="A12205" s="182"/>
      <c r="Q12205" s="183"/>
      <c r="R12205" s="183"/>
      <c r="S12205" s="183"/>
    </row>
    <row r="12206" spans="1:19">
      <c r="A12206" s="182"/>
      <c r="Q12206" s="183"/>
      <c r="R12206" s="183"/>
      <c r="S12206" s="183"/>
    </row>
    <row r="12207" spans="1:19">
      <c r="A12207" s="182"/>
      <c r="Q12207" s="183"/>
      <c r="R12207" s="183"/>
      <c r="S12207" s="183"/>
    </row>
    <row r="12208" spans="1:19">
      <c r="A12208" s="182"/>
      <c r="Q12208" s="183"/>
      <c r="R12208" s="183"/>
      <c r="S12208" s="183"/>
    </row>
    <row r="12209" spans="1:19">
      <c r="A12209" s="182"/>
      <c r="Q12209" s="183"/>
      <c r="R12209" s="183"/>
      <c r="S12209" s="183"/>
    </row>
    <row r="12210" spans="1:19">
      <c r="A12210" s="182"/>
      <c r="Q12210" s="183"/>
      <c r="R12210" s="183"/>
      <c r="S12210" s="183"/>
    </row>
    <row r="12211" spans="1:19">
      <c r="A12211" s="182"/>
      <c r="Q12211" s="183"/>
      <c r="R12211" s="183"/>
      <c r="S12211" s="183"/>
    </row>
    <row r="12212" spans="1:19">
      <c r="A12212" s="182"/>
      <c r="Q12212" s="183"/>
      <c r="R12212" s="183"/>
      <c r="S12212" s="183"/>
    </row>
    <row r="12213" spans="1:19">
      <c r="A12213" s="182"/>
      <c r="Q12213" s="183"/>
      <c r="R12213" s="183"/>
      <c r="S12213" s="183"/>
    </row>
    <row r="12214" spans="1:19">
      <c r="A12214" s="182"/>
      <c r="Q12214" s="183"/>
      <c r="R12214" s="183"/>
      <c r="S12214" s="183"/>
    </row>
    <row r="12215" spans="1:19">
      <c r="A12215" s="182"/>
      <c r="Q12215" s="183"/>
      <c r="R12215" s="183"/>
      <c r="S12215" s="183"/>
    </row>
    <row r="12216" spans="1:19">
      <c r="A12216" s="182"/>
      <c r="Q12216" s="183"/>
      <c r="R12216" s="183"/>
      <c r="S12216" s="183"/>
    </row>
    <row r="12217" spans="1:19">
      <c r="A12217" s="182"/>
      <c r="Q12217" s="183"/>
      <c r="R12217" s="183"/>
      <c r="S12217" s="183"/>
    </row>
    <row r="12218" spans="1:19">
      <c r="A12218" s="182"/>
      <c r="Q12218" s="183"/>
      <c r="R12218" s="183"/>
      <c r="S12218" s="183"/>
    </row>
    <row r="12219" spans="1:19">
      <c r="A12219" s="182"/>
      <c r="Q12219" s="183"/>
      <c r="R12219" s="183"/>
      <c r="S12219" s="183"/>
    </row>
    <row r="12220" spans="1:19">
      <c r="A12220" s="182"/>
      <c r="Q12220" s="183"/>
      <c r="R12220" s="183"/>
      <c r="S12220" s="183"/>
    </row>
    <row r="12221" spans="1:19">
      <c r="A12221" s="182"/>
      <c r="Q12221" s="183"/>
      <c r="R12221" s="183"/>
      <c r="S12221" s="183"/>
    </row>
    <row r="12222" spans="1:19">
      <c r="A12222" s="182"/>
      <c r="Q12222" s="183"/>
      <c r="R12222" s="183"/>
      <c r="S12222" s="183"/>
    </row>
    <row r="12223" spans="1:19">
      <c r="A12223" s="182"/>
      <c r="Q12223" s="183"/>
      <c r="R12223" s="183"/>
      <c r="S12223" s="183"/>
    </row>
    <row r="12224" spans="1:19">
      <c r="A12224" s="182"/>
      <c r="Q12224" s="183"/>
      <c r="R12224" s="183"/>
      <c r="S12224" s="183"/>
    </row>
    <row r="12225" spans="1:19">
      <c r="A12225" s="182"/>
      <c r="Q12225" s="183"/>
      <c r="R12225" s="183"/>
      <c r="S12225" s="183"/>
    </row>
    <row r="12226" spans="1:19">
      <c r="A12226" s="182"/>
      <c r="Q12226" s="183"/>
      <c r="R12226" s="183"/>
      <c r="S12226" s="183"/>
    </row>
    <row r="12227" spans="1:19">
      <c r="A12227" s="182"/>
      <c r="Q12227" s="183"/>
      <c r="R12227" s="183"/>
      <c r="S12227" s="183"/>
    </row>
    <row r="12228" spans="1:19">
      <c r="A12228" s="182"/>
      <c r="Q12228" s="183"/>
      <c r="R12228" s="183"/>
      <c r="S12228" s="183"/>
    </row>
    <row r="12229" spans="1:19">
      <c r="A12229" s="182"/>
      <c r="Q12229" s="183"/>
      <c r="R12229" s="183"/>
      <c r="S12229" s="183"/>
    </row>
    <row r="12230" spans="1:19">
      <c r="A12230" s="182"/>
      <c r="Q12230" s="183"/>
      <c r="R12230" s="183"/>
      <c r="S12230" s="183"/>
    </row>
    <row r="12231" spans="1:19">
      <c r="A12231" s="182"/>
      <c r="Q12231" s="183"/>
      <c r="R12231" s="183"/>
      <c r="S12231" s="183"/>
    </row>
    <row r="12232" spans="1:19">
      <c r="A12232" s="182"/>
      <c r="Q12232" s="183"/>
      <c r="R12232" s="183"/>
      <c r="S12232" s="183"/>
    </row>
    <row r="12233" spans="1:19">
      <c r="A12233" s="182"/>
      <c r="Q12233" s="183"/>
      <c r="R12233" s="183"/>
      <c r="S12233" s="183"/>
    </row>
    <row r="12234" spans="1:19">
      <c r="A12234" s="182"/>
      <c r="Q12234" s="183"/>
      <c r="R12234" s="183"/>
      <c r="S12234" s="183"/>
    </row>
    <row r="12235" spans="1:19">
      <c r="A12235" s="182"/>
      <c r="Q12235" s="183"/>
      <c r="R12235" s="183"/>
      <c r="S12235" s="183"/>
    </row>
    <row r="12236" spans="1:19">
      <c r="A12236" s="182"/>
      <c r="Q12236" s="183"/>
      <c r="R12236" s="183"/>
      <c r="S12236" s="183"/>
    </row>
    <row r="12237" spans="1:19">
      <c r="A12237" s="182"/>
      <c r="Q12237" s="183"/>
      <c r="R12237" s="183"/>
      <c r="S12237" s="183"/>
    </row>
    <row r="12238" spans="1:19">
      <c r="A12238" s="182"/>
      <c r="Q12238" s="183"/>
      <c r="R12238" s="183"/>
      <c r="S12238" s="183"/>
    </row>
    <row r="12239" spans="1:19">
      <c r="A12239" s="182"/>
      <c r="Q12239" s="183"/>
      <c r="R12239" s="183"/>
      <c r="S12239" s="183"/>
    </row>
    <row r="12240" spans="1:19">
      <c r="A12240" s="182"/>
      <c r="Q12240" s="183"/>
      <c r="R12240" s="183"/>
      <c r="S12240" s="183"/>
    </row>
    <row r="12241" spans="1:38">
      <c r="A12241" s="182"/>
      <c r="Q12241" s="183"/>
      <c r="R12241" s="183"/>
      <c r="S12241" s="183"/>
    </row>
    <row r="12242" spans="1:38">
      <c r="A12242" s="182"/>
      <c r="Q12242" s="183"/>
      <c r="R12242" s="183"/>
      <c r="S12242" s="183"/>
    </row>
    <row r="12243" spans="1:38">
      <c r="A12243" s="182"/>
      <c r="Q12243" s="183"/>
    </row>
    <row r="12244" spans="1:38">
      <c r="A12244" s="182"/>
      <c r="R12244" s="183"/>
      <c r="S12244" s="183"/>
    </row>
    <row r="12245" spans="1:38">
      <c r="A12245" s="182"/>
      <c r="Q12245" s="183"/>
      <c r="R12245" s="183"/>
      <c r="S12245" s="183"/>
    </row>
    <row r="12246" spans="1:38">
      <c r="A12246" s="182"/>
      <c r="Q12246" s="183"/>
      <c r="R12246" s="183"/>
      <c r="S12246" s="183"/>
    </row>
    <row r="12247" spans="1:38">
      <c r="A12247" s="182"/>
      <c r="Q12247" s="183"/>
      <c r="R12247" s="183"/>
      <c r="S12247" s="183"/>
    </row>
    <row r="12248" spans="1:38">
      <c r="A12248" s="182"/>
      <c r="Q12248" s="183"/>
      <c r="R12248" s="183"/>
      <c r="S12248" s="183"/>
    </row>
    <row r="12249" spans="1:38">
      <c r="A12249" s="182"/>
      <c r="Q12249" s="183"/>
      <c r="R12249" s="183"/>
      <c r="S12249" s="183"/>
    </row>
    <row r="12250" spans="1:38">
      <c r="A12250" s="182"/>
      <c r="Q12250" s="183"/>
      <c r="R12250" s="183"/>
      <c r="S12250" s="183"/>
    </row>
    <row r="12251" spans="1:38">
      <c r="A12251" s="182"/>
      <c r="Q12251" s="183"/>
      <c r="R12251" s="183"/>
      <c r="S12251" s="183"/>
    </row>
    <row r="12252" spans="1:38">
      <c r="A12252" s="182"/>
      <c r="Q12252" s="183"/>
      <c r="R12252" s="183"/>
      <c r="S12252" s="183"/>
    </row>
    <row r="12253" spans="1:38">
      <c r="A12253" s="182"/>
      <c r="Q12253" s="183"/>
      <c r="R12253" s="183"/>
      <c r="S12253" s="183"/>
      <c r="AK12253" s="183"/>
      <c r="AL12253" s="183"/>
    </row>
    <row r="12254" spans="1:38">
      <c r="A12254" s="182"/>
      <c r="Q12254" s="183"/>
      <c r="R12254" s="183"/>
      <c r="S12254" s="183"/>
      <c r="AJ12254" s="183"/>
      <c r="AK12254" s="183"/>
      <c r="AL12254" s="183"/>
    </row>
    <row r="12255" spans="1:38">
      <c r="A12255" s="182"/>
      <c r="Q12255" s="183"/>
      <c r="R12255" s="183"/>
      <c r="S12255" s="183"/>
      <c r="AJ12255" s="183"/>
      <c r="AK12255" s="183"/>
      <c r="AL12255" s="183"/>
    </row>
    <row r="12256" spans="1:38">
      <c r="A12256" s="182"/>
      <c r="Q12256" s="183"/>
      <c r="R12256" s="183"/>
      <c r="S12256" s="183"/>
      <c r="AJ12256" s="183"/>
      <c r="AK12256" s="183"/>
      <c r="AL12256" s="183"/>
    </row>
    <row r="12257" spans="1:38">
      <c r="A12257" s="182"/>
      <c r="Q12257" s="183"/>
      <c r="R12257" s="183"/>
      <c r="S12257" s="183"/>
      <c r="AJ12257" s="183"/>
      <c r="AK12257" s="183"/>
      <c r="AL12257" s="183"/>
    </row>
    <row r="12258" spans="1:38">
      <c r="A12258" s="182"/>
      <c r="Q12258" s="183"/>
      <c r="R12258" s="183"/>
      <c r="S12258" s="183"/>
      <c r="AJ12258" s="183"/>
      <c r="AK12258" s="183"/>
      <c r="AL12258" s="183"/>
    </row>
    <row r="12259" spans="1:38">
      <c r="A12259" s="182"/>
      <c r="Q12259" s="183"/>
      <c r="R12259" s="183"/>
      <c r="S12259" s="183"/>
      <c r="AJ12259" s="183"/>
      <c r="AK12259" s="183"/>
      <c r="AL12259" s="183"/>
    </row>
    <row r="12260" spans="1:38">
      <c r="A12260" s="182"/>
      <c r="Q12260" s="183"/>
      <c r="R12260" s="183"/>
      <c r="S12260" s="183"/>
      <c r="AJ12260" s="183"/>
      <c r="AK12260" s="183"/>
      <c r="AL12260" s="183"/>
    </row>
    <row r="12261" spans="1:38">
      <c r="A12261" s="182"/>
      <c r="Q12261" s="183"/>
      <c r="R12261" s="183"/>
      <c r="S12261" s="183"/>
      <c r="AJ12261" s="183"/>
      <c r="AK12261" s="183"/>
      <c r="AL12261" s="183"/>
    </row>
    <row r="12262" spans="1:38">
      <c r="A12262" s="182"/>
      <c r="Q12262" s="183"/>
      <c r="R12262" s="183"/>
      <c r="S12262" s="183"/>
      <c r="AJ12262" s="183"/>
      <c r="AK12262" s="183"/>
      <c r="AL12262" s="183"/>
    </row>
    <row r="12263" spans="1:38">
      <c r="A12263" s="182"/>
      <c r="Q12263" s="183"/>
      <c r="R12263" s="183"/>
      <c r="S12263" s="183"/>
      <c r="AJ12263" s="183"/>
      <c r="AK12263" s="183"/>
      <c r="AL12263" s="183"/>
    </row>
    <row r="12264" spans="1:38">
      <c r="A12264" s="182"/>
      <c r="Q12264" s="183"/>
      <c r="R12264" s="183"/>
      <c r="S12264" s="183"/>
      <c r="AJ12264" s="183"/>
      <c r="AK12264" s="183"/>
      <c r="AL12264" s="183"/>
    </row>
    <row r="12265" spans="1:38">
      <c r="A12265" s="182"/>
      <c r="Q12265" s="183"/>
      <c r="R12265" s="183"/>
      <c r="S12265" s="183"/>
      <c r="AJ12265" s="183"/>
      <c r="AK12265" s="183"/>
      <c r="AL12265" s="183"/>
    </row>
    <row r="12266" spans="1:38">
      <c r="A12266" s="182"/>
      <c r="Q12266" s="183"/>
      <c r="R12266" s="183"/>
      <c r="S12266" s="183"/>
      <c r="AJ12266" s="183"/>
      <c r="AK12266" s="183"/>
      <c r="AL12266" s="183"/>
    </row>
    <row r="12267" spans="1:38">
      <c r="A12267" s="182"/>
      <c r="Q12267" s="183"/>
      <c r="R12267" s="183"/>
      <c r="S12267" s="183"/>
      <c r="AJ12267" s="183"/>
      <c r="AK12267" s="183"/>
      <c r="AL12267" s="183"/>
    </row>
    <row r="12268" spans="1:38">
      <c r="A12268" s="182"/>
      <c r="Q12268" s="183"/>
      <c r="R12268" s="183"/>
      <c r="S12268" s="183"/>
      <c r="AJ12268" s="183"/>
      <c r="AK12268" s="183"/>
      <c r="AL12268" s="183"/>
    </row>
    <row r="12269" spans="1:38">
      <c r="A12269" s="182"/>
      <c r="Q12269" s="183"/>
      <c r="R12269" s="183"/>
      <c r="S12269" s="183"/>
      <c r="AJ12269" s="183"/>
    </row>
    <row r="12270" spans="1:38">
      <c r="A12270" s="182"/>
      <c r="Q12270" s="183"/>
      <c r="R12270" s="183"/>
      <c r="S12270" s="183"/>
    </row>
    <row r="12271" spans="1:38">
      <c r="A12271" s="182"/>
      <c r="Q12271" s="183"/>
      <c r="R12271" s="183"/>
      <c r="S12271" s="183"/>
    </row>
    <row r="12272" spans="1:38">
      <c r="A12272" s="182"/>
      <c r="Q12272" s="183"/>
      <c r="R12272" s="183"/>
      <c r="S12272" s="183"/>
    </row>
    <row r="12273" spans="1:19">
      <c r="A12273" s="182"/>
      <c r="Q12273" s="183"/>
      <c r="R12273" s="183"/>
      <c r="S12273" s="183"/>
    </row>
    <row r="12274" spans="1:19">
      <c r="A12274" s="182"/>
      <c r="Q12274" s="183"/>
      <c r="R12274" s="183"/>
      <c r="S12274" s="183"/>
    </row>
    <row r="12275" spans="1:19">
      <c r="A12275" s="182"/>
      <c r="Q12275" s="183"/>
      <c r="R12275" s="183"/>
      <c r="S12275" s="183"/>
    </row>
    <row r="12276" spans="1:19">
      <c r="A12276" s="182"/>
      <c r="Q12276" s="183"/>
      <c r="R12276" s="183"/>
      <c r="S12276" s="183"/>
    </row>
    <row r="12277" spans="1:19">
      <c r="A12277" s="182"/>
      <c r="Q12277" s="183"/>
      <c r="R12277" s="183"/>
      <c r="S12277" s="183"/>
    </row>
    <row r="12278" spans="1:19">
      <c r="A12278" s="182"/>
      <c r="Q12278" s="183"/>
      <c r="R12278" s="183"/>
      <c r="S12278" s="183"/>
    </row>
    <row r="12279" spans="1:19">
      <c r="A12279" s="182"/>
      <c r="Q12279" s="183"/>
      <c r="R12279" s="183"/>
      <c r="S12279" s="183"/>
    </row>
    <row r="12280" spans="1:19">
      <c r="A12280" s="182"/>
      <c r="Q12280" s="183"/>
      <c r="R12280" s="183"/>
      <c r="S12280" s="183"/>
    </row>
    <row r="12281" spans="1:19">
      <c r="A12281" s="182"/>
      <c r="Q12281" s="183"/>
      <c r="R12281" s="183"/>
      <c r="S12281" s="183"/>
    </row>
    <row r="12282" spans="1:19">
      <c r="A12282" s="182"/>
      <c r="Q12282" s="183"/>
      <c r="R12282" s="183"/>
      <c r="S12282" s="183"/>
    </row>
    <row r="12283" spans="1:19">
      <c r="A12283" s="182"/>
      <c r="Q12283" s="183"/>
      <c r="R12283" s="183"/>
      <c r="S12283" s="183"/>
    </row>
    <row r="12284" spans="1:19">
      <c r="A12284" s="182"/>
      <c r="Q12284" s="183"/>
      <c r="R12284" s="183"/>
      <c r="S12284" s="183"/>
    </row>
    <row r="12285" spans="1:19">
      <c r="A12285" s="182"/>
      <c r="Q12285" s="183"/>
      <c r="R12285" s="183"/>
      <c r="S12285" s="183"/>
    </row>
    <row r="12286" spans="1:19">
      <c r="A12286" s="182"/>
      <c r="Q12286" s="183"/>
      <c r="R12286" s="183"/>
      <c r="S12286" s="183"/>
    </row>
    <row r="12287" spans="1:19">
      <c r="A12287" s="182"/>
      <c r="Q12287" s="183"/>
      <c r="R12287" s="183"/>
      <c r="S12287" s="183"/>
    </row>
    <row r="12288" spans="1:19">
      <c r="A12288" s="182"/>
      <c r="Q12288" s="183"/>
      <c r="R12288" s="183"/>
      <c r="S12288" s="183"/>
    </row>
    <row r="12289" spans="1:38">
      <c r="A12289" s="182"/>
      <c r="Q12289" s="183"/>
      <c r="R12289" s="183"/>
      <c r="S12289" s="183"/>
    </row>
    <row r="12290" spans="1:38">
      <c r="A12290" s="182"/>
      <c r="Q12290" s="183"/>
      <c r="R12290" s="183"/>
      <c r="S12290" s="183"/>
    </row>
    <row r="12291" spans="1:38">
      <c r="A12291" s="182"/>
      <c r="Q12291" s="183"/>
      <c r="R12291" s="183"/>
      <c r="S12291" s="183"/>
    </row>
    <row r="12292" spans="1:38">
      <c r="A12292" s="182"/>
      <c r="Q12292" s="183"/>
      <c r="R12292" s="183"/>
      <c r="S12292" s="183"/>
    </row>
    <row r="12293" spans="1:38">
      <c r="A12293" s="182"/>
      <c r="Q12293" s="183"/>
      <c r="R12293" s="183"/>
      <c r="S12293" s="183"/>
    </row>
    <row r="12294" spans="1:38">
      <c r="A12294" s="182"/>
      <c r="Q12294" s="183"/>
      <c r="R12294" s="183"/>
      <c r="S12294" s="183"/>
    </row>
    <row r="12295" spans="1:38">
      <c r="A12295" s="182"/>
      <c r="Q12295" s="183"/>
      <c r="R12295" s="183"/>
      <c r="S12295" s="183"/>
    </row>
    <row r="12296" spans="1:38">
      <c r="A12296" s="182"/>
      <c r="Q12296" s="183"/>
      <c r="R12296" s="183"/>
      <c r="S12296" s="183"/>
    </row>
    <row r="12297" spans="1:38">
      <c r="A12297" s="182"/>
      <c r="Q12297" s="183"/>
      <c r="R12297" s="183"/>
      <c r="S12297" s="183"/>
    </row>
    <row r="12298" spans="1:38">
      <c r="A12298" s="182"/>
      <c r="Q12298" s="183"/>
      <c r="R12298" s="183"/>
      <c r="S12298" s="183"/>
    </row>
    <row r="12299" spans="1:38">
      <c r="A12299" s="182"/>
      <c r="Q12299" s="183"/>
      <c r="R12299" s="183"/>
      <c r="S12299" s="183"/>
    </row>
    <row r="12300" spans="1:38">
      <c r="A12300" s="182"/>
      <c r="Q12300" s="183"/>
      <c r="R12300" s="183"/>
      <c r="S12300" s="183"/>
    </row>
    <row r="12301" spans="1:38">
      <c r="A12301" s="182"/>
      <c r="Q12301" s="183"/>
      <c r="R12301" s="183"/>
      <c r="S12301" s="183"/>
      <c r="AK12301" s="183"/>
      <c r="AL12301" s="183"/>
    </row>
    <row r="12302" spans="1:38">
      <c r="A12302" s="182"/>
      <c r="Q12302" s="183"/>
      <c r="R12302" s="183"/>
      <c r="S12302" s="183"/>
      <c r="AJ12302" s="183"/>
      <c r="AK12302" s="183"/>
      <c r="AL12302" s="183"/>
    </row>
    <row r="12303" spans="1:38">
      <c r="A12303" s="182"/>
      <c r="Q12303" s="183"/>
      <c r="R12303" s="183"/>
      <c r="S12303" s="183"/>
      <c r="AJ12303" s="183"/>
      <c r="AK12303" s="183"/>
      <c r="AL12303" s="183"/>
    </row>
    <row r="12304" spans="1:38">
      <c r="A12304" s="182"/>
      <c r="Q12304" s="183"/>
      <c r="R12304" s="183"/>
      <c r="S12304" s="183"/>
      <c r="AJ12304" s="183"/>
      <c r="AK12304" s="183"/>
      <c r="AL12304" s="183"/>
    </row>
    <row r="12305" spans="1:38">
      <c r="A12305" s="182"/>
      <c r="Q12305" s="183"/>
      <c r="R12305" s="183"/>
      <c r="S12305" s="183"/>
      <c r="AJ12305" s="183"/>
    </row>
    <row r="12306" spans="1:38">
      <c r="A12306" s="182"/>
      <c r="Q12306" s="183"/>
      <c r="R12306" s="183"/>
      <c r="S12306" s="183"/>
    </row>
    <row r="12307" spans="1:38">
      <c r="A12307" s="182"/>
      <c r="Q12307" s="183"/>
      <c r="R12307" s="183"/>
      <c r="S12307" s="183"/>
    </row>
    <row r="12308" spans="1:38">
      <c r="A12308" s="182"/>
      <c r="Q12308" s="183"/>
      <c r="R12308" s="183"/>
      <c r="S12308" s="183"/>
    </row>
    <row r="12309" spans="1:38">
      <c r="A12309" s="182"/>
      <c r="Q12309" s="183"/>
      <c r="R12309" s="183"/>
      <c r="S12309" s="183"/>
      <c r="AK12309" s="183"/>
      <c r="AL12309" s="183"/>
    </row>
    <row r="12310" spans="1:38">
      <c r="A12310" s="182"/>
      <c r="Q12310" s="183"/>
      <c r="R12310" s="183"/>
      <c r="S12310" s="183"/>
      <c r="AJ12310" s="183"/>
      <c r="AK12310" s="183"/>
      <c r="AL12310" s="183"/>
    </row>
    <row r="12311" spans="1:38">
      <c r="A12311" s="182"/>
      <c r="Q12311" s="183"/>
      <c r="R12311" s="183"/>
      <c r="S12311" s="183"/>
      <c r="AJ12311" s="183"/>
      <c r="AK12311" s="183"/>
      <c r="AL12311" s="183"/>
    </row>
    <row r="12312" spans="1:38">
      <c r="A12312" s="182"/>
      <c r="Q12312" s="183"/>
      <c r="R12312" s="183"/>
      <c r="S12312" s="183"/>
      <c r="AJ12312" s="183"/>
      <c r="AK12312" s="183"/>
      <c r="AL12312" s="183"/>
    </row>
    <row r="12313" spans="1:38">
      <c r="A12313" s="182"/>
      <c r="Q12313" s="183"/>
      <c r="R12313" s="183"/>
      <c r="S12313" s="183"/>
      <c r="AJ12313" s="183"/>
    </row>
    <row r="12314" spans="1:38">
      <c r="A12314" s="182"/>
      <c r="Q12314" s="183"/>
      <c r="R12314" s="183"/>
      <c r="S12314" s="183"/>
    </row>
    <row r="12315" spans="1:38">
      <c r="A12315" s="182"/>
      <c r="Q12315" s="183"/>
      <c r="R12315" s="183"/>
      <c r="S12315" s="183"/>
    </row>
    <row r="12316" spans="1:38">
      <c r="A12316" s="182"/>
      <c r="Q12316" s="183"/>
      <c r="R12316" s="183"/>
      <c r="S12316" s="183"/>
    </row>
    <row r="12317" spans="1:38">
      <c r="A12317" s="182"/>
      <c r="Q12317" s="183"/>
      <c r="R12317" s="183"/>
      <c r="S12317" s="183"/>
      <c r="AK12317" s="183"/>
      <c r="AL12317" s="183"/>
    </row>
    <row r="12318" spans="1:38">
      <c r="A12318" s="182"/>
      <c r="Q12318" s="183"/>
      <c r="R12318" s="183"/>
      <c r="S12318" s="183"/>
      <c r="AJ12318" s="183"/>
      <c r="AK12318" s="183"/>
      <c r="AL12318" s="183"/>
    </row>
    <row r="12319" spans="1:38">
      <c r="A12319" s="182"/>
      <c r="Q12319" s="183"/>
      <c r="R12319" s="183"/>
      <c r="S12319" s="183"/>
      <c r="AJ12319" s="183"/>
      <c r="AK12319" s="183"/>
      <c r="AL12319" s="183"/>
    </row>
    <row r="12320" spans="1:38">
      <c r="A12320" s="182"/>
      <c r="Q12320" s="183"/>
      <c r="R12320" s="183"/>
      <c r="S12320" s="183"/>
      <c r="AJ12320" s="183"/>
      <c r="AK12320" s="183"/>
      <c r="AL12320" s="183"/>
    </row>
    <row r="12321" spans="1:36">
      <c r="A12321" s="182"/>
      <c r="Q12321" s="183"/>
      <c r="R12321" s="183"/>
      <c r="S12321" s="183"/>
      <c r="AJ12321" s="183"/>
    </row>
    <row r="12322" spans="1:36">
      <c r="A12322" s="182"/>
      <c r="Q12322" s="183"/>
    </row>
    <row r="12323" spans="1:36">
      <c r="A12323" s="182"/>
    </row>
    <row r="12324" spans="1:36">
      <c r="A12324" s="182"/>
      <c r="R12324" s="183"/>
      <c r="S12324" s="183"/>
    </row>
    <row r="12325" spans="1:36">
      <c r="A12325" s="182"/>
      <c r="Q12325" s="183"/>
      <c r="R12325" s="183"/>
      <c r="S12325" s="183"/>
    </row>
    <row r="12326" spans="1:36">
      <c r="A12326" s="182"/>
      <c r="Q12326" s="183"/>
      <c r="R12326" s="183"/>
      <c r="S12326" s="183"/>
    </row>
    <row r="12327" spans="1:36">
      <c r="A12327" s="182"/>
      <c r="Q12327" s="183"/>
    </row>
    <row r="12328" spans="1:36">
      <c r="A12328" s="182"/>
      <c r="R12328" s="183"/>
      <c r="S12328" s="183"/>
    </row>
    <row r="12329" spans="1:36">
      <c r="A12329" s="182"/>
      <c r="Q12329" s="183"/>
      <c r="R12329" s="183"/>
      <c r="S12329" s="183"/>
    </row>
    <row r="12330" spans="1:36">
      <c r="A12330" s="182"/>
      <c r="Q12330" s="183"/>
      <c r="R12330" s="183"/>
      <c r="S12330" s="183"/>
    </row>
    <row r="12331" spans="1:36">
      <c r="A12331" s="182"/>
      <c r="Q12331" s="183"/>
      <c r="R12331" s="183"/>
      <c r="S12331" s="183"/>
    </row>
    <row r="12332" spans="1:36">
      <c r="A12332" s="182"/>
      <c r="Q12332" s="183"/>
    </row>
    <row r="12333" spans="1:36">
      <c r="A12333" s="182"/>
    </row>
    <row r="12334" spans="1:36">
      <c r="A12334" s="182"/>
      <c r="R12334" s="183"/>
      <c r="S12334" s="183"/>
    </row>
    <row r="12335" spans="1:36">
      <c r="A12335" s="182"/>
      <c r="Q12335" s="183"/>
      <c r="R12335" s="183"/>
      <c r="S12335" s="183"/>
    </row>
    <row r="12336" spans="1:36">
      <c r="A12336" s="182"/>
      <c r="Q12336" s="183"/>
      <c r="R12336" s="183"/>
      <c r="S12336" s="183"/>
    </row>
    <row r="12337" spans="1:19">
      <c r="A12337" s="182"/>
      <c r="Q12337" s="183"/>
      <c r="R12337" s="183"/>
      <c r="S12337" s="183"/>
    </row>
    <row r="12338" spans="1:19">
      <c r="A12338" s="182"/>
      <c r="Q12338" s="183"/>
    </row>
    <row r="12339" spans="1:19">
      <c r="A12339" s="182"/>
    </row>
    <row r="12340" spans="1:19">
      <c r="A12340" s="182"/>
    </row>
    <row r="12341" spans="1:19">
      <c r="A12341" s="182"/>
      <c r="R12341" s="183"/>
      <c r="S12341" s="183"/>
    </row>
    <row r="12342" spans="1:19">
      <c r="A12342" s="182"/>
      <c r="Q12342" s="183"/>
    </row>
    <row r="12343" spans="1:19">
      <c r="A12343" s="182"/>
    </row>
    <row r="12344" spans="1:19">
      <c r="A12344" s="182"/>
      <c r="R12344" s="183"/>
      <c r="S12344" s="183"/>
    </row>
    <row r="12345" spans="1:19">
      <c r="A12345" s="182"/>
      <c r="Q12345" s="183"/>
    </row>
    <row r="12346" spans="1:19">
      <c r="A12346" s="182"/>
    </row>
    <row r="12347" spans="1:19">
      <c r="A12347" s="182"/>
      <c r="R12347" s="183"/>
      <c r="S12347" s="183"/>
    </row>
    <row r="12348" spans="1:19">
      <c r="A12348" s="182"/>
      <c r="Q12348" s="183"/>
    </row>
    <row r="12349" spans="1:19">
      <c r="A12349" s="182"/>
    </row>
    <row r="12350" spans="1:19">
      <c r="A12350" s="182"/>
      <c r="R12350" s="183"/>
      <c r="S12350" s="183"/>
    </row>
    <row r="12351" spans="1:19">
      <c r="A12351" s="182"/>
      <c r="Q12351" s="183"/>
    </row>
    <row r="12352" spans="1:19">
      <c r="A12352" s="182"/>
      <c r="R12352" s="183"/>
      <c r="S12352" s="183"/>
    </row>
    <row r="12353" spans="1:38">
      <c r="A12353" s="182"/>
      <c r="Q12353" s="183"/>
      <c r="R12353" s="183"/>
      <c r="S12353" s="183"/>
    </row>
    <row r="12354" spans="1:38">
      <c r="A12354" s="182"/>
      <c r="Q12354" s="183"/>
    </row>
    <row r="12355" spans="1:38">
      <c r="A12355" s="182"/>
    </row>
    <row r="12356" spans="1:38">
      <c r="A12356" s="182"/>
    </row>
    <row r="12357" spans="1:38">
      <c r="A12357" s="182"/>
    </row>
    <row r="12358" spans="1:38">
      <c r="A12358" s="182"/>
    </row>
    <row r="12359" spans="1:38">
      <c r="A12359" s="182"/>
    </row>
    <row r="12360" spans="1:38">
      <c r="A12360" s="182"/>
    </row>
    <row r="12361" spans="1:38">
      <c r="A12361" s="182"/>
      <c r="AK12361" s="183"/>
      <c r="AL12361" s="183"/>
    </row>
    <row r="12362" spans="1:38">
      <c r="A12362" s="182"/>
      <c r="AJ12362" s="183"/>
      <c r="AK12362" s="183"/>
      <c r="AL12362" s="183"/>
    </row>
    <row r="12363" spans="1:38">
      <c r="A12363" s="182"/>
      <c r="AJ12363" s="183"/>
      <c r="AK12363" s="183"/>
      <c r="AL12363" s="183"/>
    </row>
    <row r="12364" spans="1:38">
      <c r="A12364" s="182"/>
      <c r="AJ12364" s="183"/>
      <c r="AK12364" s="183"/>
      <c r="AL12364" s="183"/>
    </row>
    <row r="12365" spans="1:38">
      <c r="A12365" s="182"/>
      <c r="AJ12365" s="183"/>
    </row>
    <row r="12366" spans="1:38">
      <c r="A12366" s="182"/>
      <c r="R12366" s="183"/>
      <c r="S12366" s="183"/>
    </row>
    <row r="12367" spans="1:38">
      <c r="A12367" s="182"/>
      <c r="Q12367" s="183"/>
      <c r="R12367" s="183"/>
      <c r="S12367" s="183"/>
    </row>
    <row r="12368" spans="1:38">
      <c r="A12368" s="182"/>
      <c r="Q12368" s="183"/>
      <c r="R12368" s="183"/>
      <c r="S12368" s="183"/>
    </row>
    <row r="12369" spans="1:19">
      <c r="A12369" s="182"/>
      <c r="Q12369" s="183"/>
      <c r="R12369" s="183"/>
      <c r="S12369" s="183"/>
    </row>
    <row r="12370" spans="1:19">
      <c r="A12370" s="182"/>
      <c r="Q12370" s="183"/>
      <c r="R12370" s="183"/>
      <c r="S12370" s="183"/>
    </row>
    <row r="12371" spans="1:19">
      <c r="A12371" s="182"/>
      <c r="Q12371" s="183"/>
      <c r="R12371" s="183"/>
      <c r="S12371" s="183"/>
    </row>
    <row r="12372" spans="1:19">
      <c r="A12372" s="182"/>
      <c r="Q12372" s="183"/>
      <c r="R12372" s="183"/>
      <c r="S12372" s="183"/>
    </row>
    <row r="12373" spans="1:19">
      <c r="A12373" s="182"/>
      <c r="Q12373" s="183"/>
      <c r="R12373" s="183"/>
      <c r="S12373" s="183"/>
    </row>
    <row r="12374" spans="1:19">
      <c r="A12374" s="182"/>
      <c r="Q12374" s="183"/>
      <c r="R12374" s="183"/>
      <c r="S12374" s="183"/>
    </row>
    <row r="12375" spans="1:19">
      <c r="A12375" s="182"/>
      <c r="Q12375" s="183"/>
      <c r="R12375" s="183"/>
      <c r="S12375" s="183"/>
    </row>
    <row r="12376" spans="1:19">
      <c r="A12376" s="182"/>
      <c r="Q12376" s="183"/>
      <c r="R12376" s="183"/>
      <c r="S12376" s="183"/>
    </row>
    <row r="12377" spans="1:19">
      <c r="A12377" s="182"/>
      <c r="Q12377" s="183"/>
      <c r="R12377" s="183"/>
      <c r="S12377" s="183"/>
    </row>
    <row r="12378" spans="1:19">
      <c r="A12378" s="182"/>
      <c r="Q12378" s="183"/>
      <c r="R12378" s="183"/>
      <c r="S12378" s="183"/>
    </row>
    <row r="12379" spans="1:19">
      <c r="A12379" s="182"/>
      <c r="Q12379" s="183"/>
      <c r="R12379" s="183"/>
      <c r="S12379" s="183"/>
    </row>
    <row r="12380" spans="1:19">
      <c r="A12380" s="182"/>
      <c r="Q12380" s="183"/>
      <c r="R12380" s="183"/>
      <c r="S12380" s="183"/>
    </row>
    <row r="12381" spans="1:19">
      <c r="A12381" s="182"/>
      <c r="Q12381" s="183"/>
      <c r="R12381" s="183"/>
      <c r="S12381" s="183"/>
    </row>
    <row r="12382" spans="1:19">
      <c r="A12382" s="182"/>
      <c r="Q12382" s="183"/>
      <c r="R12382" s="183"/>
      <c r="S12382" s="183"/>
    </row>
    <row r="12383" spans="1:19">
      <c r="A12383" s="182"/>
      <c r="Q12383" s="183"/>
      <c r="R12383" s="183"/>
      <c r="S12383" s="183"/>
    </row>
    <row r="12384" spans="1:19">
      <c r="A12384" s="182"/>
      <c r="Q12384" s="183"/>
      <c r="R12384" s="183"/>
      <c r="S12384" s="183"/>
    </row>
    <row r="12385" spans="1:19">
      <c r="A12385" s="182"/>
      <c r="Q12385" s="183"/>
      <c r="R12385" s="183"/>
      <c r="S12385" s="183"/>
    </row>
    <row r="12386" spans="1:19">
      <c r="A12386" s="182"/>
      <c r="Q12386" s="183"/>
      <c r="R12386" s="183"/>
      <c r="S12386" s="183"/>
    </row>
    <row r="12387" spans="1:19">
      <c r="A12387" s="182"/>
      <c r="Q12387" s="183"/>
      <c r="R12387" s="183"/>
      <c r="S12387" s="183"/>
    </row>
    <row r="12388" spans="1:19">
      <c r="A12388" s="182"/>
      <c r="Q12388" s="183"/>
      <c r="R12388" s="183"/>
      <c r="S12388" s="183"/>
    </row>
    <row r="12389" spans="1:19">
      <c r="A12389" s="182"/>
      <c r="Q12389" s="183"/>
      <c r="R12389" s="183"/>
      <c r="S12389" s="183"/>
    </row>
    <row r="12390" spans="1:19">
      <c r="A12390" s="182"/>
      <c r="Q12390" s="183"/>
      <c r="R12390" s="183"/>
      <c r="S12390" s="183"/>
    </row>
    <row r="12391" spans="1:19">
      <c r="A12391" s="182"/>
      <c r="Q12391" s="183"/>
      <c r="R12391" s="183"/>
      <c r="S12391" s="183"/>
    </row>
    <row r="12392" spans="1:19">
      <c r="A12392" s="182"/>
      <c r="Q12392" s="183"/>
      <c r="R12392" s="183"/>
      <c r="S12392" s="183"/>
    </row>
    <row r="12393" spans="1:19">
      <c r="A12393" s="182"/>
      <c r="Q12393" s="183"/>
      <c r="R12393" s="183"/>
      <c r="S12393" s="183"/>
    </row>
    <row r="12394" spans="1:19">
      <c r="A12394" s="182"/>
      <c r="Q12394" s="183"/>
      <c r="R12394" s="183"/>
      <c r="S12394" s="183"/>
    </row>
    <row r="12395" spans="1:19">
      <c r="A12395" s="182"/>
      <c r="Q12395" s="183"/>
      <c r="R12395" s="183"/>
      <c r="S12395" s="183"/>
    </row>
    <row r="12396" spans="1:19">
      <c r="A12396" s="182"/>
      <c r="Q12396" s="183"/>
      <c r="R12396" s="183"/>
      <c r="S12396" s="183"/>
    </row>
    <row r="12397" spans="1:19">
      <c r="A12397" s="182"/>
      <c r="Q12397" s="183"/>
      <c r="R12397" s="183"/>
      <c r="S12397" s="183"/>
    </row>
    <row r="12398" spans="1:19">
      <c r="A12398" s="182"/>
      <c r="Q12398" s="183"/>
      <c r="R12398" s="183"/>
      <c r="S12398" s="183"/>
    </row>
    <row r="12399" spans="1:19">
      <c r="A12399" s="182"/>
      <c r="Q12399" s="183"/>
      <c r="R12399" s="183"/>
      <c r="S12399" s="183"/>
    </row>
    <row r="12400" spans="1:19">
      <c r="A12400" s="182"/>
      <c r="Q12400" s="183"/>
      <c r="R12400" s="183"/>
      <c r="S12400" s="183"/>
    </row>
    <row r="12401" spans="1:38">
      <c r="A12401" s="182"/>
      <c r="Q12401" s="183"/>
      <c r="R12401" s="183"/>
      <c r="S12401" s="183"/>
    </row>
    <row r="12402" spans="1:38">
      <c r="A12402" s="182"/>
      <c r="Q12402" s="183"/>
      <c r="R12402" s="183"/>
      <c r="S12402" s="183"/>
    </row>
    <row r="12403" spans="1:38">
      <c r="A12403" s="182"/>
      <c r="Q12403" s="183"/>
      <c r="R12403" s="183"/>
      <c r="S12403" s="183"/>
    </row>
    <row r="12404" spans="1:38">
      <c r="A12404" s="182"/>
      <c r="Q12404" s="183"/>
      <c r="R12404" s="183"/>
      <c r="S12404" s="183"/>
    </row>
    <row r="12405" spans="1:38">
      <c r="A12405" s="182"/>
      <c r="Q12405" s="183"/>
      <c r="R12405" s="183"/>
      <c r="S12405" s="183"/>
      <c r="AK12405" s="183"/>
      <c r="AL12405" s="183"/>
    </row>
    <row r="12406" spans="1:38">
      <c r="A12406" s="182"/>
      <c r="Q12406" s="183"/>
      <c r="R12406" s="183"/>
      <c r="S12406" s="183"/>
      <c r="AJ12406" s="183"/>
      <c r="AK12406" s="183"/>
      <c r="AL12406" s="183"/>
    </row>
    <row r="12407" spans="1:38">
      <c r="A12407" s="182"/>
      <c r="Q12407" s="183"/>
      <c r="R12407" s="183"/>
      <c r="S12407" s="183"/>
      <c r="AJ12407" s="183"/>
      <c r="AK12407" s="183"/>
      <c r="AL12407" s="183"/>
    </row>
    <row r="12408" spans="1:38">
      <c r="A12408" s="182"/>
      <c r="Q12408" s="183"/>
      <c r="R12408" s="183"/>
      <c r="S12408" s="183"/>
      <c r="AJ12408" s="183"/>
      <c r="AK12408" s="183"/>
      <c r="AL12408" s="183"/>
    </row>
    <row r="12409" spans="1:38">
      <c r="A12409" s="182"/>
      <c r="Q12409" s="183"/>
      <c r="R12409" s="183"/>
      <c r="S12409" s="183"/>
      <c r="AJ12409" s="183"/>
    </row>
    <row r="12410" spans="1:38">
      <c r="A12410" s="182"/>
      <c r="Q12410" s="183"/>
      <c r="R12410" s="183"/>
      <c r="S12410" s="183"/>
    </row>
    <row r="12411" spans="1:38">
      <c r="A12411" s="182"/>
      <c r="Q12411" s="183"/>
      <c r="R12411" s="183"/>
      <c r="S12411" s="183"/>
    </row>
    <row r="12412" spans="1:38">
      <c r="A12412" s="182"/>
      <c r="Q12412" s="183"/>
      <c r="R12412" s="183"/>
      <c r="S12412" s="183"/>
    </row>
    <row r="12413" spans="1:38">
      <c r="A12413" s="182"/>
      <c r="Q12413" s="183"/>
      <c r="R12413" s="183"/>
      <c r="S12413" s="183"/>
    </row>
    <row r="12414" spans="1:38">
      <c r="A12414" s="182"/>
      <c r="Q12414" s="183"/>
      <c r="R12414" s="183"/>
      <c r="S12414" s="183"/>
    </row>
    <row r="12415" spans="1:38">
      <c r="A12415" s="182"/>
      <c r="Q12415" s="183"/>
      <c r="R12415" s="183"/>
      <c r="S12415" s="183"/>
    </row>
    <row r="12416" spans="1:38">
      <c r="A12416" s="182"/>
      <c r="Q12416" s="183"/>
    </row>
    <row r="12417" spans="1:19">
      <c r="A12417" s="182"/>
      <c r="R12417" s="183"/>
      <c r="S12417" s="183"/>
    </row>
    <row r="12418" spans="1:19">
      <c r="A12418" s="182"/>
      <c r="Q12418" s="183"/>
      <c r="R12418" s="183"/>
      <c r="S12418" s="183"/>
    </row>
    <row r="12419" spans="1:19">
      <c r="A12419" s="182"/>
      <c r="Q12419" s="183"/>
    </row>
    <row r="12420" spans="1:19">
      <c r="A12420" s="182"/>
      <c r="R12420" s="183"/>
      <c r="S12420" s="183"/>
    </row>
    <row r="12421" spans="1:19">
      <c r="A12421" s="182"/>
      <c r="Q12421" s="183"/>
      <c r="R12421" s="183"/>
      <c r="S12421" s="183"/>
    </row>
    <row r="12422" spans="1:19">
      <c r="A12422" s="182"/>
      <c r="Q12422" s="183"/>
      <c r="R12422" s="183"/>
      <c r="S12422" s="183"/>
    </row>
    <row r="12423" spans="1:19">
      <c r="A12423" s="182"/>
      <c r="Q12423" s="183"/>
      <c r="R12423" s="183"/>
      <c r="S12423" s="183"/>
    </row>
    <row r="12424" spans="1:19">
      <c r="A12424" s="182"/>
      <c r="Q12424" s="183"/>
      <c r="R12424" s="183"/>
      <c r="S12424" s="183"/>
    </row>
    <row r="12425" spans="1:19">
      <c r="A12425" s="182"/>
      <c r="Q12425" s="183"/>
      <c r="R12425" s="183"/>
      <c r="S12425" s="183"/>
    </row>
    <row r="12426" spans="1:19">
      <c r="A12426" s="182"/>
      <c r="Q12426" s="183"/>
      <c r="R12426" s="183"/>
      <c r="S12426" s="183"/>
    </row>
    <row r="12427" spans="1:19">
      <c r="A12427" s="182"/>
      <c r="Q12427" s="183"/>
      <c r="R12427" s="183"/>
      <c r="S12427" s="183"/>
    </row>
    <row r="12428" spans="1:19">
      <c r="A12428" s="182"/>
      <c r="Q12428" s="183"/>
    </row>
    <row r="12429" spans="1:19">
      <c r="A12429" s="182"/>
      <c r="R12429" s="183"/>
      <c r="S12429" s="183"/>
    </row>
    <row r="12430" spans="1:19">
      <c r="A12430" s="182"/>
      <c r="Q12430" s="183"/>
    </row>
    <row r="12431" spans="1:19">
      <c r="A12431" s="182"/>
    </row>
    <row r="12432" spans="1:19">
      <c r="A12432" s="182"/>
      <c r="R12432" s="183"/>
      <c r="S12432" s="183"/>
    </row>
    <row r="12433" spans="1:19">
      <c r="A12433" s="182"/>
      <c r="Q12433" s="183"/>
    </row>
    <row r="12434" spans="1:19">
      <c r="A12434" s="182"/>
    </row>
    <row r="12435" spans="1:19">
      <c r="A12435" s="182"/>
      <c r="R12435" s="183"/>
      <c r="S12435" s="183"/>
    </row>
    <row r="12436" spans="1:19">
      <c r="A12436" s="182"/>
      <c r="Q12436" s="183"/>
      <c r="R12436" s="183"/>
      <c r="S12436" s="183"/>
    </row>
    <row r="12437" spans="1:19">
      <c r="A12437" s="182"/>
      <c r="Q12437" s="183"/>
      <c r="R12437" s="183"/>
      <c r="S12437" s="183"/>
    </row>
    <row r="12438" spans="1:19">
      <c r="A12438" s="182"/>
      <c r="Q12438" s="183"/>
      <c r="R12438" s="183"/>
      <c r="S12438" s="183"/>
    </row>
    <row r="12439" spans="1:19">
      <c r="A12439" s="182"/>
      <c r="Q12439" s="183"/>
      <c r="R12439" s="183"/>
      <c r="S12439" s="183"/>
    </row>
    <row r="12440" spans="1:19">
      <c r="A12440" s="182"/>
      <c r="Q12440" s="183"/>
      <c r="R12440" s="183"/>
      <c r="S12440" s="183"/>
    </row>
    <row r="12441" spans="1:19">
      <c r="A12441" s="182"/>
      <c r="Q12441" s="183"/>
      <c r="R12441" s="183"/>
      <c r="S12441" s="183"/>
    </row>
    <row r="12442" spans="1:19">
      <c r="A12442" s="182"/>
      <c r="Q12442" s="183"/>
      <c r="R12442" s="183"/>
      <c r="S12442" s="183"/>
    </row>
    <row r="12443" spans="1:19">
      <c r="A12443" s="182"/>
      <c r="Q12443" s="183"/>
      <c r="R12443" s="183"/>
      <c r="S12443" s="183"/>
    </row>
    <row r="12444" spans="1:19">
      <c r="A12444" s="182"/>
      <c r="Q12444" s="183"/>
      <c r="R12444" s="183"/>
      <c r="S12444" s="183"/>
    </row>
    <row r="12445" spans="1:19">
      <c r="A12445" s="182"/>
      <c r="Q12445" s="183"/>
      <c r="R12445" s="183"/>
      <c r="S12445" s="183"/>
    </row>
    <row r="12446" spans="1:19">
      <c r="A12446" s="182"/>
      <c r="Q12446" s="183"/>
      <c r="R12446" s="183"/>
      <c r="S12446" s="183"/>
    </row>
    <row r="12447" spans="1:19">
      <c r="A12447" s="182"/>
      <c r="Q12447" s="183"/>
    </row>
    <row r="12448" spans="1:19">
      <c r="A12448" s="182"/>
      <c r="R12448" s="183"/>
      <c r="S12448" s="183"/>
    </row>
    <row r="12449" spans="1:38">
      <c r="A12449" s="182"/>
      <c r="Q12449" s="183"/>
      <c r="R12449" s="183"/>
      <c r="S12449" s="183"/>
    </row>
    <row r="12450" spans="1:38">
      <c r="A12450" s="182"/>
      <c r="Q12450" s="183"/>
      <c r="R12450" s="183"/>
      <c r="S12450" s="183"/>
    </row>
    <row r="12451" spans="1:38">
      <c r="A12451" s="182"/>
      <c r="Q12451" s="183"/>
    </row>
    <row r="12452" spans="1:38">
      <c r="A12452" s="182"/>
    </row>
    <row r="12453" spans="1:38">
      <c r="A12453" s="182"/>
    </row>
    <row r="12454" spans="1:38">
      <c r="A12454" s="182"/>
    </row>
    <row r="12455" spans="1:38">
      <c r="A12455" s="182"/>
      <c r="R12455" s="183"/>
      <c r="S12455" s="183"/>
    </row>
    <row r="12456" spans="1:38">
      <c r="A12456" s="182"/>
      <c r="Q12456" s="183"/>
    </row>
    <row r="12457" spans="1:38">
      <c r="A12457" s="182"/>
      <c r="R12457" s="183"/>
      <c r="S12457" s="183"/>
      <c r="AK12457" s="183"/>
      <c r="AL12457" s="183"/>
    </row>
    <row r="12458" spans="1:38">
      <c r="A12458" s="182"/>
      <c r="Q12458" s="183"/>
      <c r="R12458" s="183"/>
      <c r="S12458" s="183"/>
      <c r="AJ12458" s="183"/>
      <c r="AK12458" s="183"/>
      <c r="AL12458" s="183"/>
    </row>
    <row r="12459" spans="1:38">
      <c r="A12459" s="182"/>
      <c r="Q12459" s="183"/>
      <c r="AJ12459" s="183"/>
      <c r="AK12459" s="183"/>
      <c r="AL12459" s="183"/>
    </row>
    <row r="12460" spans="1:38">
      <c r="A12460" s="182"/>
      <c r="R12460" s="183"/>
      <c r="S12460" s="183"/>
      <c r="AJ12460" s="183"/>
      <c r="AK12460" s="183"/>
      <c r="AL12460" s="183"/>
    </row>
    <row r="12461" spans="1:38">
      <c r="A12461" s="182"/>
      <c r="Q12461" s="183"/>
      <c r="AJ12461" s="183"/>
    </row>
    <row r="12462" spans="1:38">
      <c r="A12462" s="182"/>
    </row>
    <row r="12463" spans="1:38">
      <c r="A12463" s="182"/>
    </row>
    <row r="12464" spans="1:38">
      <c r="A12464" s="182"/>
      <c r="R12464" s="183"/>
      <c r="S12464" s="183"/>
    </row>
    <row r="12465" spans="1:19">
      <c r="A12465" s="182"/>
      <c r="Q12465" s="183"/>
      <c r="R12465" s="183"/>
      <c r="S12465" s="183"/>
    </row>
    <row r="12466" spans="1:19">
      <c r="A12466" s="182"/>
      <c r="Q12466" s="183"/>
      <c r="R12466" s="183"/>
      <c r="S12466" s="183"/>
    </row>
    <row r="12467" spans="1:19">
      <c r="A12467" s="182"/>
      <c r="Q12467" s="183"/>
      <c r="R12467" s="183"/>
      <c r="S12467" s="183"/>
    </row>
    <row r="12468" spans="1:19">
      <c r="A12468" s="182"/>
      <c r="Q12468" s="183"/>
      <c r="R12468" s="183"/>
      <c r="S12468" s="183"/>
    </row>
    <row r="12469" spans="1:19">
      <c r="A12469" s="182"/>
      <c r="Q12469" s="183"/>
      <c r="R12469" s="183"/>
      <c r="S12469" s="183"/>
    </row>
    <row r="12470" spans="1:19">
      <c r="A12470" s="182"/>
      <c r="Q12470" s="183"/>
      <c r="R12470" s="183"/>
      <c r="S12470" s="183"/>
    </row>
    <row r="12471" spans="1:19">
      <c r="A12471" s="182"/>
      <c r="Q12471" s="183"/>
      <c r="R12471" s="183"/>
      <c r="S12471" s="183"/>
    </row>
    <row r="12472" spans="1:19">
      <c r="A12472" s="182"/>
      <c r="Q12472" s="183"/>
      <c r="R12472" s="183"/>
      <c r="S12472" s="183"/>
    </row>
    <row r="12473" spans="1:19">
      <c r="A12473" s="182"/>
      <c r="Q12473" s="183"/>
      <c r="R12473" s="183"/>
      <c r="S12473" s="183"/>
    </row>
    <row r="12474" spans="1:19">
      <c r="A12474" s="182"/>
      <c r="Q12474" s="183"/>
      <c r="R12474" s="183"/>
      <c r="S12474" s="183"/>
    </row>
    <row r="12475" spans="1:19">
      <c r="A12475" s="182"/>
      <c r="Q12475" s="183"/>
      <c r="R12475" s="183"/>
      <c r="S12475" s="183"/>
    </row>
    <row r="12476" spans="1:19">
      <c r="A12476" s="182"/>
      <c r="Q12476" s="183"/>
      <c r="R12476" s="183"/>
      <c r="S12476" s="183"/>
    </row>
    <row r="12477" spans="1:19">
      <c r="A12477" s="182"/>
      <c r="Q12477" s="183"/>
      <c r="R12477" s="183"/>
      <c r="S12477" s="183"/>
    </row>
    <row r="12478" spans="1:19">
      <c r="A12478" s="182"/>
      <c r="Q12478" s="183"/>
      <c r="R12478" s="183"/>
      <c r="S12478" s="183"/>
    </row>
    <row r="12479" spans="1:19">
      <c r="A12479" s="182"/>
      <c r="Q12479" s="183"/>
      <c r="R12479" s="183"/>
      <c r="S12479" s="183"/>
    </row>
    <row r="12480" spans="1:19">
      <c r="A12480" s="182"/>
      <c r="Q12480" s="183"/>
      <c r="R12480" s="183"/>
      <c r="S12480" s="183"/>
    </row>
    <row r="12481" spans="1:38">
      <c r="A12481" s="182"/>
      <c r="Q12481" s="183"/>
      <c r="R12481" s="183"/>
      <c r="S12481" s="183"/>
    </row>
    <row r="12482" spans="1:38">
      <c r="A12482" s="182"/>
      <c r="Q12482" s="183"/>
      <c r="R12482" s="183"/>
      <c r="S12482" s="183"/>
    </row>
    <row r="12483" spans="1:38">
      <c r="A12483" s="182"/>
      <c r="Q12483" s="183"/>
      <c r="R12483" s="183"/>
      <c r="S12483" s="183"/>
    </row>
    <row r="12484" spans="1:38">
      <c r="A12484" s="182"/>
      <c r="Q12484" s="183"/>
      <c r="R12484" s="183"/>
      <c r="S12484" s="183"/>
    </row>
    <row r="12485" spans="1:38">
      <c r="A12485" s="182"/>
      <c r="Q12485" s="183"/>
      <c r="R12485" s="183"/>
      <c r="S12485" s="183"/>
    </row>
    <row r="12486" spans="1:38">
      <c r="A12486" s="182"/>
      <c r="Q12486" s="183"/>
      <c r="R12486" s="183"/>
      <c r="S12486" s="183"/>
    </row>
    <row r="12487" spans="1:38">
      <c r="A12487" s="182"/>
      <c r="Q12487" s="183"/>
      <c r="R12487" s="183"/>
      <c r="S12487" s="183"/>
    </row>
    <row r="12488" spans="1:38">
      <c r="A12488" s="182"/>
      <c r="Q12488" s="183"/>
      <c r="R12488" s="183"/>
      <c r="S12488" s="183"/>
    </row>
    <row r="12489" spans="1:38">
      <c r="A12489" s="182"/>
      <c r="Q12489" s="183"/>
      <c r="R12489" s="183"/>
      <c r="S12489" s="183"/>
    </row>
    <row r="12490" spans="1:38">
      <c r="A12490" s="182"/>
      <c r="Q12490" s="183"/>
      <c r="R12490" s="183"/>
      <c r="S12490" s="183"/>
    </row>
    <row r="12491" spans="1:38">
      <c r="A12491" s="182"/>
      <c r="Q12491" s="183"/>
      <c r="R12491" s="183"/>
      <c r="S12491" s="183"/>
    </row>
    <row r="12492" spans="1:38">
      <c r="A12492" s="182"/>
      <c r="Q12492" s="183"/>
      <c r="R12492" s="183"/>
      <c r="S12492" s="183"/>
    </row>
    <row r="12493" spans="1:38">
      <c r="A12493" s="182"/>
      <c r="Q12493" s="183"/>
      <c r="R12493" s="183"/>
      <c r="S12493" s="183"/>
      <c r="AK12493" s="183"/>
      <c r="AL12493" s="183"/>
    </row>
    <row r="12494" spans="1:38">
      <c r="A12494" s="182"/>
      <c r="Q12494" s="183"/>
      <c r="R12494" s="183"/>
      <c r="S12494" s="183"/>
      <c r="AJ12494" s="183"/>
      <c r="AK12494" s="183"/>
      <c r="AL12494" s="183"/>
    </row>
    <row r="12495" spans="1:38">
      <c r="A12495" s="182"/>
      <c r="Q12495" s="183"/>
      <c r="R12495" s="183"/>
      <c r="S12495" s="183"/>
      <c r="AJ12495" s="183"/>
      <c r="AK12495" s="183"/>
      <c r="AL12495" s="183"/>
    </row>
    <row r="12496" spans="1:38">
      <c r="A12496" s="182"/>
      <c r="Q12496" s="183"/>
      <c r="R12496" s="183"/>
      <c r="S12496" s="183"/>
      <c r="AJ12496" s="183"/>
      <c r="AK12496" s="183"/>
      <c r="AL12496" s="183"/>
    </row>
    <row r="12497" spans="1:36">
      <c r="A12497" s="182"/>
      <c r="Q12497" s="183"/>
      <c r="R12497" s="183"/>
      <c r="S12497" s="183"/>
      <c r="AJ12497" s="183"/>
    </row>
    <row r="12498" spans="1:36">
      <c r="A12498" s="182"/>
      <c r="Q12498" s="183"/>
      <c r="R12498" s="183"/>
      <c r="S12498" s="183"/>
    </row>
    <row r="12499" spans="1:36">
      <c r="A12499" s="182"/>
      <c r="Q12499" s="183"/>
      <c r="R12499" s="183"/>
      <c r="S12499" s="183"/>
    </row>
    <row r="12500" spans="1:36">
      <c r="A12500" s="182"/>
      <c r="Q12500" s="183"/>
      <c r="R12500" s="183"/>
      <c r="S12500" s="183"/>
    </row>
    <row r="12501" spans="1:36">
      <c r="A12501" s="182"/>
      <c r="Q12501" s="183"/>
      <c r="R12501" s="183"/>
      <c r="S12501" s="183"/>
    </row>
    <row r="12502" spans="1:36">
      <c r="A12502" s="182"/>
      <c r="Q12502" s="183"/>
      <c r="R12502" s="183"/>
      <c r="S12502" s="183"/>
    </row>
    <row r="12503" spans="1:36">
      <c r="A12503" s="182"/>
      <c r="Q12503" s="183"/>
      <c r="R12503" s="183"/>
      <c r="S12503" s="183"/>
    </row>
    <row r="12504" spans="1:36">
      <c r="A12504" s="182"/>
      <c r="Q12504" s="183"/>
      <c r="R12504" s="183"/>
      <c r="S12504" s="183"/>
    </row>
    <row r="12505" spans="1:36">
      <c r="A12505" s="182"/>
      <c r="Q12505" s="183"/>
      <c r="R12505" s="183"/>
      <c r="S12505" s="183"/>
    </row>
    <row r="12506" spans="1:36">
      <c r="A12506" s="182"/>
      <c r="Q12506" s="183"/>
      <c r="R12506" s="183"/>
      <c r="S12506" s="183"/>
    </row>
    <row r="12507" spans="1:36">
      <c r="A12507" s="182"/>
      <c r="Q12507" s="183"/>
      <c r="R12507" s="183"/>
      <c r="S12507" s="183"/>
    </row>
    <row r="12508" spans="1:36">
      <c r="A12508" s="182"/>
      <c r="Q12508" s="183"/>
      <c r="R12508" s="183"/>
      <c r="S12508" s="183"/>
    </row>
    <row r="12509" spans="1:36">
      <c r="A12509" s="182"/>
      <c r="Q12509" s="183"/>
      <c r="R12509" s="183"/>
      <c r="S12509" s="183"/>
    </row>
    <row r="12510" spans="1:36">
      <c r="A12510" s="182"/>
      <c r="Q12510" s="183"/>
    </row>
    <row r="12511" spans="1:36">
      <c r="A12511" s="182"/>
    </row>
    <row r="12512" spans="1:36">
      <c r="A12512" s="182"/>
      <c r="R12512" s="183"/>
      <c r="S12512" s="183"/>
    </row>
    <row r="12513" spans="1:19">
      <c r="A12513" s="182"/>
      <c r="Q12513" s="183"/>
      <c r="R12513" s="183"/>
      <c r="S12513" s="183"/>
    </row>
    <row r="12514" spans="1:19">
      <c r="A12514" s="182"/>
      <c r="Q12514" s="183"/>
      <c r="R12514" s="183"/>
      <c r="S12514" s="183"/>
    </row>
    <row r="12515" spans="1:19">
      <c r="A12515" s="182"/>
      <c r="Q12515" s="183"/>
      <c r="R12515" s="183"/>
      <c r="S12515" s="183"/>
    </row>
    <row r="12516" spans="1:19">
      <c r="A12516" s="182"/>
      <c r="Q12516" s="183"/>
      <c r="R12516" s="183"/>
      <c r="S12516" s="183"/>
    </row>
    <row r="12517" spans="1:19">
      <c r="A12517" s="182"/>
      <c r="Q12517" s="183"/>
      <c r="R12517" s="183"/>
      <c r="S12517" s="183"/>
    </row>
    <row r="12518" spans="1:19">
      <c r="A12518" s="182"/>
      <c r="Q12518" s="183"/>
      <c r="R12518" s="183"/>
      <c r="S12518" s="183"/>
    </row>
    <row r="12519" spans="1:19">
      <c r="A12519" s="182"/>
      <c r="Q12519" s="183"/>
      <c r="R12519" s="183"/>
      <c r="S12519" s="183"/>
    </row>
    <row r="12520" spans="1:19">
      <c r="A12520" s="182"/>
      <c r="Q12520" s="183"/>
    </row>
    <row r="12521" spans="1:19">
      <c r="A12521" s="182"/>
      <c r="R12521" s="183"/>
      <c r="S12521" s="183"/>
    </row>
    <row r="12522" spans="1:19">
      <c r="A12522" s="182"/>
      <c r="Q12522" s="183"/>
      <c r="R12522" s="183"/>
      <c r="S12522" s="183"/>
    </row>
    <row r="12523" spans="1:19">
      <c r="A12523" s="182"/>
      <c r="Q12523" s="183"/>
      <c r="R12523" s="183"/>
      <c r="S12523" s="183"/>
    </row>
    <row r="12524" spans="1:19">
      <c r="A12524" s="182"/>
      <c r="Q12524" s="183"/>
    </row>
    <row r="12525" spans="1:19">
      <c r="A12525" s="182"/>
    </row>
    <row r="12526" spans="1:19">
      <c r="A12526" s="182"/>
      <c r="R12526" s="183"/>
      <c r="S12526" s="183"/>
    </row>
    <row r="12527" spans="1:19">
      <c r="A12527" s="182"/>
      <c r="Q12527" s="183"/>
      <c r="R12527" s="183"/>
      <c r="S12527" s="183"/>
    </row>
    <row r="12528" spans="1:19">
      <c r="A12528" s="182"/>
      <c r="Q12528" s="183"/>
      <c r="R12528" s="183"/>
      <c r="S12528" s="183"/>
    </row>
    <row r="12529" spans="1:19">
      <c r="A12529" s="182"/>
      <c r="Q12529" s="183"/>
      <c r="R12529" s="183"/>
      <c r="S12529" s="183"/>
    </row>
    <row r="12530" spans="1:19">
      <c r="A12530" s="182"/>
      <c r="Q12530" s="183"/>
    </row>
    <row r="12531" spans="1:19">
      <c r="A12531" s="182"/>
    </row>
    <row r="12532" spans="1:19">
      <c r="A12532" s="182"/>
    </row>
    <row r="12533" spans="1:19">
      <c r="A12533" s="182"/>
      <c r="R12533" s="183"/>
      <c r="S12533" s="183"/>
    </row>
    <row r="12534" spans="1:19">
      <c r="A12534" s="182"/>
      <c r="Q12534" s="183"/>
    </row>
    <row r="12535" spans="1:19">
      <c r="A12535" s="182"/>
      <c r="R12535" s="183"/>
      <c r="S12535" s="183"/>
    </row>
    <row r="12536" spans="1:19">
      <c r="A12536" s="182"/>
      <c r="Q12536" s="183"/>
      <c r="R12536" s="183"/>
      <c r="S12536" s="183"/>
    </row>
    <row r="12537" spans="1:19">
      <c r="A12537" s="182"/>
      <c r="Q12537" s="183"/>
      <c r="R12537" s="183"/>
      <c r="S12537" s="183"/>
    </row>
    <row r="12538" spans="1:19">
      <c r="A12538" s="182"/>
      <c r="Q12538" s="183"/>
    </row>
    <row r="12539" spans="1:19">
      <c r="A12539" s="182"/>
      <c r="R12539" s="183"/>
      <c r="S12539" s="183"/>
    </row>
    <row r="12540" spans="1:19">
      <c r="A12540" s="182"/>
      <c r="Q12540" s="183"/>
    </row>
    <row r="12541" spans="1:19">
      <c r="A12541" s="182"/>
    </row>
    <row r="12542" spans="1:19">
      <c r="A12542" s="182"/>
      <c r="R12542" s="183"/>
      <c r="S12542" s="183"/>
    </row>
    <row r="12543" spans="1:19">
      <c r="A12543" s="182"/>
      <c r="Q12543" s="183"/>
    </row>
    <row r="12544" spans="1:19">
      <c r="A12544" s="182"/>
    </row>
    <row r="12545" spans="1:19">
      <c r="A12545" s="182"/>
    </row>
    <row r="12546" spans="1:19">
      <c r="A12546" s="182"/>
    </row>
    <row r="12547" spans="1:19">
      <c r="A12547" s="182"/>
      <c r="R12547" s="183"/>
      <c r="S12547" s="183"/>
    </row>
    <row r="12548" spans="1:19">
      <c r="A12548" s="182"/>
      <c r="Q12548" s="183"/>
      <c r="R12548" s="183"/>
      <c r="S12548" s="183"/>
    </row>
    <row r="12549" spans="1:19">
      <c r="A12549" s="182"/>
      <c r="Q12549" s="183"/>
      <c r="R12549" s="183"/>
      <c r="S12549" s="183"/>
    </row>
    <row r="12550" spans="1:19">
      <c r="A12550" s="182"/>
      <c r="Q12550" s="183"/>
      <c r="R12550" s="183"/>
      <c r="S12550" s="183"/>
    </row>
    <row r="12551" spans="1:19">
      <c r="A12551" s="182"/>
      <c r="Q12551" s="183"/>
    </row>
    <row r="12552" spans="1:19">
      <c r="A12552" s="182"/>
      <c r="R12552" s="183"/>
      <c r="S12552" s="183"/>
    </row>
    <row r="12553" spans="1:19">
      <c r="A12553" s="182"/>
      <c r="Q12553" s="183"/>
      <c r="R12553" s="183"/>
      <c r="S12553" s="183"/>
    </row>
    <row r="12554" spans="1:19">
      <c r="A12554" s="182"/>
      <c r="Q12554" s="183"/>
      <c r="R12554" s="183"/>
      <c r="S12554" s="183"/>
    </row>
    <row r="12555" spans="1:19">
      <c r="A12555" s="182"/>
      <c r="Q12555" s="183"/>
      <c r="R12555" s="183"/>
      <c r="S12555" s="183"/>
    </row>
    <row r="12556" spans="1:19">
      <c r="A12556" s="182"/>
      <c r="Q12556" s="183"/>
    </row>
    <row r="12557" spans="1:19">
      <c r="A12557" s="182"/>
    </row>
    <row r="12558" spans="1:19">
      <c r="A12558" s="182"/>
      <c r="R12558" s="183"/>
      <c r="S12558" s="183"/>
    </row>
    <row r="12559" spans="1:19">
      <c r="A12559" s="182"/>
      <c r="Q12559" s="183"/>
      <c r="R12559" s="183"/>
      <c r="S12559" s="183"/>
    </row>
    <row r="12560" spans="1:19">
      <c r="A12560" s="182"/>
      <c r="Q12560" s="183"/>
    </row>
    <row r="12561" spans="1:19">
      <c r="A12561" s="182"/>
      <c r="R12561" s="183"/>
      <c r="S12561" s="183"/>
    </row>
    <row r="12562" spans="1:19">
      <c r="A12562" s="182"/>
      <c r="Q12562" s="183"/>
    </row>
    <row r="12563" spans="1:19">
      <c r="A12563" s="182"/>
      <c r="R12563" s="183"/>
      <c r="S12563" s="183"/>
    </row>
    <row r="12564" spans="1:19">
      <c r="A12564" s="182"/>
      <c r="Q12564" s="183"/>
      <c r="R12564" s="183"/>
      <c r="S12564" s="183"/>
    </row>
    <row r="12565" spans="1:19">
      <c r="A12565" s="182"/>
      <c r="Q12565" s="183"/>
    </row>
    <row r="12566" spans="1:19">
      <c r="A12566" s="182"/>
    </row>
    <row r="12567" spans="1:19">
      <c r="A12567" s="182"/>
    </row>
    <row r="12568" spans="1:19">
      <c r="A12568" s="182"/>
    </row>
    <row r="12569" spans="1:19">
      <c r="A12569" s="182"/>
    </row>
    <row r="12570" spans="1:19">
      <c r="A12570" s="182"/>
    </row>
    <row r="12571" spans="1:19">
      <c r="A12571" s="182"/>
    </row>
    <row r="12572" spans="1:19">
      <c r="A12572" s="182"/>
    </row>
    <row r="12573" spans="1:19">
      <c r="A12573" s="182"/>
      <c r="R12573" s="183"/>
      <c r="S12573" s="183"/>
    </row>
    <row r="12574" spans="1:19">
      <c r="A12574" s="182"/>
      <c r="Q12574" s="183"/>
      <c r="R12574" s="183"/>
      <c r="S12574" s="183"/>
    </row>
    <row r="12575" spans="1:19">
      <c r="A12575" s="182"/>
      <c r="Q12575" s="183"/>
    </row>
    <row r="12576" spans="1:19">
      <c r="A12576" s="182"/>
      <c r="R12576" s="183"/>
      <c r="S12576" s="183"/>
    </row>
    <row r="12577" spans="1:19">
      <c r="A12577" s="182"/>
      <c r="Q12577" s="183"/>
      <c r="R12577" s="183"/>
      <c r="S12577" s="183"/>
    </row>
    <row r="12578" spans="1:19">
      <c r="A12578" s="182"/>
      <c r="Q12578" s="183"/>
      <c r="R12578" s="183"/>
      <c r="S12578" s="183"/>
    </row>
    <row r="12579" spans="1:19">
      <c r="A12579" s="182"/>
      <c r="Q12579" s="183"/>
      <c r="R12579" s="183"/>
      <c r="S12579" s="183"/>
    </row>
    <row r="12580" spans="1:19">
      <c r="A12580" s="182"/>
      <c r="Q12580" s="183"/>
      <c r="R12580" s="183"/>
      <c r="S12580" s="183"/>
    </row>
    <row r="12581" spans="1:19">
      <c r="A12581" s="182"/>
      <c r="Q12581" s="183"/>
      <c r="R12581" s="183"/>
      <c r="S12581" s="183"/>
    </row>
    <row r="12582" spans="1:19">
      <c r="A12582" s="182"/>
      <c r="Q12582" s="183"/>
      <c r="R12582" s="183"/>
      <c r="S12582" s="183"/>
    </row>
    <row r="12583" spans="1:19">
      <c r="A12583" s="182"/>
      <c r="Q12583" s="183"/>
      <c r="R12583" s="183"/>
      <c r="S12583" s="183"/>
    </row>
    <row r="12584" spans="1:19">
      <c r="A12584" s="182"/>
      <c r="Q12584" s="183"/>
      <c r="R12584" s="183"/>
      <c r="S12584" s="183"/>
    </row>
    <row r="12585" spans="1:19">
      <c r="A12585" s="182"/>
      <c r="Q12585" s="183"/>
      <c r="R12585" s="183"/>
      <c r="S12585" s="183"/>
    </row>
    <row r="12586" spans="1:19">
      <c r="A12586" s="182"/>
      <c r="Q12586" s="183"/>
      <c r="R12586" s="183"/>
      <c r="S12586" s="183"/>
    </row>
    <row r="12587" spans="1:19">
      <c r="A12587" s="182"/>
      <c r="Q12587" s="183"/>
      <c r="R12587" s="183"/>
      <c r="S12587" s="183"/>
    </row>
    <row r="12588" spans="1:19">
      <c r="A12588" s="182"/>
      <c r="Q12588" s="183"/>
      <c r="R12588" s="183"/>
      <c r="S12588" s="183"/>
    </row>
    <row r="12589" spans="1:19">
      <c r="A12589" s="182"/>
      <c r="Q12589" s="183"/>
      <c r="R12589" s="183"/>
      <c r="S12589" s="183"/>
    </row>
    <row r="12590" spans="1:19">
      <c r="A12590" s="182"/>
      <c r="Q12590" s="183"/>
      <c r="R12590" s="183"/>
      <c r="S12590" s="183"/>
    </row>
    <row r="12591" spans="1:19">
      <c r="A12591" s="182"/>
      <c r="Q12591" s="183"/>
      <c r="R12591" s="183"/>
      <c r="S12591" s="183"/>
    </row>
    <row r="12592" spans="1:19">
      <c r="A12592" s="182"/>
      <c r="Q12592" s="183"/>
      <c r="R12592" s="183"/>
      <c r="S12592" s="183"/>
    </row>
    <row r="12593" spans="1:38">
      <c r="A12593" s="182"/>
      <c r="Q12593" s="183"/>
      <c r="R12593" s="183"/>
      <c r="S12593" s="183"/>
      <c r="AK12593" s="183"/>
      <c r="AL12593" s="183"/>
    </row>
    <row r="12594" spans="1:38">
      <c r="A12594" s="182"/>
      <c r="Q12594" s="183"/>
      <c r="R12594" s="183"/>
      <c r="S12594" s="183"/>
      <c r="AJ12594" s="183"/>
      <c r="AK12594" s="183"/>
      <c r="AL12594" s="183"/>
    </row>
    <row r="12595" spans="1:38">
      <c r="A12595" s="182"/>
      <c r="Q12595" s="183"/>
      <c r="R12595" s="183"/>
      <c r="S12595" s="183"/>
      <c r="AJ12595" s="183"/>
      <c r="AK12595" s="183"/>
      <c r="AL12595" s="183"/>
    </row>
    <row r="12596" spans="1:38">
      <c r="A12596" s="182"/>
      <c r="Q12596" s="183"/>
      <c r="R12596" s="183"/>
      <c r="S12596" s="183"/>
      <c r="AJ12596" s="183"/>
      <c r="AK12596" s="183"/>
      <c r="AL12596" s="183"/>
    </row>
    <row r="12597" spans="1:38">
      <c r="A12597" s="182"/>
      <c r="Q12597" s="183"/>
      <c r="R12597" s="183"/>
      <c r="S12597" s="183"/>
      <c r="AJ12597" s="183"/>
    </row>
    <row r="12598" spans="1:38">
      <c r="A12598" s="182"/>
      <c r="Q12598" s="183"/>
      <c r="R12598" s="183"/>
      <c r="S12598" s="183"/>
    </row>
    <row r="12599" spans="1:38">
      <c r="A12599" s="182"/>
      <c r="Q12599" s="183"/>
      <c r="R12599" s="183"/>
      <c r="S12599" s="183"/>
    </row>
    <row r="12600" spans="1:38">
      <c r="A12600" s="182"/>
      <c r="Q12600" s="183"/>
      <c r="R12600" s="183"/>
      <c r="S12600" s="183"/>
    </row>
    <row r="12601" spans="1:38">
      <c r="A12601" s="182"/>
      <c r="Q12601" s="183"/>
      <c r="R12601" s="183"/>
      <c r="S12601" s="183"/>
      <c r="AK12601" s="183"/>
      <c r="AL12601" s="183"/>
    </row>
    <row r="12602" spans="1:38">
      <c r="A12602" s="182"/>
      <c r="Q12602" s="183"/>
      <c r="R12602" s="183"/>
      <c r="S12602" s="183"/>
      <c r="AJ12602" s="183"/>
      <c r="AK12602" s="183"/>
      <c r="AL12602" s="183"/>
    </row>
    <row r="12603" spans="1:38">
      <c r="A12603" s="182"/>
      <c r="Q12603" s="183"/>
      <c r="R12603" s="183"/>
      <c r="S12603" s="183"/>
      <c r="AJ12603" s="183"/>
      <c r="AK12603" s="183"/>
      <c r="AL12603" s="183"/>
    </row>
    <row r="12604" spans="1:38">
      <c r="A12604" s="182"/>
      <c r="Q12604" s="183"/>
      <c r="AJ12604" s="183"/>
      <c r="AK12604" s="183"/>
      <c r="AL12604" s="183"/>
    </row>
    <row r="12605" spans="1:38">
      <c r="A12605" s="182"/>
      <c r="R12605" s="183"/>
      <c r="S12605" s="183"/>
      <c r="AJ12605" s="183"/>
      <c r="AK12605" s="183"/>
      <c r="AL12605" s="183"/>
    </row>
    <row r="12606" spans="1:38">
      <c r="A12606" s="182"/>
      <c r="Q12606" s="183"/>
      <c r="AJ12606" s="183"/>
      <c r="AK12606" s="183"/>
      <c r="AL12606" s="183"/>
    </row>
    <row r="12607" spans="1:38">
      <c r="A12607" s="182"/>
      <c r="AJ12607" s="183"/>
      <c r="AK12607" s="183"/>
      <c r="AL12607" s="183"/>
    </row>
    <row r="12608" spans="1:38">
      <c r="A12608" s="182"/>
      <c r="AJ12608" s="183"/>
      <c r="AK12608" s="183"/>
      <c r="AL12608" s="183"/>
    </row>
    <row r="12609" spans="1:36">
      <c r="A12609" s="182"/>
      <c r="R12609" s="183"/>
      <c r="S12609" s="183"/>
      <c r="AJ12609" s="183"/>
    </row>
    <row r="12610" spans="1:36">
      <c r="A12610" s="182"/>
      <c r="Q12610" s="183"/>
      <c r="R12610" s="183"/>
      <c r="S12610" s="183"/>
    </row>
    <row r="12611" spans="1:36">
      <c r="A12611" s="182"/>
      <c r="Q12611" s="183"/>
      <c r="R12611" s="183"/>
      <c r="S12611" s="183"/>
    </row>
    <row r="12612" spans="1:36">
      <c r="A12612" s="182"/>
      <c r="Q12612" s="183"/>
    </row>
    <row r="12613" spans="1:36">
      <c r="A12613" s="182"/>
    </row>
    <row r="12614" spans="1:36">
      <c r="A12614" s="182"/>
    </row>
    <row r="12615" spans="1:36">
      <c r="A12615" s="182"/>
    </row>
    <row r="12616" spans="1:36">
      <c r="A12616" s="182"/>
    </row>
    <row r="12617" spans="1:36">
      <c r="A12617" s="182"/>
      <c r="R12617" s="183"/>
      <c r="S12617" s="183"/>
    </row>
    <row r="12618" spans="1:36">
      <c r="A12618" s="182"/>
      <c r="Q12618" s="183"/>
      <c r="R12618" s="183"/>
      <c r="S12618" s="183"/>
    </row>
    <row r="12619" spans="1:36">
      <c r="A12619" s="182"/>
      <c r="Q12619" s="183"/>
      <c r="R12619" s="183"/>
      <c r="S12619" s="183"/>
    </row>
    <row r="12620" spans="1:36">
      <c r="A12620" s="182"/>
      <c r="Q12620" s="183"/>
    </row>
    <row r="12621" spans="1:36">
      <c r="A12621" s="182"/>
      <c r="R12621" s="183"/>
      <c r="S12621" s="183"/>
    </row>
    <row r="12622" spans="1:36">
      <c r="A12622" s="182"/>
      <c r="Q12622" s="183"/>
      <c r="R12622" s="183"/>
      <c r="S12622" s="183"/>
    </row>
    <row r="12623" spans="1:36">
      <c r="A12623" s="182"/>
      <c r="Q12623" s="183"/>
    </row>
    <row r="12624" spans="1:36">
      <c r="A12624" s="182"/>
    </row>
    <row r="12625" spans="1:19">
      <c r="A12625" s="182"/>
      <c r="R12625" s="183"/>
      <c r="S12625" s="183"/>
    </row>
    <row r="12626" spans="1:19">
      <c r="A12626" s="182"/>
      <c r="Q12626" s="183"/>
    </row>
    <row r="12627" spans="1:19">
      <c r="A12627" s="182"/>
    </row>
    <row r="12628" spans="1:19">
      <c r="A12628" s="182"/>
    </row>
    <row r="12629" spans="1:19">
      <c r="A12629" s="182"/>
    </row>
    <row r="12630" spans="1:19">
      <c r="A12630" s="182"/>
    </row>
    <row r="12631" spans="1:19">
      <c r="A12631" s="182"/>
    </row>
    <row r="12632" spans="1:19">
      <c r="A12632" s="182"/>
    </row>
    <row r="12633" spans="1:19">
      <c r="A12633" s="182"/>
    </row>
    <row r="12634" spans="1:19">
      <c r="A12634" s="182"/>
      <c r="R12634" s="183"/>
      <c r="S12634" s="183"/>
    </row>
    <row r="12635" spans="1:19">
      <c r="A12635" s="182"/>
      <c r="Q12635" s="183"/>
    </row>
    <row r="12636" spans="1:19">
      <c r="A12636" s="182"/>
    </row>
    <row r="12637" spans="1:19">
      <c r="A12637" s="182"/>
    </row>
    <row r="12638" spans="1:19">
      <c r="A12638" s="182"/>
      <c r="R12638" s="183"/>
      <c r="S12638" s="183"/>
    </row>
    <row r="12639" spans="1:19">
      <c r="A12639" s="182"/>
      <c r="Q12639" s="183"/>
      <c r="R12639" s="183"/>
      <c r="S12639" s="183"/>
    </row>
    <row r="12640" spans="1:19">
      <c r="A12640" s="182"/>
      <c r="Q12640" s="183"/>
    </row>
    <row r="12641" spans="1:38">
      <c r="A12641" s="182"/>
    </row>
    <row r="12642" spans="1:38">
      <c r="A12642" s="182"/>
    </row>
    <row r="12643" spans="1:38">
      <c r="A12643" s="182"/>
    </row>
    <row r="12644" spans="1:38">
      <c r="A12644" s="182"/>
    </row>
    <row r="12645" spans="1:38">
      <c r="A12645" s="182"/>
    </row>
    <row r="12646" spans="1:38">
      <c r="A12646" s="182"/>
    </row>
    <row r="12647" spans="1:38">
      <c r="A12647" s="182"/>
    </row>
    <row r="12648" spans="1:38">
      <c r="A12648" s="182"/>
    </row>
    <row r="12649" spans="1:38">
      <c r="A12649" s="182"/>
      <c r="AK12649" s="183"/>
      <c r="AL12649" s="183"/>
    </row>
    <row r="12650" spans="1:38">
      <c r="A12650" s="182"/>
      <c r="AJ12650" s="183"/>
      <c r="AK12650" s="183"/>
      <c r="AL12650" s="183"/>
    </row>
    <row r="12651" spans="1:38">
      <c r="A12651" s="182"/>
      <c r="AJ12651" s="183"/>
      <c r="AK12651" s="183"/>
      <c r="AL12651" s="183"/>
    </row>
    <row r="12652" spans="1:38">
      <c r="A12652" s="182"/>
      <c r="AJ12652" s="183"/>
      <c r="AK12652" s="183"/>
      <c r="AL12652" s="183"/>
    </row>
    <row r="12653" spans="1:38">
      <c r="A12653" s="182"/>
      <c r="AJ12653" s="183"/>
    </row>
    <row r="12654" spans="1:38">
      <c r="A12654" s="182"/>
      <c r="R12654" s="183"/>
      <c r="S12654" s="183"/>
    </row>
    <row r="12655" spans="1:38">
      <c r="A12655" s="182"/>
      <c r="Q12655" s="183"/>
      <c r="R12655" s="183"/>
      <c r="S12655" s="183"/>
    </row>
    <row r="12656" spans="1:38">
      <c r="A12656" s="182"/>
      <c r="Q12656" s="183"/>
    </row>
    <row r="12657" spans="1:19">
      <c r="A12657" s="182"/>
      <c r="R12657" s="183"/>
      <c r="S12657" s="183"/>
    </row>
    <row r="12658" spans="1:19">
      <c r="A12658" s="182"/>
      <c r="Q12658" s="183"/>
    </row>
    <row r="12659" spans="1:19">
      <c r="A12659" s="182"/>
    </row>
    <row r="12660" spans="1:19">
      <c r="A12660" s="182"/>
    </row>
    <row r="12661" spans="1:19">
      <c r="A12661" s="182"/>
    </row>
    <row r="12662" spans="1:19">
      <c r="A12662" s="182"/>
    </row>
    <row r="12663" spans="1:19">
      <c r="A12663" s="182"/>
    </row>
    <row r="12664" spans="1:19">
      <c r="A12664" s="182"/>
      <c r="R12664" s="183"/>
      <c r="S12664" s="183"/>
    </row>
    <row r="12665" spans="1:19">
      <c r="A12665" s="182"/>
      <c r="Q12665" s="183"/>
      <c r="R12665" s="183"/>
      <c r="S12665" s="183"/>
    </row>
    <row r="12666" spans="1:19">
      <c r="A12666" s="182"/>
      <c r="Q12666" s="183"/>
    </row>
    <row r="12667" spans="1:19">
      <c r="A12667" s="182"/>
    </row>
    <row r="12668" spans="1:19">
      <c r="A12668" s="182"/>
      <c r="R12668" s="183"/>
      <c r="S12668" s="183"/>
    </row>
    <row r="12669" spans="1:19">
      <c r="A12669" s="182"/>
      <c r="Q12669" s="183"/>
    </row>
    <row r="12670" spans="1:19">
      <c r="A12670" s="182"/>
    </row>
    <row r="12671" spans="1:19">
      <c r="A12671" s="182"/>
      <c r="R12671" s="183"/>
      <c r="S12671" s="183"/>
    </row>
    <row r="12672" spans="1:19">
      <c r="A12672" s="182"/>
      <c r="Q12672" s="183"/>
      <c r="R12672" s="183"/>
      <c r="S12672" s="183"/>
    </row>
    <row r="12673" spans="1:19">
      <c r="A12673" s="182"/>
      <c r="Q12673" s="183"/>
      <c r="R12673" s="183"/>
      <c r="S12673" s="183"/>
    </row>
    <row r="12674" spans="1:19">
      <c r="A12674" s="182"/>
      <c r="Q12674" s="183"/>
      <c r="R12674" s="183"/>
      <c r="S12674" s="183"/>
    </row>
    <row r="12675" spans="1:19">
      <c r="A12675" s="182"/>
      <c r="Q12675" s="183"/>
      <c r="R12675" s="183"/>
      <c r="S12675" s="183"/>
    </row>
    <row r="12676" spans="1:19">
      <c r="A12676" s="182"/>
      <c r="Q12676" s="183"/>
      <c r="R12676" s="183"/>
      <c r="S12676" s="183"/>
    </row>
    <row r="12677" spans="1:19">
      <c r="A12677" s="182"/>
      <c r="Q12677" s="183"/>
      <c r="R12677" s="183"/>
      <c r="S12677" s="183"/>
    </row>
    <row r="12678" spans="1:19">
      <c r="A12678" s="182"/>
      <c r="Q12678" s="183"/>
      <c r="R12678" s="183"/>
      <c r="S12678" s="183"/>
    </row>
    <row r="12679" spans="1:19">
      <c r="A12679" s="182"/>
      <c r="Q12679" s="183"/>
      <c r="R12679" s="183"/>
      <c r="S12679" s="183"/>
    </row>
    <row r="12680" spans="1:19">
      <c r="A12680" s="182"/>
      <c r="Q12680" s="183"/>
      <c r="R12680" s="183"/>
      <c r="S12680" s="183"/>
    </row>
    <row r="12681" spans="1:19">
      <c r="A12681" s="182"/>
      <c r="Q12681" s="183"/>
      <c r="R12681" s="183"/>
      <c r="S12681" s="183"/>
    </row>
    <row r="12682" spans="1:19">
      <c r="A12682" s="182"/>
      <c r="Q12682" s="183"/>
      <c r="R12682" s="183"/>
      <c r="S12682" s="183"/>
    </row>
    <row r="12683" spans="1:19">
      <c r="A12683" s="182"/>
      <c r="Q12683" s="183"/>
      <c r="R12683" s="183"/>
      <c r="S12683" s="183"/>
    </row>
    <row r="12684" spans="1:19">
      <c r="A12684" s="182"/>
      <c r="Q12684" s="183"/>
      <c r="R12684" s="183"/>
      <c r="S12684" s="183"/>
    </row>
    <row r="12685" spans="1:19">
      <c r="A12685" s="182"/>
      <c r="Q12685" s="183"/>
      <c r="R12685" s="183"/>
      <c r="S12685" s="183"/>
    </row>
    <row r="12686" spans="1:19">
      <c r="A12686" s="182"/>
      <c r="Q12686" s="183"/>
      <c r="R12686" s="183"/>
      <c r="S12686" s="183"/>
    </row>
    <row r="12687" spans="1:19">
      <c r="A12687" s="182"/>
      <c r="Q12687" s="183"/>
      <c r="R12687" s="183"/>
      <c r="S12687" s="183"/>
    </row>
    <row r="12688" spans="1:19">
      <c r="A12688" s="182"/>
      <c r="Q12688" s="183"/>
      <c r="R12688" s="183"/>
      <c r="S12688" s="183"/>
    </row>
    <row r="12689" spans="1:38">
      <c r="A12689" s="182"/>
      <c r="Q12689" s="183"/>
      <c r="R12689" s="183"/>
      <c r="S12689" s="183"/>
    </row>
    <row r="12690" spans="1:38">
      <c r="A12690" s="182"/>
      <c r="Q12690" s="183"/>
      <c r="R12690" s="183"/>
      <c r="S12690" s="183"/>
    </row>
    <row r="12691" spans="1:38">
      <c r="A12691" s="182"/>
      <c r="Q12691" s="183"/>
      <c r="R12691" s="183"/>
      <c r="S12691" s="183"/>
    </row>
    <row r="12692" spans="1:38">
      <c r="A12692" s="182"/>
      <c r="Q12692" s="183"/>
      <c r="R12692" s="183"/>
      <c r="S12692" s="183"/>
    </row>
    <row r="12693" spans="1:38">
      <c r="A12693" s="182"/>
      <c r="Q12693" s="183"/>
      <c r="R12693" s="183"/>
      <c r="S12693" s="183"/>
      <c r="AK12693" s="183"/>
      <c r="AL12693" s="183"/>
    </row>
    <row r="12694" spans="1:38">
      <c r="A12694" s="182"/>
      <c r="Q12694" s="183"/>
      <c r="R12694" s="183"/>
      <c r="S12694" s="183"/>
      <c r="AJ12694" s="183"/>
      <c r="AK12694" s="183"/>
      <c r="AL12694" s="183"/>
    </row>
    <row r="12695" spans="1:38">
      <c r="A12695" s="182"/>
      <c r="Q12695" s="183"/>
      <c r="R12695" s="183"/>
      <c r="S12695" s="183"/>
      <c r="AJ12695" s="183"/>
      <c r="AK12695" s="183"/>
      <c r="AL12695" s="183"/>
    </row>
    <row r="12696" spans="1:38">
      <c r="A12696" s="182"/>
      <c r="Q12696" s="183"/>
      <c r="R12696" s="183"/>
      <c r="S12696" s="183"/>
      <c r="AJ12696" s="183"/>
      <c r="AK12696" s="183"/>
      <c r="AL12696" s="183"/>
    </row>
    <row r="12697" spans="1:38">
      <c r="A12697" s="182"/>
      <c r="Q12697" s="183"/>
      <c r="R12697" s="183"/>
      <c r="S12697" s="183"/>
      <c r="AJ12697" s="183"/>
    </row>
    <row r="12698" spans="1:38">
      <c r="A12698" s="182"/>
      <c r="Q12698" s="183"/>
      <c r="R12698" s="183"/>
      <c r="S12698" s="183"/>
    </row>
    <row r="12699" spans="1:38">
      <c r="A12699" s="182"/>
      <c r="Q12699" s="183"/>
      <c r="R12699" s="183"/>
      <c r="S12699" s="183"/>
    </row>
    <row r="12700" spans="1:38">
      <c r="A12700" s="182"/>
      <c r="Q12700" s="183"/>
      <c r="R12700" s="183"/>
      <c r="S12700" s="183"/>
    </row>
    <row r="12701" spans="1:38">
      <c r="A12701" s="182"/>
      <c r="Q12701" s="183"/>
    </row>
    <row r="12702" spans="1:38">
      <c r="A12702" s="182"/>
      <c r="R12702" s="183"/>
      <c r="S12702" s="183"/>
    </row>
    <row r="12703" spans="1:38">
      <c r="A12703" s="182"/>
      <c r="Q12703" s="183"/>
      <c r="R12703" s="183"/>
      <c r="S12703" s="183"/>
    </row>
    <row r="12704" spans="1:38">
      <c r="A12704" s="182"/>
      <c r="Q12704" s="183"/>
      <c r="R12704" s="183"/>
      <c r="S12704" s="183"/>
    </row>
    <row r="12705" spans="1:19">
      <c r="A12705" s="182"/>
      <c r="Q12705" s="183"/>
      <c r="R12705" s="183"/>
      <c r="S12705" s="183"/>
    </row>
    <row r="12706" spans="1:19">
      <c r="A12706" s="182"/>
      <c r="Q12706" s="183"/>
      <c r="R12706" s="183"/>
      <c r="S12706" s="183"/>
    </row>
    <row r="12707" spans="1:19">
      <c r="A12707" s="182"/>
      <c r="Q12707" s="183"/>
      <c r="R12707" s="183"/>
      <c r="S12707" s="183"/>
    </row>
    <row r="12708" spans="1:19">
      <c r="A12708" s="182"/>
      <c r="Q12708" s="183"/>
      <c r="R12708" s="183"/>
      <c r="S12708" s="183"/>
    </row>
    <row r="12709" spans="1:19">
      <c r="A12709" s="182"/>
      <c r="Q12709" s="183"/>
      <c r="R12709" s="183"/>
      <c r="S12709" s="183"/>
    </row>
    <row r="12710" spans="1:19">
      <c r="A12710" s="182"/>
      <c r="Q12710" s="183"/>
      <c r="R12710" s="183"/>
      <c r="S12710" s="183"/>
    </row>
    <row r="12711" spans="1:19">
      <c r="A12711" s="182"/>
      <c r="Q12711" s="183"/>
      <c r="R12711" s="183"/>
      <c r="S12711" s="183"/>
    </row>
    <row r="12712" spans="1:19">
      <c r="A12712" s="182"/>
      <c r="Q12712" s="183"/>
      <c r="R12712" s="183"/>
      <c r="S12712" s="183"/>
    </row>
    <row r="12713" spans="1:19">
      <c r="A12713" s="182"/>
      <c r="Q12713" s="183"/>
      <c r="R12713" s="183"/>
      <c r="S12713" s="183"/>
    </row>
    <row r="12714" spans="1:19">
      <c r="A12714" s="182"/>
      <c r="Q12714" s="183"/>
      <c r="R12714" s="183"/>
      <c r="S12714" s="183"/>
    </row>
    <row r="12715" spans="1:19">
      <c r="A12715" s="182"/>
      <c r="Q12715" s="183"/>
      <c r="R12715" s="183"/>
      <c r="S12715" s="183"/>
    </row>
    <row r="12716" spans="1:19">
      <c r="A12716" s="182"/>
      <c r="Q12716" s="183"/>
    </row>
    <row r="12717" spans="1:19">
      <c r="A12717" s="182"/>
      <c r="R12717" s="183"/>
      <c r="S12717" s="183"/>
    </row>
    <row r="12718" spans="1:19">
      <c r="A12718" s="182"/>
      <c r="Q12718" s="183"/>
      <c r="R12718" s="183"/>
      <c r="S12718" s="183"/>
    </row>
    <row r="12719" spans="1:19">
      <c r="A12719" s="182"/>
      <c r="Q12719" s="183"/>
      <c r="R12719" s="183"/>
      <c r="S12719" s="183"/>
    </row>
    <row r="12720" spans="1:19">
      <c r="A12720" s="182"/>
      <c r="Q12720" s="183"/>
    </row>
    <row r="12721" spans="1:19">
      <c r="A12721" s="182"/>
      <c r="R12721" s="183"/>
      <c r="S12721" s="183"/>
    </row>
    <row r="12722" spans="1:19">
      <c r="A12722" s="182"/>
      <c r="Q12722" s="183"/>
    </row>
    <row r="12723" spans="1:19">
      <c r="A12723" s="182"/>
      <c r="R12723" s="183"/>
      <c r="S12723" s="183"/>
    </row>
    <row r="12724" spans="1:19">
      <c r="A12724" s="182"/>
      <c r="Q12724" s="183"/>
    </row>
    <row r="12725" spans="1:19">
      <c r="A12725" s="182"/>
    </row>
    <row r="12726" spans="1:19">
      <c r="A12726" s="182"/>
    </row>
    <row r="12727" spans="1:19">
      <c r="A12727" s="182"/>
      <c r="R12727" s="183"/>
      <c r="S12727" s="183"/>
    </row>
    <row r="12728" spans="1:19">
      <c r="A12728" s="182"/>
      <c r="Q12728" s="183"/>
      <c r="R12728" s="183"/>
      <c r="S12728" s="183"/>
    </row>
    <row r="12729" spans="1:19">
      <c r="A12729" s="182"/>
      <c r="Q12729" s="183"/>
    </row>
    <row r="12730" spans="1:19">
      <c r="A12730" s="182"/>
    </row>
    <row r="12731" spans="1:19">
      <c r="A12731" s="182"/>
      <c r="R12731" s="183"/>
      <c r="S12731" s="183"/>
    </row>
    <row r="12732" spans="1:19">
      <c r="A12732" s="182"/>
      <c r="Q12732" s="183"/>
    </row>
    <row r="12733" spans="1:19">
      <c r="A12733" s="182"/>
      <c r="R12733" s="183"/>
      <c r="S12733" s="183"/>
    </row>
    <row r="12734" spans="1:19">
      <c r="A12734" s="182"/>
      <c r="Q12734" s="183"/>
      <c r="R12734" s="183"/>
      <c r="S12734" s="183"/>
    </row>
    <row r="12735" spans="1:19">
      <c r="A12735" s="182"/>
      <c r="Q12735" s="183"/>
      <c r="R12735" s="183"/>
      <c r="S12735" s="183"/>
    </row>
    <row r="12736" spans="1:19">
      <c r="A12736" s="182"/>
      <c r="Q12736" s="183"/>
    </row>
    <row r="12737" spans="1:38">
      <c r="A12737" s="182"/>
    </row>
    <row r="12738" spans="1:38">
      <c r="A12738" s="182"/>
      <c r="R12738" s="183"/>
      <c r="S12738" s="183"/>
    </row>
    <row r="12739" spans="1:38">
      <c r="A12739" s="182"/>
      <c r="Q12739" s="183"/>
    </row>
    <row r="12740" spans="1:38">
      <c r="A12740" s="182"/>
    </row>
    <row r="12741" spans="1:38">
      <c r="A12741" s="182"/>
    </row>
    <row r="12742" spans="1:38">
      <c r="A12742" s="182"/>
    </row>
    <row r="12743" spans="1:38">
      <c r="A12743" s="182"/>
    </row>
    <row r="12744" spans="1:38">
      <c r="A12744" s="182"/>
    </row>
    <row r="12745" spans="1:38">
      <c r="A12745" s="182"/>
      <c r="AK12745" s="183"/>
      <c r="AL12745" s="183"/>
    </row>
    <row r="12746" spans="1:38">
      <c r="A12746" s="182"/>
      <c r="AJ12746" s="183"/>
      <c r="AK12746" s="183"/>
      <c r="AL12746" s="183"/>
    </row>
    <row r="12747" spans="1:38">
      <c r="A12747" s="182"/>
      <c r="AJ12747" s="183"/>
      <c r="AK12747" s="183"/>
      <c r="AL12747" s="183"/>
    </row>
    <row r="12748" spans="1:38">
      <c r="A12748" s="182"/>
      <c r="AJ12748" s="183"/>
      <c r="AK12748" s="183"/>
      <c r="AL12748" s="183"/>
    </row>
    <row r="12749" spans="1:38">
      <c r="A12749" s="182"/>
      <c r="R12749" s="183"/>
      <c r="S12749" s="183"/>
      <c r="AJ12749" s="183"/>
    </row>
    <row r="12750" spans="1:38">
      <c r="A12750" s="182"/>
      <c r="Q12750" s="183"/>
    </row>
    <row r="12751" spans="1:38">
      <c r="A12751" s="182"/>
    </row>
    <row r="12752" spans="1:38">
      <c r="A12752" s="182"/>
    </row>
    <row r="12753" spans="1:19">
      <c r="A12753" s="182"/>
    </row>
    <row r="12754" spans="1:19">
      <c r="A12754" s="182"/>
    </row>
    <row r="12755" spans="1:19">
      <c r="A12755" s="182"/>
    </row>
    <row r="12756" spans="1:19">
      <c r="A12756" s="182"/>
    </row>
    <row r="12757" spans="1:19">
      <c r="A12757" s="182"/>
    </row>
    <row r="12758" spans="1:19">
      <c r="A12758" s="182"/>
    </row>
    <row r="12759" spans="1:19">
      <c r="A12759" s="182"/>
    </row>
    <row r="12760" spans="1:19">
      <c r="A12760" s="182"/>
      <c r="R12760" s="183"/>
      <c r="S12760" s="183"/>
    </row>
    <row r="12761" spans="1:19">
      <c r="A12761" s="182"/>
      <c r="Q12761" s="183"/>
    </row>
    <row r="12762" spans="1:19">
      <c r="A12762" s="182"/>
    </row>
    <row r="12763" spans="1:19">
      <c r="A12763" s="182"/>
    </row>
    <row r="12764" spans="1:19">
      <c r="A12764" s="182"/>
    </row>
    <row r="12765" spans="1:19">
      <c r="A12765" s="182"/>
    </row>
    <row r="12766" spans="1:19">
      <c r="A12766" s="182"/>
    </row>
    <row r="12767" spans="1:19">
      <c r="A12767" s="182"/>
    </row>
    <row r="12768" spans="1:19">
      <c r="A12768" s="182"/>
    </row>
    <row r="12769" spans="1:19">
      <c r="A12769" s="182"/>
    </row>
    <row r="12770" spans="1:19">
      <c r="A12770" s="182"/>
    </row>
    <row r="12771" spans="1:19">
      <c r="A12771" s="182"/>
    </row>
    <row r="12772" spans="1:19">
      <c r="A12772" s="182"/>
    </row>
    <row r="12773" spans="1:19">
      <c r="A12773" s="182"/>
    </row>
    <row r="12774" spans="1:19">
      <c r="A12774" s="182"/>
    </row>
    <row r="12775" spans="1:19">
      <c r="A12775" s="182"/>
    </row>
    <row r="12776" spans="1:19">
      <c r="A12776" s="182"/>
    </row>
    <row r="12777" spans="1:19">
      <c r="A12777" s="182"/>
    </row>
    <row r="12778" spans="1:19">
      <c r="A12778" s="182"/>
      <c r="R12778" s="183"/>
      <c r="S12778" s="183"/>
    </row>
    <row r="12779" spans="1:19">
      <c r="A12779" s="182"/>
      <c r="Q12779" s="183"/>
      <c r="R12779" s="183"/>
      <c r="S12779" s="183"/>
    </row>
    <row r="12780" spans="1:19">
      <c r="A12780" s="182"/>
      <c r="Q12780" s="183"/>
      <c r="R12780" s="183"/>
      <c r="S12780" s="183"/>
    </row>
    <row r="12781" spans="1:19">
      <c r="A12781" s="182"/>
      <c r="Q12781" s="183"/>
      <c r="R12781" s="183"/>
      <c r="S12781" s="183"/>
    </row>
    <row r="12782" spans="1:19">
      <c r="A12782" s="182"/>
      <c r="Q12782" s="183"/>
    </row>
    <row r="12783" spans="1:19">
      <c r="A12783" s="182"/>
    </row>
    <row r="12784" spans="1:19">
      <c r="A12784" s="182"/>
    </row>
    <row r="12785" spans="1:19">
      <c r="A12785" s="182"/>
    </row>
    <row r="12786" spans="1:19">
      <c r="A12786" s="182"/>
    </row>
    <row r="12787" spans="1:19">
      <c r="A12787" s="182"/>
    </row>
    <row r="12788" spans="1:19">
      <c r="A12788" s="182"/>
    </row>
    <row r="12789" spans="1:19">
      <c r="A12789" s="182"/>
    </row>
    <row r="12790" spans="1:19">
      <c r="A12790" s="182"/>
    </row>
    <row r="12791" spans="1:19">
      <c r="A12791" s="182"/>
      <c r="R12791" s="183"/>
      <c r="S12791" s="183"/>
    </row>
    <row r="12792" spans="1:19">
      <c r="A12792" s="182"/>
      <c r="Q12792" s="183"/>
    </row>
    <row r="12793" spans="1:19">
      <c r="A12793" s="182"/>
    </row>
    <row r="12794" spans="1:19">
      <c r="A12794" s="182"/>
    </row>
    <row r="12795" spans="1:19">
      <c r="A12795" s="182"/>
    </row>
    <row r="12796" spans="1:19">
      <c r="A12796" s="182"/>
    </row>
    <row r="12797" spans="1:19">
      <c r="A12797" s="182"/>
    </row>
    <row r="12798" spans="1:19">
      <c r="A12798" s="182"/>
    </row>
    <row r="12799" spans="1:19">
      <c r="A12799" s="182"/>
    </row>
    <row r="12800" spans="1:19">
      <c r="A12800" s="182"/>
      <c r="R12800" s="183"/>
      <c r="S12800" s="183"/>
    </row>
    <row r="12801" spans="1:38">
      <c r="A12801" s="182"/>
      <c r="Q12801" s="183"/>
    </row>
    <row r="12802" spans="1:38">
      <c r="A12802" s="182"/>
    </row>
    <row r="12803" spans="1:38">
      <c r="A12803" s="182"/>
    </row>
    <row r="12804" spans="1:38">
      <c r="A12804" s="182"/>
    </row>
    <row r="12805" spans="1:38">
      <c r="A12805" s="182"/>
      <c r="AK12805" s="183"/>
      <c r="AL12805" s="183"/>
    </row>
    <row r="12806" spans="1:38">
      <c r="A12806" s="182"/>
      <c r="AJ12806" s="183"/>
      <c r="AK12806" s="183"/>
      <c r="AL12806" s="183"/>
    </row>
    <row r="12807" spans="1:38">
      <c r="A12807" s="182"/>
      <c r="R12807" s="183"/>
      <c r="S12807" s="183"/>
      <c r="AJ12807" s="183"/>
      <c r="AK12807" s="183"/>
      <c r="AL12807" s="183"/>
    </row>
    <row r="12808" spans="1:38">
      <c r="A12808" s="182"/>
      <c r="Q12808" s="183"/>
      <c r="R12808" s="183"/>
      <c r="S12808" s="183"/>
      <c r="AJ12808" s="183"/>
      <c r="AK12808" s="183"/>
      <c r="AL12808" s="183"/>
    </row>
    <row r="12809" spans="1:38">
      <c r="A12809" s="182"/>
      <c r="Q12809" s="183"/>
      <c r="R12809" s="183"/>
      <c r="S12809" s="183"/>
      <c r="AJ12809" s="183"/>
    </row>
    <row r="12810" spans="1:38">
      <c r="A12810" s="182"/>
      <c r="Q12810" s="183"/>
      <c r="R12810" s="183"/>
      <c r="S12810" s="183"/>
    </row>
    <row r="12811" spans="1:38">
      <c r="A12811" s="182"/>
      <c r="Q12811" s="183"/>
      <c r="R12811" s="183"/>
      <c r="S12811" s="183"/>
    </row>
    <row r="12812" spans="1:38">
      <c r="A12812" s="182"/>
      <c r="Q12812" s="183"/>
    </row>
    <row r="12813" spans="1:38">
      <c r="A12813" s="182"/>
    </row>
    <row r="12814" spans="1:38">
      <c r="A12814" s="182"/>
      <c r="R12814" s="183"/>
      <c r="S12814" s="183"/>
    </row>
    <row r="12815" spans="1:38">
      <c r="A12815" s="182"/>
      <c r="Q12815" s="183"/>
      <c r="R12815" s="183"/>
      <c r="S12815" s="183"/>
    </row>
    <row r="12816" spans="1:38">
      <c r="A12816" s="182"/>
      <c r="Q12816" s="183"/>
      <c r="R12816" s="183"/>
      <c r="S12816" s="183"/>
    </row>
    <row r="12817" spans="1:38">
      <c r="A12817" s="182"/>
      <c r="Q12817" s="183"/>
      <c r="R12817" s="183"/>
      <c r="S12817" s="183"/>
    </row>
    <row r="12818" spans="1:38">
      <c r="A12818" s="182"/>
      <c r="Q12818" s="183"/>
    </row>
    <row r="12819" spans="1:38">
      <c r="A12819" s="182"/>
    </row>
    <row r="12820" spans="1:38">
      <c r="A12820" s="182"/>
      <c r="R12820" s="183"/>
      <c r="S12820" s="183"/>
    </row>
    <row r="12821" spans="1:38">
      <c r="A12821" s="182"/>
      <c r="Q12821" s="183"/>
      <c r="R12821" s="183"/>
      <c r="S12821" s="183"/>
    </row>
    <row r="12822" spans="1:38">
      <c r="A12822" s="182"/>
      <c r="Q12822" s="183"/>
      <c r="R12822" s="183"/>
      <c r="S12822" s="183"/>
    </row>
    <row r="12823" spans="1:38">
      <c r="A12823" s="182"/>
      <c r="Q12823" s="183"/>
    </row>
    <row r="12824" spans="1:38">
      <c r="A12824" s="182"/>
    </row>
    <row r="12825" spans="1:38">
      <c r="A12825" s="182"/>
      <c r="AK12825" s="183"/>
      <c r="AL12825" s="183"/>
    </row>
    <row r="12826" spans="1:38">
      <c r="A12826" s="182"/>
      <c r="R12826" s="183"/>
      <c r="S12826" s="183"/>
      <c r="AJ12826" s="183"/>
      <c r="AK12826" s="183"/>
      <c r="AL12826" s="183"/>
    </row>
    <row r="12827" spans="1:38">
      <c r="A12827" s="182"/>
      <c r="Q12827" s="183"/>
      <c r="R12827" s="183"/>
      <c r="S12827" s="183"/>
      <c r="AJ12827" s="183"/>
      <c r="AK12827" s="183"/>
      <c r="AL12827" s="183"/>
    </row>
    <row r="12828" spans="1:38">
      <c r="A12828" s="182"/>
      <c r="Q12828" s="183"/>
      <c r="R12828" s="183"/>
      <c r="S12828" s="183"/>
      <c r="AJ12828" s="183"/>
      <c r="AK12828" s="183"/>
      <c r="AL12828" s="183"/>
    </row>
    <row r="12829" spans="1:38">
      <c r="A12829" s="182"/>
      <c r="Q12829" s="183"/>
      <c r="R12829" s="183"/>
      <c r="S12829" s="183"/>
      <c r="AJ12829" s="183"/>
    </row>
    <row r="12830" spans="1:38">
      <c r="A12830" s="182"/>
      <c r="Q12830" s="183"/>
      <c r="R12830" s="183"/>
      <c r="S12830" s="183"/>
    </row>
    <row r="12831" spans="1:38">
      <c r="A12831" s="182"/>
      <c r="Q12831" s="183"/>
    </row>
    <row r="12832" spans="1:38">
      <c r="A12832" s="182"/>
    </row>
    <row r="12833" spans="1:38">
      <c r="A12833" s="182"/>
      <c r="R12833" s="183"/>
      <c r="S12833" s="183"/>
    </row>
    <row r="12834" spans="1:38">
      <c r="A12834" s="182"/>
      <c r="Q12834" s="183"/>
      <c r="R12834" s="183"/>
      <c r="S12834" s="183"/>
    </row>
    <row r="12835" spans="1:38">
      <c r="A12835" s="182"/>
      <c r="Q12835" s="183"/>
    </row>
    <row r="12836" spans="1:38">
      <c r="A12836" s="182"/>
    </row>
    <row r="12837" spans="1:38">
      <c r="A12837" s="182"/>
      <c r="AK12837" s="183"/>
      <c r="AL12837" s="183"/>
    </row>
    <row r="12838" spans="1:38">
      <c r="A12838" s="182"/>
      <c r="AJ12838" s="183"/>
      <c r="AK12838" s="183"/>
      <c r="AL12838" s="183"/>
    </row>
    <row r="12839" spans="1:38">
      <c r="A12839" s="182"/>
      <c r="AJ12839" s="183"/>
      <c r="AK12839" s="183"/>
      <c r="AL12839" s="183"/>
    </row>
    <row r="12840" spans="1:38">
      <c r="A12840" s="182"/>
      <c r="AJ12840" s="183"/>
      <c r="AK12840" s="183"/>
      <c r="AL12840" s="183"/>
    </row>
    <row r="12841" spans="1:38">
      <c r="A12841" s="182"/>
      <c r="AJ12841" s="183"/>
    </row>
    <row r="12842" spans="1:38">
      <c r="A12842" s="182"/>
    </row>
    <row r="12843" spans="1:38">
      <c r="A12843" s="182"/>
    </row>
    <row r="12844" spans="1:38">
      <c r="A12844" s="182"/>
    </row>
    <row r="12845" spans="1:38">
      <c r="A12845" s="182"/>
      <c r="R12845" s="183"/>
      <c r="S12845" s="183"/>
    </row>
    <row r="12846" spans="1:38">
      <c r="A12846" s="182"/>
      <c r="Q12846" s="183"/>
      <c r="R12846" s="183"/>
      <c r="S12846" s="183"/>
    </row>
    <row r="12847" spans="1:38">
      <c r="A12847" s="182"/>
      <c r="Q12847" s="183"/>
    </row>
    <row r="12848" spans="1:38">
      <c r="A12848" s="182"/>
    </row>
    <row r="12849" spans="1:1">
      <c r="A12849" s="182"/>
    </row>
    <row r="12850" spans="1:1">
      <c r="A12850" s="182"/>
    </row>
    <row r="12851" spans="1:1">
      <c r="A12851" s="182"/>
    </row>
    <row r="12852" spans="1:1">
      <c r="A12852" s="182"/>
    </row>
    <row r="12853" spans="1:1">
      <c r="A12853" s="182"/>
    </row>
    <row r="12854" spans="1:1">
      <c r="A12854" s="182"/>
    </row>
    <row r="12855" spans="1:1">
      <c r="A12855" s="182"/>
    </row>
    <row r="12856" spans="1:1">
      <c r="A12856" s="182"/>
    </row>
    <row r="12857" spans="1:1">
      <c r="A12857" s="182"/>
    </row>
    <row r="12858" spans="1:1">
      <c r="A12858" s="182"/>
    </row>
    <row r="12859" spans="1:1">
      <c r="A12859" s="182"/>
    </row>
    <row r="12860" spans="1:1">
      <c r="A12860" s="182"/>
    </row>
    <row r="12861" spans="1:1">
      <c r="A12861" s="182"/>
    </row>
    <row r="12862" spans="1:1">
      <c r="A12862" s="182"/>
    </row>
    <row r="12863" spans="1:1">
      <c r="A12863" s="182"/>
    </row>
    <row r="12864" spans="1:1">
      <c r="A12864" s="182"/>
    </row>
    <row r="12865" spans="1:38">
      <c r="A12865" s="182"/>
      <c r="AK12865" s="183"/>
      <c r="AL12865" s="183"/>
    </row>
    <row r="12866" spans="1:38">
      <c r="A12866" s="182"/>
      <c r="AJ12866" s="183"/>
      <c r="AK12866" s="183"/>
      <c r="AL12866" s="183"/>
    </row>
    <row r="12867" spans="1:38">
      <c r="A12867" s="182"/>
      <c r="AJ12867" s="183"/>
      <c r="AK12867" s="183"/>
      <c r="AL12867" s="183"/>
    </row>
    <row r="12868" spans="1:38">
      <c r="A12868" s="182"/>
      <c r="AJ12868" s="183"/>
      <c r="AK12868" s="183"/>
      <c r="AL12868" s="183"/>
    </row>
    <row r="12869" spans="1:38">
      <c r="A12869" s="182"/>
      <c r="AJ12869" s="183"/>
    </row>
    <row r="12870" spans="1:38">
      <c r="A12870" s="182"/>
    </row>
    <row r="12871" spans="1:38">
      <c r="A12871" s="182"/>
    </row>
    <row r="12872" spans="1:38">
      <c r="A12872" s="182"/>
    </row>
    <row r="12873" spans="1:38">
      <c r="A12873" s="182"/>
    </row>
    <row r="12874" spans="1:38">
      <c r="A12874" s="182"/>
    </row>
    <row r="12875" spans="1:38">
      <c r="A12875" s="182"/>
    </row>
    <row r="12876" spans="1:38">
      <c r="A12876" s="182"/>
    </row>
    <row r="12877" spans="1:38">
      <c r="A12877" s="182"/>
    </row>
    <row r="12878" spans="1:38">
      <c r="A12878" s="182"/>
    </row>
    <row r="12879" spans="1:38">
      <c r="A12879" s="182"/>
    </row>
    <row r="12880" spans="1:38">
      <c r="A12880" s="182"/>
    </row>
    <row r="12881" spans="1:38">
      <c r="A12881" s="182"/>
      <c r="AK12881" s="183"/>
      <c r="AL12881" s="183"/>
    </row>
    <row r="12882" spans="1:38">
      <c r="A12882" s="182"/>
      <c r="AJ12882" s="183"/>
      <c r="AK12882" s="183"/>
      <c r="AL12882" s="183"/>
    </row>
    <row r="12883" spans="1:38">
      <c r="A12883" s="182"/>
      <c r="AJ12883" s="183"/>
      <c r="AK12883" s="183"/>
      <c r="AL12883" s="183"/>
    </row>
    <row r="12884" spans="1:38">
      <c r="A12884" s="182"/>
      <c r="AJ12884" s="183"/>
      <c r="AK12884" s="183"/>
      <c r="AL12884" s="183"/>
    </row>
    <row r="12885" spans="1:38">
      <c r="A12885" s="182"/>
      <c r="AJ12885" s="183"/>
    </row>
    <row r="12886" spans="1:38">
      <c r="A12886" s="182"/>
    </row>
    <row r="12887" spans="1:38">
      <c r="A12887" s="182"/>
    </row>
    <row r="12888" spans="1:38">
      <c r="A12888" s="182"/>
    </row>
    <row r="12889" spans="1:38">
      <c r="A12889" s="182"/>
    </row>
    <row r="12890" spans="1:38">
      <c r="A12890" s="182"/>
    </row>
    <row r="12891" spans="1:38">
      <c r="A12891" s="182"/>
    </row>
    <row r="12892" spans="1:38">
      <c r="A12892" s="182"/>
    </row>
    <row r="12893" spans="1:38">
      <c r="A12893" s="182"/>
    </row>
    <row r="12894" spans="1:38">
      <c r="A12894" s="182"/>
    </row>
    <row r="12895" spans="1:38">
      <c r="A12895" s="182"/>
    </row>
    <row r="12896" spans="1:38">
      <c r="A12896" s="182"/>
    </row>
    <row r="12897" spans="1:38">
      <c r="A12897" s="182"/>
      <c r="AK12897" s="183"/>
      <c r="AL12897" s="183"/>
    </row>
    <row r="12898" spans="1:38">
      <c r="A12898" s="182"/>
      <c r="AJ12898" s="183"/>
      <c r="AK12898" s="183"/>
      <c r="AL12898" s="183"/>
    </row>
    <row r="12899" spans="1:38">
      <c r="A12899" s="182"/>
      <c r="AJ12899" s="183"/>
      <c r="AK12899" s="183"/>
      <c r="AL12899" s="183"/>
    </row>
    <row r="12900" spans="1:38">
      <c r="A12900" s="182"/>
      <c r="R12900" s="183"/>
      <c r="S12900" s="183"/>
      <c r="AJ12900" s="183"/>
      <c r="AK12900" s="183"/>
      <c r="AL12900" s="183"/>
    </row>
    <row r="12901" spans="1:38">
      <c r="A12901" s="182"/>
      <c r="Q12901" s="183"/>
      <c r="R12901" s="183"/>
      <c r="S12901" s="183"/>
      <c r="AJ12901" s="183"/>
    </row>
    <row r="12902" spans="1:38">
      <c r="A12902" s="182"/>
      <c r="Q12902" s="183"/>
      <c r="R12902" s="183"/>
      <c r="S12902" s="183"/>
    </row>
    <row r="12903" spans="1:38">
      <c r="A12903" s="182"/>
      <c r="Q12903" s="183"/>
    </row>
    <row r="12904" spans="1:38">
      <c r="A12904" s="182"/>
      <c r="R12904" s="183"/>
      <c r="S12904" s="183"/>
    </row>
    <row r="12905" spans="1:38">
      <c r="A12905" s="182"/>
      <c r="Q12905" s="183"/>
      <c r="R12905" s="183"/>
      <c r="S12905" s="183"/>
    </row>
    <row r="12906" spans="1:38">
      <c r="A12906" s="182"/>
      <c r="Q12906" s="183"/>
      <c r="R12906" s="183"/>
      <c r="S12906" s="183"/>
    </row>
    <row r="12907" spans="1:38">
      <c r="A12907" s="182"/>
      <c r="Q12907" s="183"/>
      <c r="R12907" s="183"/>
      <c r="S12907" s="183"/>
    </row>
    <row r="12908" spans="1:38">
      <c r="A12908" s="182"/>
      <c r="Q12908" s="183"/>
    </row>
    <row r="12909" spans="1:38">
      <c r="A12909" s="182"/>
      <c r="R12909" s="183"/>
      <c r="S12909" s="183"/>
    </row>
    <row r="12910" spans="1:38">
      <c r="A12910" s="182"/>
      <c r="Q12910" s="183"/>
    </row>
    <row r="12911" spans="1:38">
      <c r="A12911" s="182"/>
      <c r="R12911" s="183"/>
      <c r="S12911" s="183"/>
    </row>
    <row r="12912" spans="1:38">
      <c r="A12912" s="182"/>
      <c r="Q12912" s="183"/>
    </row>
    <row r="12913" spans="1:19">
      <c r="A12913" s="182"/>
      <c r="R12913" s="183"/>
      <c r="S12913" s="183"/>
    </row>
    <row r="12914" spans="1:19">
      <c r="A12914" s="182"/>
      <c r="Q12914" s="183"/>
      <c r="R12914" s="183"/>
      <c r="S12914" s="183"/>
    </row>
    <row r="12915" spans="1:19">
      <c r="A12915" s="182"/>
      <c r="Q12915" s="183"/>
    </row>
    <row r="12916" spans="1:19">
      <c r="A12916" s="182"/>
      <c r="R12916" s="183"/>
      <c r="S12916" s="183"/>
    </row>
    <row r="12917" spans="1:19">
      <c r="A12917" s="182"/>
      <c r="Q12917" s="183"/>
      <c r="R12917" s="183"/>
      <c r="S12917" s="183"/>
    </row>
    <row r="12918" spans="1:19">
      <c r="A12918" s="182"/>
      <c r="Q12918" s="183"/>
    </row>
    <row r="12919" spans="1:19">
      <c r="A12919" s="182"/>
    </row>
    <row r="12920" spans="1:19">
      <c r="A12920" s="182"/>
      <c r="R12920" s="183"/>
      <c r="S12920" s="183"/>
    </row>
    <row r="12921" spans="1:19">
      <c r="A12921" s="182"/>
      <c r="Q12921" s="183"/>
    </row>
    <row r="12922" spans="1:19">
      <c r="A12922" s="182"/>
      <c r="R12922" s="183"/>
      <c r="S12922" s="183"/>
    </row>
    <row r="12923" spans="1:19">
      <c r="A12923" s="182"/>
      <c r="Q12923" s="183"/>
    </row>
    <row r="12924" spans="1:19">
      <c r="A12924" s="182"/>
      <c r="R12924" s="183"/>
      <c r="S12924" s="183"/>
    </row>
    <row r="12925" spans="1:19">
      <c r="A12925" s="182"/>
      <c r="Q12925" s="183"/>
      <c r="R12925" s="183"/>
      <c r="S12925" s="183"/>
    </row>
    <row r="12926" spans="1:19">
      <c r="A12926" s="182"/>
      <c r="Q12926" s="183"/>
      <c r="R12926" s="183"/>
      <c r="S12926" s="183"/>
    </row>
    <row r="12927" spans="1:19">
      <c r="A12927" s="182"/>
      <c r="Q12927" s="183"/>
    </row>
    <row r="12928" spans="1:19">
      <c r="A12928" s="182"/>
      <c r="R12928" s="183"/>
      <c r="S12928" s="183"/>
    </row>
    <row r="12929" spans="1:19">
      <c r="A12929" s="182"/>
      <c r="Q12929" s="183"/>
    </row>
    <row r="12930" spans="1:19">
      <c r="A12930" s="182"/>
    </row>
    <row r="12931" spans="1:19">
      <c r="A12931" s="182"/>
    </row>
    <row r="12932" spans="1:19">
      <c r="A12932" s="182"/>
    </row>
    <row r="12933" spans="1:19">
      <c r="A12933" s="182"/>
    </row>
    <row r="12934" spans="1:19">
      <c r="A12934" s="182"/>
      <c r="R12934" s="183"/>
      <c r="S12934" s="183"/>
    </row>
    <row r="12935" spans="1:19">
      <c r="A12935" s="182"/>
      <c r="Q12935" s="183"/>
    </row>
    <row r="12936" spans="1:19">
      <c r="A12936" s="182"/>
    </row>
    <row r="12937" spans="1:19">
      <c r="A12937" s="182"/>
    </row>
    <row r="12938" spans="1:19">
      <c r="A12938" s="182"/>
    </row>
    <row r="12939" spans="1:19">
      <c r="A12939" s="182"/>
    </row>
    <row r="12940" spans="1:19">
      <c r="A12940" s="182"/>
    </row>
    <row r="12941" spans="1:19">
      <c r="A12941" s="182"/>
    </row>
    <row r="12942" spans="1:19">
      <c r="A12942" s="182"/>
    </row>
    <row r="12943" spans="1:19">
      <c r="A12943" s="182"/>
    </row>
    <row r="12944" spans="1:19">
      <c r="A12944" s="182"/>
    </row>
    <row r="12945" spans="1:1">
      <c r="A12945" s="182"/>
    </row>
    <row r="12946" spans="1:1">
      <c r="A12946" s="182"/>
    </row>
    <row r="12947" spans="1:1">
      <c r="A12947" s="182"/>
    </row>
    <row r="12948" spans="1:1">
      <c r="A12948" s="182"/>
    </row>
    <row r="12949" spans="1:1">
      <c r="A12949" s="182"/>
    </row>
    <row r="12950" spans="1:1">
      <c r="A12950" s="182"/>
    </row>
    <row r="12951" spans="1:1">
      <c r="A12951" s="182"/>
    </row>
    <row r="12952" spans="1:1">
      <c r="A12952" s="182"/>
    </row>
    <row r="12953" spans="1:1">
      <c r="A12953" s="182"/>
    </row>
    <row r="12954" spans="1:1">
      <c r="A12954" s="182"/>
    </row>
    <row r="12955" spans="1:1">
      <c r="A12955" s="182"/>
    </row>
    <row r="12956" spans="1:1">
      <c r="A12956" s="182"/>
    </row>
    <row r="12957" spans="1:1">
      <c r="A12957" s="182"/>
    </row>
    <row r="12958" spans="1:1">
      <c r="A12958" s="182"/>
    </row>
    <row r="12959" spans="1:1">
      <c r="A12959" s="182"/>
    </row>
    <row r="12960" spans="1:1">
      <c r="A12960" s="182"/>
    </row>
    <row r="12961" spans="1:1">
      <c r="A12961" s="182"/>
    </row>
    <row r="12962" spans="1:1">
      <c r="A12962" s="182"/>
    </row>
    <row r="12963" spans="1:1">
      <c r="A12963" s="182"/>
    </row>
    <row r="12964" spans="1:1">
      <c r="A12964" s="182"/>
    </row>
    <row r="12965" spans="1:1">
      <c r="A12965" s="182"/>
    </row>
    <row r="12966" spans="1:1">
      <c r="A12966" s="182"/>
    </row>
    <row r="12967" spans="1:1">
      <c r="A12967" s="182"/>
    </row>
    <row r="12968" spans="1:1">
      <c r="A12968" s="182"/>
    </row>
    <row r="12969" spans="1:1">
      <c r="A12969" s="182"/>
    </row>
    <row r="12970" spans="1:1">
      <c r="A12970" s="182"/>
    </row>
    <row r="12971" spans="1:1">
      <c r="A12971" s="182"/>
    </row>
    <row r="12972" spans="1:1">
      <c r="A12972" s="182"/>
    </row>
    <row r="12973" spans="1:1">
      <c r="A12973" s="182"/>
    </row>
    <row r="12974" spans="1:1">
      <c r="A12974" s="182"/>
    </row>
    <row r="12975" spans="1:1">
      <c r="A12975" s="182"/>
    </row>
    <row r="12976" spans="1:1">
      <c r="A12976" s="182"/>
    </row>
    <row r="12977" spans="1:38">
      <c r="A12977" s="182"/>
    </row>
    <row r="12978" spans="1:38">
      <c r="A12978" s="182"/>
    </row>
    <row r="12979" spans="1:38">
      <c r="A12979" s="182"/>
    </row>
    <row r="12980" spans="1:38">
      <c r="A12980" s="182"/>
    </row>
    <row r="12981" spans="1:38">
      <c r="A12981" s="182"/>
    </row>
    <row r="12982" spans="1:38">
      <c r="A12982" s="182"/>
    </row>
    <row r="12983" spans="1:38">
      <c r="A12983" s="182"/>
    </row>
    <row r="12984" spans="1:38">
      <c r="A12984" s="182"/>
    </row>
    <row r="12985" spans="1:38">
      <c r="A12985" s="182"/>
      <c r="AK12985" s="183"/>
      <c r="AL12985" s="183"/>
    </row>
    <row r="12986" spans="1:38">
      <c r="A12986" s="182"/>
      <c r="AJ12986" s="183"/>
      <c r="AK12986" s="183"/>
      <c r="AL12986" s="183"/>
    </row>
    <row r="12987" spans="1:38">
      <c r="A12987" s="182"/>
      <c r="AJ12987" s="183"/>
      <c r="AK12987" s="183"/>
      <c r="AL12987" s="183"/>
    </row>
    <row r="12988" spans="1:38">
      <c r="A12988" s="182"/>
      <c r="AJ12988" s="183"/>
      <c r="AK12988" s="183"/>
      <c r="AL12988" s="183"/>
    </row>
    <row r="12989" spans="1:38">
      <c r="A12989" s="182"/>
      <c r="AJ12989" s="183"/>
      <c r="AK12989" s="183"/>
      <c r="AL12989" s="183"/>
    </row>
    <row r="12990" spans="1:38">
      <c r="A12990" s="182"/>
      <c r="R12990" s="183"/>
      <c r="S12990" s="183"/>
      <c r="AJ12990" s="183"/>
      <c r="AK12990" s="183"/>
      <c r="AL12990" s="183"/>
    </row>
    <row r="12991" spans="1:38">
      <c r="A12991" s="182"/>
      <c r="Q12991" s="183"/>
      <c r="R12991" s="183"/>
      <c r="S12991" s="183"/>
      <c r="AJ12991" s="183"/>
      <c r="AK12991" s="183"/>
      <c r="AL12991" s="183"/>
    </row>
    <row r="12992" spans="1:38">
      <c r="A12992" s="182"/>
      <c r="Q12992" s="183"/>
      <c r="R12992" s="183"/>
      <c r="S12992" s="183"/>
      <c r="AJ12992" s="183"/>
      <c r="AK12992" s="183"/>
      <c r="AL12992" s="183"/>
    </row>
    <row r="12993" spans="1:36">
      <c r="A12993" s="182"/>
      <c r="Q12993" s="183"/>
      <c r="R12993" s="183"/>
      <c r="S12993" s="183"/>
      <c r="AJ12993" s="183"/>
    </row>
    <row r="12994" spans="1:36">
      <c r="A12994" s="182"/>
      <c r="Q12994" s="183"/>
      <c r="R12994" s="183"/>
      <c r="S12994" s="183"/>
    </row>
    <row r="12995" spans="1:36">
      <c r="A12995" s="182"/>
      <c r="Q12995" s="183"/>
      <c r="R12995" s="183"/>
      <c r="S12995" s="183"/>
    </row>
    <row r="12996" spans="1:36">
      <c r="A12996" s="182"/>
      <c r="Q12996" s="183"/>
      <c r="R12996" s="183"/>
      <c r="S12996" s="183"/>
    </row>
    <row r="12997" spans="1:36">
      <c r="A12997" s="182"/>
      <c r="Q12997" s="183"/>
      <c r="R12997" s="183"/>
      <c r="S12997" s="183"/>
    </row>
    <row r="12998" spans="1:36">
      <c r="A12998" s="182"/>
      <c r="Q12998" s="183"/>
    </row>
    <row r="12999" spans="1:36">
      <c r="A12999" s="182"/>
    </row>
    <row r="13000" spans="1:36">
      <c r="A13000" s="182"/>
    </row>
    <row r="13001" spans="1:36">
      <c r="A13001" s="182"/>
      <c r="R13001" s="183"/>
      <c r="S13001" s="183"/>
    </row>
    <row r="13002" spans="1:36">
      <c r="A13002" s="182"/>
      <c r="Q13002" s="183"/>
    </row>
    <row r="13003" spans="1:36">
      <c r="A13003" s="182"/>
      <c r="R13003" s="183"/>
      <c r="S13003" s="183"/>
    </row>
    <row r="13004" spans="1:36">
      <c r="A13004" s="182"/>
      <c r="Q13004" s="183"/>
    </row>
    <row r="13005" spans="1:36">
      <c r="A13005" s="182"/>
      <c r="R13005" s="183"/>
      <c r="S13005" s="183"/>
    </row>
    <row r="13006" spans="1:36">
      <c r="A13006" s="182"/>
      <c r="Q13006" s="183"/>
      <c r="R13006" s="183"/>
      <c r="S13006" s="183"/>
    </row>
    <row r="13007" spans="1:36">
      <c r="A13007" s="182"/>
      <c r="Q13007" s="183"/>
    </row>
    <row r="13008" spans="1:36">
      <c r="A13008" s="182"/>
    </row>
    <row r="13009" spans="1:38">
      <c r="A13009" s="182"/>
    </row>
    <row r="13010" spans="1:38">
      <c r="A13010" s="182"/>
    </row>
    <row r="13011" spans="1:38">
      <c r="A13011" s="182"/>
      <c r="R13011" s="183"/>
      <c r="S13011" s="183"/>
    </row>
    <row r="13012" spans="1:38">
      <c r="A13012" s="182"/>
      <c r="Q13012" s="183"/>
      <c r="R13012" s="183"/>
      <c r="S13012" s="183"/>
    </row>
    <row r="13013" spans="1:38">
      <c r="A13013" s="182"/>
      <c r="Q13013" s="183"/>
    </row>
    <row r="13014" spans="1:38">
      <c r="A13014" s="182"/>
    </row>
    <row r="13015" spans="1:38">
      <c r="A13015" s="182"/>
      <c r="R13015" s="183"/>
      <c r="S13015" s="183"/>
    </row>
    <row r="13016" spans="1:38">
      <c r="A13016" s="182"/>
      <c r="Q13016" s="183"/>
    </row>
    <row r="13017" spans="1:38">
      <c r="A13017" s="182"/>
      <c r="R13017" s="183"/>
      <c r="S13017" s="183"/>
    </row>
    <row r="13018" spans="1:38">
      <c r="A13018" s="182"/>
      <c r="Q13018" s="183"/>
      <c r="R13018" s="183"/>
      <c r="S13018" s="183"/>
    </row>
    <row r="13019" spans="1:38">
      <c r="A13019" s="182"/>
      <c r="Q13019" s="183"/>
      <c r="R13019" s="183"/>
      <c r="S13019" s="183"/>
    </row>
    <row r="13020" spans="1:38">
      <c r="A13020" s="182"/>
      <c r="Q13020" s="183"/>
    </row>
    <row r="13021" spans="1:38">
      <c r="A13021" s="182"/>
      <c r="R13021" s="183"/>
      <c r="S13021" s="183"/>
      <c r="AK13021" s="183"/>
      <c r="AL13021" s="183"/>
    </row>
    <row r="13022" spans="1:38">
      <c r="A13022" s="182"/>
      <c r="Q13022" s="183"/>
      <c r="AJ13022" s="183"/>
      <c r="AK13022" s="183"/>
      <c r="AL13022" s="183"/>
    </row>
    <row r="13023" spans="1:38">
      <c r="A13023" s="182"/>
      <c r="AJ13023" s="183"/>
      <c r="AK13023" s="183"/>
      <c r="AL13023" s="183"/>
    </row>
    <row r="13024" spans="1:38">
      <c r="A13024" s="182"/>
      <c r="AJ13024" s="183"/>
      <c r="AK13024" s="183"/>
      <c r="AL13024" s="183"/>
    </row>
    <row r="13025" spans="1:36">
      <c r="A13025" s="182"/>
      <c r="AJ13025" s="183"/>
    </row>
    <row r="13026" spans="1:36">
      <c r="A13026" s="182"/>
    </row>
    <row r="13027" spans="1:36">
      <c r="A13027" s="182"/>
    </row>
    <row r="13028" spans="1:36">
      <c r="A13028" s="182"/>
    </row>
    <row r="13029" spans="1:36">
      <c r="A13029" s="182"/>
    </row>
    <row r="13030" spans="1:36">
      <c r="A13030" s="182"/>
    </row>
    <row r="13031" spans="1:36">
      <c r="A13031" s="182"/>
    </row>
    <row r="13032" spans="1:36">
      <c r="A13032" s="182"/>
    </row>
    <row r="13033" spans="1:36">
      <c r="A13033" s="182"/>
    </row>
    <row r="13034" spans="1:36">
      <c r="A13034" s="182"/>
    </row>
    <row r="13035" spans="1:36">
      <c r="A13035" s="182"/>
    </row>
    <row r="13036" spans="1:36">
      <c r="A13036" s="182"/>
    </row>
    <row r="13037" spans="1:36">
      <c r="A13037" s="182"/>
    </row>
    <row r="13038" spans="1:36">
      <c r="A13038" s="182"/>
    </row>
    <row r="13039" spans="1:36">
      <c r="A13039" s="182"/>
    </row>
    <row r="13040" spans="1:36">
      <c r="A13040" s="182"/>
    </row>
    <row r="13041" spans="1:38">
      <c r="A13041" s="182"/>
      <c r="AK13041" s="183"/>
      <c r="AL13041" s="183"/>
    </row>
    <row r="13042" spans="1:38">
      <c r="A13042" s="182"/>
      <c r="AJ13042" s="183"/>
      <c r="AK13042" s="183"/>
      <c r="AL13042" s="183"/>
    </row>
    <row r="13043" spans="1:38">
      <c r="A13043" s="182"/>
      <c r="AJ13043" s="183"/>
      <c r="AK13043" s="183"/>
      <c r="AL13043" s="183"/>
    </row>
    <row r="13044" spans="1:38">
      <c r="A13044" s="182"/>
      <c r="AJ13044" s="183"/>
      <c r="AK13044" s="183"/>
      <c r="AL13044" s="183"/>
    </row>
    <row r="13045" spans="1:38">
      <c r="A13045" s="182"/>
      <c r="AJ13045" s="183"/>
    </row>
    <row r="13046" spans="1:38">
      <c r="A13046" s="182"/>
    </row>
    <row r="13047" spans="1:38">
      <c r="A13047" s="182"/>
    </row>
    <row r="13048" spans="1:38">
      <c r="A13048" s="182"/>
    </row>
    <row r="13049" spans="1:38">
      <c r="A13049" s="182"/>
    </row>
    <row r="13050" spans="1:38">
      <c r="A13050" s="182"/>
    </row>
    <row r="13051" spans="1:38">
      <c r="A13051" s="182"/>
    </row>
    <row r="13052" spans="1:38">
      <c r="A13052" s="182"/>
    </row>
    <row r="13053" spans="1:38">
      <c r="A13053" s="182"/>
    </row>
    <row r="13054" spans="1:38">
      <c r="A13054" s="182"/>
    </row>
    <row r="13055" spans="1:38">
      <c r="A13055" s="182"/>
    </row>
    <row r="13056" spans="1:38">
      <c r="A13056" s="182"/>
    </row>
    <row r="13057" spans="1:38">
      <c r="A13057" s="182"/>
    </row>
    <row r="13058" spans="1:38">
      <c r="A13058" s="182"/>
    </row>
    <row r="13059" spans="1:38">
      <c r="A13059" s="182"/>
    </row>
    <row r="13060" spans="1:38">
      <c r="A13060" s="182"/>
    </row>
    <row r="13061" spans="1:38">
      <c r="A13061" s="182"/>
    </row>
    <row r="13062" spans="1:38">
      <c r="A13062" s="182"/>
    </row>
    <row r="13063" spans="1:38">
      <c r="A13063" s="182"/>
    </row>
    <row r="13064" spans="1:38">
      <c r="A13064" s="182"/>
    </row>
    <row r="13065" spans="1:38">
      <c r="A13065" s="182"/>
      <c r="AK13065" s="183"/>
      <c r="AL13065" s="183"/>
    </row>
    <row r="13066" spans="1:38">
      <c r="A13066" s="182"/>
      <c r="AJ13066" s="183"/>
      <c r="AK13066" s="183"/>
      <c r="AL13066" s="183"/>
    </row>
    <row r="13067" spans="1:38">
      <c r="A13067" s="182"/>
      <c r="AJ13067" s="183"/>
      <c r="AK13067" s="183"/>
      <c r="AL13067" s="183"/>
    </row>
    <row r="13068" spans="1:38">
      <c r="A13068" s="182"/>
      <c r="AJ13068" s="183"/>
      <c r="AK13068" s="183"/>
      <c r="AL13068" s="183"/>
    </row>
    <row r="13069" spans="1:38">
      <c r="A13069" s="182"/>
      <c r="AJ13069" s="183"/>
    </row>
    <row r="13070" spans="1:38">
      <c r="A13070" s="182"/>
    </row>
    <row r="13071" spans="1:38">
      <c r="A13071" s="182"/>
    </row>
    <row r="13072" spans="1:38">
      <c r="A13072" s="182"/>
    </row>
    <row r="13073" spans="1:38">
      <c r="A13073" s="182"/>
    </row>
    <row r="13074" spans="1:38">
      <c r="A13074" s="182"/>
    </row>
    <row r="13075" spans="1:38">
      <c r="A13075" s="182"/>
    </row>
    <row r="13076" spans="1:38">
      <c r="A13076" s="182"/>
    </row>
    <row r="13077" spans="1:38">
      <c r="A13077" s="182"/>
    </row>
    <row r="13078" spans="1:38">
      <c r="A13078" s="182"/>
    </row>
    <row r="13079" spans="1:38">
      <c r="A13079" s="182"/>
    </row>
    <row r="13080" spans="1:38">
      <c r="A13080" s="182"/>
    </row>
    <row r="13081" spans="1:38">
      <c r="A13081" s="182"/>
    </row>
    <row r="13082" spans="1:38">
      <c r="A13082" s="182"/>
    </row>
    <row r="13083" spans="1:38">
      <c r="A13083" s="182"/>
      <c r="R13083" s="183"/>
      <c r="S13083" s="183"/>
    </row>
    <row r="13084" spans="1:38">
      <c r="A13084" s="182"/>
      <c r="Q13084" s="183"/>
      <c r="R13084" s="183"/>
      <c r="S13084" s="183"/>
    </row>
    <row r="13085" spans="1:38">
      <c r="A13085" s="182"/>
      <c r="Q13085" s="183"/>
      <c r="AK13085" s="183"/>
      <c r="AL13085" s="183"/>
    </row>
    <row r="13086" spans="1:38">
      <c r="A13086" s="182"/>
      <c r="AJ13086" s="183"/>
      <c r="AK13086" s="183"/>
      <c r="AL13086" s="183"/>
    </row>
    <row r="13087" spans="1:38">
      <c r="A13087" s="182"/>
      <c r="R13087" s="183"/>
      <c r="S13087" s="183"/>
      <c r="AJ13087" s="183"/>
      <c r="AK13087" s="183"/>
      <c r="AL13087" s="183"/>
    </row>
    <row r="13088" spans="1:38">
      <c r="A13088" s="182"/>
      <c r="Q13088" s="183"/>
      <c r="AJ13088" s="183"/>
      <c r="AK13088" s="183"/>
      <c r="AL13088" s="183"/>
    </row>
    <row r="13089" spans="1:36">
      <c r="A13089" s="182"/>
      <c r="R13089" s="183"/>
      <c r="S13089" s="183"/>
      <c r="AJ13089" s="183"/>
    </row>
    <row r="13090" spans="1:36">
      <c r="A13090" s="182"/>
      <c r="Q13090" s="183"/>
    </row>
    <row r="13091" spans="1:36">
      <c r="A13091" s="182"/>
    </row>
    <row r="13092" spans="1:36">
      <c r="A13092" s="182"/>
    </row>
    <row r="13093" spans="1:36">
      <c r="A13093" s="182"/>
    </row>
    <row r="13094" spans="1:36">
      <c r="A13094" s="182"/>
    </row>
    <row r="13095" spans="1:36">
      <c r="A13095" s="182"/>
      <c r="R13095" s="183"/>
      <c r="S13095" s="183"/>
    </row>
    <row r="13096" spans="1:36">
      <c r="A13096" s="182"/>
      <c r="Q13096" s="183"/>
    </row>
    <row r="13097" spans="1:36">
      <c r="A13097" s="182"/>
    </row>
    <row r="13098" spans="1:36">
      <c r="A13098" s="182"/>
    </row>
    <row r="13099" spans="1:36">
      <c r="A13099" s="182"/>
      <c r="R13099" s="183"/>
      <c r="S13099" s="183"/>
    </row>
    <row r="13100" spans="1:36">
      <c r="A13100" s="182"/>
      <c r="Q13100" s="183"/>
      <c r="R13100" s="183"/>
      <c r="S13100" s="183"/>
    </row>
    <row r="13101" spans="1:36">
      <c r="A13101" s="182"/>
      <c r="Q13101" s="183"/>
    </row>
    <row r="13102" spans="1:36">
      <c r="A13102" s="182"/>
    </row>
    <row r="13103" spans="1:36">
      <c r="A13103" s="182"/>
      <c r="R13103" s="183"/>
      <c r="S13103" s="183"/>
    </row>
    <row r="13104" spans="1:36">
      <c r="A13104" s="182"/>
      <c r="Q13104" s="183"/>
    </row>
    <row r="13105" spans="1:38">
      <c r="A13105" s="182"/>
      <c r="R13105" s="183"/>
      <c r="S13105" s="183"/>
    </row>
    <row r="13106" spans="1:38">
      <c r="A13106" s="182"/>
      <c r="Q13106" s="183"/>
      <c r="R13106" s="183"/>
      <c r="S13106" s="183"/>
    </row>
    <row r="13107" spans="1:38">
      <c r="A13107" s="182"/>
      <c r="Q13107" s="183"/>
      <c r="R13107" s="183"/>
      <c r="S13107" s="183"/>
    </row>
    <row r="13108" spans="1:38">
      <c r="A13108" s="182"/>
      <c r="Q13108" s="183"/>
      <c r="R13108" s="183"/>
      <c r="S13108" s="183"/>
    </row>
    <row r="13109" spans="1:38">
      <c r="A13109" s="182"/>
      <c r="Q13109" s="183"/>
      <c r="R13109" s="183"/>
      <c r="S13109" s="183"/>
    </row>
    <row r="13110" spans="1:38">
      <c r="A13110" s="182"/>
      <c r="Q13110" s="183"/>
    </row>
    <row r="13111" spans="1:38">
      <c r="A13111" s="182"/>
      <c r="R13111" s="183"/>
      <c r="S13111" s="183"/>
    </row>
    <row r="13112" spans="1:38">
      <c r="A13112" s="182"/>
      <c r="Q13112" s="183"/>
      <c r="R13112" s="183"/>
      <c r="S13112" s="183"/>
    </row>
    <row r="13113" spans="1:38">
      <c r="A13113" s="182"/>
      <c r="Q13113" s="183"/>
      <c r="AK13113" s="183"/>
      <c r="AL13113" s="183"/>
    </row>
    <row r="13114" spans="1:38">
      <c r="A13114" s="182"/>
      <c r="AJ13114" s="183"/>
      <c r="AK13114" s="183"/>
      <c r="AL13114" s="183"/>
    </row>
    <row r="13115" spans="1:38">
      <c r="A13115" s="182"/>
      <c r="AJ13115" s="183"/>
      <c r="AK13115" s="183"/>
      <c r="AL13115" s="183"/>
    </row>
    <row r="13116" spans="1:38">
      <c r="A13116" s="182"/>
      <c r="AJ13116" s="183"/>
      <c r="AK13116" s="183"/>
      <c r="AL13116" s="183"/>
    </row>
    <row r="13117" spans="1:38">
      <c r="A13117" s="182"/>
      <c r="AJ13117" s="183"/>
    </row>
    <row r="13118" spans="1:38">
      <c r="A13118" s="182"/>
    </row>
    <row r="13119" spans="1:38">
      <c r="A13119" s="182"/>
    </row>
    <row r="13120" spans="1:38">
      <c r="A13120" s="182"/>
    </row>
    <row r="13121" spans="1:1">
      <c r="A13121" s="182"/>
    </row>
    <row r="13122" spans="1:1">
      <c r="A13122" s="182"/>
    </row>
    <row r="13123" spans="1:1">
      <c r="A13123" s="182"/>
    </row>
    <row r="13124" spans="1:1">
      <c r="A13124" s="182"/>
    </row>
    <row r="13125" spans="1:1">
      <c r="A13125" s="182"/>
    </row>
    <row r="13126" spans="1:1">
      <c r="A13126" s="182"/>
    </row>
    <row r="13127" spans="1:1">
      <c r="A13127" s="182"/>
    </row>
    <row r="13128" spans="1:1">
      <c r="A13128" s="182"/>
    </row>
    <row r="13129" spans="1:1">
      <c r="A13129" s="182"/>
    </row>
    <row r="13130" spans="1:1">
      <c r="A13130" s="182"/>
    </row>
    <row r="13131" spans="1:1">
      <c r="A13131" s="182"/>
    </row>
    <row r="13132" spans="1:1">
      <c r="A13132" s="182"/>
    </row>
    <row r="13133" spans="1:1">
      <c r="A13133" s="182"/>
    </row>
    <row r="13134" spans="1:1">
      <c r="A13134" s="182"/>
    </row>
    <row r="13135" spans="1:1">
      <c r="A13135" s="182"/>
    </row>
    <row r="13136" spans="1:1">
      <c r="A13136" s="182"/>
    </row>
    <row r="13137" spans="1:1">
      <c r="A13137" s="182"/>
    </row>
    <row r="13138" spans="1:1">
      <c r="A13138" s="182"/>
    </row>
    <row r="13139" spans="1:1">
      <c r="A13139" s="182"/>
    </row>
    <row r="13140" spans="1:1">
      <c r="A13140" s="182"/>
    </row>
    <row r="13141" spans="1:1">
      <c r="A13141" s="182"/>
    </row>
    <row r="13142" spans="1:1">
      <c r="A13142" s="182"/>
    </row>
    <row r="13143" spans="1:1">
      <c r="A13143" s="182"/>
    </row>
    <row r="13144" spans="1:1">
      <c r="A13144" s="182"/>
    </row>
    <row r="13145" spans="1:1">
      <c r="A13145" s="182"/>
    </row>
    <row r="13146" spans="1:1">
      <c r="A13146" s="182"/>
    </row>
    <row r="13147" spans="1:1">
      <c r="A13147" s="182"/>
    </row>
    <row r="13148" spans="1:1">
      <c r="A13148" s="182"/>
    </row>
    <row r="13149" spans="1:1">
      <c r="A13149" s="182"/>
    </row>
    <row r="13150" spans="1:1">
      <c r="A13150" s="182"/>
    </row>
    <row r="13151" spans="1:1">
      <c r="A13151" s="182"/>
    </row>
    <row r="13152" spans="1:1">
      <c r="A13152" s="182"/>
    </row>
    <row r="13153" spans="1:1">
      <c r="A13153" s="182"/>
    </row>
    <row r="13154" spans="1:1">
      <c r="A13154" s="182"/>
    </row>
    <row r="13155" spans="1:1">
      <c r="A13155" s="182"/>
    </row>
    <row r="13156" spans="1:1">
      <c r="A13156" s="182"/>
    </row>
    <row r="13157" spans="1:1">
      <c r="A13157" s="182"/>
    </row>
    <row r="13158" spans="1:1">
      <c r="A13158" s="182"/>
    </row>
    <row r="13159" spans="1:1">
      <c r="A13159" s="182"/>
    </row>
    <row r="13160" spans="1:1">
      <c r="A13160" s="182"/>
    </row>
    <row r="13161" spans="1:1">
      <c r="A13161" s="182"/>
    </row>
    <row r="13162" spans="1:1">
      <c r="A13162" s="182"/>
    </row>
    <row r="13163" spans="1:1">
      <c r="A13163" s="182"/>
    </row>
    <row r="13164" spans="1:1">
      <c r="A13164" s="182"/>
    </row>
    <row r="13165" spans="1:1">
      <c r="A13165" s="182"/>
    </row>
    <row r="13166" spans="1:1">
      <c r="A13166" s="182"/>
    </row>
    <row r="13167" spans="1:1">
      <c r="A13167" s="182"/>
    </row>
    <row r="13168" spans="1:1">
      <c r="A13168" s="182"/>
    </row>
    <row r="13169" spans="1:19">
      <c r="A13169" s="182"/>
    </row>
    <row r="13170" spans="1:19">
      <c r="A13170" s="182"/>
    </row>
    <row r="13171" spans="1:19">
      <c r="A13171" s="182"/>
    </row>
    <row r="13172" spans="1:19">
      <c r="A13172" s="182"/>
    </row>
    <row r="13173" spans="1:19">
      <c r="A13173" s="182"/>
    </row>
    <row r="13174" spans="1:19">
      <c r="A13174" s="182"/>
    </row>
    <row r="13175" spans="1:19">
      <c r="A13175" s="182"/>
    </row>
    <row r="13176" spans="1:19">
      <c r="A13176" s="182"/>
    </row>
    <row r="13177" spans="1:19">
      <c r="A13177" s="182"/>
    </row>
    <row r="13178" spans="1:19">
      <c r="A13178" s="182"/>
    </row>
    <row r="13179" spans="1:19">
      <c r="A13179" s="182"/>
    </row>
    <row r="13180" spans="1:19">
      <c r="A13180" s="182"/>
    </row>
    <row r="13181" spans="1:19">
      <c r="A13181" s="182"/>
      <c r="R13181" s="183"/>
      <c r="S13181" s="183"/>
    </row>
    <row r="13182" spans="1:19">
      <c r="A13182" s="182"/>
      <c r="Q13182" s="183"/>
      <c r="R13182" s="183"/>
      <c r="S13182" s="183"/>
    </row>
    <row r="13183" spans="1:19">
      <c r="A13183" s="182"/>
      <c r="Q13183" s="183"/>
    </row>
    <row r="13184" spans="1:19">
      <c r="A13184" s="182"/>
    </row>
    <row r="13185" spans="1:19">
      <c r="A13185" s="182"/>
    </row>
    <row r="13186" spans="1:19">
      <c r="A13186" s="182"/>
    </row>
    <row r="13187" spans="1:19">
      <c r="A13187" s="182"/>
      <c r="R13187" s="183"/>
      <c r="S13187" s="183"/>
    </row>
    <row r="13188" spans="1:19">
      <c r="A13188" s="182"/>
      <c r="Q13188" s="183"/>
    </row>
    <row r="13189" spans="1:19">
      <c r="A13189" s="182"/>
    </row>
    <row r="13190" spans="1:19">
      <c r="A13190" s="182"/>
      <c r="R13190" s="183"/>
      <c r="S13190" s="183"/>
    </row>
    <row r="13191" spans="1:19">
      <c r="A13191" s="182"/>
      <c r="Q13191" s="183"/>
      <c r="R13191" s="183"/>
      <c r="S13191" s="183"/>
    </row>
    <row r="13192" spans="1:19">
      <c r="A13192" s="182"/>
      <c r="Q13192" s="183"/>
      <c r="R13192" s="183"/>
      <c r="S13192" s="183"/>
    </row>
    <row r="13193" spans="1:19">
      <c r="A13193" s="182"/>
      <c r="Q13193" s="183"/>
      <c r="R13193" s="183"/>
      <c r="S13193" s="183"/>
    </row>
    <row r="13194" spans="1:19">
      <c r="A13194" s="182"/>
      <c r="Q13194" s="183"/>
    </row>
    <row r="13195" spans="1:19">
      <c r="A13195" s="182"/>
    </row>
    <row r="13196" spans="1:19">
      <c r="A13196" s="182"/>
    </row>
    <row r="13197" spans="1:19">
      <c r="A13197" s="182"/>
    </row>
    <row r="13198" spans="1:19">
      <c r="A13198" s="182"/>
    </row>
    <row r="13199" spans="1:19">
      <c r="A13199" s="182"/>
    </row>
    <row r="13200" spans="1:19">
      <c r="A13200" s="182"/>
    </row>
    <row r="13201" spans="1:1">
      <c r="A13201" s="182"/>
    </row>
    <row r="13202" spans="1:1">
      <c r="A13202" s="182"/>
    </row>
    <row r="13203" spans="1:1">
      <c r="A13203" s="182"/>
    </row>
    <row r="13204" spans="1:1">
      <c r="A13204" s="182"/>
    </row>
    <row r="13205" spans="1:1">
      <c r="A13205" s="182"/>
    </row>
    <row r="13206" spans="1:1">
      <c r="A13206" s="182"/>
    </row>
    <row r="13207" spans="1:1">
      <c r="A13207" s="182"/>
    </row>
    <row r="13208" spans="1:1">
      <c r="A13208" s="182"/>
    </row>
    <row r="13209" spans="1:1">
      <c r="A13209" s="182"/>
    </row>
    <row r="13210" spans="1:1">
      <c r="A13210" s="182"/>
    </row>
    <row r="13211" spans="1:1">
      <c r="A13211" s="182"/>
    </row>
    <row r="13212" spans="1:1">
      <c r="A13212" s="182"/>
    </row>
    <row r="13213" spans="1:1">
      <c r="A13213" s="182"/>
    </row>
    <row r="13214" spans="1:1">
      <c r="A13214" s="182"/>
    </row>
    <row r="13215" spans="1:1">
      <c r="A13215" s="182"/>
    </row>
    <row r="13216" spans="1:1">
      <c r="A13216" s="182"/>
    </row>
    <row r="13217" spans="1:1">
      <c r="A13217" s="182"/>
    </row>
    <row r="13218" spans="1:1">
      <c r="A13218" s="182"/>
    </row>
    <row r="13219" spans="1:1">
      <c r="A13219" s="182"/>
    </row>
    <row r="13220" spans="1:1">
      <c r="A13220" s="182"/>
    </row>
    <row r="13221" spans="1:1">
      <c r="A13221" s="182"/>
    </row>
    <row r="13222" spans="1:1">
      <c r="A13222" s="182"/>
    </row>
    <row r="13223" spans="1:1">
      <c r="A13223" s="182"/>
    </row>
    <row r="13224" spans="1:1">
      <c r="A13224" s="182"/>
    </row>
    <row r="13225" spans="1:1">
      <c r="A13225" s="182"/>
    </row>
    <row r="13226" spans="1:1">
      <c r="A13226" s="182"/>
    </row>
    <row r="13227" spans="1:1">
      <c r="A13227" s="182"/>
    </row>
    <row r="13228" spans="1:1">
      <c r="A13228" s="182"/>
    </row>
    <row r="13229" spans="1:1">
      <c r="A13229" s="182"/>
    </row>
    <row r="13230" spans="1:1">
      <c r="A13230" s="182"/>
    </row>
    <row r="13231" spans="1:1">
      <c r="A13231" s="182"/>
    </row>
    <row r="13232" spans="1:1">
      <c r="A13232" s="182"/>
    </row>
    <row r="13233" spans="1:1">
      <c r="A13233" s="182"/>
    </row>
    <row r="13234" spans="1:1">
      <c r="A13234" s="182"/>
    </row>
    <row r="13235" spans="1:1">
      <c r="A13235" s="182"/>
    </row>
    <row r="13236" spans="1:1">
      <c r="A13236" s="182"/>
    </row>
    <row r="13237" spans="1:1">
      <c r="A13237" s="182"/>
    </row>
    <row r="13238" spans="1:1">
      <c r="A13238" s="182"/>
    </row>
    <row r="13239" spans="1:1">
      <c r="A13239" s="182"/>
    </row>
    <row r="13240" spans="1:1">
      <c r="A13240" s="182"/>
    </row>
    <row r="13241" spans="1:1">
      <c r="A13241" s="182"/>
    </row>
    <row r="13242" spans="1:1">
      <c r="A13242" s="182"/>
    </row>
    <row r="13243" spans="1:1">
      <c r="A13243" s="182"/>
    </row>
    <row r="13244" spans="1:1">
      <c r="A13244" s="182"/>
    </row>
    <row r="13245" spans="1:1">
      <c r="A13245" s="182"/>
    </row>
    <row r="13246" spans="1:1">
      <c r="A13246" s="182"/>
    </row>
    <row r="13247" spans="1:1">
      <c r="A13247" s="182"/>
    </row>
    <row r="13248" spans="1:1">
      <c r="A13248" s="182"/>
    </row>
    <row r="13249" spans="1:1">
      <c r="A13249" s="182"/>
    </row>
    <row r="13250" spans="1:1">
      <c r="A13250" s="182"/>
    </row>
    <row r="13251" spans="1:1">
      <c r="A13251" s="182"/>
    </row>
    <row r="13252" spans="1:1">
      <c r="A13252" s="182"/>
    </row>
    <row r="13253" spans="1:1">
      <c r="A13253" s="182"/>
    </row>
    <row r="13254" spans="1:1">
      <c r="A13254" s="182"/>
    </row>
    <row r="13255" spans="1:1">
      <c r="A13255" s="182"/>
    </row>
    <row r="13256" spans="1:1">
      <c r="A13256" s="182"/>
    </row>
    <row r="13257" spans="1:1">
      <c r="A13257" s="182"/>
    </row>
    <row r="13258" spans="1:1">
      <c r="A13258" s="182"/>
    </row>
    <row r="13259" spans="1:1">
      <c r="A13259" s="182"/>
    </row>
    <row r="13260" spans="1:1">
      <c r="A13260" s="182"/>
    </row>
    <row r="13261" spans="1:1">
      <c r="A13261" s="182"/>
    </row>
    <row r="13262" spans="1:1">
      <c r="A13262" s="182"/>
    </row>
    <row r="13263" spans="1:1">
      <c r="A13263" s="182"/>
    </row>
    <row r="13264" spans="1:1">
      <c r="A13264" s="182"/>
    </row>
    <row r="13265" spans="1:38">
      <c r="A13265" s="182"/>
    </row>
    <row r="13266" spans="1:38">
      <c r="A13266" s="182"/>
    </row>
    <row r="13267" spans="1:38">
      <c r="A13267" s="182"/>
    </row>
    <row r="13268" spans="1:38">
      <c r="A13268" s="182"/>
    </row>
    <row r="13269" spans="1:38">
      <c r="A13269" s="182"/>
    </row>
    <row r="13270" spans="1:38">
      <c r="A13270" s="182"/>
    </row>
    <row r="13271" spans="1:38">
      <c r="A13271" s="182"/>
    </row>
    <row r="13272" spans="1:38">
      <c r="A13272" s="182"/>
    </row>
    <row r="13273" spans="1:38">
      <c r="A13273" s="182"/>
      <c r="AK13273" s="183"/>
      <c r="AL13273" s="183"/>
    </row>
    <row r="13274" spans="1:38">
      <c r="A13274" s="182"/>
      <c r="AJ13274" s="183"/>
      <c r="AK13274" s="183"/>
      <c r="AL13274" s="183"/>
    </row>
    <row r="13275" spans="1:38">
      <c r="A13275" s="182"/>
      <c r="AJ13275" s="183"/>
      <c r="AK13275" s="183"/>
      <c r="AL13275" s="183"/>
    </row>
    <row r="13276" spans="1:38">
      <c r="A13276" s="182"/>
      <c r="AJ13276" s="183"/>
      <c r="AK13276" s="183"/>
      <c r="AL13276" s="183"/>
    </row>
    <row r="13277" spans="1:38">
      <c r="A13277" s="182"/>
      <c r="AJ13277" s="183"/>
    </row>
    <row r="13278" spans="1:38">
      <c r="A13278" s="182"/>
      <c r="R13278" s="183"/>
      <c r="S13278" s="183"/>
    </row>
    <row r="13279" spans="1:38">
      <c r="A13279" s="182"/>
      <c r="Q13279" s="183"/>
    </row>
    <row r="13280" spans="1:38">
      <c r="A13280" s="182"/>
    </row>
    <row r="13281" spans="1:19">
      <c r="A13281" s="182"/>
      <c r="R13281" s="183"/>
      <c r="S13281" s="183"/>
    </row>
    <row r="13282" spans="1:19">
      <c r="A13282" s="182"/>
      <c r="Q13282" s="183"/>
      <c r="R13282" s="183"/>
      <c r="S13282" s="183"/>
    </row>
    <row r="13283" spans="1:19">
      <c r="A13283" s="182"/>
      <c r="Q13283" s="183"/>
      <c r="R13283" s="183"/>
      <c r="S13283" s="183"/>
    </row>
    <row r="13284" spans="1:19">
      <c r="A13284" s="182"/>
      <c r="Q13284" s="183"/>
      <c r="R13284" s="183"/>
      <c r="S13284" s="183"/>
    </row>
    <row r="13285" spans="1:19">
      <c r="A13285" s="182"/>
      <c r="Q13285" s="183"/>
      <c r="R13285" s="183"/>
      <c r="S13285" s="183"/>
    </row>
    <row r="13286" spans="1:19">
      <c r="A13286" s="182"/>
      <c r="Q13286" s="183"/>
    </row>
    <row r="13287" spans="1:19">
      <c r="A13287" s="182"/>
      <c r="R13287" s="183"/>
      <c r="S13287" s="183"/>
    </row>
    <row r="13288" spans="1:19">
      <c r="A13288" s="182"/>
      <c r="Q13288" s="183"/>
      <c r="R13288" s="183"/>
      <c r="S13288" s="183"/>
    </row>
    <row r="13289" spans="1:19">
      <c r="A13289" s="182"/>
      <c r="Q13289" s="183"/>
    </row>
    <row r="13290" spans="1:19">
      <c r="A13290" s="182"/>
      <c r="R13290" s="183"/>
      <c r="S13290" s="183"/>
    </row>
    <row r="13291" spans="1:19">
      <c r="A13291" s="182"/>
      <c r="Q13291" s="183"/>
      <c r="R13291" s="183"/>
      <c r="S13291" s="183"/>
    </row>
    <row r="13292" spans="1:19">
      <c r="A13292" s="182"/>
      <c r="Q13292" s="183"/>
      <c r="R13292" s="183"/>
      <c r="S13292" s="183"/>
    </row>
    <row r="13293" spans="1:19">
      <c r="A13293" s="182"/>
      <c r="Q13293" s="183"/>
    </row>
    <row r="13294" spans="1:19">
      <c r="A13294" s="182"/>
    </row>
    <row r="13295" spans="1:19">
      <c r="A13295" s="182"/>
      <c r="R13295" s="183"/>
      <c r="S13295" s="183"/>
    </row>
    <row r="13296" spans="1:19">
      <c r="A13296" s="182"/>
      <c r="Q13296" s="183"/>
    </row>
    <row r="13297" spans="1:19">
      <c r="A13297" s="182"/>
      <c r="R13297" s="183"/>
      <c r="S13297" s="183"/>
    </row>
    <row r="13298" spans="1:19">
      <c r="A13298" s="182"/>
      <c r="Q13298" s="183"/>
      <c r="R13298" s="183"/>
      <c r="S13298" s="183"/>
    </row>
    <row r="13299" spans="1:19">
      <c r="A13299" s="182"/>
      <c r="Q13299" s="183"/>
      <c r="R13299" s="183"/>
      <c r="S13299" s="183"/>
    </row>
    <row r="13300" spans="1:19">
      <c r="A13300" s="182"/>
      <c r="Q13300" s="183"/>
      <c r="R13300" s="183"/>
      <c r="S13300" s="183"/>
    </row>
    <row r="13301" spans="1:19">
      <c r="A13301" s="182"/>
      <c r="Q13301" s="183"/>
      <c r="R13301" s="183"/>
      <c r="S13301" s="183"/>
    </row>
    <row r="13302" spans="1:19">
      <c r="A13302" s="182"/>
      <c r="Q13302" s="183"/>
    </row>
    <row r="13303" spans="1:19">
      <c r="A13303" s="182"/>
    </row>
    <row r="13304" spans="1:19">
      <c r="A13304" s="182"/>
    </row>
    <row r="13305" spans="1:19">
      <c r="A13305" s="182"/>
    </row>
    <row r="13306" spans="1:19">
      <c r="A13306" s="182"/>
      <c r="R13306" s="183"/>
      <c r="S13306" s="183"/>
    </row>
    <row r="13307" spans="1:19">
      <c r="A13307" s="182"/>
      <c r="Q13307" s="183"/>
      <c r="R13307" s="183"/>
      <c r="S13307" s="183"/>
    </row>
    <row r="13308" spans="1:19">
      <c r="A13308" s="182"/>
      <c r="Q13308" s="183"/>
      <c r="R13308" s="183"/>
      <c r="S13308" s="183"/>
    </row>
    <row r="13309" spans="1:19">
      <c r="A13309" s="182"/>
      <c r="Q13309" s="183"/>
    </row>
    <row r="13310" spans="1:19">
      <c r="A13310" s="182"/>
    </row>
    <row r="13311" spans="1:19">
      <c r="A13311" s="182"/>
      <c r="R13311" s="183"/>
      <c r="S13311" s="183"/>
    </row>
    <row r="13312" spans="1:19">
      <c r="A13312" s="182"/>
      <c r="Q13312" s="183"/>
      <c r="R13312" s="183"/>
      <c r="S13312" s="183"/>
    </row>
    <row r="13313" spans="1:38">
      <c r="A13313" s="182"/>
      <c r="Q13313" s="183"/>
      <c r="R13313" s="183"/>
      <c r="S13313" s="183"/>
    </row>
    <row r="13314" spans="1:38">
      <c r="A13314" s="182"/>
      <c r="Q13314" s="183"/>
      <c r="R13314" s="183"/>
      <c r="S13314" s="183"/>
    </row>
    <row r="13315" spans="1:38">
      <c r="A13315" s="182"/>
      <c r="Q13315" s="183"/>
      <c r="R13315" s="183"/>
      <c r="S13315" s="183"/>
    </row>
    <row r="13316" spans="1:38">
      <c r="A13316" s="182"/>
      <c r="Q13316" s="183"/>
      <c r="R13316" s="183"/>
      <c r="S13316" s="183"/>
    </row>
    <row r="13317" spans="1:38">
      <c r="A13317" s="182"/>
      <c r="Q13317" s="183"/>
      <c r="R13317" s="183"/>
      <c r="S13317" s="183"/>
    </row>
    <row r="13318" spans="1:38">
      <c r="A13318" s="182"/>
      <c r="Q13318" s="183"/>
      <c r="R13318" s="183"/>
      <c r="S13318" s="183"/>
    </row>
    <row r="13319" spans="1:38">
      <c r="A13319" s="182"/>
      <c r="Q13319" s="183"/>
      <c r="R13319" s="183"/>
      <c r="S13319" s="183"/>
    </row>
    <row r="13320" spans="1:38">
      <c r="A13320" s="182"/>
      <c r="Q13320" s="183"/>
      <c r="R13320" s="183"/>
      <c r="S13320" s="183"/>
    </row>
    <row r="13321" spans="1:38">
      <c r="A13321" s="182"/>
      <c r="Q13321" s="183"/>
      <c r="AK13321" s="183"/>
      <c r="AL13321" s="183"/>
    </row>
    <row r="13322" spans="1:38">
      <c r="A13322" s="182"/>
      <c r="AJ13322" s="183"/>
      <c r="AK13322" s="183"/>
      <c r="AL13322" s="183"/>
    </row>
    <row r="13323" spans="1:38">
      <c r="A13323" s="182"/>
      <c r="AJ13323" s="183"/>
      <c r="AK13323" s="183"/>
      <c r="AL13323" s="183"/>
    </row>
    <row r="13324" spans="1:38">
      <c r="A13324" s="182"/>
      <c r="AJ13324" s="183"/>
      <c r="AK13324" s="183"/>
      <c r="AL13324" s="183"/>
    </row>
    <row r="13325" spans="1:38">
      <c r="A13325" s="182"/>
      <c r="AJ13325" s="183"/>
    </row>
    <row r="13326" spans="1:38">
      <c r="A13326" s="182"/>
    </row>
    <row r="13327" spans="1:38">
      <c r="A13327" s="182"/>
    </row>
    <row r="13328" spans="1:38">
      <c r="A13328" s="182"/>
    </row>
    <row r="13329" spans="1:19">
      <c r="A13329" s="182"/>
    </row>
    <row r="13330" spans="1:19">
      <c r="A13330" s="182"/>
    </row>
    <row r="13331" spans="1:19">
      <c r="A13331" s="182"/>
    </row>
    <row r="13332" spans="1:19">
      <c r="A13332" s="182"/>
      <c r="R13332" s="183"/>
      <c r="S13332" s="183"/>
    </row>
    <row r="13333" spans="1:19">
      <c r="A13333" s="182"/>
      <c r="Q13333" s="183"/>
    </row>
    <row r="13334" spans="1:19">
      <c r="A13334" s="182"/>
      <c r="R13334" s="183"/>
      <c r="S13334" s="183"/>
    </row>
    <row r="13335" spans="1:19">
      <c r="A13335" s="182"/>
      <c r="Q13335" s="183"/>
      <c r="R13335" s="183"/>
      <c r="S13335" s="183"/>
    </row>
    <row r="13336" spans="1:19">
      <c r="A13336" s="182"/>
      <c r="Q13336" s="183"/>
      <c r="R13336" s="183"/>
      <c r="S13336" s="183"/>
    </row>
    <row r="13337" spans="1:19">
      <c r="A13337" s="182"/>
      <c r="Q13337" s="183"/>
      <c r="R13337" s="183"/>
      <c r="S13337" s="183"/>
    </row>
    <row r="13338" spans="1:19">
      <c r="A13338" s="182"/>
      <c r="Q13338" s="183"/>
      <c r="R13338" s="183"/>
      <c r="S13338" s="183"/>
    </row>
    <row r="13339" spans="1:19">
      <c r="A13339" s="182"/>
      <c r="Q13339" s="183"/>
      <c r="R13339" s="183"/>
      <c r="S13339" s="183"/>
    </row>
    <row r="13340" spans="1:19">
      <c r="A13340" s="182"/>
      <c r="Q13340" s="183"/>
      <c r="R13340" s="183"/>
      <c r="S13340" s="183"/>
    </row>
    <row r="13341" spans="1:19">
      <c r="A13341" s="182"/>
      <c r="Q13341" s="183"/>
      <c r="R13341" s="183"/>
      <c r="S13341" s="183"/>
    </row>
    <row r="13342" spans="1:19">
      <c r="A13342" s="182"/>
      <c r="Q13342" s="183"/>
      <c r="R13342" s="183"/>
      <c r="S13342" s="183"/>
    </row>
    <row r="13343" spans="1:19">
      <c r="A13343" s="182"/>
      <c r="Q13343" s="183"/>
      <c r="R13343" s="183"/>
      <c r="S13343" s="183"/>
    </row>
    <row r="13344" spans="1:19">
      <c r="A13344" s="182"/>
      <c r="Q13344" s="183"/>
      <c r="R13344" s="183"/>
      <c r="S13344" s="183"/>
    </row>
    <row r="13345" spans="1:38">
      <c r="A13345" s="182"/>
      <c r="Q13345" s="183"/>
      <c r="R13345" s="183"/>
      <c r="S13345" s="183"/>
    </row>
    <row r="13346" spans="1:38">
      <c r="A13346" s="182"/>
      <c r="Q13346" s="183"/>
      <c r="R13346" s="183"/>
      <c r="S13346" s="183"/>
    </row>
    <row r="13347" spans="1:38">
      <c r="A13347" s="182"/>
      <c r="Q13347" s="183"/>
      <c r="R13347" s="183"/>
      <c r="S13347" s="183"/>
    </row>
    <row r="13348" spans="1:38">
      <c r="A13348" s="182"/>
      <c r="Q13348" s="183"/>
      <c r="R13348" s="183"/>
      <c r="S13348" s="183"/>
    </row>
    <row r="13349" spans="1:38">
      <c r="A13349" s="182"/>
      <c r="Q13349" s="183"/>
      <c r="R13349" s="183"/>
      <c r="S13349" s="183"/>
      <c r="AK13349" s="183"/>
      <c r="AL13349" s="183"/>
    </row>
    <row r="13350" spans="1:38">
      <c r="A13350" s="182"/>
      <c r="Q13350" s="183"/>
      <c r="R13350" s="183"/>
      <c r="S13350" s="183"/>
      <c r="AJ13350" s="183"/>
      <c r="AK13350" s="183"/>
      <c r="AL13350" s="183"/>
    </row>
    <row r="13351" spans="1:38">
      <c r="A13351" s="182"/>
      <c r="Q13351" s="183"/>
      <c r="R13351" s="183"/>
      <c r="S13351" s="183"/>
      <c r="AJ13351" s="183"/>
      <c r="AK13351" s="183"/>
      <c r="AL13351" s="183"/>
    </row>
    <row r="13352" spans="1:38">
      <c r="A13352" s="182"/>
      <c r="Q13352" s="183"/>
      <c r="R13352" s="183"/>
      <c r="S13352" s="183"/>
      <c r="AJ13352" s="183"/>
      <c r="AK13352" s="183"/>
      <c r="AL13352" s="183"/>
    </row>
    <row r="13353" spans="1:38">
      <c r="A13353" s="182"/>
      <c r="Q13353" s="183"/>
      <c r="R13353" s="183"/>
      <c r="S13353" s="183"/>
      <c r="AJ13353" s="183"/>
    </row>
    <row r="13354" spans="1:38">
      <c r="A13354" s="182"/>
      <c r="Q13354" s="183"/>
      <c r="R13354" s="183"/>
      <c r="S13354" s="183"/>
    </row>
    <row r="13355" spans="1:38">
      <c r="A13355" s="182"/>
      <c r="Q13355" s="183"/>
      <c r="R13355" s="183"/>
      <c r="S13355" s="183"/>
    </row>
    <row r="13356" spans="1:38">
      <c r="A13356" s="182"/>
      <c r="Q13356" s="183"/>
      <c r="R13356" s="183"/>
      <c r="S13356" s="183"/>
    </row>
    <row r="13357" spans="1:38">
      <c r="A13357" s="182"/>
      <c r="Q13357" s="183"/>
      <c r="R13357" s="183"/>
      <c r="S13357" s="183"/>
    </row>
    <row r="13358" spans="1:38">
      <c r="A13358" s="182"/>
      <c r="Q13358" s="183"/>
      <c r="R13358" s="183"/>
      <c r="S13358" s="183"/>
    </row>
    <row r="13359" spans="1:38">
      <c r="A13359" s="182"/>
      <c r="Q13359" s="183"/>
      <c r="R13359" s="183"/>
      <c r="S13359" s="183"/>
    </row>
    <row r="13360" spans="1:38">
      <c r="A13360" s="182"/>
      <c r="Q13360" s="183"/>
      <c r="R13360" s="183"/>
      <c r="S13360" s="183"/>
    </row>
    <row r="13361" spans="1:38">
      <c r="A13361" s="182"/>
      <c r="Q13361" s="183"/>
    </row>
    <row r="13362" spans="1:38">
      <c r="A13362" s="182"/>
    </row>
    <row r="13363" spans="1:38">
      <c r="A13363" s="182"/>
    </row>
    <row r="13364" spans="1:38">
      <c r="A13364" s="182"/>
    </row>
    <row r="13365" spans="1:38">
      <c r="A13365" s="182"/>
    </row>
    <row r="13366" spans="1:38">
      <c r="A13366" s="182"/>
    </row>
    <row r="13367" spans="1:38">
      <c r="A13367" s="182"/>
    </row>
    <row r="13368" spans="1:38">
      <c r="A13368" s="182"/>
    </row>
    <row r="13369" spans="1:38">
      <c r="A13369" s="182"/>
      <c r="AK13369" s="183"/>
      <c r="AL13369" s="183"/>
    </row>
    <row r="13370" spans="1:38">
      <c r="A13370" s="182"/>
      <c r="AJ13370" s="183"/>
      <c r="AK13370" s="183"/>
      <c r="AL13370" s="183"/>
    </row>
    <row r="13371" spans="1:38">
      <c r="A13371" s="182"/>
      <c r="AJ13371" s="183"/>
      <c r="AK13371" s="183"/>
      <c r="AL13371" s="183"/>
    </row>
    <row r="13372" spans="1:38">
      <c r="A13372" s="182"/>
      <c r="AJ13372" s="183"/>
      <c r="AK13372" s="183"/>
      <c r="AL13372" s="183"/>
    </row>
    <row r="13373" spans="1:38">
      <c r="A13373" s="182"/>
      <c r="AJ13373" s="183"/>
      <c r="AK13373" s="183"/>
      <c r="AL13373" s="183"/>
    </row>
    <row r="13374" spans="1:38">
      <c r="A13374" s="182"/>
      <c r="AJ13374" s="183"/>
      <c r="AK13374" s="183"/>
      <c r="AL13374" s="183"/>
    </row>
    <row r="13375" spans="1:38">
      <c r="A13375" s="182"/>
      <c r="AJ13375" s="183"/>
      <c r="AK13375" s="183"/>
      <c r="AL13375" s="183"/>
    </row>
    <row r="13376" spans="1:38">
      <c r="A13376" s="182"/>
      <c r="AJ13376" s="183"/>
      <c r="AK13376" s="183"/>
      <c r="AL13376" s="183"/>
    </row>
    <row r="13377" spans="1:36">
      <c r="A13377" s="182"/>
      <c r="AJ13377" s="183"/>
    </row>
    <row r="13378" spans="1:36">
      <c r="A13378" s="182"/>
      <c r="R13378" s="183"/>
      <c r="S13378" s="183"/>
    </row>
    <row r="13379" spans="1:36">
      <c r="A13379" s="182"/>
      <c r="Q13379" s="183"/>
    </row>
    <row r="13380" spans="1:36">
      <c r="A13380" s="182"/>
      <c r="R13380" s="183"/>
      <c r="S13380" s="183"/>
    </row>
    <row r="13381" spans="1:36">
      <c r="A13381" s="182"/>
      <c r="Q13381" s="183"/>
    </row>
    <row r="13382" spans="1:36">
      <c r="A13382" s="182"/>
    </row>
    <row r="13383" spans="1:36">
      <c r="A13383" s="182"/>
    </row>
    <row r="13384" spans="1:36">
      <c r="A13384" s="182"/>
      <c r="R13384" s="183"/>
      <c r="S13384" s="183"/>
    </row>
    <row r="13385" spans="1:36">
      <c r="A13385" s="182"/>
      <c r="Q13385" s="183"/>
    </row>
    <row r="13386" spans="1:36">
      <c r="A13386" s="182"/>
    </row>
    <row r="13387" spans="1:36">
      <c r="A13387" s="182"/>
    </row>
    <row r="13388" spans="1:36">
      <c r="A13388" s="182"/>
    </row>
    <row r="13389" spans="1:36">
      <c r="A13389" s="182"/>
    </row>
    <row r="13390" spans="1:36">
      <c r="A13390" s="182"/>
    </row>
    <row r="13391" spans="1:36">
      <c r="A13391" s="182"/>
    </row>
    <row r="13392" spans="1:36">
      <c r="A13392" s="182"/>
    </row>
    <row r="13393" spans="1:19">
      <c r="A13393" s="182"/>
    </row>
    <row r="13394" spans="1:19">
      <c r="A13394" s="182"/>
      <c r="R13394" s="183"/>
      <c r="S13394" s="183"/>
    </row>
    <row r="13395" spans="1:19">
      <c r="A13395" s="182"/>
      <c r="Q13395" s="183"/>
    </row>
    <row r="13396" spans="1:19">
      <c r="A13396" s="182"/>
    </row>
    <row r="13397" spans="1:19">
      <c r="A13397" s="182"/>
    </row>
    <row r="13398" spans="1:19">
      <c r="A13398" s="182"/>
    </row>
    <row r="13399" spans="1:19">
      <c r="A13399" s="182"/>
      <c r="R13399" s="183"/>
      <c r="S13399" s="183"/>
    </row>
    <row r="13400" spans="1:19">
      <c r="A13400" s="182"/>
      <c r="Q13400" s="183"/>
      <c r="R13400" s="183"/>
      <c r="S13400" s="183"/>
    </row>
    <row r="13401" spans="1:19">
      <c r="A13401" s="182"/>
      <c r="Q13401" s="183"/>
      <c r="R13401" s="183"/>
      <c r="S13401" s="183"/>
    </row>
    <row r="13402" spans="1:19">
      <c r="A13402" s="182"/>
      <c r="Q13402" s="183"/>
      <c r="R13402" s="183"/>
      <c r="S13402" s="183"/>
    </row>
    <row r="13403" spans="1:19">
      <c r="A13403" s="182"/>
      <c r="Q13403" s="183"/>
      <c r="R13403" s="183"/>
      <c r="S13403" s="183"/>
    </row>
    <row r="13404" spans="1:19">
      <c r="A13404" s="182"/>
      <c r="Q13404" s="183"/>
      <c r="R13404" s="183"/>
      <c r="S13404" s="183"/>
    </row>
    <row r="13405" spans="1:19">
      <c r="A13405" s="182"/>
      <c r="Q13405" s="183"/>
      <c r="R13405" s="183"/>
      <c r="S13405" s="183"/>
    </row>
    <row r="13406" spans="1:19">
      <c r="A13406" s="182"/>
      <c r="Q13406" s="183"/>
    </row>
    <row r="13407" spans="1:19">
      <c r="A13407" s="182"/>
    </row>
    <row r="13408" spans="1:19">
      <c r="A13408" s="182"/>
    </row>
    <row r="13409" spans="1:38">
      <c r="A13409" s="182"/>
    </row>
    <row r="13410" spans="1:38">
      <c r="A13410" s="182"/>
    </row>
    <row r="13411" spans="1:38">
      <c r="A13411" s="182"/>
    </row>
    <row r="13412" spans="1:38">
      <c r="A13412" s="182"/>
    </row>
    <row r="13413" spans="1:38">
      <c r="A13413" s="182"/>
      <c r="AK13413" s="183"/>
      <c r="AL13413" s="183"/>
    </row>
    <row r="13414" spans="1:38">
      <c r="A13414" s="182"/>
      <c r="AJ13414" s="183"/>
      <c r="AK13414" s="183"/>
      <c r="AL13414" s="183"/>
    </row>
    <row r="13415" spans="1:38">
      <c r="A13415" s="182"/>
      <c r="AJ13415" s="183"/>
      <c r="AK13415" s="183"/>
      <c r="AL13415" s="183"/>
    </row>
    <row r="13416" spans="1:38">
      <c r="A13416" s="182"/>
      <c r="AJ13416" s="183"/>
      <c r="AK13416" s="183"/>
      <c r="AL13416" s="183"/>
    </row>
    <row r="13417" spans="1:38">
      <c r="A13417" s="182"/>
      <c r="AJ13417" s="183"/>
      <c r="AK13417" s="183"/>
      <c r="AL13417" s="183"/>
    </row>
    <row r="13418" spans="1:38">
      <c r="A13418" s="182"/>
      <c r="AJ13418" s="183"/>
      <c r="AK13418" s="183"/>
      <c r="AL13418" s="183"/>
    </row>
    <row r="13419" spans="1:38">
      <c r="A13419" s="182"/>
      <c r="AJ13419" s="183"/>
      <c r="AK13419" s="183"/>
      <c r="AL13419" s="183"/>
    </row>
    <row r="13420" spans="1:38">
      <c r="A13420" s="182"/>
      <c r="AJ13420" s="183"/>
      <c r="AK13420" s="183"/>
      <c r="AL13420" s="183"/>
    </row>
    <row r="13421" spans="1:38">
      <c r="A13421" s="182"/>
      <c r="AJ13421" s="183"/>
      <c r="AK13421" s="183"/>
      <c r="AL13421" s="183"/>
    </row>
    <row r="13422" spans="1:38">
      <c r="A13422" s="182"/>
      <c r="AJ13422" s="183"/>
      <c r="AK13422" s="183"/>
      <c r="AL13422" s="183"/>
    </row>
    <row r="13423" spans="1:38">
      <c r="A13423" s="182"/>
      <c r="AJ13423" s="183"/>
      <c r="AK13423" s="183"/>
      <c r="AL13423" s="183"/>
    </row>
    <row r="13424" spans="1:38">
      <c r="A13424" s="182"/>
      <c r="AJ13424" s="183"/>
      <c r="AK13424" s="183"/>
      <c r="AL13424" s="183"/>
    </row>
    <row r="13425" spans="1:36">
      <c r="A13425" s="182"/>
      <c r="AJ13425" s="183"/>
    </row>
    <row r="13426" spans="1:36">
      <c r="A13426" s="182"/>
    </row>
    <row r="13427" spans="1:36">
      <c r="A13427" s="182"/>
    </row>
    <row r="13428" spans="1:36">
      <c r="A13428" s="182"/>
    </row>
    <row r="13429" spans="1:36">
      <c r="A13429" s="182"/>
    </row>
    <row r="13430" spans="1:36">
      <c r="A13430" s="182"/>
    </row>
    <row r="13431" spans="1:36">
      <c r="A13431" s="182"/>
    </row>
    <row r="13432" spans="1:36">
      <c r="A13432" s="182"/>
    </row>
    <row r="13433" spans="1:36">
      <c r="A13433" s="182"/>
    </row>
    <row r="13434" spans="1:36">
      <c r="A13434" s="182"/>
    </row>
    <row r="13435" spans="1:36">
      <c r="A13435" s="182"/>
    </row>
    <row r="13436" spans="1:36">
      <c r="A13436" s="182"/>
    </row>
    <row r="13437" spans="1:36">
      <c r="A13437" s="182"/>
    </row>
    <row r="13438" spans="1:36">
      <c r="A13438" s="182"/>
    </row>
    <row r="13439" spans="1:36">
      <c r="A13439" s="182"/>
    </row>
    <row r="13440" spans="1:36">
      <c r="A13440" s="182"/>
    </row>
    <row r="13441" spans="1:38">
      <c r="A13441" s="182"/>
    </row>
    <row r="13442" spans="1:38">
      <c r="A13442" s="182"/>
    </row>
    <row r="13443" spans="1:38">
      <c r="A13443" s="182"/>
    </row>
    <row r="13444" spans="1:38">
      <c r="A13444" s="182"/>
    </row>
    <row r="13445" spans="1:38">
      <c r="A13445" s="182"/>
      <c r="AK13445" s="183"/>
      <c r="AL13445" s="183"/>
    </row>
    <row r="13446" spans="1:38">
      <c r="A13446" s="182"/>
      <c r="AJ13446" s="183"/>
      <c r="AK13446" s="183"/>
      <c r="AL13446" s="183"/>
    </row>
    <row r="13447" spans="1:38">
      <c r="A13447" s="182"/>
      <c r="AJ13447" s="183"/>
      <c r="AK13447" s="183"/>
      <c r="AL13447" s="183"/>
    </row>
    <row r="13448" spans="1:38">
      <c r="A13448" s="182"/>
      <c r="AJ13448" s="183"/>
      <c r="AK13448" s="183"/>
      <c r="AL13448" s="183"/>
    </row>
    <row r="13449" spans="1:38">
      <c r="A13449" s="182"/>
      <c r="AJ13449" s="183"/>
    </row>
    <row r="13450" spans="1:38">
      <c r="A13450" s="182"/>
    </row>
    <row r="13451" spans="1:38">
      <c r="A13451" s="182"/>
    </row>
    <row r="13452" spans="1:38">
      <c r="A13452" s="182"/>
    </row>
    <row r="13453" spans="1:38">
      <c r="A13453" s="182"/>
      <c r="R13453" s="183"/>
      <c r="S13453" s="183"/>
    </row>
    <row r="13454" spans="1:38">
      <c r="A13454" s="182"/>
      <c r="Q13454" s="183"/>
    </row>
    <row r="13455" spans="1:38">
      <c r="A13455" s="182"/>
    </row>
    <row r="13456" spans="1:38">
      <c r="A13456" s="182"/>
    </row>
    <row r="13457" spans="1:19">
      <c r="A13457" s="182"/>
    </row>
    <row r="13458" spans="1:19">
      <c r="A13458" s="182"/>
    </row>
    <row r="13459" spans="1:19">
      <c r="A13459" s="182"/>
    </row>
    <row r="13460" spans="1:19">
      <c r="A13460" s="182"/>
    </row>
    <row r="13461" spans="1:19">
      <c r="A13461" s="182"/>
    </row>
    <row r="13462" spans="1:19">
      <c r="A13462" s="182"/>
      <c r="R13462" s="183"/>
      <c r="S13462" s="183"/>
    </row>
    <row r="13463" spans="1:19">
      <c r="A13463" s="182"/>
      <c r="Q13463" s="183"/>
      <c r="R13463" s="183"/>
      <c r="S13463" s="183"/>
    </row>
    <row r="13464" spans="1:19">
      <c r="A13464" s="182"/>
      <c r="Q13464" s="183"/>
      <c r="R13464" s="183"/>
      <c r="S13464" s="183"/>
    </row>
    <row r="13465" spans="1:19">
      <c r="A13465" s="182"/>
      <c r="Q13465" s="183"/>
      <c r="R13465" s="183"/>
      <c r="S13465" s="183"/>
    </row>
    <row r="13466" spans="1:19">
      <c r="A13466" s="182"/>
      <c r="Q13466" s="183"/>
      <c r="R13466" s="183"/>
      <c r="S13466" s="183"/>
    </row>
    <row r="13467" spans="1:19">
      <c r="A13467" s="182"/>
      <c r="Q13467" s="183"/>
      <c r="R13467" s="183"/>
      <c r="S13467" s="183"/>
    </row>
    <row r="13468" spans="1:19">
      <c r="A13468" s="182"/>
      <c r="Q13468" s="183"/>
      <c r="R13468" s="183"/>
      <c r="S13468" s="183"/>
    </row>
    <row r="13469" spans="1:19">
      <c r="A13469" s="182"/>
      <c r="Q13469" s="183"/>
      <c r="R13469" s="183"/>
      <c r="S13469" s="183"/>
    </row>
    <row r="13470" spans="1:19">
      <c r="A13470" s="182"/>
      <c r="Q13470" s="183"/>
    </row>
    <row r="13471" spans="1:19">
      <c r="A13471" s="182"/>
    </row>
    <row r="13472" spans="1:19">
      <c r="A13472" s="182"/>
    </row>
    <row r="13473" spans="1:19">
      <c r="A13473" s="182"/>
    </row>
    <row r="13474" spans="1:19">
      <c r="A13474" s="182"/>
    </row>
    <row r="13475" spans="1:19">
      <c r="A13475" s="182"/>
    </row>
    <row r="13476" spans="1:19">
      <c r="A13476" s="182"/>
    </row>
    <row r="13477" spans="1:19">
      <c r="A13477" s="182"/>
    </row>
    <row r="13478" spans="1:19">
      <c r="A13478" s="182"/>
    </row>
    <row r="13479" spans="1:19">
      <c r="A13479" s="182"/>
    </row>
    <row r="13480" spans="1:19">
      <c r="A13480" s="182"/>
    </row>
    <row r="13481" spans="1:19">
      <c r="A13481" s="182"/>
    </row>
    <row r="13482" spans="1:19">
      <c r="A13482" s="182"/>
      <c r="R13482" s="183"/>
      <c r="S13482" s="183"/>
    </row>
    <row r="13483" spans="1:19">
      <c r="A13483" s="182"/>
      <c r="Q13483" s="183"/>
      <c r="R13483" s="183"/>
      <c r="S13483" s="183"/>
    </row>
    <row r="13484" spans="1:19">
      <c r="A13484" s="182"/>
      <c r="Q13484" s="183"/>
      <c r="R13484" s="183"/>
      <c r="S13484" s="183"/>
    </row>
    <row r="13485" spans="1:19">
      <c r="A13485" s="182"/>
      <c r="Q13485" s="183"/>
      <c r="R13485" s="183"/>
      <c r="S13485" s="183"/>
    </row>
    <row r="13486" spans="1:19">
      <c r="A13486" s="182"/>
      <c r="Q13486" s="183"/>
      <c r="R13486" s="183"/>
      <c r="S13486" s="183"/>
    </row>
    <row r="13487" spans="1:19">
      <c r="A13487" s="182"/>
      <c r="Q13487" s="183"/>
      <c r="R13487" s="183"/>
      <c r="S13487" s="183"/>
    </row>
    <row r="13488" spans="1:19">
      <c r="A13488" s="182"/>
      <c r="Q13488" s="183"/>
      <c r="R13488" s="183"/>
      <c r="S13488" s="183"/>
    </row>
    <row r="13489" spans="1:19">
      <c r="A13489" s="182"/>
      <c r="Q13489" s="183"/>
      <c r="R13489" s="183"/>
      <c r="S13489" s="183"/>
    </row>
    <row r="13490" spans="1:19">
      <c r="A13490" s="182"/>
      <c r="Q13490" s="183"/>
      <c r="R13490" s="183"/>
      <c r="S13490" s="183"/>
    </row>
    <row r="13491" spans="1:19">
      <c r="A13491" s="182"/>
      <c r="Q13491" s="183"/>
      <c r="R13491" s="183"/>
      <c r="S13491" s="183"/>
    </row>
    <row r="13492" spans="1:19">
      <c r="A13492" s="182"/>
      <c r="Q13492" s="183"/>
      <c r="R13492" s="183"/>
      <c r="S13492" s="183"/>
    </row>
    <row r="13493" spans="1:19">
      <c r="A13493" s="182"/>
      <c r="Q13493" s="183"/>
    </row>
    <row r="13494" spans="1:19">
      <c r="A13494" s="182"/>
    </row>
    <row r="13495" spans="1:19">
      <c r="A13495" s="182"/>
    </row>
    <row r="13496" spans="1:19">
      <c r="A13496" s="182"/>
    </row>
    <row r="13497" spans="1:19">
      <c r="A13497" s="182"/>
    </row>
    <row r="13498" spans="1:19">
      <c r="A13498" s="182"/>
    </row>
    <row r="13499" spans="1:19">
      <c r="A13499" s="182"/>
    </row>
    <row r="13500" spans="1:19">
      <c r="A13500" s="182"/>
    </row>
    <row r="13501" spans="1:19">
      <c r="A13501" s="182"/>
    </row>
    <row r="13502" spans="1:19">
      <c r="A13502" s="182"/>
    </row>
    <row r="13503" spans="1:19">
      <c r="A13503" s="182"/>
    </row>
    <row r="13504" spans="1:19">
      <c r="A13504" s="182"/>
    </row>
    <row r="13505" spans="1:1">
      <c r="A13505" s="182"/>
    </row>
    <row r="13506" spans="1:1">
      <c r="A13506" s="182"/>
    </row>
    <row r="13507" spans="1:1">
      <c r="A13507" s="182"/>
    </row>
    <row r="13508" spans="1:1">
      <c r="A13508" s="182"/>
    </row>
    <row r="13509" spans="1:1">
      <c r="A13509" s="182"/>
    </row>
    <row r="13510" spans="1:1">
      <c r="A13510" s="182"/>
    </row>
    <row r="13511" spans="1:1">
      <c r="A13511" s="182"/>
    </row>
    <row r="13512" spans="1:1">
      <c r="A13512" s="182"/>
    </row>
    <row r="13513" spans="1:1">
      <c r="A13513" s="182"/>
    </row>
    <row r="13514" spans="1:1">
      <c r="A13514" s="182"/>
    </row>
    <row r="13515" spans="1:1">
      <c r="A13515" s="182"/>
    </row>
    <row r="13516" spans="1:1">
      <c r="A13516" s="182"/>
    </row>
    <row r="13517" spans="1:1">
      <c r="A13517" s="182"/>
    </row>
    <row r="13518" spans="1:1">
      <c r="A13518" s="182"/>
    </row>
    <row r="13519" spans="1:1">
      <c r="A13519" s="182"/>
    </row>
    <row r="13520" spans="1:1">
      <c r="A13520" s="182"/>
    </row>
    <row r="13521" spans="1:19">
      <c r="A13521" s="182"/>
    </row>
    <row r="13522" spans="1:19">
      <c r="A13522" s="182"/>
    </row>
    <row r="13523" spans="1:19">
      <c r="A13523" s="182"/>
    </row>
    <row r="13524" spans="1:19">
      <c r="A13524" s="182"/>
    </row>
    <row r="13525" spans="1:19">
      <c r="A13525" s="182"/>
    </row>
    <row r="13526" spans="1:19">
      <c r="A13526" s="182"/>
    </row>
    <row r="13527" spans="1:19">
      <c r="A13527" s="182"/>
    </row>
    <row r="13528" spans="1:19">
      <c r="A13528" s="182"/>
    </row>
    <row r="13529" spans="1:19">
      <c r="A13529" s="182"/>
    </row>
    <row r="13530" spans="1:19">
      <c r="A13530" s="182"/>
    </row>
    <row r="13531" spans="1:19">
      <c r="A13531" s="182"/>
    </row>
    <row r="13532" spans="1:19">
      <c r="A13532" s="182"/>
    </row>
    <row r="13533" spans="1:19">
      <c r="A13533" s="182"/>
    </row>
    <row r="13534" spans="1:19">
      <c r="A13534" s="182"/>
    </row>
    <row r="13535" spans="1:19">
      <c r="A13535" s="182"/>
    </row>
    <row r="13536" spans="1:19">
      <c r="A13536" s="182"/>
      <c r="R13536" s="183"/>
      <c r="S13536" s="183"/>
    </row>
    <row r="13537" spans="1:19">
      <c r="A13537" s="182"/>
      <c r="Q13537" s="183"/>
      <c r="R13537" s="183"/>
      <c r="S13537" s="183"/>
    </row>
    <row r="13538" spans="1:19">
      <c r="A13538" s="182"/>
      <c r="Q13538" s="183"/>
    </row>
    <row r="13539" spans="1:19">
      <c r="A13539" s="182"/>
    </row>
    <row r="13540" spans="1:19">
      <c r="A13540" s="182"/>
      <c r="R13540" s="183"/>
      <c r="S13540" s="183"/>
    </row>
    <row r="13541" spans="1:19">
      <c r="A13541" s="182"/>
      <c r="Q13541" s="183"/>
      <c r="R13541" s="183"/>
      <c r="S13541" s="183"/>
    </row>
    <row r="13542" spans="1:19">
      <c r="A13542" s="182"/>
      <c r="Q13542" s="183"/>
      <c r="R13542" s="183"/>
      <c r="S13542" s="183"/>
    </row>
    <row r="13543" spans="1:19">
      <c r="A13543" s="182"/>
      <c r="Q13543" s="183"/>
      <c r="R13543" s="183"/>
      <c r="S13543" s="183"/>
    </row>
    <row r="13544" spans="1:19">
      <c r="A13544" s="182"/>
      <c r="Q13544" s="183"/>
      <c r="R13544" s="183"/>
      <c r="S13544" s="183"/>
    </row>
    <row r="13545" spans="1:19">
      <c r="A13545" s="182"/>
      <c r="Q13545" s="183"/>
      <c r="R13545" s="183"/>
      <c r="S13545" s="183"/>
    </row>
    <row r="13546" spans="1:19">
      <c r="A13546" s="182"/>
      <c r="Q13546" s="183"/>
      <c r="R13546" s="183"/>
      <c r="S13546" s="183"/>
    </row>
    <row r="13547" spans="1:19">
      <c r="A13547" s="182"/>
      <c r="Q13547" s="183"/>
      <c r="R13547" s="183"/>
      <c r="S13547" s="183"/>
    </row>
    <row r="13548" spans="1:19">
      <c r="A13548" s="182"/>
      <c r="Q13548" s="183"/>
      <c r="R13548" s="183"/>
      <c r="S13548" s="183"/>
    </row>
    <row r="13549" spans="1:19">
      <c r="A13549" s="182"/>
      <c r="Q13549" s="183"/>
      <c r="R13549" s="183"/>
      <c r="S13549" s="183"/>
    </row>
    <row r="13550" spans="1:19">
      <c r="A13550" s="182"/>
      <c r="Q13550" s="183"/>
      <c r="R13550" s="183"/>
      <c r="S13550" s="183"/>
    </row>
    <row r="13551" spans="1:19">
      <c r="A13551" s="182"/>
      <c r="Q13551" s="183"/>
      <c r="R13551" s="183"/>
      <c r="S13551" s="183"/>
    </row>
    <row r="13552" spans="1:19">
      <c r="A13552" s="182"/>
      <c r="Q13552" s="183"/>
      <c r="R13552" s="183"/>
      <c r="S13552" s="183"/>
    </row>
    <row r="13553" spans="1:38">
      <c r="A13553" s="182"/>
      <c r="Q13553" s="183"/>
      <c r="R13553" s="183"/>
      <c r="S13553" s="183"/>
      <c r="AK13553" s="183"/>
      <c r="AL13553" s="183"/>
    </row>
    <row r="13554" spans="1:38">
      <c r="A13554" s="182"/>
      <c r="Q13554" s="183"/>
      <c r="R13554" s="183"/>
      <c r="S13554" s="183"/>
      <c r="AJ13554" s="183"/>
      <c r="AK13554" s="183"/>
      <c r="AL13554" s="183"/>
    </row>
    <row r="13555" spans="1:38">
      <c r="A13555" s="182"/>
      <c r="Q13555" s="183"/>
      <c r="R13555" s="183"/>
      <c r="S13555" s="183"/>
      <c r="AJ13555" s="183"/>
      <c r="AK13555" s="183"/>
      <c r="AL13555" s="183"/>
    </row>
    <row r="13556" spans="1:38">
      <c r="A13556" s="182"/>
      <c r="Q13556" s="183"/>
      <c r="R13556" s="183"/>
      <c r="S13556" s="183"/>
      <c r="AJ13556" s="183"/>
      <c r="AK13556" s="183"/>
      <c r="AL13556" s="183"/>
    </row>
    <row r="13557" spans="1:38">
      <c r="A13557" s="182"/>
      <c r="Q13557" s="183"/>
      <c r="R13557" s="183"/>
      <c r="S13557" s="183"/>
      <c r="AJ13557" s="183"/>
    </row>
    <row r="13558" spans="1:38">
      <c r="A13558" s="182"/>
      <c r="Q13558" s="183"/>
      <c r="R13558" s="183"/>
      <c r="S13558" s="183"/>
    </row>
    <row r="13559" spans="1:38">
      <c r="A13559" s="182"/>
      <c r="Q13559" s="183"/>
      <c r="R13559" s="183"/>
      <c r="S13559" s="183"/>
    </row>
    <row r="13560" spans="1:38">
      <c r="A13560" s="182"/>
      <c r="Q13560" s="183"/>
      <c r="R13560" s="183"/>
      <c r="S13560" s="183"/>
    </row>
    <row r="13561" spans="1:38">
      <c r="A13561" s="182"/>
      <c r="Q13561" s="183"/>
      <c r="R13561" s="183"/>
      <c r="S13561" s="183"/>
      <c r="AK13561" s="183"/>
      <c r="AL13561" s="183"/>
    </row>
    <row r="13562" spans="1:38">
      <c r="A13562" s="182"/>
      <c r="Q13562" s="183"/>
      <c r="R13562" s="183"/>
      <c r="S13562" s="183"/>
      <c r="AJ13562" s="183"/>
      <c r="AK13562" s="183"/>
      <c r="AL13562" s="183"/>
    </row>
    <row r="13563" spans="1:38">
      <c r="A13563" s="182"/>
      <c r="Q13563" s="183"/>
      <c r="R13563" s="183"/>
      <c r="S13563" s="183"/>
      <c r="AJ13563" s="183"/>
      <c r="AK13563" s="183"/>
      <c r="AL13563" s="183"/>
    </row>
    <row r="13564" spans="1:38">
      <c r="A13564" s="182"/>
      <c r="Q13564" s="183"/>
      <c r="R13564" s="183"/>
      <c r="S13564" s="183"/>
      <c r="AJ13564" s="183"/>
      <c r="AK13564" s="183"/>
      <c r="AL13564" s="183"/>
    </row>
    <row r="13565" spans="1:38">
      <c r="A13565" s="182"/>
      <c r="Q13565" s="183"/>
      <c r="R13565" s="183"/>
      <c r="S13565" s="183"/>
      <c r="AJ13565" s="183"/>
      <c r="AK13565" s="183"/>
      <c r="AL13565" s="183"/>
    </row>
    <row r="13566" spans="1:38">
      <c r="A13566" s="182"/>
      <c r="Q13566" s="183"/>
      <c r="R13566" s="183"/>
      <c r="S13566" s="183"/>
      <c r="AJ13566" s="183"/>
      <c r="AK13566" s="183"/>
      <c r="AL13566" s="183"/>
    </row>
    <row r="13567" spans="1:38">
      <c r="A13567" s="182"/>
      <c r="Q13567" s="183"/>
      <c r="R13567" s="183"/>
      <c r="S13567" s="183"/>
      <c r="AJ13567" s="183"/>
      <c r="AK13567" s="183"/>
      <c r="AL13567" s="183"/>
    </row>
    <row r="13568" spans="1:38">
      <c r="A13568" s="182"/>
      <c r="Q13568" s="183"/>
      <c r="R13568" s="183"/>
      <c r="S13568" s="183"/>
      <c r="AJ13568" s="183"/>
      <c r="AK13568" s="183"/>
      <c r="AL13568" s="183"/>
    </row>
    <row r="13569" spans="1:38">
      <c r="A13569" s="182"/>
      <c r="Q13569" s="183"/>
      <c r="AJ13569" s="183"/>
      <c r="AK13569" s="183"/>
      <c r="AL13569" s="183"/>
    </row>
    <row r="13570" spans="1:38">
      <c r="A13570" s="182"/>
      <c r="AJ13570" s="183"/>
      <c r="AK13570" s="183"/>
      <c r="AL13570" s="183"/>
    </row>
    <row r="13571" spans="1:38">
      <c r="A13571" s="182"/>
      <c r="AJ13571" s="183"/>
      <c r="AK13571" s="183"/>
      <c r="AL13571" s="183"/>
    </row>
    <row r="13572" spans="1:38">
      <c r="A13572" s="182"/>
      <c r="AJ13572" s="183"/>
      <c r="AK13572" s="183"/>
      <c r="AL13572" s="183"/>
    </row>
    <row r="13573" spans="1:38">
      <c r="A13573" s="182"/>
      <c r="AJ13573" s="183"/>
      <c r="AK13573" s="183"/>
      <c r="AL13573" s="183"/>
    </row>
    <row r="13574" spans="1:38">
      <c r="A13574" s="182"/>
      <c r="AJ13574" s="183"/>
      <c r="AK13574" s="183"/>
      <c r="AL13574" s="183"/>
    </row>
    <row r="13575" spans="1:38">
      <c r="A13575" s="182"/>
      <c r="AJ13575" s="183"/>
      <c r="AK13575" s="183"/>
      <c r="AL13575" s="183"/>
    </row>
    <row r="13576" spans="1:38">
      <c r="A13576" s="182"/>
      <c r="AJ13576" s="183"/>
      <c r="AK13576" s="183"/>
      <c r="AL13576" s="183"/>
    </row>
    <row r="13577" spans="1:38">
      <c r="A13577" s="182"/>
      <c r="AJ13577" s="183"/>
      <c r="AK13577" s="183"/>
      <c r="AL13577" s="183"/>
    </row>
    <row r="13578" spans="1:38">
      <c r="A13578" s="182"/>
      <c r="AJ13578" s="183"/>
      <c r="AK13578" s="183"/>
      <c r="AL13578" s="183"/>
    </row>
    <row r="13579" spans="1:38">
      <c r="A13579" s="182"/>
      <c r="AJ13579" s="183"/>
      <c r="AK13579" s="183"/>
      <c r="AL13579" s="183"/>
    </row>
    <row r="13580" spans="1:38">
      <c r="A13580" s="182"/>
      <c r="AJ13580" s="183"/>
      <c r="AK13580" s="183"/>
      <c r="AL13580" s="183"/>
    </row>
    <row r="13581" spans="1:38">
      <c r="A13581" s="182"/>
      <c r="AJ13581" s="183"/>
    </row>
    <row r="13582" spans="1:38">
      <c r="A13582" s="182"/>
    </row>
    <row r="13583" spans="1:38">
      <c r="A13583" s="182"/>
    </row>
    <row r="13584" spans="1:38">
      <c r="A13584" s="182"/>
    </row>
    <row r="13585" spans="1:19">
      <c r="A13585" s="182"/>
    </row>
    <row r="13586" spans="1:19">
      <c r="A13586" s="182"/>
    </row>
    <row r="13587" spans="1:19">
      <c r="A13587" s="182"/>
    </row>
    <row r="13588" spans="1:19">
      <c r="A13588" s="182"/>
      <c r="R13588" s="183"/>
      <c r="S13588" s="183"/>
    </row>
    <row r="13589" spans="1:19">
      <c r="A13589" s="182"/>
      <c r="Q13589" s="183"/>
      <c r="R13589" s="183"/>
      <c r="S13589" s="183"/>
    </row>
    <row r="13590" spans="1:19">
      <c r="A13590" s="182"/>
      <c r="Q13590" s="183"/>
      <c r="R13590" s="183"/>
      <c r="S13590" s="183"/>
    </row>
    <row r="13591" spans="1:19">
      <c r="A13591" s="182"/>
      <c r="Q13591" s="183"/>
      <c r="R13591" s="183"/>
      <c r="S13591" s="183"/>
    </row>
    <row r="13592" spans="1:19">
      <c r="A13592" s="182"/>
      <c r="Q13592" s="183"/>
      <c r="R13592" s="183"/>
      <c r="S13592" s="183"/>
    </row>
    <row r="13593" spans="1:19">
      <c r="A13593" s="182"/>
      <c r="Q13593" s="183"/>
      <c r="R13593" s="183"/>
      <c r="S13593" s="183"/>
    </row>
    <row r="13594" spans="1:19">
      <c r="A13594" s="182"/>
      <c r="Q13594" s="183"/>
    </row>
    <row r="13595" spans="1:19">
      <c r="A13595" s="182"/>
    </row>
    <row r="13596" spans="1:19">
      <c r="A13596" s="182"/>
    </row>
    <row r="13597" spans="1:19">
      <c r="A13597" s="182"/>
    </row>
    <row r="13598" spans="1:19">
      <c r="A13598" s="182"/>
    </row>
    <row r="13599" spans="1:19">
      <c r="A13599" s="182"/>
    </row>
    <row r="13600" spans="1:19">
      <c r="A13600" s="182"/>
    </row>
    <row r="13601" spans="1:38">
      <c r="A13601" s="182"/>
    </row>
    <row r="13602" spans="1:38">
      <c r="A13602" s="182"/>
    </row>
    <row r="13603" spans="1:38">
      <c r="A13603" s="182"/>
    </row>
    <row r="13604" spans="1:38">
      <c r="A13604" s="182"/>
    </row>
    <row r="13605" spans="1:38">
      <c r="A13605" s="182"/>
      <c r="AK13605" s="183"/>
      <c r="AL13605" s="183"/>
    </row>
    <row r="13606" spans="1:38">
      <c r="A13606" s="182"/>
      <c r="AJ13606" s="183"/>
      <c r="AK13606" s="183"/>
      <c r="AL13606" s="183"/>
    </row>
    <row r="13607" spans="1:38">
      <c r="A13607" s="182"/>
      <c r="AJ13607" s="183"/>
      <c r="AK13607" s="183"/>
      <c r="AL13607" s="183"/>
    </row>
    <row r="13608" spans="1:38">
      <c r="A13608" s="182"/>
      <c r="AJ13608" s="183"/>
      <c r="AK13608" s="183"/>
      <c r="AL13608" s="183"/>
    </row>
    <row r="13609" spans="1:38">
      <c r="A13609" s="182"/>
      <c r="AJ13609" s="183"/>
    </row>
    <row r="13610" spans="1:38">
      <c r="A13610" s="182"/>
    </row>
    <row r="13611" spans="1:38">
      <c r="A13611" s="182"/>
    </row>
    <row r="13612" spans="1:38">
      <c r="A13612" s="182"/>
    </row>
    <row r="13613" spans="1:38">
      <c r="A13613" s="182"/>
      <c r="AK13613" s="183"/>
      <c r="AL13613" s="183"/>
    </row>
    <row r="13614" spans="1:38">
      <c r="A13614" s="182"/>
      <c r="AJ13614" s="183"/>
      <c r="AK13614" s="183"/>
      <c r="AL13614" s="183"/>
    </row>
    <row r="13615" spans="1:38">
      <c r="A13615" s="182"/>
      <c r="AJ13615" s="183"/>
      <c r="AK13615" s="183"/>
      <c r="AL13615" s="183"/>
    </row>
    <row r="13616" spans="1:38">
      <c r="A13616" s="182"/>
      <c r="AJ13616" s="183"/>
      <c r="AK13616" s="183"/>
      <c r="AL13616" s="183"/>
    </row>
    <row r="13617" spans="1:36">
      <c r="A13617" s="182"/>
      <c r="AJ13617" s="183"/>
    </row>
    <row r="13618" spans="1:36">
      <c r="A13618" s="182"/>
    </row>
    <row r="13619" spans="1:36">
      <c r="A13619" s="182"/>
    </row>
    <row r="13620" spans="1:36">
      <c r="A13620" s="182"/>
    </row>
    <row r="13621" spans="1:36">
      <c r="A13621" s="182"/>
    </row>
    <row r="13622" spans="1:36">
      <c r="A13622" s="182"/>
    </row>
    <row r="13623" spans="1:36">
      <c r="A13623" s="182"/>
    </row>
    <row r="13624" spans="1:36">
      <c r="A13624" s="182"/>
    </row>
    <row r="13625" spans="1:36">
      <c r="A13625" s="182"/>
    </row>
    <row r="13626" spans="1:36">
      <c r="A13626" s="182"/>
    </row>
    <row r="13627" spans="1:36">
      <c r="A13627" s="182"/>
    </row>
    <row r="13628" spans="1:36">
      <c r="A13628" s="182"/>
    </row>
    <row r="13629" spans="1:36">
      <c r="A13629" s="182"/>
    </row>
    <row r="13630" spans="1:36">
      <c r="A13630" s="182"/>
    </row>
    <row r="13631" spans="1:36">
      <c r="A13631" s="182"/>
    </row>
    <row r="13632" spans="1:36">
      <c r="A13632" s="182"/>
    </row>
    <row r="13633" spans="1:1">
      <c r="A13633" s="182"/>
    </row>
    <row r="13634" spans="1:1">
      <c r="A13634" s="182"/>
    </row>
    <row r="13635" spans="1:1">
      <c r="A13635" s="182"/>
    </row>
    <row r="13636" spans="1:1">
      <c r="A13636" s="182"/>
    </row>
    <row r="13637" spans="1:1">
      <c r="A13637" s="182"/>
    </row>
    <row r="13638" spans="1:1">
      <c r="A13638" s="182"/>
    </row>
    <row r="13639" spans="1:1">
      <c r="A13639" s="182"/>
    </row>
    <row r="13640" spans="1:1">
      <c r="A13640" s="182"/>
    </row>
    <row r="13641" spans="1:1">
      <c r="A13641" s="182"/>
    </row>
    <row r="13642" spans="1:1">
      <c r="A13642" s="182"/>
    </row>
    <row r="13643" spans="1:1">
      <c r="A13643" s="182"/>
    </row>
    <row r="13644" spans="1:1">
      <c r="A13644" s="182"/>
    </row>
    <row r="13645" spans="1:1">
      <c r="A13645" s="182"/>
    </row>
    <row r="13646" spans="1:1">
      <c r="A13646" s="182"/>
    </row>
    <row r="13647" spans="1:1">
      <c r="A13647" s="182"/>
    </row>
    <row r="13648" spans="1:1">
      <c r="A13648" s="182"/>
    </row>
    <row r="13649" spans="1:38">
      <c r="A13649" s="182"/>
    </row>
    <row r="13650" spans="1:38">
      <c r="A13650" s="182"/>
    </row>
    <row r="13651" spans="1:38">
      <c r="A13651" s="182"/>
    </row>
    <row r="13652" spans="1:38">
      <c r="A13652" s="182"/>
    </row>
    <row r="13653" spans="1:38">
      <c r="A13653" s="182"/>
    </row>
    <row r="13654" spans="1:38">
      <c r="A13654" s="182"/>
    </row>
    <row r="13655" spans="1:38">
      <c r="A13655" s="182"/>
    </row>
    <row r="13656" spans="1:38">
      <c r="A13656" s="182"/>
    </row>
    <row r="13657" spans="1:38">
      <c r="A13657" s="182"/>
      <c r="AK13657" s="183"/>
      <c r="AL13657" s="183"/>
    </row>
    <row r="13658" spans="1:38">
      <c r="A13658" s="182"/>
      <c r="AJ13658" s="183"/>
      <c r="AK13658" s="183"/>
      <c r="AL13658" s="183"/>
    </row>
    <row r="13659" spans="1:38">
      <c r="A13659" s="182"/>
      <c r="AJ13659" s="183"/>
      <c r="AK13659" s="183"/>
      <c r="AL13659" s="183"/>
    </row>
    <row r="13660" spans="1:38">
      <c r="A13660" s="182"/>
      <c r="AJ13660" s="183"/>
      <c r="AK13660" s="183"/>
      <c r="AL13660" s="183"/>
    </row>
    <row r="13661" spans="1:38">
      <c r="A13661" s="182"/>
      <c r="AJ13661" s="183"/>
      <c r="AK13661" s="183"/>
      <c r="AL13661" s="183"/>
    </row>
    <row r="13662" spans="1:38">
      <c r="A13662" s="182"/>
      <c r="AJ13662" s="183"/>
      <c r="AK13662" s="183"/>
      <c r="AL13662" s="183"/>
    </row>
    <row r="13663" spans="1:38">
      <c r="A13663" s="182"/>
      <c r="AJ13663" s="183"/>
      <c r="AK13663" s="183"/>
      <c r="AL13663" s="183"/>
    </row>
    <row r="13664" spans="1:38">
      <c r="A13664" s="182"/>
      <c r="AJ13664" s="183"/>
      <c r="AK13664" s="183"/>
      <c r="AL13664" s="183"/>
    </row>
    <row r="13665" spans="1:36">
      <c r="A13665" s="182"/>
      <c r="AJ13665" s="183"/>
    </row>
    <row r="13666" spans="1:36">
      <c r="A13666" s="182"/>
    </row>
    <row r="13667" spans="1:36">
      <c r="A13667" s="182"/>
    </row>
    <row r="13668" spans="1:36">
      <c r="A13668" s="182"/>
      <c r="R13668" s="183"/>
      <c r="S13668" s="183"/>
    </row>
    <row r="13669" spans="1:36">
      <c r="A13669" s="182"/>
      <c r="Q13669" s="183"/>
    </row>
    <row r="13670" spans="1:36">
      <c r="A13670" s="182"/>
    </row>
    <row r="13671" spans="1:36">
      <c r="A13671" s="182"/>
    </row>
    <row r="13672" spans="1:36">
      <c r="A13672" s="182"/>
    </row>
    <row r="13673" spans="1:36">
      <c r="A13673" s="182"/>
    </row>
    <row r="13674" spans="1:36">
      <c r="A13674" s="182"/>
    </row>
    <row r="13675" spans="1:36">
      <c r="A13675" s="182"/>
    </row>
    <row r="13676" spans="1:36">
      <c r="A13676" s="182"/>
      <c r="R13676" s="183"/>
      <c r="S13676" s="183"/>
    </row>
    <row r="13677" spans="1:36">
      <c r="A13677" s="182"/>
      <c r="Q13677" s="183"/>
    </row>
    <row r="13678" spans="1:36">
      <c r="A13678" s="182"/>
    </row>
    <row r="13679" spans="1:36">
      <c r="A13679" s="182"/>
    </row>
    <row r="13680" spans="1:36">
      <c r="A13680" s="182"/>
      <c r="R13680" s="183"/>
      <c r="S13680" s="183"/>
    </row>
    <row r="13681" spans="1:19">
      <c r="A13681" s="182"/>
      <c r="Q13681" s="183"/>
      <c r="R13681" s="183"/>
      <c r="S13681" s="183"/>
    </row>
    <row r="13682" spans="1:19">
      <c r="A13682" s="182"/>
      <c r="Q13682" s="183"/>
      <c r="R13682" s="183"/>
      <c r="S13682" s="183"/>
    </row>
    <row r="13683" spans="1:19">
      <c r="A13683" s="182"/>
      <c r="Q13683" s="183"/>
      <c r="R13683" s="183"/>
      <c r="S13683" s="183"/>
    </row>
    <row r="13684" spans="1:19">
      <c r="A13684" s="182"/>
      <c r="Q13684" s="183"/>
      <c r="R13684" s="183"/>
      <c r="S13684" s="183"/>
    </row>
    <row r="13685" spans="1:19">
      <c r="A13685" s="182"/>
      <c r="Q13685" s="183"/>
      <c r="R13685" s="183"/>
      <c r="S13685" s="183"/>
    </row>
    <row r="13686" spans="1:19">
      <c r="A13686" s="182"/>
      <c r="Q13686" s="183"/>
      <c r="R13686" s="183"/>
      <c r="S13686" s="183"/>
    </row>
    <row r="13687" spans="1:19">
      <c r="A13687" s="182"/>
      <c r="Q13687" s="183"/>
      <c r="R13687" s="183"/>
      <c r="S13687" s="183"/>
    </row>
    <row r="13688" spans="1:19">
      <c r="A13688" s="182"/>
      <c r="Q13688" s="183"/>
      <c r="R13688" s="183"/>
      <c r="S13688" s="183"/>
    </row>
    <row r="13689" spans="1:19">
      <c r="A13689" s="182"/>
      <c r="Q13689" s="183"/>
      <c r="R13689" s="183"/>
      <c r="S13689" s="183"/>
    </row>
    <row r="13690" spans="1:19">
      <c r="A13690" s="182"/>
      <c r="Q13690" s="183"/>
      <c r="R13690" s="183"/>
      <c r="S13690" s="183"/>
    </row>
    <row r="13691" spans="1:19">
      <c r="A13691" s="182"/>
      <c r="Q13691" s="183"/>
      <c r="R13691" s="183"/>
      <c r="S13691" s="183"/>
    </row>
    <row r="13692" spans="1:19">
      <c r="A13692" s="182"/>
      <c r="Q13692" s="183"/>
      <c r="R13692" s="183"/>
      <c r="S13692" s="183"/>
    </row>
    <row r="13693" spans="1:19">
      <c r="A13693" s="182"/>
      <c r="Q13693" s="183"/>
      <c r="R13693" s="183"/>
      <c r="S13693" s="183"/>
    </row>
    <row r="13694" spans="1:19">
      <c r="A13694" s="182"/>
      <c r="Q13694" s="183"/>
      <c r="R13694" s="183"/>
      <c r="S13694" s="183"/>
    </row>
    <row r="13695" spans="1:19">
      <c r="A13695" s="182"/>
      <c r="Q13695" s="183"/>
      <c r="R13695" s="183"/>
      <c r="S13695" s="183"/>
    </row>
    <row r="13696" spans="1:19">
      <c r="A13696" s="182"/>
      <c r="Q13696" s="183"/>
      <c r="R13696" s="183"/>
      <c r="S13696" s="183"/>
    </row>
    <row r="13697" spans="1:38">
      <c r="A13697" s="182"/>
      <c r="Q13697" s="183"/>
      <c r="R13697" s="183"/>
      <c r="S13697" s="183"/>
      <c r="AK13697" s="183"/>
      <c r="AL13697" s="183"/>
    </row>
    <row r="13698" spans="1:38">
      <c r="A13698" s="182"/>
      <c r="Q13698" s="183"/>
      <c r="R13698" s="183"/>
      <c r="S13698" s="183"/>
      <c r="AJ13698" s="183"/>
      <c r="AK13698" s="183"/>
      <c r="AL13698" s="183"/>
    </row>
    <row r="13699" spans="1:38">
      <c r="A13699" s="182"/>
      <c r="Q13699" s="183"/>
      <c r="R13699" s="183"/>
      <c r="S13699" s="183"/>
      <c r="AJ13699" s="183"/>
      <c r="AK13699" s="183"/>
      <c r="AL13699" s="183"/>
    </row>
    <row r="13700" spans="1:38">
      <c r="A13700" s="182"/>
      <c r="Q13700" s="183"/>
      <c r="R13700" s="183"/>
      <c r="S13700" s="183"/>
      <c r="AJ13700" s="183"/>
      <c r="AK13700" s="183"/>
      <c r="AL13700" s="183"/>
    </row>
    <row r="13701" spans="1:38">
      <c r="A13701" s="182"/>
      <c r="Q13701" s="183"/>
      <c r="R13701" s="183"/>
      <c r="S13701" s="183"/>
      <c r="AJ13701" s="183"/>
    </row>
    <row r="13702" spans="1:38">
      <c r="A13702" s="182"/>
      <c r="Q13702" s="183"/>
      <c r="R13702" s="183"/>
      <c r="S13702" s="183"/>
    </row>
    <row r="13703" spans="1:38">
      <c r="A13703" s="182"/>
      <c r="Q13703" s="183"/>
      <c r="R13703" s="183"/>
      <c r="S13703" s="183"/>
    </row>
    <row r="13704" spans="1:38">
      <c r="A13704" s="182"/>
      <c r="Q13704" s="183"/>
      <c r="R13704" s="183"/>
      <c r="S13704" s="183"/>
    </row>
    <row r="13705" spans="1:38">
      <c r="A13705" s="182"/>
      <c r="Q13705" s="183"/>
      <c r="R13705" s="183"/>
      <c r="S13705" s="183"/>
    </row>
    <row r="13706" spans="1:38">
      <c r="A13706" s="182"/>
      <c r="Q13706" s="183"/>
      <c r="R13706" s="183"/>
      <c r="S13706" s="183"/>
    </row>
    <row r="13707" spans="1:38">
      <c r="A13707" s="182"/>
      <c r="Q13707" s="183"/>
      <c r="R13707" s="183"/>
      <c r="S13707" s="183"/>
    </row>
    <row r="13708" spans="1:38">
      <c r="A13708" s="182"/>
      <c r="Q13708" s="183"/>
      <c r="R13708" s="183"/>
      <c r="S13708" s="183"/>
    </row>
    <row r="13709" spans="1:38">
      <c r="A13709" s="182"/>
      <c r="Q13709" s="183"/>
    </row>
    <row r="13710" spans="1:38">
      <c r="A13710" s="182"/>
    </row>
    <row r="13711" spans="1:38">
      <c r="A13711" s="182"/>
    </row>
    <row r="13712" spans="1:38">
      <c r="A13712" s="182"/>
      <c r="R13712" s="183"/>
      <c r="S13712" s="183"/>
    </row>
    <row r="13713" spans="1:38">
      <c r="A13713" s="182"/>
      <c r="Q13713" s="183"/>
      <c r="R13713" s="183"/>
      <c r="S13713" s="183"/>
    </row>
    <row r="13714" spans="1:38">
      <c r="A13714" s="182"/>
      <c r="Q13714" s="183"/>
      <c r="R13714" s="183"/>
      <c r="S13714" s="183"/>
    </row>
    <row r="13715" spans="1:38">
      <c r="A13715" s="182"/>
      <c r="Q13715" s="183"/>
      <c r="R13715" s="183"/>
      <c r="S13715" s="183"/>
    </row>
    <row r="13716" spans="1:38">
      <c r="A13716" s="182"/>
      <c r="Q13716" s="183"/>
      <c r="R13716" s="183"/>
      <c r="S13716" s="183"/>
    </row>
    <row r="13717" spans="1:38">
      <c r="A13717" s="182"/>
      <c r="Q13717" s="183"/>
      <c r="R13717" s="183"/>
      <c r="S13717" s="183"/>
    </row>
    <row r="13718" spans="1:38">
      <c r="A13718" s="182"/>
      <c r="Q13718" s="183"/>
      <c r="R13718" s="183"/>
      <c r="S13718" s="183"/>
    </row>
    <row r="13719" spans="1:38">
      <c r="A13719" s="182"/>
      <c r="Q13719" s="183"/>
      <c r="R13719" s="183"/>
      <c r="S13719" s="183"/>
    </row>
    <row r="13720" spans="1:38">
      <c r="A13720" s="182"/>
      <c r="Q13720" s="183"/>
      <c r="R13720" s="183"/>
      <c r="S13720" s="183"/>
    </row>
    <row r="13721" spans="1:38">
      <c r="A13721" s="182"/>
      <c r="Q13721" s="183"/>
    </row>
    <row r="13722" spans="1:38">
      <c r="A13722" s="182"/>
      <c r="R13722" s="183"/>
      <c r="S13722" s="183"/>
    </row>
    <row r="13723" spans="1:38">
      <c r="A13723" s="182"/>
      <c r="Q13723" s="183"/>
      <c r="R13723" s="183"/>
      <c r="S13723" s="183"/>
    </row>
    <row r="13724" spans="1:38">
      <c r="A13724" s="182"/>
      <c r="Q13724" s="183"/>
      <c r="R13724" s="183"/>
      <c r="S13724" s="183"/>
    </row>
    <row r="13725" spans="1:38">
      <c r="A13725" s="182"/>
      <c r="Q13725" s="183"/>
      <c r="R13725" s="183"/>
      <c r="S13725" s="183"/>
      <c r="AK13725" s="183"/>
      <c r="AL13725" s="183"/>
    </row>
    <row r="13726" spans="1:38">
      <c r="A13726" s="182"/>
      <c r="Q13726" s="183"/>
      <c r="R13726" s="183"/>
      <c r="S13726" s="183"/>
      <c r="AJ13726" s="183"/>
      <c r="AK13726" s="183"/>
      <c r="AL13726" s="183"/>
    </row>
    <row r="13727" spans="1:38">
      <c r="A13727" s="182"/>
      <c r="Q13727" s="183"/>
      <c r="R13727" s="183"/>
      <c r="S13727" s="183"/>
      <c r="AJ13727" s="183"/>
      <c r="AK13727" s="183"/>
      <c r="AL13727" s="183"/>
    </row>
    <row r="13728" spans="1:38">
      <c r="A13728" s="182"/>
      <c r="Q13728" s="183"/>
      <c r="R13728" s="183"/>
      <c r="S13728" s="183"/>
      <c r="AJ13728" s="183"/>
      <c r="AK13728" s="183"/>
      <c r="AL13728" s="183"/>
    </row>
    <row r="13729" spans="1:38">
      <c r="A13729" s="182"/>
      <c r="Q13729" s="183"/>
      <c r="R13729" s="183"/>
      <c r="S13729" s="183"/>
      <c r="AJ13729" s="183"/>
    </row>
    <row r="13730" spans="1:38">
      <c r="A13730" s="182"/>
      <c r="Q13730" s="183"/>
      <c r="R13730" s="183"/>
      <c r="S13730" s="183"/>
    </row>
    <row r="13731" spans="1:38">
      <c r="A13731" s="182"/>
      <c r="Q13731" s="183"/>
      <c r="R13731" s="183"/>
      <c r="S13731" s="183"/>
    </row>
    <row r="13732" spans="1:38">
      <c r="A13732" s="182"/>
      <c r="Q13732" s="183"/>
      <c r="R13732" s="183"/>
      <c r="S13732" s="183"/>
    </row>
    <row r="13733" spans="1:38">
      <c r="A13733" s="182"/>
      <c r="Q13733" s="183"/>
      <c r="R13733" s="183"/>
      <c r="S13733" s="183"/>
      <c r="AK13733" s="183"/>
      <c r="AL13733" s="183"/>
    </row>
    <row r="13734" spans="1:38">
      <c r="A13734" s="182"/>
      <c r="Q13734" s="183"/>
      <c r="R13734" s="183"/>
      <c r="S13734" s="183"/>
      <c r="AJ13734" s="183"/>
      <c r="AK13734" s="183"/>
      <c r="AL13734" s="183"/>
    </row>
    <row r="13735" spans="1:38">
      <c r="A13735" s="182"/>
      <c r="Q13735" s="183"/>
      <c r="R13735" s="183"/>
      <c r="S13735" s="183"/>
      <c r="AJ13735" s="183"/>
      <c r="AK13735" s="183"/>
      <c r="AL13735" s="183"/>
    </row>
    <row r="13736" spans="1:38">
      <c r="A13736" s="182"/>
      <c r="Q13736" s="183"/>
      <c r="R13736" s="183"/>
      <c r="S13736" s="183"/>
      <c r="AJ13736" s="183"/>
      <c r="AK13736" s="183"/>
      <c r="AL13736" s="183"/>
    </row>
    <row r="13737" spans="1:38">
      <c r="A13737" s="182"/>
      <c r="Q13737" s="183"/>
      <c r="R13737" s="183"/>
      <c r="S13737" s="183"/>
      <c r="AJ13737" s="183"/>
    </row>
    <row r="13738" spans="1:38">
      <c r="A13738" s="182"/>
      <c r="Q13738" s="183"/>
      <c r="R13738" s="183"/>
      <c r="S13738" s="183"/>
    </row>
    <row r="13739" spans="1:38">
      <c r="A13739" s="182"/>
      <c r="Q13739" s="183"/>
      <c r="R13739" s="183"/>
      <c r="S13739" s="183"/>
    </row>
    <row r="13740" spans="1:38">
      <c r="A13740" s="182"/>
      <c r="Q13740" s="183"/>
      <c r="R13740" s="183"/>
      <c r="S13740" s="183"/>
    </row>
    <row r="13741" spans="1:38">
      <c r="A13741" s="182"/>
      <c r="Q13741" s="183"/>
      <c r="R13741" s="183"/>
      <c r="S13741" s="183"/>
      <c r="AK13741" s="183"/>
      <c r="AL13741" s="183"/>
    </row>
    <row r="13742" spans="1:38">
      <c r="A13742" s="182"/>
      <c r="Q13742" s="183"/>
      <c r="R13742" s="183"/>
      <c r="S13742" s="183"/>
      <c r="AJ13742" s="183"/>
      <c r="AK13742" s="183"/>
      <c r="AL13742" s="183"/>
    </row>
    <row r="13743" spans="1:38">
      <c r="A13743" s="182"/>
      <c r="Q13743" s="183"/>
      <c r="R13743" s="183"/>
      <c r="S13743" s="183"/>
      <c r="AJ13743" s="183"/>
      <c r="AK13743" s="183"/>
      <c r="AL13743" s="183"/>
    </row>
    <row r="13744" spans="1:38">
      <c r="A13744" s="182"/>
      <c r="Q13744" s="183"/>
      <c r="R13744" s="183"/>
      <c r="S13744" s="183"/>
      <c r="AJ13744" s="183"/>
      <c r="AK13744" s="183"/>
      <c r="AL13744" s="183"/>
    </row>
    <row r="13745" spans="1:38">
      <c r="A13745" s="182"/>
      <c r="Q13745" s="183"/>
      <c r="R13745" s="183"/>
      <c r="S13745" s="183"/>
      <c r="AJ13745" s="183"/>
    </row>
    <row r="13746" spans="1:38">
      <c r="A13746" s="182"/>
      <c r="Q13746" s="183"/>
      <c r="R13746" s="183"/>
      <c r="S13746" s="183"/>
    </row>
    <row r="13747" spans="1:38">
      <c r="A13747" s="182"/>
      <c r="Q13747" s="183"/>
      <c r="R13747" s="183"/>
      <c r="S13747" s="183"/>
    </row>
    <row r="13748" spans="1:38">
      <c r="A13748" s="182"/>
      <c r="Q13748" s="183"/>
      <c r="R13748" s="183"/>
      <c r="S13748" s="183"/>
    </row>
    <row r="13749" spans="1:38">
      <c r="A13749" s="182"/>
      <c r="Q13749" s="183"/>
      <c r="R13749" s="183"/>
      <c r="S13749" s="183"/>
      <c r="AK13749" s="183"/>
      <c r="AL13749" s="183"/>
    </row>
    <row r="13750" spans="1:38">
      <c r="A13750" s="182"/>
      <c r="Q13750" s="183"/>
      <c r="R13750" s="183"/>
      <c r="S13750" s="183"/>
      <c r="AJ13750" s="183"/>
      <c r="AK13750" s="183"/>
      <c r="AL13750" s="183"/>
    </row>
    <row r="13751" spans="1:38">
      <c r="A13751" s="182"/>
      <c r="Q13751" s="183"/>
      <c r="R13751" s="183"/>
      <c r="S13751" s="183"/>
      <c r="AJ13751" s="183"/>
      <c r="AK13751" s="183"/>
      <c r="AL13751" s="183"/>
    </row>
    <row r="13752" spans="1:38">
      <c r="A13752" s="182"/>
      <c r="Q13752" s="183"/>
      <c r="R13752" s="183"/>
      <c r="S13752" s="183"/>
      <c r="AJ13752" s="183"/>
      <c r="AK13752" s="183"/>
      <c r="AL13752" s="183"/>
    </row>
    <row r="13753" spans="1:38">
      <c r="A13753" s="182"/>
      <c r="Q13753" s="183"/>
      <c r="R13753" s="183"/>
      <c r="S13753" s="183"/>
      <c r="AJ13753" s="183"/>
      <c r="AK13753" s="183"/>
      <c r="AL13753" s="183"/>
    </row>
    <row r="13754" spans="1:38">
      <c r="A13754" s="182"/>
      <c r="Q13754" s="183"/>
      <c r="AJ13754" s="183"/>
      <c r="AK13754" s="183"/>
      <c r="AL13754" s="183"/>
    </row>
    <row r="13755" spans="1:38">
      <c r="A13755" s="182"/>
      <c r="R13755" s="183"/>
      <c r="S13755" s="183"/>
      <c r="AJ13755" s="183"/>
      <c r="AK13755" s="183"/>
      <c r="AL13755" s="183"/>
    </row>
    <row r="13756" spans="1:38">
      <c r="A13756" s="182"/>
      <c r="Q13756" s="183"/>
      <c r="R13756" s="183"/>
      <c r="S13756" s="183"/>
      <c r="AJ13756" s="183"/>
      <c r="AK13756" s="183"/>
      <c r="AL13756" s="183"/>
    </row>
    <row r="13757" spans="1:38">
      <c r="A13757" s="182"/>
      <c r="Q13757" s="183"/>
      <c r="AJ13757" s="183"/>
    </row>
    <row r="13758" spans="1:38">
      <c r="A13758" s="182"/>
      <c r="R13758" s="183"/>
      <c r="S13758" s="183"/>
    </row>
    <row r="13759" spans="1:38">
      <c r="A13759" s="182"/>
      <c r="Q13759" s="183"/>
      <c r="R13759" s="183"/>
      <c r="S13759" s="183"/>
    </row>
    <row r="13760" spans="1:38">
      <c r="A13760" s="182"/>
      <c r="Q13760" s="183"/>
      <c r="R13760" s="183"/>
      <c r="S13760" s="183"/>
    </row>
    <row r="13761" spans="1:38">
      <c r="A13761" s="182"/>
      <c r="Q13761" s="183"/>
      <c r="R13761" s="183"/>
      <c r="S13761" s="183"/>
    </row>
    <row r="13762" spans="1:38">
      <c r="A13762" s="182"/>
      <c r="Q13762" s="183"/>
      <c r="R13762" s="183"/>
      <c r="S13762" s="183"/>
    </row>
    <row r="13763" spans="1:38">
      <c r="A13763" s="182"/>
      <c r="Q13763" s="183"/>
      <c r="R13763" s="183"/>
      <c r="S13763" s="183"/>
    </row>
    <row r="13764" spans="1:38">
      <c r="A13764" s="182"/>
      <c r="Q13764" s="183"/>
      <c r="R13764" s="183"/>
      <c r="S13764" s="183"/>
    </row>
    <row r="13765" spans="1:38">
      <c r="A13765" s="182"/>
      <c r="Q13765" s="183"/>
      <c r="R13765" s="183"/>
      <c r="S13765" s="183"/>
      <c r="AK13765" s="183"/>
      <c r="AL13765" s="183"/>
    </row>
    <row r="13766" spans="1:38">
      <c r="A13766" s="182"/>
      <c r="Q13766" s="183"/>
      <c r="R13766" s="183"/>
      <c r="S13766" s="183"/>
      <c r="AJ13766" s="183"/>
      <c r="AK13766" s="183"/>
      <c r="AL13766" s="183"/>
    </row>
    <row r="13767" spans="1:38">
      <c r="A13767" s="182"/>
      <c r="Q13767" s="183"/>
      <c r="R13767" s="183"/>
      <c r="S13767" s="183"/>
      <c r="AJ13767" s="183"/>
      <c r="AK13767" s="183"/>
      <c r="AL13767" s="183"/>
    </row>
    <row r="13768" spans="1:38">
      <c r="A13768" s="182"/>
      <c r="Q13768" s="183"/>
      <c r="R13768" s="183"/>
      <c r="S13768" s="183"/>
      <c r="AJ13768" s="183"/>
      <c r="AK13768" s="183"/>
      <c r="AL13768" s="183"/>
    </row>
    <row r="13769" spans="1:38">
      <c r="A13769" s="182"/>
      <c r="Q13769" s="183"/>
      <c r="R13769" s="183"/>
      <c r="S13769" s="183"/>
      <c r="AJ13769" s="183"/>
    </row>
    <row r="13770" spans="1:38">
      <c r="A13770" s="182"/>
      <c r="Q13770" s="183"/>
      <c r="R13770" s="183"/>
      <c r="S13770" s="183"/>
    </row>
    <row r="13771" spans="1:38">
      <c r="A13771" s="182"/>
      <c r="Q13771" s="183"/>
      <c r="R13771" s="183"/>
      <c r="S13771" s="183"/>
    </row>
    <row r="13772" spans="1:38">
      <c r="A13772" s="182"/>
      <c r="Q13772" s="183"/>
      <c r="R13772" s="183"/>
      <c r="S13772" s="183"/>
    </row>
    <row r="13773" spans="1:38">
      <c r="A13773" s="182"/>
      <c r="Q13773" s="183"/>
      <c r="R13773" s="183"/>
      <c r="S13773" s="183"/>
    </row>
    <row r="13774" spans="1:38">
      <c r="A13774" s="182"/>
      <c r="Q13774" s="183"/>
      <c r="R13774" s="183"/>
      <c r="S13774" s="183"/>
    </row>
    <row r="13775" spans="1:38">
      <c r="A13775" s="182"/>
      <c r="Q13775" s="183"/>
      <c r="R13775" s="183"/>
      <c r="S13775" s="183"/>
    </row>
    <row r="13776" spans="1:38">
      <c r="A13776" s="182"/>
      <c r="Q13776" s="183"/>
      <c r="R13776" s="183"/>
      <c r="S13776" s="183"/>
    </row>
    <row r="13777" spans="1:19">
      <c r="A13777" s="182"/>
      <c r="Q13777" s="183"/>
      <c r="R13777" s="183"/>
      <c r="S13777" s="183"/>
    </row>
    <row r="13778" spans="1:19">
      <c r="A13778" s="182"/>
      <c r="Q13778" s="183"/>
      <c r="R13778" s="183"/>
      <c r="S13778" s="183"/>
    </row>
    <row r="13779" spans="1:19">
      <c r="A13779" s="182"/>
      <c r="Q13779" s="183"/>
      <c r="R13779" s="183"/>
      <c r="S13779" s="183"/>
    </row>
    <row r="13780" spans="1:19">
      <c r="A13780" s="182"/>
      <c r="Q13780" s="183"/>
      <c r="R13780" s="183"/>
      <c r="S13780" s="183"/>
    </row>
    <row r="13781" spans="1:19">
      <c r="A13781" s="182"/>
      <c r="Q13781" s="183"/>
      <c r="R13781" s="183"/>
      <c r="S13781" s="183"/>
    </row>
    <row r="13782" spans="1:19">
      <c r="A13782" s="182"/>
      <c r="Q13782" s="183"/>
      <c r="R13782" s="183"/>
      <c r="S13782" s="183"/>
    </row>
    <row r="13783" spans="1:19">
      <c r="A13783" s="182"/>
      <c r="Q13783" s="183"/>
      <c r="R13783" s="183"/>
      <c r="S13783" s="183"/>
    </row>
    <row r="13784" spans="1:19">
      <c r="A13784" s="182"/>
      <c r="Q13784" s="183"/>
      <c r="R13784" s="183"/>
      <c r="S13784" s="183"/>
    </row>
    <row r="13785" spans="1:19">
      <c r="A13785" s="182"/>
      <c r="Q13785" s="183"/>
      <c r="R13785" s="183"/>
      <c r="S13785" s="183"/>
    </row>
    <row r="13786" spans="1:19">
      <c r="A13786" s="182"/>
      <c r="Q13786" s="183"/>
      <c r="R13786" s="183"/>
      <c r="S13786" s="183"/>
    </row>
    <row r="13787" spans="1:19">
      <c r="A13787" s="182"/>
      <c r="Q13787" s="183"/>
      <c r="R13787" s="183"/>
      <c r="S13787" s="183"/>
    </row>
    <row r="13788" spans="1:19">
      <c r="A13788" s="182"/>
      <c r="Q13788" s="183"/>
      <c r="R13788" s="183"/>
      <c r="S13788" s="183"/>
    </row>
    <row r="13789" spans="1:19">
      <c r="A13789" s="182"/>
      <c r="Q13789" s="183"/>
      <c r="R13789" s="183"/>
      <c r="S13789" s="183"/>
    </row>
    <row r="13790" spans="1:19">
      <c r="A13790" s="182"/>
      <c r="Q13790" s="183"/>
      <c r="R13790" s="183"/>
      <c r="S13790" s="183"/>
    </row>
    <row r="13791" spans="1:19">
      <c r="A13791" s="182"/>
      <c r="Q13791" s="183"/>
      <c r="R13791" s="183"/>
      <c r="S13791" s="183"/>
    </row>
    <row r="13792" spans="1:19">
      <c r="A13792" s="182"/>
      <c r="Q13792" s="183"/>
      <c r="R13792" s="183"/>
      <c r="S13792" s="183"/>
    </row>
    <row r="13793" spans="1:19">
      <c r="A13793" s="182"/>
      <c r="Q13793" s="183"/>
      <c r="R13793" s="183"/>
      <c r="S13793" s="183"/>
    </row>
    <row r="13794" spans="1:19">
      <c r="A13794" s="182"/>
      <c r="Q13794" s="183"/>
      <c r="R13794" s="183"/>
      <c r="S13794" s="183"/>
    </row>
    <row r="13795" spans="1:19">
      <c r="A13795" s="182"/>
      <c r="Q13795" s="183"/>
      <c r="R13795" s="183"/>
      <c r="S13795" s="183"/>
    </row>
    <row r="13796" spans="1:19">
      <c r="A13796" s="182"/>
      <c r="Q13796" s="183"/>
      <c r="R13796" s="183"/>
      <c r="S13796" s="183"/>
    </row>
    <row r="13797" spans="1:19">
      <c r="A13797" s="182"/>
      <c r="Q13797" s="183"/>
      <c r="R13797" s="183"/>
      <c r="S13797" s="183"/>
    </row>
    <row r="13798" spans="1:19">
      <c r="A13798" s="182"/>
      <c r="Q13798" s="183"/>
      <c r="R13798" s="183"/>
      <c r="S13798" s="183"/>
    </row>
    <row r="13799" spans="1:19">
      <c r="A13799" s="182"/>
      <c r="Q13799" s="183"/>
      <c r="R13799" s="183"/>
      <c r="S13799" s="183"/>
    </row>
    <row r="13800" spans="1:19">
      <c r="A13800" s="182"/>
      <c r="Q13800" s="183"/>
      <c r="R13800" s="183"/>
      <c r="S13800" s="183"/>
    </row>
    <row r="13801" spans="1:19">
      <c r="A13801" s="182"/>
      <c r="Q13801" s="183"/>
      <c r="R13801" s="183"/>
      <c r="S13801" s="183"/>
    </row>
    <row r="13802" spans="1:19">
      <c r="A13802" s="182"/>
      <c r="Q13802" s="183"/>
      <c r="R13802" s="183"/>
      <c r="S13802" s="183"/>
    </row>
    <row r="13803" spans="1:19">
      <c r="A13803" s="182"/>
      <c r="Q13803" s="183"/>
      <c r="R13803" s="183"/>
      <c r="S13803" s="183"/>
    </row>
    <row r="13804" spans="1:19">
      <c r="A13804" s="182"/>
      <c r="Q13804" s="183"/>
      <c r="R13804" s="183"/>
      <c r="S13804" s="183"/>
    </row>
    <row r="13805" spans="1:19">
      <c r="A13805" s="182"/>
      <c r="Q13805" s="183"/>
      <c r="R13805" s="183"/>
      <c r="S13805" s="183"/>
    </row>
    <row r="13806" spans="1:19">
      <c r="A13806" s="182"/>
      <c r="Q13806" s="183"/>
      <c r="R13806" s="183"/>
      <c r="S13806" s="183"/>
    </row>
    <row r="13807" spans="1:19">
      <c r="A13807" s="182"/>
      <c r="Q13807" s="183"/>
      <c r="R13807" s="183"/>
      <c r="S13807" s="183"/>
    </row>
    <row r="13808" spans="1:19">
      <c r="A13808" s="182"/>
      <c r="Q13808" s="183"/>
      <c r="R13808" s="183"/>
      <c r="S13808" s="183"/>
    </row>
    <row r="13809" spans="1:19">
      <c r="A13809" s="182"/>
      <c r="Q13809" s="183"/>
      <c r="R13809" s="183"/>
      <c r="S13809" s="183"/>
    </row>
    <row r="13810" spans="1:19">
      <c r="A13810" s="182"/>
      <c r="Q13810" s="183"/>
      <c r="R13810" s="183"/>
      <c r="S13810" s="183"/>
    </row>
    <row r="13811" spans="1:19">
      <c r="A13811" s="182"/>
      <c r="Q13811" s="183"/>
      <c r="R13811" s="183"/>
      <c r="S13811" s="183"/>
    </row>
    <row r="13812" spans="1:19">
      <c r="A13812" s="182"/>
      <c r="Q13812" s="183"/>
      <c r="R13812" s="183"/>
      <c r="S13812" s="183"/>
    </row>
    <row r="13813" spans="1:19">
      <c r="A13813" s="182"/>
      <c r="Q13813" s="183"/>
      <c r="R13813" s="183"/>
      <c r="S13813" s="183"/>
    </row>
    <row r="13814" spans="1:19">
      <c r="A13814" s="182"/>
      <c r="Q13814" s="183"/>
      <c r="R13814" s="183"/>
      <c r="S13814" s="183"/>
    </row>
    <row r="13815" spans="1:19">
      <c r="A13815" s="182"/>
      <c r="Q13815" s="183"/>
      <c r="R13815" s="183"/>
      <c r="S13815" s="183"/>
    </row>
    <row r="13816" spans="1:19">
      <c r="A13816" s="182"/>
      <c r="Q13816" s="183"/>
      <c r="R13816" s="183"/>
      <c r="S13816" s="183"/>
    </row>
    <row r="13817" spans="1:19">
      <c r="A13817" s="182"/>
      <c r="Q13817" s="183"/>
      <c r="R13817" s="183"/>
      <c r="S13817" s="183"/>
    </row>
    <row r="13818" spans="1:19">
      <c r="A13818" s="182"/>
      <c r="Q13818" s="183"/>
      <c r="R13818" s="183"/>
      <c r="S13818" s="183"/>
    </row>
    <row r="13819" spans="1:19">
      <c r="A13819" s="182"/>
      <c r="Q13819" s="183"/>
      <c r="R13819" s="183"/>
      <c r="S13819" s="183"/>
    </row>
    <row r="13820" spans="1:19">
      <c r="A13820" s="182"/>
      <c r="Q13820" s="183"/>
      <c r="R13820" s="183"/>
      <c r="S13820" s="183"/>
    </row>
    <row r="13821" spans="1:19">
      <c r="A13821" s="182"/>
      <c r="Q13821" s="183"/>
      <c r="R13821" s="183"/>
      <c r="S13821" s="183"/>
    </row>
    <row r="13822" spans="1:19">
      <c r="A13822" s="182"/>
      <c r="Q13822" s="183"/>
      <c r="R13822" s="183"/>
      <c r="S13822" s="183"/>
    </row>
    <row r="13823" spans="1:19">
      <c r="A13823" s="182"/>
      <c r="Q13823" s="183"/>
      <c r="R13823" s="183"/>
      <c r="S13823" s="183"/>
    </row>
    <row r="13824" spans="1:19">
      <c r="A13824" s="182"/>
      <c r="Q13824" s="183"/>
      <c r="R13824" s="183"/>
      <c r="S13824" s="183"/>
    </row>
    <row r="13825" spans="1:38">
      <c r="A13825" s="182"/>
      <c r="Q13825" s="183"/>
      <c r="R13825" s="183"/>
      <c r="S13825" s="183"/>
    </row>
    <row r="13826" spans="1:38">
      <c r="A13826" s="182"/>
      <c r="Q13826" s="183"/>
      <c r="R13826" s="183"/>
      <c r="S13826" s="183"/>
    </row>
    <row r="13827" spans="1:38">
      <c r="A13827" s="182"/>
      <c r="Q13827" s="183"/>
      <c r="R13827" s="183"/>
      <c r="S13827" s="183"/>
    </row>
    <row r="13828" spans="1:38">
      <c r="A13828" s="182"/>
      <c r="Q13828" s="183"/>
      <c r="R13828" s="183"/>
      <c r="S13828" s="183"/>
    </row>
    <row r="13829" spans="1:38">
      <c r="A13829" s="182"/>
      <c r="Q13829" s="183"/>
      <c r="R13829" s="183"/>
      <c r="S13829" s="183"/>
    </row>
    <row r="13830" spans="1:38">
      <c r="A13830" s="182"/>
      <c r="Q13830" s="183"/>
      <c r="R13830" s="183"/>
      <c r="S13830" s="183"/>
    </row>
    <row r="13831" spans="1:38">
      <c r="A13831" s="182"/>
      <c r="Q13831" s="183"/>
      <c r="R13831" s="183"/>
      <c r="S13831" s="183"/>
    </row>
    <row r="13832" spans="1:38">
      <c r="A13832" s="182"/>
      <c r="Q13832" s="183"/>
      <c r="R13832" s="183"/>
      <c r="S13832" s="183"/>
    </row>
    <row r="13833" spans="1:38">
      <c r="A13833" s="182"/>
      <c r="Q13833" s="183"/>
      <c r="R13833" s="183"/>
      <c r="S13833" s="183"/>
      <c r="AK13833" s="183"/>
      <c r="AL13833" s="183"/>
    </row>
    <row r="13834" spans="1:38">
      <c r="A13834" s="182"/>
      <c r="Q13834" s="183"/>
      <c r="R13834" s="183"/>
      <c r="S13834" s="183"/>
      <c r="AJ13834" s="183"/>
      <c r="AK13834" s="183"/>
      <c r="AL13834" s="183"/>
    </row>
    <row r="13835" spans="1:38">
      <c r="A13835" s="182"/>
      <c r="Q13835" s="183"/>
      <c r="R13835" s="183"/>
      <c r="S13835" s="183"/>
      <c r="AJ13835" s="183"/>
      <c r="AK13835" s="183"/>
      <c r="AL13835" s="183"/>
    </row>
    <row r="13836" spans="1:38">
      <c r="A13836" s="182"/>
      <c r="Q13836" s="183"/>
      <c r="R13836" s="183"/>
      <c r="S13836" s="183"/>
      <c r="AJ13836" s="183"/>
      <c r="AK13836" s="183"/>
      <c r="AL13836" s="183"/>
    </row>
    <row r="13837" spans="1:38">
      <c r="A13837" s="182"/>
      <c r="Q13837" s="183"/>
      <c r="R13837" s="183"/>
      <c r="S13837" s="183"/>
      <c r="AJ13837" s="183"/>
      <c r="AK13837" s="183"/>
      <c r="AL13837" s="183"/>
    </row>
    <row r="13838" spans="1:38">
      <c r="A13838" s="182"/>
      <c r="Q13838" s="183"/>
      <c r="R13838" s="183"/>
      <c r="S13838" s="183"/>
      <c r="AJ13838" s="183"/>
      <c r="AK13838" s="183"/>
      <c r="AL13838" s="183"/>
    </row>
    <row r="13839" spans="1:38">
      <c r="A13839" s="182"/>
      <c r="Q13839" s="183"/>
      <c r="R13839" s="183"/>
      <c r="S13839" s="183"/>
      <c r="AJ13839" s="183"/>
      <c r="AK13839" s="183"/>
      <c r="AL13839" s="183"/>
    </row>
    <row r="13840" spans="1:38">
      <c r="A13840" s="182"/>
      <c r="Q13840" s="183"/>
      <c r="R13840" s="183"/>
      <c r="S13840" s="183"/>
      <c r="AJ13840" s="183"/>
      <c r="AK13840" s="183"/>
      <c r="AL13840" s="183"/>
    </row>
    <row r="13841" spans="1:38">
      <c r="A13841" s="182"/>
      <c r="Q13841" s="183"/>
      <c r="R13841" s="183"/>
      <c r="S13841" s="183"/>
      <c r="AJ13841" s="183"/>
    </row>
    <row r="13842" spans="1:38">
      <c r="A13842" s="182"/>
      <c r="Q13842" s="183"/>
      <c r="R13842" s="183"/>
      <c r="S13842" s="183"/>
    </row>
    <row r="13843" spans="1:38">
      <c r="A13843" s="182"/>
      <c r="Q13843" s="183"/>
      <c r="R13843" s="183"/>
      <c r="S13843" s="183"/>
    </row>
    <row r="13844" spans="1:38">
      <c r="A13844" s="182"/>
      <c r="Q13844" s="183"/>
      <c r="R13844" s="183"/>
      <c r="S13844" s="183"/>
    </row>
    <row r="13845" spans="1:38">
      <c r="A13845" s="182"/>
      <c r="Q13845" s="183"/>
      <c r="R13845" s="183"/>
      <c r="S13845" s="183"/>
    </row>
    <row r="13846" spans="1:38">
      <c r="A13846" s="182"/>
      <c r="Q13846" s="183"/>
      <c r="R13846" s="183"/>
      <c r="S13846" s="183"/>
    </row>
    <row r="13847" spans="1:38">
      <c r="A13847" s="182"/>
      <c r="Q13847" s="183"/>
      <c r="R13847" s="183"/>
      <c r="S13847" s="183"/>
    </row>
    <row r="13848" spans="1:38">
      <c r="A13848" s="182"/>
      <c r="Q13848" s="183"/>
      <c r="R13848" s="183"/>
      <c r="S13848" s="183"/>
    </row>
    <row r="13849" spans="1:38">
      <c r="A13849" s="182"/>
      <c r="Q13849" s="183"/>
      <c r="R13849" s="183"/>
      <c r="S13849" s="183"/>
    </row>
    <row r="13850" spans="1:38">
      <c r="A13850" s="182"/>
      <c r="Q13850" s="183"/>
      <c r="R13850" s="183"/>
      <c r="S13850" s="183"/>
    </row>
    <row r="13851" spans="1:38">
      <c r="A13851" s="182"/>
      <c r="Q13851" s="183"/>
      <c r="R13851" s="183"/>
      <c r="S13851" s="183"/>
    </row>
    <row r="13852" spans="1:38">
      <c r="A13852" s="182"/>
      <c r="Q13852" s="183"/>
      <c r="R13852" s="183"/>
      <c r="S13852" s="183"/>
    </row>
    <row r="13853" spans="1:38">
      <c r="A13853" s="182"/>
      <c r="Q13853" s="183"/>
      <c r="R13853" s="183"/>
      <c r="S13853" s="183"/>
      <c r="AK13853" s="183"/>
      <c r="AL13853" s="183"/>
    </row>
    <row r="13854" spans="1:38">
      <c r="A13854" s="182"/>
      <c r="Q13854" s="183"/>
      <c r="R13854" s="183"/>
      <c r="S13854" s="183"/>
      <c r="AJ13854" s="183"/>
      <c r="AK13854" s="183"/>
      <c r="AL13854" s="183"/>
    </row>
    <row r="13855" spans="1:38">
      <c r="A13855" s="182"/>
      <c r="Q13855" s="183"/>
      <c r="R13855" s="183"/>
      <c r="S13855" s="183"/>
      <c r="AJ13855" s="183"/>
      <c r="AK13855" s="183"/>
      <c r="AL13855" s="183"/>
    </row>
    <row r="13856" spans="1:38">
      <c r="A13856" s="182"/>
      <c r="Q13856" s="183"/>
      <c r="R13856" s="183"/>
      <c r="S13856" s="183"/>
      <c r="AJ13856" s="183"/>
      <c r="AK13856" s="183"/>
      <c r="AL13856" s="183"/>
    </row>
    <row r="13857" spans="1:38">
      <c r="A13857" s="182"/>
      <c r="Q13857" s="183"/>
      <c r="R13857" s="183"/>
      <c r="S13857" s="183"/>
      <c r="AJ13857" s="183"/>
    </row>
    <row r="13858" spans="1:38">
      <c r="A13858" s="182"/>
      <c r="Q13858" s="183"/>
      <c r="R13858" s="183"/>
      <c r="S13858" s="183"/>
    </row>
    <row r="13859" spans="1:38">
      <c r="A13859" s="182"/>
      <c r="Q13859" s="183"/>
      <c r="R13859" s="183"/>
      <c r="S13859" s="183"/>
    </row>
    <row r="13860" spans="1:38">
      <c r="A13860" s="182"/>
      <c r="Q13860" s="183"/>
    </row>
    <row r="13861" spans="1:38">
      <c r="A13861" s="182"/>
      <c r="R13861" s="183"/>
      <c r="S13861" s="183"/>
    </row>
    <row r="13862" spans="1:38">
      <c r="A13862" s="182"/>
      <c r="Q13862" s="183"/>
      <c r="R13862" s="183"/>
      <c r="S13862" s="183"/>
    </row>
    <row r="13863" spans="1:38">
      <c r="A13863" s="182"/>
      <c r="Q13863" s="183"/>
      <c r="R13863" s="183"/>
      <c r="S13863" s="183"/>
    </row>
    <row r="13864" spans="1:38">
      <c r="A13864" s="182"/>
      <c r="Q13864" s="183"/>
      <c r="R13864" s="183"/>
      <c r="S13864" s="183"/>
    </row>
    <row r="13865" spans="1:38">
      <c r="A13865" s="182"/>
      <c r="Q13865" s="183"/>
      <c r="R13865" s="183"/>
      <c r="S13865" s="183"/>
      <c r="AK13865" s="183"/>
      <c r="AL13865" s="183"/>
    </row>
    <row r="13866" spans="1:38">
      <c r="A13866" s="182"/>
      <c r="Q13866" s="183"/>
      <c r="R13866" s="183"/>
      <c r="S13866" s="183"/>
      <c r="AJ13866" s="183"/>
      <c r="AK13866" s="183"/>
      <c r="AL13866" s="183"/>
    </row>
    <row r="13867" spans="1:38">
      <c r="A13867" s="182"/>
      <c r="Q13867" s="183"/>
      <c r="R13867" s="183"/>
      <c r="S13867" s="183"/>
      <c r="AJ13867" s="183"/>
      <c r="AK13867" s="183"/>
      <c r="AL13867" s="183"/>
    </row>
    <row r="13868" spans="1:38">
      <c r="A13868" s="182"/>
      <c r="Q13868" s="183"/>
      <c r="R13868" s="183"/>
      <c r="S13868" s="183"/>
      <c r="AJ13868" s="183"/>
      <c r="AK13868" s="183"/>
      <c r="AL13868" s="183"/>
    </row>
    <row r="13869" spans="1:38">
      <c r="A13869" s="182"/>
      <c r="Q13869" s="183"/>
      <c r="R13869" s="183"/>
      <c r="S13869" s="183"/>
      <c r="AJ13869" s="183"/>
    </row>
    <row r="13870" spans="1:38">
      <c r="A13870" s="182"/>
      <c r="Q13870" s="183"/>
      <c r="R13870" s="183"/>
      <c r="S13870" s="183"/>
    </row>
    <row r="13871" spans="1:38">
      <c r="A13871" s="182"/>
      <c r="Q13871" s="183"/>
      <c r="R13871" s="183"/>
      <c r="S13871" s="183"/>
    </row>
    <row r="13872" spans="1:38">
      <c r="A13872" s="182"/>
      <c r="Q13872" s="183"/>
      <c r="R13872" s="183"/>
      <c r="S13872" s="183"/>
    </row>
    <row r="13873" spans="1:19">
      <c r="A13873" s="182"/>
      <c r="Q13873" s="183"/>
      <c r="R13873" s="183"/>
      <c r="S13873" s="183"/>
    </row>
    <row r="13874" spans="1:19">
      <c r="A13874" s="182"/>
      <c r="Q13874" s="183"/>
      <c r="R13874" s="183"/>
      <c r="S13874" s="183"/>
    </row>
    <row r="13875" spans="1:19">
      <c r="A13875" s="182"/>
      <c r="Q13875" s="183"/>
      <c r="R13875" s="183"/>
      <c r="S13875" s="183"/>
    </row>
    <row r="13876" spans="1:19">
      <c r="A13876" s="182"/>
      <c r="Q13876" s="183"/>
      <c r="R13876" s="183"/>
      <c r="S13876" s="183"/>
    </row>
    <row r="13877" spans="1:19">
      <c r="A13877" s="182"/>
      <c r="Q13877" s="183"/>
      <c r="R13877" s="183"/>
      <c r="S13877" s="183"/>
    </row>
    <row r="13878" spans="1:19">
      <c r="A13878" s="182"/>
      <c r="Q13878" s="183"/>
      <c r="R13878" s="183"/>
      <c r="S13878" s="183"/>
    </row>
    <row r="13879" spans="1:19">
      <c r="A13879" s="182"/>
      <c r="Q13879" s="183"/>
      <c r="R13879" s="183"/>
      <c r="S13879" s="183"/>
    </row>
    <row r="13880" spans="1:19">
      <c r="A13880" s="182"/>
      <c r="Q13880" s="183"/>
      <c r="R13880" s="183"/>
      <c r="S13880" s="183"/>
    </row>
    <row r="13881" spans="1:19">
      <c r="A13881" s="182"/>
      <c r="Q13881" s="183"/>
      <c r="R13881" s="183"/>
      <c r="S13881" s="183"/>
    </row>
    <row r="13882" spans="1:19">
      <c r="A13882" s="182"/>
      <c r="Q13882" s="183"/>
      <c r="R13882" s="183"/>
      <c r="S13882" s="183"/>
    </row>
    <row r="13883" spans="1:19">
      <c r="A13883" s="182"/>
      <c r="Q13883" s="183"/>
      <c r="R13883" s="183"/>
      <c r="S13883" s="183"/>
    </row>
    <row r="13884" spans="1:19">
      <c r="A13884" s="182"/>
      <c r="Q13884" s="183"/>
      <c r="R13884" s="183"/>
      <c r="S13884" s="183"/>
    </row>
    <row r="13885" spans="1:19">
      <c r="A13885" s="182"/>
      <c r="Q13885" s="183"/>
      <c r="R13885" s="183"/>
      <c r="S13885" s="183"/>
    </row>
    <row r="13886" spans="1:19">
      <c r="A13886" s="182"/>
      <c r="Q13886" s="183"/>
      <c r="R13886" s="183"/>
      <c r="S13886" s="183"/>
    </row>
    <row r="13887" spans="1:19">
      <c r="A13887" s="182"/>
      <c r="Q13887" s="183"/>
      <c r="R13887" s="183"/>
      <c r="S13887" s="183"/>
    </row>
    <row r="13888" spans="1:19">
      <c r="A13888" s="182"/>
      <c r="Q13888" s="183"/>
      <c r="R13888" s="183"/>
      <c r="S13888" s="183"/>
    </row>
    <row r="13889" spans="1:38">
      <c r="A13889" s="182"/>
      <c r="Q13889" s="183"/>
      <c r="R13889" s="183"/>
      <c r="S13889" s="183"/>
    </row>
    <row r="13890" spans="1:38">
      <c r="A13890" s="182"/>
      <c r="Q13890" s="183"/>
      <c r="R13890" s="183"/>
      <c r="S13890" s="183"/>
    </row>
    <row r="13891" spans="1:38">
      <c r="A13891" s="182"/>
      <c r="Q13891" s="183"/>
      <c r="R13891" s="183"/>
      <c r="S13891" s="183"/>
    </row>
    <row r="13892" spans="1:38">
      <c r="A13892" s="182"/>
      <c r="Q13892" s="183"/>
      <c r="R13892" s="183"/>
      <c r="S13892" s="183"/>
    </row>
    <row r="13893" spans="1:38">
      <c r="A13893" s="182"/>
      <c r="Q13893" s="183"/>
      <c r="R13893" s="183"/>
      <c r="S13893" s="183"/>
      <c r="AK13893" s="183"/>
      <c r="AL13893" s="183"/>
    </row>
    <row r="13894" spans="1:38">
      <c r="A13894" s="182"/>
      <c r="Q13894" s="183"/>
      <c r="R13894" s="183"/>
      <c r="S13894" s="183"/>
      <c r="AJ13894" s="183"/>
      <c r="AK13894" s="183"/>
      <c r="AL13894" s="183"/>
    </row>
    <row r="13895" spans="1:38">
      <c r="A13895" s="182"/>
      <c r="Q13895" s="183"/>
      <c r="R13895" s="183"/>
      <c r="S13895" s="183"/>
      <c r="AJ13895" s="183"/>
      <c r="AK13895" s="183"/>
      <c r="AL13895" s="183"/>
    </row>
    <row r="13896" spans="1:38">
      <c r="A13896" s="182"/>
      <c r="Q13896" s="183"/>
      <c r="R13896" s="183"/>
      <c r="S13896" s="183"/>
      <c r="AJ13896" s="183"/>
      <c r="AK13896" s="183"/>
      <c r="AL13896" s="183"/>
    </row>
    <row r="13897" spans="1:38">
      <c r="A13897" s="182"/>
      <c r="Q13897" s="183"/>
      <c r="R13897" s="183"/>
      <c r="S13897" s="183"/>
      <c r="AJ13897" s="183"/>
      <c r="AK13897" s="183"/>
      <c r="AL13897" s="183"/>
    </row>
    <row r="13898" spans="1:38">
      <c r="A13898" s="182"/>
      <c r="Q13898" s="183"/>
      <c r="R13898" s="183"/>
      <c r="S13898" s="183"/>
      <c r="AJ13898" s="183"/>
      <c r="AK13898" s="183"/>
      <c r="AL13898" s="183"/>
    </row>
    <row r="13899" spans="1:38">
      <c r="A13899" s="182"/>
      <c r="Q13899" s="183"/>
      <c r="R13899" s="183"/>
      <c r="S13899" s="183"/>
      <c r="AJ13899" s="183"/>
      <c r="AK13899" s="183"/>
      <c r="AL13899" s="183"/>
    </row>
    <row r="13900" spans="1:38">
      <c r="A13900" s="182"/>
      <c r="Q13900" s="183"/>
      <c r="R13900" s="183"/>
      <c r="S13900" s="183"/>
      <c r="AJ13900" s="183"/>
      <c r="AK13900" s="183"/>
      <c r="AL13900" s="183"/>
    </row>
    <row r="13901" spans="1:38">
      <c r="A13901" s="182"/>
      <c r="Q13901" s="183"/>
      <c r="R13901" s="183"/>
      <c r="S13901" s="183"/>
      <c r="AJ13901" s="183"/>
    </row>
    <row r="13902" spans="1:38">
      <c r="A13902" s="182"/>
      <c r="Q13902" s="183"/>
      <c r="R13902" s="183"/>
      <c r="S13902" s="183"/>
    </row>
    <row r="13903" spans="1:38">
      <c r="A13903" s="182"/>
      <c r="Q13903" s="183"/>
      <c r="R13903" s="183"/>
      <c r="S13903" s="183"/>
    </row>
    <row r="13904" spans="1:38">
      <c r="A13904" s="182"/>
      <c r="Q13904" s="183"/>
      <c r="R13904" s="183"/>
      <c r="S13904" s="183"/>
    </row>
    <row r="13905" spans="1:38">
      <c r="A13905" s="182"/>
      <c r="Q13905" s="183"/>
      <c r="R13905" s="183"/>
      <c r="S13905" s="183"/>
    </row>
    <row r="13906" spans="1:38">
      <c r="A13906" s="182"/>
      <c r="Q13906" s="183"/>
      <c r="R13906" s="183"/>
      <c r="S13906" s="183"/>
    </row>
    <row r="13907" spans="1:38">
      <c r="A13907" s="182"/>
      <c r="Q13907" s="183"/>
      <c r="R13907" s="183"/>
      <c r="S13907" s="183"/>
    </row>
    <row r="13908" spans="1:38">
      <c r="A13908" s="182"/>
      <c r="Q13908" s="183"/>
      <c r="R13908" s="183"/>
      <c r="S13908" s="183"/>
    </row>
    <row r="13909" spans="1:38">
      <c r="A13909" s="182"/>
      <c r="Q13909" s="183"/>
      <c r="R13909" s="183"/>
      <c r="S13909" s="183"/>
    </row>
    <row r="13910" spans="1:38">
      <c r="A13910" s="182"/>
      <c r="Q13910" s="183"/>
      <c r="R13910" s="183"/>
      <c r="S13910" s="183"/>
    </row>
    <row r="13911" spans="1:38">
      <c r="A13911" s="182"/>
      <c r="Q13911" s="183"/>
      <c r="R13911" s="183"/>
      <c r="S13911" s="183"/>
    </row>
    <row r="13912" spans="1:38">
      <c r="A13912" s="182"/>
      <c r="Q13912" s="183"/>
      <c r="R13912" s="183"/>
      <c r="S13912" s="183"/>
    </row>
    <row r="13913" spans="1:38">
      <c r="A13913" s="182"/>
      <c r="Q13913" s="183"/>
      <c r="R13913" s="183"/>
      <c r="S13913" s="183"/>
    </row>
    <row r="13914" spans="1:38">
      <c r="A13914" s="182"/>
      <c r="Q13914" s="183"/>
      <c r="R13914" s="183"/>
      <c r="S13914" s="183"/>
    </row>
    <row r="13915" spans="1:38">
      <c r="A13915" s="182"/>
      <c r="Q13915" s="183"/>
      <c r="R13915" s="183"/>
      <c r="S13915" s="183"/>
    </row>
    <row r="13916" spans="1:38">
      <c r="A13916" s="182"/>
      <c r="Q13916" s="183"/>
      <c r="R13916" s="183"/>
      <c r="S13916" s="183"/>
    </row>
    <row r="13917" spans="1:38">
      <c r="A13917" s="182"/>
      <c r="Q13917" s="183"/>
      <c r="R13917" s="183"/>
      <c r="S13917" s="183"/>
      <c r="AK13917" s="183"/>
      <c r="AL13917" s="183"/>
    </row>
    <row r="13918" spans="1:38">
      <c r="A13918" s="182"/>
      <c r="Q13918" s="183"/>
      <c r="R13918" s="183"/>
      <c r="S13918" s="183"/>
      <c r="AJ13918" s="183"/>
      <c r="AK13918" s="183"/>
      <c r="AL13918" s="183"/>
    </row>
    <row r="13919" spans="1:38">
      <c r="A13919" s="182"/>
      <c r="Q13919" s="183"/>
      <c r="R13919" s="183"/>
      <c r="S13919" s="183"/>
      <c r="AJ13919" s="183"/>
      <c r="AK13919" s="183"/>
      <c r="AL13919" s="183"/>
    </row>
    <row r="13920" spans="1:38">
      <c r="A13920" s="182"/>
      <c r="Q13920" s="183"/>
      <c r="R13920" s="183"/>
      <c r="S13920" s="183"/>
      <c r="AJ13920" s="183"/>
      <c r="AK13920" s="183"/>
      <c r="AL13920" s="183"/>
    </row>
    <row r="13921" spans="1:38">
      <c r="A13921" s="182"/>
      <c r="Q13921" s="183"/>
      <c r="R13921" s="183"/>
      <c r="S13921" s="183"/>
      <c r="AJ13921" s="183"/>
    </row>
    <row r="13922" spans="1:38">
      <c r="A13922" s="182"/>
      <c r="Q13922" s="183"/>
      <c r="R13922" s="183"/>
      <c r="S13922" s="183"/>
    </row>
    <row r="13923" spans="1:38">
      <c r="A13923" s="182"/>
      <c r="Q13923" s="183"/>
      <c r="R13923" s="183"/>
      <c r="S13923" s="183"/>
    </row>
    <row r="13924" spans="1:38">
      <c r="A13924" s="182"/>
      <c r="Q13924" s="183"/>
      <c r="R13924" s="183"/>
      <c r="S13924" s="183"/>
    </row>
    <row r="13925" spans="1:38">
      <c r="A13925" s="182"/>
      <c r="Q13925" s="183"/>
      <c r="R13925" s="183"/>
      <c r="S13925" s="183"/>
    </row>
    <row r="13926" spans="1:38">
      <c r="A13926" s="182"/>
      <c r="Q13926" s="183"/>
      <c r="R13926" s="183"/>
      <c r="S13926" s="183"/>
    </row>
    <row r="13927" spans="1:38">
      <c r="A13927" s="182"/>
      <c r="Q13927" s="183"/>
      <c r="R13927" s="183"/>
      <c r="S13927" s="183"/>
    </row>
    <row r="13928" spans="1:38">
      <c r="A13928" s="182"/>
      <c r="Q13928" s="183"/>
      <c r="R13928" s="183"/>
      <c r="S13928" s="183"/>
    </row>
    <row r="13929" spans="1:38">
      <c r="A13929" s="182"/>
      <c r="Q13929" s="183"/>
      <c r="R13929" s="183"/>
      <c r="S13929" s="183"/>
      <c r="AK13929" s="183"/>
      <c r="AL13929" s="183"/>
    </row>
    <row r="13930" spans="1:38">
      <c r="A13930" s="182"/>
      <c r="Q13930" s="183"/>
      <c r="R13930" s="183"/>
      <c r="S13930" s="183"/>
      <c r="AJ13930" s="183"/>
      <c r="AK13930" s="183"/>
      <c r="AL13930" s="183"/>
    </row>
    <row r="13931" spans="1:38">
      <c r="A13931" s="182"/>
      <c r="Q13931" s="183"/>
      <c r="R13931" s="183"/>
      <c r="S13931" s="183"/>
      <c r="AJ13931" s="183"/>
      <c r="AK13931" s="183"/>
      <c r="AL13931" s="183"/>
    </row>
    <row r="13932" spans="1:38">
      <c r="A13932" s="182"/>
      <c r="Q13932" s="183"/>
      <c r="R13932" s="183"/>
      <c r="S13932" s="183"/>
      <c r="AJ13932" s="183"/>
      <c r="AK13932" s="183"/>
      <c r="AL13932" s="183"/>
    </row>
    <row r="13933" spans="1:38">
      <c r="A13933" s="182"/>
      <c r="Q13933" s="183"/>
      <c r="R13933" s="183"/>
      <c r="S13933" s="183"/>
      <c r="AJ13933" s="183"/>
    </row>
    <row r="13934" spans="1:38">
      <c r="A13934" s="182"/>
      <c r="Q13934" s="183"/>
      <c r="R13934" s="183"/>
      <c r="S13934" s="183"/>
    </row>
    <row r="13935" spans="1:38">
      <c r="A13935" s="182"/>
      <c r="Q13935" s="183"/>
      <c r="R13935" s="183"/>
      <c r="S13935" s="183"/>
    </row>
    <row r="13936" spans="1:38">
      <c r="A13936" s="182"/>
      <c r="Q13936" s="183"/>
      <c r="R13936" s="183"/>
      <c r="S13936" s="183"/>
    </row>
    <row r="13937" spans="1:38">
      <c r="A13937" s="182"/>
      <c r="Q13937" s="183"/>
      <c r="R13937" s="183"/>
      <c r="S13937" s="183"/>
      <c r="AK13937" s="183"/>
      <c r="AL13937" s="183"/>
    </row>
    <row r="13938" spans="1:38">
      <c r="A13938" s="182"/>
      <c r="Q13938" s="183"/>
      <c r="R13938" s="183"/>
      <c r="S13938" s="183"/>
      <c r="AJ13938" s="183"/>
      <c r="AK13938" s="183"/>
      <c r="AL13938" s="183"/>
    </row>
    <row r="13939" spans="1:38">
      <c r="A13939" s="182"/>
      <c r="Q13939" s="183"/>
      <c r="R13939" s="183"/>
      <c r="S13939" s="183"/>
      <c r="AJ13939" s="183"/>
      <c r="AK13939" s="183"/>
      <c r="AL13939" s="183"/>
    </row>
    <row r="13940" spans="1:38">
      <c r="A13940" s="182"/>
      <c r="Q13940" s="183"/>
      <c r="R13940" s="183"/>
      <c r="S13940" s="183"/>
      <c r="AJ13940" s="183"/>
      <c r="AK13940" s="183"/>
      <c r="AL13940" s="183"/>
    </row>
    <row r="13941" spans="1:38">
      <c r="A13941" s="182"/>
      <c r="Q13941" s="183"/>
      <c r="R13941" s="183"/>
      <c r="S13941" s="183"/>
      <c r="AJ13941" s="183"/>
      <c r="AK13941" s="183"/>
      <c r="AL13941" s="183"/>
    </row>
    <row r="13942" spans="1:38">
      <c r="A13942" s="182"/>
      <c r="Q13942" s="183"/>
      <c r="R13942" s="183"/>
      <c r="S13942" s="183"/>
      <c r="AJ13942" s="183"/>
      <c r="AK13942" s="183"/>
      <c r="AL13942" s="183"/>
    </row>
    <row r="13943" spans="1:38">
      <c r="A13943" s="182"/>
      <c r="Q13943" s="183"/>
      <c r="R13943" s="183"/>
      <c r="S13943" s="183"/>
      <c r="AJ13943" s="183"/>
      <c r="AK13943" s="183"/>
      <c r="AL13943" s="183"/>
    </row>
    <row r="13944" spans="1:38">
      <c r="A13944" s="182"/>
      <c r="Q13944" s="183"/>
      <c r="R13944" s="183"/>
      <c r="S13944" s="183"/>
      <c r="AJ13944" s="183"/>
      <c r="AK13944" s="183"/>
      <c r="AL13944" s="183"/>
    </row>
    <row r="13945" spans="1:38">
      <c r="A13945" s="182"/>
      <c r="Q13945" s="183"/>
      <c r="R13945" s="183"/>
      <c r="S13945" s="183"/>
      <c r="AJ13945" s="183"/>
    </row>
    <row r="13946" spans="1:38">
      <c r="A13946" s="182"/>
      <c r="Q13946" s="183"/>
      <c r="R13946" s="183"/>
      <c r="S13946" s="183"/>
    </row>
    <row r="13947" spans="1:38">
      <c r="A13947" s="182"/>
      <c r="Q13947" s="183"/>
      <c r="R13947" s="183"/>
      <c r="S13947" s="183"/>
    </row>
    <row r="13948" spans="1:38">
      <c r="A13948" s="182"/>
      <c r="Q13948" s="183"/>
      <c r="R13948" s="183"/>
      <c r="S13948" s="183"/>
    </row>
    <row r="13949" spans="1:38">
      <c r="A13949" s="182"/>
      <c r="Q13949" s="183"/>
      <c r="R13949" s="183"/>
      <c r="S13949" s="183"/>
    </row>
    <row r="13950" spans="1:38">
      <c r="A13950" s="182"/>
      <c r="Q13950" s="183"/>
      <c r="R13950" s="183"/>
      <c r="S13950" s="183"/>
    </row>
    <row r="13951" spans="1:38">
      <c r="A13951" s="182"/>
      <c r="Q13951" s="183"/>
      <c r="R13951" s="183"/>
      <c r="S13951" s="183"/>
    </row>
    <row r="13952" spans="1:38">
      <c r="A13952" s="182"/>
      <c r="Q13952" s="183"/>
      <c r="R13952" s="183"/>
      <c r="S13952" s="183"/>
    </row>
    <row r="13953" spans="1:19">
      <c r="A13953" s="182"/>
      <c r="Q13953" s="183"/>
      <c r="R13953" s="183"/>
      <c r="S13953" s="183"/>
    </row>
    <row r="13954" spans="1:19">
      <c r="A13954" s="182"/>
      <c r="Q13954" s="183"/>
      <c r="R13954" s="183"/>
      <c r="S13954" s="183"/>
    </row>
    <row r="13955" spans="1:19">
      <c r="A13955" s="182"/>
      <c r="Q13955" s="183"/>
      <c r="R13955" s="183"/>
      <c r="S13955" s="183"/>
    </row>
    <row r="13956" spans="1:19">
      <c r="A13956" s="182"/>
      <c r="Q13956" s="183"/>
      <c r="R13956" s="183"/>
      <c r="S13956" s="183"/>
    </row>
    <row r="13957" spans="1:19">
      <c r="A13957" s="182"/>
      <c r="Q13957" s="183"/>
      <c r="R13957" s="183"/>
      <c r="S13957" s="183"/>
    </row>
    <row r="13958" spans="1:19">
      <c r="A13958" s="182"/>
      <c r="Q13958" s="183"/>
      <c r="R13958" s="183"/>
      <c r="S13958" s="183"/>
    </row>
    <row r="13959" spans="1:19">
      <c r="A13959" s="182"/>
      <c r="Q13959" s="183"/>
      <c r="R13959" s="183"/>
      <c r="S13959" s="183"/>
    </row>
    <row r="13960" spans="1:19">
      <c r="A13960" s="182"/>
      <c r="Q13960" s="183"/>
      <c r="R13960" s="183"/>
      <c r="S13960" s="183"/>
    </row>
    <row r="13961" spans="1:19">
      <c r="A13961" s="182"/>
      <c r="Q13961" s="183"/>
      <c r="R13961" s="183"/>
      <c r="S13961" s="183"/>
    </row>
    <row r="13962" spans="1:19">
      <c r="A13962" s="182"/>
      <c r="Q13962" s="183"/>
      <c r="R13962" s="183"/>
      <c r="S13962" s="183"/>
    </row>
    <row r="13963" spans="1:19">
      <c r="A13963" s="182"/>
      <c r="Q13963" s="183"/>
      <c r="R13963" s="183"/>
      <c r="S13963" s="183"/>
    </row>
    <row r="13964" spans="1:19">
      <c r="A13964" s="182"/>
      <c r="Q13964" s="183"/>
      <c r="R13964" s="183"/>
      <c r="S13964" s="183"/>
    </row>
    <row r="13965" spans="1:19">
      <c r="A13965" s="182"/>
      <c r="Q13965" s="183"/>
      <c r="R13965" s="183"/>
      <c r="S13965" s="183"/>
    </row>
    <row r="13966" spans="1:19">
      <c r="A13966" s="182"/>
      <c r="Q13966" s="183"/>
      <c r="R13966" s="183"/>
      <c r="S13966" s="183"/>
    </row>
    <row r="13967" spans="1:19">
      <c r="A13967" s="182"/>
      <c r="Q13967" s="183"/>
      <c r="R13967" s="183"/>
      <c r="S13967" s="183"/>
    </row>
    <row r="13968" spans="1:19">
      <c r="A13968" s="182"/>
      <c r="Q13968" s="183"/>
      <c r="R13968" s="183"/>
      <c r="S13968" s="183"/>
    </row>
    <row r="13969" spans="1:19">
      <c r="A13969" s="182"/>
      <c r="Q13969" s="183"/>
      <c r="R13969" s="183"/>
      <c r="S13969" s="183"/>
    </row>
    <row r="13970" spans="1:19">
      <c r="A13970" s="182"/>
      <c r="Q13970" s="183"/>
      <c r="R13970" s="183"/>
      <c r="S13970" s="183"/>
    </row>
    <row r="13971" spans="1:19">
      <c r="A13971" s="182"/>
      <c r="Q13971" s="183"/>
      <c r="R13971" s="183"/>
      <c r="S13971" s="183"/>
    </row>
    <row r="13972" spans="1:19">
      <c r="A13972" s="182"/>
      <c r="Q13972" s="183"/>
      <c r="R13972" s="183"/>
      <c r="S13972" s="183"/>
    </row>
    <row r="13973" spans="1:19">
      <c r="A13973" s="182"/>
      <c r="Q13973" s="183"/>
      <c r="R13973" s="183"/>
      <c r="S13973" s="183"/>
    </row>
    <row r="13974" spans="1:19">
      <c r="A13974" s="182"/>
      <c r="Q13974" s="183"/>
      <c r="R13974" s="183"/>
      <c r="S13974" s="183"/>
    </row>
    <row r="13975" spans="1:19">
      <c r="A13975" s="182"/>
      <c r="Q13975" s="183"/>
      <c r="R13975" s="183"/>
      <c r="S13975" s="183"/>
    </row>
    <row r="13976" spans="1:19">
      <c r="A13976" s="182"/>
      <c r="Q13976" s="183"/>
      <c r="R13976" s="183"/>
      <c r="S13976" s="183"/>
    </row>
    <row r="13977" spans="1:19">
      <c r="A13977" s="182"/>
      <c r="Q13977" s="183"/>
      <c r="R13977" s="183"/>
      <c r="S13977" s="183"/>
    </row>
    <row r="13978" spans="1:19">
      <c r="A13978" s="182"/>
      <c r="Q13978" s="183"/>
      <c r="R13978" s="183"/>
      <c r="S13978" s="183"/>
    </row>
    <row r="13979" spans="1:19">
      <c r="A13979" s="182"/>
      <c r="Q13979" s="183"/>
      <c r="R13979" s="183"/>
      <c r="S13979" s="183"/>
    </row>
    <row r="13980" spans="1:19">
      <c r="A13980" s="182"/>
      <c r="Q13980" s="183"/>
      <c r="R13980" s="183"/>
      <c r="S13980" s="183"/>
    </row>
    <row r="13981" spans="1:19">
      <c r="A13981" s="182"/>
      <c r="Q13981" s="183"/>
      <c r="R13981" s="183"/>
      <c r="S13981" s="183"/>
    </row>
    <row r="13982" spans="1:19">
      <c r="A13982" s="182"/>
      <c r="Q13982" s="183"/>
      <c r="R13982" s="183"/>
      <c r="S13982" s="183"/>
    </row>
    <row r="13983" spans="1:19">
      <c r="A13983" s="182"/>
      <c r="Q13983" s="183"/>
      <c r="R13983" s="183"/>
      <c r="S13983" s="183"/>
    </row>
    <row r="13984" spans="1:19">
      <c r="A13984" s="182"/>
      <c r="Q13984" s="183"/>
      <c r="R13984" s="183"/>
      <c r="S13984" s="183"/>
    </row>
    <row r="13985" spans="1:19">
      <c r="A13985" s="182"/>
      <c r="Q13985" s="183"/>
      <c r="R13985" s="183"/>
      <c r="S13985" s="183"/>
    </row>
    <row r="13986" spans="1:19">
      <c r="A13986" s="182"/>
      <c r="Q13986" s="183"/>
      <c r="R13986" s="183"/>
      <c r="S13986" s="183"/>
    </row>
    <row r="13987" spans="1:19">
      <c r="A13987" s="182"/>
      <c r="Q13987" s="183"/>
      <c r="R13987" s="183"/>
      <c r="S13987" s="183"/>
    </row>
    <row r="13988" spans="1:19">
      <c r="A13988" s="182"/>
      <c r="Q13988" s="183"/>
      <c r="R13988" s="183"/>
      <c r="S13988" s="183"/>
    </row>
    <row r="13989" spans="1:19">
      <c r="A13989" s="182"/>
      <c r="Q13989" s="183"/>
      <c r="R13989" s="183"/>
      <c r="S13989" s="183"/>
    </row>
    <row r="13990" spans="1:19">
      <c r="A13990" s="182"/>
      <c r="Q13990" s="183"/>
      <c r="R13990" s="183"/>
      <c r="S13990" s="183"/>
    </row>
    <row r="13991" spans="1:19">
      <c r="A13991" s="182"/>
      <c r="Q13991" s="183"/>
      <c r="R13991" s="183"/>
      <c r="S13991" s="183"/>
    </row>
    <row r="13992" spans="1:19">
      <c r="A13992" s="182"/>
      <c r="Q13992" s="183"/>
      <c r="R13992" s="183"/>
      <c r="S13992" s="183"/>
    </row>
    <row r="13993" spans="1:19">
      <c r="A13993" s="182"/>
      <c r="Q13993" s="183"/>
      <c r="R13993" s="183"/>
      <c r="S13993" s="183"/>
    </row>
    <row r="13994" spans="1:19">
      <c r="A13994" s="182"/>
      <c r="Q13994" s="183"/>
      <c r="R13994" s="183"/>
      <c r="S13994" s="183"/>
    </row>
    <row r="13995" spans="1:19">
      <c r="A13995" s="182"/>
      <c r="Q13995" s="183"/>
      <c r="R13995" s="183"/>
      <c r="S13995" s="183"/>
    </row>
    <row r="13996" spans="1:19">
      <c r="A13996" s="182"/>
      <c r="Q13996" s="183"/>
      <c r="R13996" s="183"/>
      <c r="S13996" s="183"/>
    </row>
    <row r="13997" spans="1:19">
      <c r="A13997" s="182"/>
      <c r="Q13997" s="183"/>
      <c r="R13997" s="183"/>
      <c r="S13997" s="183"/>
    </row>
    <row r="13998" spans="1:19">
      <c r="A13998" s="182"/>
      <c r="Q13998" s="183"/>
      <c r="R13998" s="183"/>
      <c r="S13998" s="183"/>
    </row>
    <row r="13999" spans="1:19">
      <c r="A13999" s="182"/>
      <c r="Q13999" s="183"/>
      <c r="R13999" s="183"/>
      <c r="S13999" s="183"/>
    </row>
    <row r="14000" spans="1:19">
      <c r="A14000" s="182"/>
      <c r="Q14000" s="183"/>
      <c r="R14000" s="183"/>
      <c r="S14000" s="183"/>
    </row>
    <row r="14001" spans="1:19">
      <c r="A14001" s="182"/>
      <c r="Q14001" s="183"/>
      <c r="R14001" s="183"/>
      <c r="S14001" s="183"/>
    </row>
    <row r="14002" spans="1:19">
      <c r="A14002" s="182"/>
      <c r="Q14002" s="183"/>
      <c r="R14002" s="183"/>
      <c r="S14002" s="183"/>
    </row>
    <row r="14003" spans="1:19">
      <c r="A14003" s="182"/>
      <c r="Q14003" s="183"/>
      <c r="R14003" s="183"/>
      <c r="S14003" s="183"/>
    </row>
    <row r="14004" spans="1:19">
      <c r="A14004" s="182"/>
      <c r="Q14004" s="183"/>
      <c r="R14004" s="183"/>
      <c r="S14004" s="183"/>
    </row>
    <row r="14005" spans="1:19">
      <c r="A14005" s="182"/>
      <c r="Q14005" s="183"/>
      <c r="R14005" s="183"/>
      <c r="S14005" s="183"/>
    </row>
    <row r="14006" spans="1:19">
      <c r="A14006" s="182"/>
      <c r="Q14006" s="183"/>
      <c r="R14006" s="183"/>
      <c r="S14006" s="183"/>
    </row>
    <row r="14007" spans="1:19">
      <c r="A14007" s="182"/>
      <c r="Q14007" s="183"/>
      <c r="R14007" s="183"/>
      <c r="S14007" s="183"/>
    </row>
    <row r="14008" spans="1:19">
      <c r="A14008" s="182"/>
      <c r="Q14008" s="183"/>
      <c r="R14008" s="183"/>
      <c r="S14008" s="183"/>
    </row>
    <row r="14009" spans="1:19">
      <c r="A14009" s="182"/>
      <c r="Q14009" s="183"/>
      <c r="R14009" s="183"/>
      <c r="S14009" s="183"/>
    </row>
    <row r="14010" spans="1:19">
      <c r="A14010" s="182"/>
      <c r="Q14010" s="183"/>
      <c r="R14010" s="183"/>
      <c r="S14010" s="183"/>
    </row>
    <row r="14011" spans="1:19">
      <c r="A14011" s="182"/>
      <c r="Q14011" s="183"/>
      <c r="R14011" s="183"/>
      <c r="S14011" s="183"/>
    </row>
    <row r="14012" spans="1:19">
      <c r="A14012" s="182"/>
      <c r="Q14012" s="183"/>
      <c r="R14012" s="183"/>
      <c r="S14012" s="183"/>
    </row>
    <row r="14013" spans="1:19">
      <c r="A14013" s="182"/>
      <c r="Q14013" s="183"/>
    </row>
    <row r="14014" spans="1:19">
      <c r="A14014" s="182"/>
    </row>
    <row r="14015" spans="1:19">
      <c r="A14015" s="182"/>
    </row>
    <row r="14016" spans="1:19">
      <c r="A14016" s="182"/>
    </row>
    <row r="14017" spans="1:1">
      <c r="A14017" s="182"/>
    </row>
    <row r="14018" spans="1:1">
      <c r="A14018" s="182"/>
    </row>
    <row r="14019" spans="1:1">
      <c r="A14019" s="182"/>
    </row>
    <row r="14020" spans="1:1">
      <c r="A14020" s="182"/>
    </row>
    <row r="14021" spans="1:1">
      <c r="A14021" s="182"/>
    </row>
    <row r="14022" spans="1:1">
      <c r="A14022" s="182"/>
    </row>
    <row r="14023" spans="1:1">
      <c r="A14023" s="182"/>
    </row>
    <row r="14024" spans="1:1">
      <c r="A14024" s="182"/>
    </row>
    <row r="14025" spans="1:1">
      <c r="A14025" s="182"/>
    </row>
    <row r="14026" spans="1:1">
      <c r="A14026" s="182"/>
    </row>
    <row r="14027" spans="1:1">
      <c r="A14027" s="182"/>
    </row>
    <row r="14028" spans="1:1">
      <c r="A14028" s="182"/>
    </row>
    <row r="14029" spans="1:1">
      <c r="A14029" s="182"/>
    </row>
    <row r="14030" spans="1:1">
      <c r="A14030" s="182"/>
    </row>
    <row r="14031" spans="1:1">
      <c r="A14031" s="182"/>
    </row>
    <row r="14032" spans="1:1">
      <c r="A14032" s="182"/>
    </row>
    <row r="14033" spans="1:38">
      <c r="A14033" s="182"/>
    </row>
    <row r="14034" spans="1:38">
      <c r="A14034" s="182"/>
    </row>
    <row r="14035" spans="1:38">
      <c r="A14035" s="182"/>
    </row>
    <row r="14036" spans="1:38">
      <c r="A14036" s="182"/>
    </row>
    <row r="14037" spans="1:38">
      <c r="A14037" s="182"/>
    </row>
    <row r="14038" spans="1:38">
      <c r="A14038" s="182"/>
    </row>
    <row r="14039" spans="1:38">
      <c r="A14039" s="182"/>
    </row>
    <row r="14040" spans="1:38">
      <c r="A14040" s="182"/>
    </row>
    <row r="14041" spans="1:38">
      <c r="A14041" s="182"/>
    </row>
    <row r="14042" spans="1:38">
      <c r="A14042" s="182"/>
    </row>
    <row r="14043" spans="1:38">
      <c r="A14043" s="182"/>
      <c r="R14043" s="183"/>
      <c r="S14043" s="183"/>
    </row>
    <row r="14044" spans="1:38">
      <c r="A14044" s="182"/>
      <c r="Q14044" s="183"/>
    </row>
    <row r="14045" spans="1:38">
      <c r="A14045" s="182"/>
      <c r="AK14045" s="183"/>
      <c r="AL14045" s="183"/>
    </row>
    <row r="14046" spans="1:38">
      <c r="A14046" s="182"/>
      <c r="AJ14046" s="183"/>
      <c r="AK14046" s="183"/>
      <c r="AL14046" s="183"/>
    </row>
    <row r="14047" spans="1:38">
      <c r="A14047" s="182"/>
      <c r="AJ14047" s="183"/>
      <c r="AK14047" s="183"/>
      <c r="AL14047" s="183"/>
    </row>
    <row r="14048" spans="1:38">
      <c r="A14048" s="182"/>
      <c r="AJ14048" s="183"/>
      <c r="AK14048" s="183"/>
      <c r="AL14048" s="183"/>
    </row>
    <row r="14049" spans="1:36">
      <c r="A14049" s="182"/>
      <c r="AJ14049" s="183"/>
    </row>
    <row r="14050" spans="1:36">
      <c r="A14050" s="182"/>
    </row>
    <row r="14051" spans="1:36">
      <c r="A14051" s="182"/>
      <c r="R14051" s="183"/>
      <c r="S14051" s="183"/>
    </row>
    <row r="14052" spans="1:36">
      <c r="A14052" s="182"/>
      <c r="Q14052" s="183"/>
    </row>
    <row r="14053" spans="1:36">
      <c r="A14053" s="182"/>
    </row>
    <row r="14054" spans="1:36">
      <c r="A14054" s="182"/>
    </row>
    <row r="14055" spans="1:36">
      <c r="A14055" s="182"/>
      <c r="R14055" s="183"/>
      <c r="S14055" s="183"/>
    </row>
    <row r="14056" spans="1:36">
      <c r="A14056" s="182"/>
      <c r="Q14056" s="183"/>
    </row>
    <row r="14057" spans="1:36">
      <c r="A14057" s="182"/>
    </row>
    <row r="14058" spans="1:36">
      <c r="A14058" s="182"/>
    </row>
    <row r="14059" spans="1:36">
      <c r="A14059" s="182"/>
    </row>
    <row r="14060" spans="1:36">
      <c r="A14060" s="182"/>
    </row>
    <row r="14061" spans="1:36">
      <c r="A14061" s="182"/>
    </row>
    <row r="14062" spans="1:36">
      <c r="A14062" s="182"/>
    </row>
    <row r="14063" spans="1:36">
      <c r="A14063" s="182"/>
    </row>
    <row r="14064" spans="1:36">
      <c r="A14064" s="182"/>
    </row>
    <row r="14065" spans="1:1">
      <c r="A14065" s="182"/>
    </row>
    <row r="14066" spans="1:1">
      <c r="A14066" s="182"/>
    </row>
    <row r="14067" spans="1:1">
      <c r="A14067" s="182"/>
    </row>
    <row r="14068" spans="1:1">
      <c r="A14068" s="182"/>
    </row>
    <row r="14069" spans="1:1">
      <c r="A14069" s="182"/>
    </row>
    <row r="14070" spans="1:1">
      <c r="A14070" s="182"/>
    </row>
    <row r="14071" spans="1:1">
      <c r="A14071" s="182"/>
    </row>
    <row r="14072" spans="1:1">
      <c r="A14072" s="182"/>
    </row>
    <row r="14073" spans="1:1">
      <c r="A14073" s="182"/>
    </row>
    <row r="14074" spans="1:1">
      <c r="A14074" s="182"/>
    </row>
    <row r="14075" spans="1:1">
      <c r="A14075" s="182"/>
    </row>
    <row r="14076" spans="1:1">
      <c r="A14076" s="182"/>
    </row>
    <row r="14077" spans="1:1">
      <c r="A14077" s="182"/>
    </row>
    <row r="14078" spans="1:1">
      <c r="A14078" s="182"/>
    </row>
    <row r="14079" spans="1:1">
      <c r="A14079" s="182"/>
    </row>
    <row r="14080" spans="1:1">
      <c r="A14080" s="182"/>
    </row>
    <row r="14081" spans="1:1">
      <c r="A14081" s="182"/>
    </row>
    <row r="14082" spans="1:1">
      <c r="A14082" s="182"/>
    </row>
    <row r="14083" spans="1:1">
      <c r="A14083" s="182"/>
    </row>
    <row r="14084" spans="1:1">
      <c r="A14084" s="182"/>
    </row>
    <row r="14085" spans="1:1">
      <c r="A14085" s="182"/>
    </row>
    <row r="14086" spans="1:1">
      <c r="A14086" s="182"/>
    </row>
    <row r="14087" spans="1:1">
      <c r="A14087" s="182"/>
    </row>
    <row r="14088" spans="1:1">
      <c r="A14088" s="182"/>
    </row>
    <row r="14089" spans="1:1">
      <c r="A14089" s="182"/>
    </row>
    <row r="14090" spans="1:1">
      <c r="A14090" s="182"/>
    </row>
    <row r="14091" spans="1:1">
      <c r="A14091" s="182"/>
    </row>
    <row r="14092" spans="1:1">
      <c r="A14092" s="182"/>
    </row>
    <row r="14093" spans="1:1">
      <c r="A14093" s="182"/>
    </row>
    <row r="14094" spans="1:1">
      <c r="A14094" s="182"/>
    </row>
    <row r="14095" spans="1:1">
      <c r="A14095" s="182"/>
    </row>
    <row r="14096" spans="1:1">
      <c r="A14096" s="182"/>
    </row>
    <row r="14097" spans="1:1">
      <c r="A14097" s="182"/>
    </row>
    <row r="14098" spans="1:1">
      <c r="A14098" s="182"/>
    </row>
    <row r="14099" spans="1:1">
      <c r="A14099" s="182"/>
    </row>
    <row r="14100" spans="1:1">
      <c r="A14100" s="182"/>
    </row>
    <row r="14101" spans="1:1">
      <c r="A14101" s="182"/>
    </row>
    <row r="14102" spans="1:1">
      <c r="A14102" s="182"/>
    </row>
    <row r="14103" spans="1:1">
      <c r="A14103" s="182"/>
    </row>
    <row r="14104" spans="1:1">
      <c r="A14104" s="182"/>
    </row>
    <row r="14105" spans="1:1">
      <c r="A14105" s="182"/>
    </row>
    <row r="14106" spans="1:1">
      <c r="A14106" s="182"/>
    </row>
    <row r="14107" spans="1:1">
      <c r="A14107" s="182"/>
    </row>
    <row r="14108" spans="1:1">
      <c r="A14108" s="182"/>
    </row>
    <row r="14109" spans="1:1">
      <c r="A14109" s="182"/>
    </row>
    <row r="14110" spans="1:1">
      <c r="A14110" s="182"/>
    </row>
    <row r="14111" spans="1:1">
      <c r="A14111" s="182"/>
    </row>
    <row r="14112" spans="1:1">
      <c r="A14112" s="182"/>
    </row>
    <row r="14113" spans="1:1">
      <c r="A14113" s="182"/>
    </row>
    <row r="14114" spans="1:1">
      <c r="A14114" s="182"/>
    </row>
    <row r="14115" spans="1:1">
      <c r="A14115" s="182"/>
    </row>
    <row r="14116" spans="1:1">
      <c r="A14116" s="182"/>
    </row>
    <row r="14117" spans="1:1">
      <c r="A14117" s="182"/>
    </row>
    <row r="14118" spans="1:1">
      <c r="A14118" s="182"/>
    </row>
    <row r="14119" spans="1:1">
      <c r="A14119" s="182"/>
    </row>
    <row r="14120" spans="1:1">
      <c r="A14120" s="182"/>
    </row>
    <row r="14121" spans="1:1">
      <c r="A14121" s="182"/>
    </row>
    <row r="14122" spans="1:1">
      <c r="A14122" s="182"/>
    </row>
    <row r="14123" spans="1:1">
      <c r="A14123" s="182"/>
    </row>
    <row r="14124" spans="1:1">
      <c r="A14124" s="182"/>
    </row>
    <row r="14125" spans="1:1">
      <c r="A14125" s="182"/>
    </row>
    <row r="14126" spans="1:1">
      <c r="A14126" s="182"/>
    </row>
    <row r="14127" spans="1:1">
      <c r="A14127" s="182"/>
    </row>
    <row r="14128" spans="1:1">
      <c r="A14128" s="182"/>
    </row>
    <row r="14129" spans="1:1">
      <c r="A14129" s="182"/>
    </row>
    <row r="14130" spans="1:1">
      <c r="A14130" s="182"/>
    </row>
    <row r="14131" spans="1:1">
      <c r="A14131" s="182"/>
    </row>
    <row r="14132" spans="1:1">
      <c r="A14132" s="182"/>
    </row>
    <row r="14133" spans="1:1">
      <c r="A14133" s="182"/>
    </row>
    <row r="14134" spans="1:1">
      <c r="A14134" s="182"/>
    </row>
    <row r="14135" spans="1:1">
      <c r="A14135" s="182"/>
    </row>
    <row r="14136" spans="1:1">
      <c r="A14136" s="182"/>
    </row>
    <row r="14137" spans="1:1">
      <c r="A14137" s="182"/>
    </row>
    <row r="14138" spans="1:1">
      <c r="A14138" s="182"/>
    </row>
    <row r="14139" spans="1:1">
      <c r="A14139" s="182"/>
    </row>
    <row r="14140" spans="1:1">
      <c r="A14140" s="182"/>
    </row>
    <row r="14141" spans="1:1">
      <c r="A14141" s="182"/>
    </row>
    <row r="14142" spans="1:1">
      <c r="A14142" s="182"/>
    </row>
    <row r="14143" spans="1:1">
      <c r="A14143" s="182"/>
    </row>
    <row r="14144" spans="1:1">
      <c r="A14144" s="182"/>
    </row>
    <row r="14145" spans="1:1">
      <c r="A14145" s="182"/>
    </row>
    <row r="14146" spans="1:1">
      <c r="A14146" s="182"/>
    </row>
    <row r="14147" spans="1:1">
      <c r="A14147" s="182"/>
    </row>
    <row r="14148" spans="1:1">
      <c r="A14148" s="182"/>
    </row>
    <row r="14149" spans="1:1">
      <c r="A14149" s="182"/>
    </row>
    <row r="14150" spans="1:1">
      <c r="A14150" s="182"/>
    </row>
    <row r="14151" spans="1:1">
      <c r="A14151" s="182"/>
    </row>
    <row r="14152" spans="1:1">
      <c r="A14152" s="182"/>
    </row>
    <row r="14153" spans="1:1">
      <c r="A14153" s="182"/>
    </row>
    <row r="14154" spans="1:1">
      <c r="A14154" s="182"/>
    </row>
    <row r="14155" spans="1:1">
      <c r="A14155" s="182"/>
    </row>
    <row r="14156" spans="1:1">
      <c r="A14156" s="182"/>
    </row>
    <row r="14157" spans="1:1">
      <c r="A14157" s="182"/>
    </row>
    <row r="14158" spans="1:1">
      <c r="A14158" s="182"/>
    </row>
    <row r="14159" spans="1:1">
      <c r="A14159" s="182"/>
    </row>
    <row r="14160" spans="1:1">
      <c r="A14160" s="182"/>
    </row>
    <row r="14161" spans="1:1">
      <c r="A14161" s="182"/>
    </row>
    <row r="14162" spans="1:1">
      <c r="A14162" s="182"/>
    </row>
    <row r="14163" spans="1:1">
      <c r="A14163" s="182"/>
    </row>
    <row r="14164" spans="1:1">
      <c r="A14164" s="182"/>
    </row>
    <row r="14165" spans="1:1">
      <c r="A14165" s="182"/>
    </row>
    <row r="14166" spans="1:1">
      <c r="A14166" s="182"/>
    </row>
    <row r="14167" spans="1:1">
      <c r="A14167" s="182"/>
    </row>
    <row r="14168" spans="1:1">
      <c r="A14168" s="182"/>
    </row>
    <row r="14169" spans="1:1">
      <c r="A14169" s="182"/>
    </row>
    <row r="14170" spans="1:1">
      <c r="A14170" s="182"/>
    </row>
    <row r="14171" spans="1:1">
      <c r="A14171" s="182"/>
    </row>
    <row r="14172" spans="1:1">
      <c r="A14172" s="182"/>
    </row>
    <row r="14173" spans="1:1">
      <c r="A14173" s="182"/>
    </row>
    <row r="14174" spans="1:1">
      <c r="A14174" s="182"/>
    </row>
    <row r="14175" spans="1:1">
      <c r="A14175" s="182"/>
    </row>
    <row r="14176" spans="1:1">
      <c r="A14176" s="182"/>
    </row>
    <row r="14177" spans="1:1">
      <c r="A14177" s="182"/>
    </row>
    <row r="14178" spans="1:1">
      <c r="A14178" s="182"/>
    </row>
    <row r="14179" spans="1:1">
      <c r="A14179" s="182"/>
    </row>
    <row r="14180" spans="1:1">
      <c r="A14180" s="182"/>
    </row>
    <row r="14181" spans="1:1">
      <c r="A14181" s="182"/>
    </row>
    <row r="14182" spans="1:1">
      <c r="A14182" s="182"/>
    </row>
    <row r="14183" spans="1:1">
      <c r="A14183" s="182"/>
    </row>
    <row r="14184" spans="1:1">
      <c r="A14184" s="182"/>
    </row>
    <row r="14185" spans="1:1">
      <c r="A14185" s="182"/>
    </row>
    <row r="14186" spans="1:1">
      <c r="A14186" s="182"/>
    </row>
    <row r="14187" spans="1:1">
      <c r="A14187" s="182"/>
    </row>
    <row r="14188" spans="1:1">
      <c r="A14188" s="182"/>
    </row>
    <row r="14189" spans="1:1">
      <c r="A14189" s="182"/>
    </row>
    <row r="14190" spans="1:1">
      <c r="A14190" s="182"/>
    </row>
    <row r="14191" spans="1:1">
      <c r="A14191" s="182"/>
    </row>
    <row r="14192" spans="1:1">
      <c r="A14192" s="182"/>
    </row>
    <row r="14193" spans="1:1">
      <c r="A14193" s="182"/>
    </row>
    <row r="14194" spans="1:1">
      <c r="A14194" s="182"/>
    </row>
    <row r="14195" spans="1:1">
      <c r="A14195" s="182"/>
    </row>
    <row r="14196" spans="1:1">
      <c r="A14196" s="182"/>
    </row>
    <row r="14197" spans="1:1">
      <c r="A14197" s="182"/>
    </row>
    <row r="14198" spans="1:1">
      <c r="A14198" s="182"/>
    </row>
    <row r="14199" spans="1:1">
      <c r="A14199" s="182"/>
    </row>
    <row r="14200" spans="1:1">
      <c r="A14200" s="182"/>
    </row>
    <row r="14201" spans="1:1">
      <c r="A14201" s="182"/>
    </row>
    <row r="14202" spans="1:1">
      <c r="A14202" s="182"/>
    </row>
    <row r="14203" spans="1:1">
      <c r="A14203" s="182"/>
    </row>
    <row r="14204" spans="1:1">
      <c r="A14204" s="182"/>
    </row>
    <row r="14205" spans="1:1">
      <c r="A14205" s="182"/>
    </row>
    <row r="14206" spans="1:1">
      <c r="A14206" s="182"/>
    </row>
    <row r="14207" spans="1:1">
      <c r="A14207" s="182"/>
    </row>
    <row r="14208" spans="1:1">
      <c r="A14208" s="182"/>
    </row>
    <row r="14209" spans="1:38">
      <c r="A14209" s="182"/>
    </row>
    <row r="14210" spans="1:38">
      <c r="A14210" s="182"/>
    </row>
    <row r="14211" spans="1:38">
      <c r="A14211" s="182"/>
    </row>
    <row r="14212" spans="1:38">
      <c r="A14212" s="182"/>
    </row>
    <row r="14213" spans="1:38">
      <c r="A14213" s="182"/>
    </row>
    <row r="14214" spans="1:38">
      <c r="A14214" s="182"/>
    </row>
    <row r="14215" spans="1:38">
      <c r="A14215" s="182"/>
    </row>
    <row r="14216" spans="1:38">
      <c r="A14216" s="182"/>
    </row>
    <row r="14217" spans="1:38">
      <c r="A14217" s="182"/>
      <c r="AK14217" s="183"/>
      <c r="AL14217" s="183"/>
    </row>
    <row r="14218" spans="1:38">
      <c r="A14218" s="182"/>
      <c r="AJ14218" s="183"/>
      <c r="AK14218" s="183"/>
      <c r="AL14218" s="183"/>
    </row>
    <row r="14219" spans="1:38">
      <c r="A14219" s="182"/>
      <c r="AJ14219" s="183"/>
      <c r="AK14219" s="183"/>
      <c r="AL14219" s="183"/>
    </row>
    <row r="14220" spans="1:38">
      <c r="A14220" s="182"/>
      <c r="AJ14220" s="183"/>
      <c r="AK14220" s="183"/>
      <c r="AL14220" s="183"/>
    </row>
    <row r="14221" spans="1:38">
      <c r="A14221" s="182"/>
      <c r="AJ14221" s="183"/>
    </row>
    <row r="14222" spans="1:38">
      <c r="A14222" s="182"/>
    </row>
    <row r="14223" spans="1:38">
      <c r="A14223" s="182"/>
    </row>
    <row r="14224" spans="1:38">
      <c r="A14224" s="182"/>
    </row>
    <row r="14225" spans="1:38">
      <c r="A14225" s="182"/>
    </row>
    <row r="14226" spans="1:38">
      <c r="A14226" s="182"/>
    </row>
    <row r="14227" spans="1:38">
      <c r="A14227" s="182"/>
    </row>
    <row r="14228" spans="1:38">
      <c r="A14228" s="182"/>
    </row>
    <row r="14229" spans="1:38">
      <c r="A14229" s="182"/>
      <c r="AK14229" s="183"/>
      <c r="AL14229" s="183"/>
    </row>
    <row r="14230" spans="1:38">
      <c r="A14230" s="182"/>
      <c r="AJ14230" s="183"/>
      <c r="AK14230" s="183"/>
      <c r="AL14230" s="183"/>
    </row>
    <row r="14231" spans="1:38">
      <c r="A14231" s="182"/>
      <c r="AJ14231" s="183"/>
      <c r="AK14231" s="183"/>
      <c r="AL14231" s="183"/>
    </row>
    <row r="14232" spans="1:38">
      <c r="A14232" s="182"/>
      <c r="AJ14232" s="183"/>
      <c r="AK14232" s="183"/>
      <c r="AL14232" s="183"/>
    </row>
    <row r="14233" spans="1:38">
      <c r="A14233" s="182"/>
      <c r="AJ14233" s="183"/>
      <c r="AK14233" s="183"/>
      <c r="AL14233" s="183"/>
    </row>
    <row r="14234" spans="1:38">
      <c r="A14234" s="182"/>
      <c r="AJ14234" s="183"/>
      <c r="AK14234" s="183"/>
      <c r="AL14234" s="183"/>
    </row>
    <row r="14235" spans="1:38">
      <c r="A14235" s="182"/>
      <c r="AJ14235" s="183"/>
      <c r="AK14235" s="183"/>
      <c r="AL14235" s="183"/>
    </row>
    <row r="14236" spans="1:38">
      <c r="A14236" s="182"/>
      <c r="AJ14236" s="183"/>
      <c r="AK14236" s="183"/>
      <c r="AL14236" s="183"/>
    </row>
    <row r="14237" spans="1:38">
      <c r="A14237" s="182"/>
      <c r="AJ14237" s="183"/>
      <c r="AK14237" s="183"/>
      <c r="AL14237" s="183"/>
    </row>
    <row r="14238" spans="1:38">
      <c r="A14238" s="182"/>
      <c r="AJ14238" s="183"/>
      <c r="AK14238" s="183"/>
      <c r="AL14238" s="183"/>
    </row>
    <row r="14239" spans="1:38">
      <c r="A14239" s="182"/>
      <c r="AJ14239" s="183"/>
      <c r="AK14239" s="183"/>
      <c r="AL14239" s="183"/>
    </row>
    <row r="14240" spans="1:38">
      <c r="A14240" s="182"/>
      <c r="AJ14240" s="183"/>
      <c r="AK14240" s="183"/>
      <c r="AL14240" s="183"/>
    </row>
    <row r="14241" spans="1:36">
      <c r="A14241" s="182"/>
      <c r="AJ14241" s="183"/>
    </row>
    <row r="14242" spans="1:36">
      <c r="A14242" s="182"/>
    </row>
    <row r="14243" spans="1:36">
      <c r="A14243" s="182"/>
    </row>
    <row r="14244" spans="1:36">
      <c r="A14244" s="182"/>
    </row>
    <row r="14245" spans="1:36">
      <c r="A14245" s="182"/>
    </row>
    <row r="14246" spans="1:36">
      <c r="A14246" s="182"/>
    </row>
    <row r="14247" spans="1:36">
      <c r="A14247" s="182"/>
    </row>
    <row r="14248" spans="1:36">
      <c r="A14248" s="182"/>
    </row>
    <row r="14249" spans="1:36">
      <c r="A14249" s="182"/>
    </row>
    <row r="14250" spans="1:36">
      <c r="A14250" s="182"/>
    </row>
    <row r="14251" spans="1:36">
      <c r="A14251" s="182"/>
    </row>
    <row r="14252" spans="1:36">
      <c r="A14252" s="182"/>
    </row>
    <row r="14253" spans="1:36">
      <c r="A14253" s="182"/>
    </row>
    <row r="14254" spans="1:36">
      <c r="A14254" s="182"/>
    </row>
    <row r="14255" spans="1:36">
      <c r="A14255" s="182"/>
    </row>
    <row r="14256" spans="1:36">
      <c r="A14256" s="182"/>
    </row>
    <row r="14257" spans="1:1">
      <c r="A14257" s="182"/>
    </row>
    <row r="14258" spans="1:1">
      <c r="A14258" s="182"/>
    </row>
    <row r="14259" spans="1:1">
      <c r="A14259" s="182"/>
    </row>
    <row r="14260" spans="1:1">
      <c r="A14260" s="182"/>
    </row>
    <row r="14261" spans="1:1">
      <c r="A14261" s="182"/>
    </row>
    <row r="14262" spans="1:1">
      <c r="A14262" s="182"/>
    </row>
    <row r="14263" spans="1:1">
      <c r="A14263" s="182"/>
    </row>
    <row r="14264" spans="1:1">
      <c r="A14264" s="182"/>
    </row>
    <row r="14265" spans="1:1">
      <c r="A14265" s="182"/>
    </row>
    <row r="14266" spans="1:1">
      <c r="A14266" s="182"/>
    </row>
    <row r="14267" spans="1:1">
      <c r="A14267" s="182"/>
    </row>
    <row r="14268" spans="1:1">
      <c r="A14268" s="182"/>
    </row>
    <row r="14269" spans="1:1">
      <c r="A14269" s="182"/>
    </row>
    <row r="14270" spans="1:1">
      <c r="A14270" s="182"/>
    </row>
    <row r="14271" spans="1:1">
      <c r="A14271" s="182"/>
    </row>
    <row r="14272" spans="1:1">
      <c r="A14272" s="182"/>
    </row>
    <row r="14273" spans="1:38">
      <c r="A14273" s="182"/>
    </row>
    <row r="14274" spans="1:38">
      <c r="A14274" s="182"/>
    </row>
    <row r="14275" spans="1:38">
      <c r="A14275" s="182"/>
    </row>
    <row r="14276" spans="1:38">
      <c r="A14276" s="182"/>
    </row>
    <row r="14277" spans="1:38">
      <c r="A14277" s="182"/>
      <c r="AK14277" s="183"/>
      <c r="AL14277" s="183"/>
    </row>
    <row r="14278" spans="1:38">
      <c r="A14278" s="182"/>
      <c r="AJ14278" s="183"/>
      <c r="AK14278" s="183"/>
      <c r="AL14278" s="183"/>
    </row>
    <row r="14279" spans="1:38">
      <c r="A14279" s="182"/>
      <c r="AJ14279" s="183"/>
      <c r="AK14279" s="183"/>
      <c r="AL14279" s="183"/>
    </row>
    <row r="14280" spans="1:38">
      <c r="A14280" s="182"/>
      <c r="AJ14280" s="183"/>
      <c r="AK14280" s="183"/>
      <c r="AL14280" s="183"/>
    </row>
    <row r="14281" spans="1:38">
      <c r="A14281" s="182"/>
      <c r="AJ14281" s="183"/>
      <c r="AK14281" s="183"/>
      <c r="AL14281" s="183"/>
    </row>
    <row r="14282" spans="1:38">
      <c r="A14282" s="182"/>
      <c r="AJ14282" s="183"/>
      <c r="AK14282" s="183"/>
      <c r="AL14282" s="183"/>
    </row>
    <row r="14283" spans="1:38">
      <c r="A14283" s="182"/>
      <c r="AJ14283" s="183"/>
      <c r="AK14283" s="183"/>
      <c r="AL14283" s="183"/>
    </row>
    <row r="14284" spans="1:38">
      <c r="A14284" s="182"/>
      <c r="AJ14284" s="183"/>
      <c r="AK14284" s="183"/>
      <c r="AL14284" s="183"/>
    </row>
    <row r="14285" spans="1:38">
      <c r="A14285" s="182"/>
      <c r="AJ14285" s="183"/>
    </row>
    <row r="14286" spans="1:38">
      <c r="A14286" s="182"/>
    </row>
    <row r="14287" spans="1:38">
      <c r="A14287" s="182"/>
    </row>
    <row r="14288" spans="1:38">
      <c r="A14288" s="182"/>
    </row>
    <row r="14289" spans="1:1">
      <c r="A14289" s="182"/>
    </row>
    <row r="14290" spans="1:1">
      <c r="A14290" s="182"/>
    </row>
    <row r="14291" spans="1:1">
      <c r="A14291" s="182"/>
    </row>
    <row r="14292" spans="1:1">
      <c r="A14292" s="182"/>
    </row>
    <row r="14293" spans="1:1">
      <c r="A14293" s="182"/>
    </row>
    <row r="14294" spans="1:1">
      <c r="A14294" s="182"/>
    </row>
    <row r="14295" spans="1:1">
      <c r="A14295" s="182"/>
    </row>
    <row r="14296" spans="1:1">
      <c r="A14296" s="182"/>
    </row>
    <row r="14297" spans="1:1">
      <c r="A14297" s="182"/>
    </row>
    <row r="14298" spans="1:1">
      <c r="A14298" s="182"/>
    </row>
    <row r="14299" spans="1:1">
      <c r="A14299" s="182"/>
    </row>
    <row r="14300" spans="1:1">
      <c r="A14300" s="182"/>
    </row>
    <row r="14301" spans="1:1">
      <c r="A14301" s="182"/>
    </row>
    <row r="14302" spans="1:1">
      <c r="A14302" s="182"/>
    </row>
    <row r="14303" spans="1:1">
      <c r="A14303" s="182"/>
    </row>
    <row r="14304" spans="1:1">
      <c r="A14304" s="182"/>
    </row>
    <row r="14305" spans="1:38">
      <c r="A14305" s="182"/>
      <c r="AK14305" s="183"/>
      <c r="AL14305" s="183"/>
    </row>
    <row r="14306" spans="1:38">
      <c r="A14306" s="182"/>
      <c r="AJ14306" s="183"/>
      <c r="AK14306" s="183"/>
      <c r="AL14306" s="183"/>
    </row>
    <row r="14307" spans="1:38">
      <c r="A14307" s="182"/>
      <c r="AJ14307" s="183"/>
      <c r="AK14307" s="183"/>
      <c r="AL14307" s="183"/>
    </row>
    <row r="14308" spans="1:38">
      <c r="A14308" s="182"/>
      <c r="AJ14308" s="183"/>
      <c r="AK14308" s="183"/>
      <c r="AL14308" s="183"/>
    </row>
    <row r="14309" spans="1:38">
      <c r="A14309" s="182"/>
      <c r="AJ14309" s="183"/>
    </row>
    <row r="14310" spans="1:38">
      <c r="A14310" s="182"/>
    </row>
    <row r="14311" spans="1:38">
      <c r="A14311" s="182"/>
    </row>
    <row r="14312" spans="1:38">
      <c r="A14312" s="182"/>
    </row>
    <row r="14313" spans="1:38">
      <c r="A14313" s="182"/>
    </row>
    <row r="14314" spans="1:38">
      <c r="A14314" s="182"/>
    </row>
    <row r="14315" spans="1:38">
      <c r="A14315" s="182"/>
    </row>
    <row r="14316" spans="1:38">
      <c r="A14316" s="182"/>
    </row>
    <row r="14317" spans="1:38">
      <c r="A14317" s="182"/>
      <c r="AK14317" s="183"/>
      <c r="AL14317" s="183"/>
    </row>
    <row r="14318" spans="1:38">
      <c r="A14318" s="182"/>
      <c r="AJ14318" s="183"/>
      <c r="AK14318" s="183"/>
      <c r="AL14318" s="183"/>
    </row>
    <row r="14319" spans="1:38">
      <c r="A14319" s="182"/>
      <c r="AJ14319" s="183"/>
      <c r="AK14319" s="183"/>
      <c r="AL14319" s="183"/>
    </row>
    <row r="14320" spans="1:38">
      <c r="A14320" s="182"/>
      <c r="AJ14320" s="183"/>
      <c r="AK14320" s="183"/>
      <c r="AL14320" s="183"/>
    </row>
    <row r="14321" spans="1:38">
      <c r="A14321" s="182"/>
      <c r="AJ14321" s="183"/>
      <c r="AK14321" s="183"/>
      <c r="AL14321" s="183"/>
    </row>
    <row r="14322" spans="1:38">
      <c r="A14322" s="182"/>
      <c r="AJ14322" s="183"/>
      <c r="AK14322" s="183"/>
      <c r="AL14322" s="183"/>
    </row>
    <row r="14323" spans="1:38">
      <c r="A14323" s="182"/>
      <c r="AJ14323" s="183"/>
      <c r="AK14323" s="183"/>
      <c r="AL14323" s="183"/>
    </row>
    <row r="14324" spans="1:38">
      <c r="A14324" s="182"/>
      <c r="AJ14324" s="183"/>
      <c r="AK14324" s="183"/>
      <c r="AL14324" s="183"/>
    </row>
    <row r="14325" spans="1:38">
      <c r="A14325" s="182"/>
      <c r="AJ14325" s="183"/>
    </row>
    <row r="14326" spans="1:38">
      <c r="A14326" s="182"/>
    </row>
    <row r="14327" spans="1:38">
      <c r="A14327" s="182"/>
    </row>
    <row r="14328" spans="1:38">
      <c r="A14328" s="182"/>
    </row>
    <row r="14329" spans="1:38">
      <c r="A14329" s="182"/>
      <c r="AK14329" s="183"/>
      <c r="AL14329" s="183"/>
    </row>
    <row r="14330" spans="1:38">
      <c r="A14330" s="182"/>
      <c r="AJ14330" s="183"/>
      <c r="AK14330" s="183"/>
      <c r="AL14330" s="183"/>
    </row>
    <row r="14331" spans="1:38">
      <c r="A14331" s="182"/>
      <c r="AJ14331" s="183"/>
      <c r="AK14331" s="183"/>
      <c r="AL14331" s="183"/>
    </row>
    <row r="14332" spans="1:38">
      <c r="A14332" s="182"/>
      <c r="AJ14332" s="183"/>
      <c r="AK14332" s="183"/>
      <c r="AL14332" s="183"/>
    </row>
    <row r="14333" spans="1:38">
      <c r="A14333" s="182"/>
      <c r="AJ14333" s="183"/>
      <c r="AK14333" s="183"/>
      <c r="AL14333" s="183"/>
    </row>
    <row r="14334" spans="1:38">
      <c r="A14334" s="182"/>
      <c r="AJ14334" s="183"/>
      <c r="AK14334" s="183"/>
      <c r="AL14334" s="183"/>
    </row>
    <row r="14335" spans="1:38">
      <c r="A14335" s="182"/>
      <c r="AJ14335" s="183"/>
      <c r="AK14335" s="183"/>
      <c r="AL14335" s="183"/>
    </row>
    <row r="14336" spans="1:38">
      <c r="A14336" s="182"/>
      <c r="AJ14336" s="183"/>
      <c r="AK14336" s="183"/>
      <c r="AL14336" s="183"/>
    </row>
    <row r="14337" spans="1:36">
      <c r="A14337" s="182"/>
      <c r="AJ14337" s="183"/>
    </row>
    <row r="14338" spans="1:36">
      <c r="A14338" s="182"/>
    </row>
    <row r="14339" spans="1:36">
      <c r="A14339" s="182"/>
    </row>
    <row r="14340" spans="1:36">
      <c r="A14340" s="182"/>
    </row>
    <row r="14341" spans="1:36">
      <c r="A14341" s="182"/>
    </row>
    <row r="14342" spans="1:36">
      <c r="A14342" s="182"/>
    </row>
    <row r="14343" spans="1:36">
      <c r="A14343" s="182"/>
    </row>
    <row r="14344" spans="1:36">
      <c r="A14344" s="182"/>
    </row>
    <row r="14345" spans="1:36">
      <c r="A14345" s="182"/>
    </row>
    <row r="14346" spans="1:36">
      <c r="A14346" s="182"/>
    </row>
    <row r="14347" spans="1:36">
      <c r="A14347" s="182"/>
    </row>
    <row r="14348" spans="1:36">
      <c r="A14348" s="182"/>
    </row>
    <row r="14349" spans="1:36">
      <c r="A14349" s="182"/>
    </row>
    <row r="14350" spans="1:36">
      <c r="A14350" s="182"/>
    </row>
    <row r="14351" spans="1:36">
      <c r="A14351" s="182"/>
    </row>
    <row r="14352" spans="1:36">
      <c r="A14352" s="182"/>
    </row>
    <row r="14353" spans="1:1">
      <c r="A14353" s="182"/>
    </row>
    <row r="14354" spans="1:1">
      <c r="A14354" s="182"/>
    </row>
    <row r="14355" spans="1:1">
      <c r="A14355" s="182"/>
    </row>
    <row r="14356" spans="1:1">
      <c r="A14356" s="182"/>
    </row>
    <row r="14357" spans="1:1">
      <c r="A14357" s="182"/>
    </row>
    <row r="14358" spans="1:1">
      <c r="A14358" s="182"/>
    </row>
    <row r="14359" spans="1:1">
      <c r="A14359" s="182"/>
    </row>
    <row r="14360" spans="1:1">
      <c r="A14360" s="182"/>
    </row>
    <row r="14361" spans="1:1">
      <c r="A14361" s="182"/>
    </row>
    <row r="14362" spans="1:1">
      <c r="A14362" s="182"/>
    </row>
    <row r="14363" spans="1:1">
      <c r="A14363" s="182"/>
    </row>
    <row r="14364" spans="1:1">
      <c r="A14364" s="182"/>
    </row>
    <row r="14365" spans="1:1">
      <c r="A14365" s="182"/>
    </row>
    <row r="14366" spans="1:1">
      <c r="A14366" s="182"/>
    </row>
    <row r="14367" spans="1:1">
      <c r="A14367" s="182"/>
    </row>
    <row r="14368" spans="1:1">
      <c r="A14368" s="182"/>
    </row>
    <row r="14369" spans="1:1">
      <c r="A14369" s="182"/>
    </row>
    <row r="14370" spans="1:1">
      <c r="A14370" s="182"/>
    </row>
    <row r="14371" spans="1:1">
      <c r="A14371" s="182"/>
    </row>
    <row r="14372" spans="1:1">
      <c r="A14372" s="182"/>
    </row>
    <row r="14373" spans="1:1">
      <c r="A14373" s="182"/>
    </row>
    <row r="14374" spans="1:1">
      <c r="A14374" s="182"/>
    </row>
    <row r="14375" spans="1:1">
      <c r="A14375" s="182"/>
    </row>
    <row r="14376" spans="1:1">
      <c r="A14376" s="182"/>
    </row>
    <row r="14377" spans="1:1">
      <c r="A14377" s="182"/>
    </row>
    <row r="14378" spans="1:1">
      <c r="A14378" s="182"/>
    </row>
    <row r="14379" spans="1:1">
      <c r="A14379" s="182"/>
    </row>
    <row r="14380" spans="1:1">
      <c r="A14380" s="182"/>
    </row>
    <row r="14381" spans="1:1">
      <c r="A14381" s="182"/>
    </row>
    <row r="14382" spans="1:1">
      <c r="A14382" s="182"/>
    </row>
    <row r="14383" spans="1:1">
      <c r="A14383" s="182"/>
    </row>
    <row r="14384" spans="1:1">
      <c r="A14384" s="182"/>
    </row>
    <row r="14385" spans="1:38">
      <c r="A14385" s="182"/>
    </row>
    <row r="14386" spans="1:38">
      <c r="A14386" s="182"/>
    </row>
    <row r="14387" spans="1:38">
      <c r="A14387" s="182"/>
    </row>
    <row r="14388" spans="1:38">
      <c r="A14388" s="182"/>
    </row>
    <row r="14389" spans="1:38">
      <c r="A14389" s="182"/>
      <c r="AK14389" s="183"/>
      <c r="AL14389" s="183"/>
    </row>
    <row r="14390" spans="1:38">
      <c r="A14390" s="182"/>
      <c r="AJ14390" s="183"/>
      <c r="AK14390" s="183"/>
      <c r="AL14390" s="183"/>
    </row>
    <row r="14391" spans="1:38">
      <c r="A14391" s="182"/>
      <c r="AJ14391" s="183"/>
      <c r="AK14391" s="183"/>
      <c r="AL14391" s="183"/>
    </row>
    <row r="14392" spans="1:38">
      <c r="A14392" s="182"/>
      <c r="AJ14392" s="183"/>
      <c r="AK14392" s="183"/>
      <c r="AL14392" s="183"/>
    </row>
    <row r="14393" spans="1:38">
      <c r="A14393" s="182"/>
      <c r="AJ14393" s="183"/>
    </row>
    <row r="14394" spans="1:38">
      <c r="A14394" s="182"/>
    </row>
    <row r="14395" spans="1:38">
      <c r="A14395" s="182"/>
    </row>
    <row r="14396" spans="1:38">
      <c r="A14396" s="182"/>
    </row>
    <row r="14397" spans="1:38">
      <c r="A14397" s="182"/>
    </row>
    <row r="14398" spans="1:38">
      <c r="A14398" s="182"/>
    </row>
    <row r="14399" spans="1:38">
      <c r="A14399" s="182"/>
    </row>
    <row r="14400" spans="1:38">
      <c r="A14400" s="182"/>
    </row>
    <row r="14401" spans="1:38">
      <c r="A14401" s="182"/>
    </row>
    <row r="14402" spans="1:38">
      <c r="A14402" s="182"/>
    </row>
    <row r="14403" spans="1:38">
      <c r="A14403" s="182"/>
    </row>
    <row r="14404" spans="1:38">
      <c r="A14404" s="182"/>
    </row>
    <row r="14405" spans="1:38">
      <c r="A14405" s="182"/>
    </row>
    <row r="14406" spans="1:38">
      <c r="A14406" s="182"/>
    </row>
    <row r="14407" spans="1:38">
      <c r="A14407" s="182"/>
    </row>
    <row r="14408" spans="1:38">
      <c r="A14408" s="182"/>
    </row>
    <row r="14409" spans="1:38">
      <c r="A14409" s="182"/>
      <c r="AK14409" s="183"/>
      <c r="AL14409" s="183"/>
    </row>
    <row r="14410" spans="1:38">
      <c r="A14410" s="182"/>
      <c r="AJ14410" s="183"/>
      <c r="AK14410" s="183"/>
      <c r="AL14410" s="183"/>
    </row>
    <row r="14411" spans="1:38">
      <c r="A14411" s="182"/>
      <c r="AJ14411" s="183"/>
      <c r="AK14411" s="183"/>
      <c r="AL14411" s="183"/>
    </row>
    <row r="14412" spans="1:38">
      <c r="A14412" s="182"/>
      <c r="AJ14412" s="183"/>
      <c r="AK14412" s="183"/>
      <c r="AL14412" s="183"/>
    </row>
    <row r="14413" spans="1:38">
      <c r="A14413" s="182"/>
      <c r="AJ14413" s="183"/>
    </row>
    <row r="14414" spans="1:38">
      <c r="A14414" s="182"/>
    </row>
    <row r="14415" spans="1:38">
      <c r="A14415" s="182"/>
    </row>
    <row r="14416" spans="1:38">
      <c r="A14416" s="182"/>
    </row>
    <row r="14417" spans="1:1">
      <c r="A14417" s="182"/>
    </row>
    <row r="14418" spans="1:1">
      <c r="A14418" s="182"/>
    </row>
    <row r="14419" spans="1:1">
      <c r="A14419" s="182"/>
    </row>
    <row r="14420" spans="1:1">
      <c r="A14420" s="182"/>
    </row>
    <row r="14421" spans="1:1">
      <c r="A14421" s="182"/>
    </row>
    <row r="14422" spans="1:1">
      <c r="A14422" s="182"/>
    </row>
    <row r="14423" spans="1:1">
      <c r="A14423" s="182"/>
    </row>
    <row r="14424" spans="1:1">
      <c r="A14424" s="182"/>
    </row>
    <row r="14425" spans="1:1">
      <c r="A14425" s="182"/>
    </row>
    <row r="14426" spans="1:1">
      <c r="A14426" s="182"/>
    </row>
    <row r="14427" spans="1:1">
      <c r="A14427" s="182"/>
    </row>
    <row r="14428" spans="1:1">
      <c r="A14428" s="182"/>
    </row>
    <row r="14429" spans="1:1">
      <c r="A14429" s="182"/>
    </row>
    <row r="14430" spans="1:1">
      <c r="A14430" s="182"/>
    </row>
    <row r="14431" spans="1:1">
      <c r="A14431" s="182"/>
    </row>
    <row r="14432" spans="1:1">
      <c r="A14432" s="182"/>
    </row>
    <row r="14433" spans="1:1">
      <c r="A14433" s="182"/>
    </row>
    <row r="14434" spans="1:1">
      <c r="A14434" s="182"/>
    </row>
    <row r="14435" spans="1:1">
      <c r="A14435" s="182"/>
    </row>
    <row r="14436" spans="1:1">
      <c r="A14436" s="182"/>
    </row>
    <row r="14437" spans="1:1">
      <c r="A14437" s="182"/>
    </row>
    <row r="14438" spans="1:1">
      <c r="A14438" s="182"/>
    </row>
    <row r="14439" spans="1:1">
      <c r="A14439" s="182"/>
    </row>
    <row r="14440" spans="1:1">
      <c r="A14440" s="182"/>
    </row>
    <row r="14441" spans="1:1">
      <c r="A14441" s="182"/>
    </row>
    <row r="14442" spans="1:1">
      <c r="A14442" s="182"/>
    </row>
    <row r="14443" spans="1:1">
      <c r="A14443" s="182"/>
    </row>
    <row r="14444" spans="1:1">
      <c r="A14444" s="182"/>
    </row>
    <row r="14445" spans="1:1">
      <c r="A14445" s="182"/>
    </row>
    <row r="14446" spans="1:1">
      <c r="A14446" s="182"/>
    </row>
    <row r="14447" spans="1:1">
      <c r="A14447" s="182"/>
    </row>
    <row r="14448" spans="1:1">
      <c r="A14448" s="182"/>
    </row>
    <row r="14449" spans="1:1">
      <c r="A14449" s="182"/>
    </row>
    <row r="14450" spans="1:1">
      <c r="A14450" s="182"/>
    </row>
    <row r="14451" spans="1:1">
      <c r="A14451" s="182"/>
    </row>
    <row r="14452" spans="1:1">
      <c r="A14452" s="182"/>
    </row>
    <row r="14453" spans="1:1">
      <c r="A14453" s="182"/>
    </row>
    <row r="14454" spans="1:1">
      <c r="A14454" s="182"/>
    </row>
    <row r="14455" spans="1:1">
      <c r="A14455" s="182"/>
    </row>
    <row r="14456" spans="1:1">
      <c r="A14456" s="182"/>
    </row>
    <row r="14457" spans="1:1">
      <c r="A14457" s="182"/>
    </row>
    <row r="14458" spans="1:1">
      <c r="A14458" s="182"/>
    </row>
    <row r="14459" spans="1:1">
      <c r="A14459" s="182"/>
    </row>
    <row r="14460" spans="1:1">
      <c r="A14460" s="182"/>
    </row>
    <row r="14461" spans="1:1">
      <c r="A14461" s="182"/>
    </row>
    <row r="14462" spans="1:1">
      <c r="A14462" s="182"/>
    </row>
    <row r="14463" spans="1:1">
      <c r="A14463" s="182"/>
    </row>
    <row r="14464" spans="1:1">
      <c r="A14464" s="182"/>
    </row>
    <row r="14465" spans="1:38">
      <c r="A14465" s="182"/>
    </row>
    <row r="14466" spans="1:38">
      <c r="A14466" s="182"/>
    </row>
    <row r="14467" spans="1:38">
      <c r="A14467" s="182"/>
    </row>
    <row r="14468" spans="1:38">
      <c r="A14468" s="182"/>
    </row>
    <row r="14469" spans="1:38">
      <c r="A14469" s="182"/>
      <c r="AK14469" s="183"/>
      <c r="AL14469" s="183"/>
    </row>
    <row r="14470" spans="1:38">
      <c r="A14470" s="182"/>
      <c r="AJ14470" s="183"/>
      <c r="AK14470" s="183"/>
      <c r="AL14470" s="183"/>
    </row>
    <row r="14471" spans="1:38">
      <c r="A14471" s="182"/>
      <c r="AJ14471" s="183"/>
      <c r="AK14471" s="183"/>
      <c r="AL14471" s="183"/>
    </row>
    <row r="14472" spans="1:38">
      <c r="A14472" s="182"/>
      <c r="AJ14472" s="183"/>
      <c r="AK14472" s="183"/>
      <c r="AL14472" s="183"/>
    </row>
    <row r="14473" spans="1:38">
      <c r="A14473" s="182"/>
      <c r="AJ14473" s="183"/>
    </row>
    <row r="14474" spans="1:38">
      <c r="A14474" s="182"/>
    </row>
    <row r="14475" spans="1:38">
      <c r="A14475" s="182"/>
    </row>
    <row r="14476" spans="1:38">
      <c r="A14476" s="182"/>
    </row>
    <row r="14477" spans="1:38">
      <c r="A14477" s="182"/>
    </row>
    <row r="14478" spans="1:38">
      <c r="A14478" s="182"/>
    </row>
    <row r="14479" spans="1:38">
      <c r="A14479" s="182"/>
    </row>
    <row r="14480" spans="1:38">
      <c r="A14480" s="182"/>
    </row>
    <row r="14481" spans="1:1">
      <c r="A14481" s="182"/>
    </row>
    <row r="14482" spans="1:1">
      <c r="A14482" s="182"/>
    </row>
    <row r="14483" spans="1:1">
      <c r="A14483" s="182"/>
    </row>
    <row r="14484" spans="1:1">
      <c r="A14484" s="182"/>
    </row>
    <row r="14485" spans="1:1">
      <c r="A14485" s="182"/>
    </row>
    <row r="14486" spans="1:1">
      <c r="A14486" s="182"/>
    </row>
    <row r="14487" spans="1:1">
      <c r="A14487" s="182"/>
    </row>
    <row r="14488" spans="1:1">
      <c r="A14488" s="182"/>
    </row>
    <row r="14489" spans="1:1">
      <c r="A14489" s="182"/>
    </row>
    <row r="14490" spans="1:1">
      <c r="A14490" s="182"/>
    </row>
    <row r="14491" spans="1:1">
      <c r="A14491" s="182"/>
    </row>
    <row r="14492" spans="1:1">
      <c r="A14492" s="182"/>
    </row>
    <row r="14493" spans="1:1">
      <c r="A14493" s="182"/>
    </row>
    <row r="14494" spans="1:1">
      <c r="A14494" s="182"/>
    </row>
    <row r="14495" spans="1:1">
      <c r="A14495" s="182"/>
    </row>
    <row r="14496" spans="1:1">
      <c r="A14496" s="182"/>
    </row>
    <row r="14497" spans="1:38">
      <c r="A14497" s="182"/>
      <c r="AK14497" s="183"/>
      <c r="AL14497" s="183"/>
    </row>
    <row r="14498" spans="1:38">
      <c r="A14498" s="182"/>
      <c r="AJ14498" s="183"/>
      <c r="AK14498" s="183"/>
      <c r="AL14498" s="183"/>
    </row>
    <row r="14499" spans="1:38">
      <c r="A14499" s="182"/>
      <c r="AJ14499" s="183"/>
      <c r="AK14499" s="183"/>
      <c r="AL14499" s="183"/>
    </row>
    <row r="14500" spans="1:38">
      <c r="A14500" s="182"/>
      <c r="AJ14500" s="183"/>
      <c r="AK14500" s="183"/>
      <c r="AL14500" s="183"/>
    </row>
    <row r="14501" spans="1:38">
      <c r="A14501" s="182"/>
      <c r="AJ14501" s="183"/>
    </row>
    <row r="14502" spans="1:38">
      <c r="A14502" s="182"/>
    </row>
    <row r="14503" spans="1:38">
      <c r="A14503" s="182"/>
    </row>
    <row r="14504" spans="1:38">
      <c r="A14504" s="182"/>
    </row>
    <row r="14505" spans="1:38">
      <c r="A14505" s="182"/>
      <c r="AK14505" s="183"/>
      <c r="AL14505" s="183"/>
    </row>
    <row r="14506" spans="1:38">
      <c r="A14506" s="182"/>
      <c r="AJ14506" s="183"/>
      <c r="AK14506" s="183"/>
      <c r="AL14506" s="183"/>
    </row>
    <row r="14507" spans="1:38">
      <c r="A14507" s="182"/>
      <c r="AJ14507" s="183"/>
      <c r="AK14507" s="183"/>
      <c r="AL14507" s="183"/>
    </row>
    <row r="14508" spans="1:38">
      <c r="A14508" s="182"/>
      <c r="AJ14508" s="183"/>
      <c r="AK14508" s="183"/>
      <c r="AL14508" s="183"/>
    </row>
    <row r="14509" spans="1:38">
      <c r="A14509" s="182"/>
      <c r="AJ14509" s="183"/>
    </row>
    <row r="14510" spans="1:38">
      <c r="A14510" s="182"/>
    </row>
    <row r="14511" spans="1:38">
      <c r="A14511" s="182"/>
    </row>
    <row r="14512" spans="1:38">
      <c r="A14512" s="182"/>
    </row>
    <row r="14513" spans="1:38">
      <c r="A14513" s="182"/>
    </row>
    <row r="14514" spans="1:38">
      <c r="A14514" s="182"/>
    </row>
    <row r="14515" spans="1:38">
      <c r="A14515" s="182"/>
    </row>
    <row r="14516" spans="1:38">
      <c r="A14516" s="182"/>
    </row>
    <row r="14517" spans="1:38">
      <c r="A14517" s="182"/>
    </row>
    <row r="14518" spans="1:38">
      <c r="A14518" s="182"/>
    </row>
    <row r="14519" spans="1:38">
      <c r="A14519" s="182"/>
    </row>
    <row r="14520" spans="1:38">
      <c r="A14520" s="182"/>
    </row>
    <row r="14521" spans="1:38">
      <c r="A14521" s="182"/>
      <c r="AK14521" s="183"/>
      <c r="AL14521" s="183"/>
    </row>
    <row r="14522" spans="1:38">
      <c r="A14522" s="182"/>
      <c r="AJ14522" s="183"/>
      <c r="AK14522" s="183"/>
      <c r="AL14522" s="183"/>
    </row>
    <row r="14523" spans="1:38">
      <c r="A14523" s="182"/>
      <c r="AJ14523" s="183"/>
      <c r="AK14523" s="183"/>
      <c r="AL14523" s="183"/>
    </row>
    <row r="14524" spans="1:38">
      <c r="A14524" s="182"/>
      <c r="AJ14524" s="183"/>
      <c r="AK14524" s="183"/>
      <c r="AL14524" s="183"/>
    </row>
    <row r="14525" spans="1:38">
      <c r="A14525" s="182"/>
      <c r="AJ14525" s="183"/>
    </row>
    <row r="14526" spans="1:38">
      <c r="A14526" s="182"/>
    </row>
    <row r="14527" spans="1:38">
      <c r="A14527" s="182"/>
    </row>
    <row r="14528" spans="1:38">
      <c r="A14528" s="182"/>
    </row>
    <row r="14529" spans="1:38">
      <c r="A14529" s="182"/>
    </row>
    <row r="14530" spans="1:38">
      <c r="A14530" s="182"/>
    </row>
    <row r="14531" spans="1:38">
      <c r="A14531" s="182"/>
    </row>
    <row r="14532" spans="1:38">
      <c r="A14532" s="182"/>
    </row>
    <row r="14533" spans="1:38">
      <c r="A14533" s="182"/>
      <c r="AK14533" s="183"/>
      <c r="AL14533" s="183"/>
    </row>
    <row r="14534" spans="1:38">
      <c r="A14534" s="182"/>
      <c r="AJ14534" s="183"/>
      <c r="AK14534" s="183"/>
      <c r="AL14534" s="183"/>
    </row>
    <row r="14535" spans="1:38">
      <c r="A14535" s="182"/>
      <c r="AJ14535" s="183"/>
      <c r="AK14535" s="183"/>
      <c r="AL14535" s="183"/>
    </row>
    <row r="14536" spans="1:38">
      <c r="A14536" s="182"/>
      <c r="AJ14536" s="183"/>
      <c r="AK14536" s="183"/>
      <c r="AL14536" s="183"/>
    </row>
    <row r="14537" spans="1:38">
      <c r="A14537" s="182"/>
      <c r="AJ14537" s="183"/>
    </row>
    <row r="14538" spans="1:38">
      <c r="A14538" s="182"/>
    </row>
    <row r="14539" spans="1:38">
      <c r="A14539" s="182"/>
    </row>
    <row r="14540" spans="1:38">
      <c r="A14540" s="182"/>
    </row>
    <row r="14541" spans="1:38">
      <c r="A14541" s="182"/>
    </row>
    <row r="14542" spans="1:38">
      <c r="A14542" s="182"/>
    </row>
    <row r="14543" spans="1:38">
      <c r="A14543" s="182"/>
    </row>
    <row r="14544" spans="1:38">
      <c r="A14544" s="182"/>
    </row>
    <row r="14545" spans="1:19">
      <c r="A14545" s="182"/>
    </row>
    <row r="14546" spans="1:19">
      <c r="A14546" s="182"/>
    </row>
    <row r="14547" spans="1:19">
      <c r="A14547" s="182"/>
    </row>
    <row r="14548" spans="1:19">
      <c r="A14548" s="182"/>
    </row>
    <row r="14549" spans="1:19">
      <c r="A14549" s="182"/>
    </row>
    <row r="14550" spans="1:19">
      <c r="A14550" s="182"/>
    </row>
    <row r="14551" spans="1:19">
      <c r="A14551" s="182"/>
    </row>
    <row r="14552" spans="1:19">
      <c r="A14552" s="182"/>
      <c r="R14552" s="183"/>
      <c r="S14552" s="183"/>
    </row>
    <row r="14553" spans="1:19">
      <c r="A14553" s="182"/>
      <c r="Q14553" s="183"/>
      <c r="R14553" s="183"/>
      <c r="S14553" s="183"/>
    </row>
    <row r="14554" spans="1:19">
      <c r="A14554" s="182"/>
      <c r="Q14554" s="183"/>
      <c r="R14554" s="183"/>
      <c r="S14554" s="183"/>
    </row>
    <row r="14555" spans="1:19">
      <c r="A14555" s="182"/>
      <c r="Q14555" s="183"/>
      <c r="R14555" s="183"/>
      <c r="S14555" s="183"/>
    </row>
    <row r="14556" spans="1:19">
      <c r="A14556" s="182"/>
      <c r="Q14556" s="183"/>
      <c r="R14556" s="183"/>
      <c r="S14556" s="183"/>
    </row>
    <row r="14557" spans="1:19">
      <c r="A14557" s="182"/>
      <c r="Q14557" s="183"/>
      <c r="R14557" s="183"/>
      <c r="S14557" s="183"/>
    </row>
    <row r="14558" spans="1:19">
      <c r="A14558" s="182"/>
      <c r="Q14558" s="183"/>
      <c r="R14558" s="183"/>
      <c r="S14558" s="183"/>
    </row>
    <row r="14559" spans="1:19">
      <c r="A14559" s="182"/>
      <c r="Q14559" s="183"/>
      <c r="R14559" s="183"/>
      <c r="S14559" s="183"/>
    </row>
    <row r="14560" spans="1:19">
      <c r="A14560" s="182"/>
      <c r="Q14560" s="183"/>
      <c r="R14560" s="183"/>
      <c r="S14560" s="183"/>
    </row>
    <row r="14561" spans="1:19">
      <c r="A14561" s="182"/>
      <c r="Q14561" s="183"/>
      <c r="R14561" s="183"/>
      <c r="S14561" s="183"/>
    </row>
    <row r="14562" spans="1:19">
      <c r="A14562" s="182"/>
      <c r="Q14562" s="183"/>
      <c r="R14562" s="183"/>
      <c r="S14562" s="183"/>
    </row>
    <row r="14563" spans="1:19">
      <c r="A14563" s="182"/>
      <c r="Q14563" s="183"/>
      <c r="R14563" s="183"/>
      <c r="S14563" s="183"/>
    </row>
    <row r="14564" spans="1:19">
      <c r="A14564" s="182"/>
      <c r="Q14564" s="183"/>
      <c r="R14564" s="183"/>
      <c r="S14564" s="183"/>
    </row>
    <row r="14565" spans="1:19">
      <c r="A14565" s="182"/>
      <c r="Q14565" s="183"/>
      <c r="R14565" s="183"/>
      <c r="S14565" s="183"/>
    </row>
    <row r="14566" spans="1:19">
      <c r="A14566" s="182"/>
      <c r="Q14566" s="183"/>
      <c r="R14566" s="183"/>
      <c r="S14566" s="183"/>
    </row>
    <row r="14567" spans="1:19">
      <c r="A14567" s="182"/>
      <c r="Q14567" s="183"/>
      <c r="R14567" s="183"/>
      <c r="S14567" s="183"/>
    </row>
    <row r="14568" spans="1:19">
      <c r="A14568" s="182"/>
      <c r="Q14568" s="183"/>
      <c r="R14568" s="183"/>
      <c r="S14568" s="183"/>
    </row>
    <row r="14569" spans="1:19">
      <c r="A14569" s="182"/>
      <c r="Q14569" s="183"/>
      <c r="R14569" s="183"/>
      <c r="S14569" s="183"/>
    </row>
    <row r="14570" spans="1:19">
      <c r="A14570" s="182"/>
      <c r="Q14570" s="183"/>
      <c r="R14570" s="183"/>
      <c r="S14570" s="183"/>
    </row>
    <row r="14571" spans="1:19">
      <c r="A14571" s="182"/>
      <c r="Q14571" s="183"/>
      <c r="R14571" s="183"/>
      <c r="S14571" s="183"/>
    </row>
    <row r="14572" spans="1:19">
      <c r="A14572" s="182"/>
      <c r="Q14572" s="183"/>
      <c r="R14572" s="183"/>
      <c r="S14572" s="183"/>
    </row>
    <row r="14573" spans="1:19">
      <c r="A14573" s="182"/>
      <c r="Q14573" s="183"/>
      <c r="R14573" s="183"/>
      <c r="S14573" s="183"/>
    </row>
    <row r="14574" spans="1:19">
      <c r="A14574" s="182"/>
      <c r="Q14574" s="183"/>
      <c r="R14574" s="183"/>
      <c r="S14574" s="183"/>
    </row>
    <row r="14575" spans="1:19">
      <c r="A14575" s="182"/>
      <c r="Q14575" s="183"/>
      <c r="R14575" s="183"/>
      <c r="S14575" s="183"/>
    </row>
    <row r="14576" spans="1:19">
      <c r="A14576" s="182"/>
      <c r="Q14576" s="183"/>
      <c r="R14576" s="183"/>
      <c r="S14576" s="183"/>
    </row>
    <row r="14577" spans="1:38">
      <c r="A14577" s="182"/>
      <c r="Q14577" s="183"/>
      <c r="R14577" s="183"/>
      <c r="S14577" s="183"/>
    </row>
    <row r="14578" spans="1:38">
      <c r="A14578" s="182"/>
      <c r="Q14578" s="183"/>
      <c r="R14578" s="183"/>
      <c r="S14578" s="183"/>
      <c r="AK14578" s="183"/>
      <c r="AL14578" s="183"/>
    </row>
    <row r="14579" spans="1:38">
      <c r="A14579" s="182"/>
      <c r="Q14579" s="183"/>
      <c r="R14579" s="183"/>
      <c r="S14579" s="183"/>
      <c r="AJ14579" s="183"/>
      <c r="AK14579" s="183"/>
      <c r="AL14579" s="183"/>
    </row>
    <row r="14580" spans="1:38">
      <c r="A14580" s="182"/>
      <c r="Q14580" s="183"/>
      <c r="AJ14580" s="183"/>
      <c r="AK14580" s="183"/>
      <c r="AL14580" s="183"/>
    </row>
    <row r="14581" spans="1:38">
      <c r="A14581" s="182"/>
      <c r="AJ14581" s="183"/>
      <c r="AK14581" s="183"/>
      <c r="AL14581" s="183"/>
    </row>
    <row r="14582" spans="1:38">
      <c r="A14582" s="182"/>
      <c r="AJ14582" s="183"/>
    </row>
    <row r="14583" spans="1:38">
      <c r="A14583" s="182"/>
    </row>
    <row r="14584" spans="1:38">
      <c r="A14584" s="182"/>
    </row>
    <row r="14585" spans="1:38">
      <c r="A14585" s="182"/>
    </row>
    <row r="14586" spans="1:38">
      <c r="A14586" s="182"/>
    </row>
    <row r="14587" spans="1:38">
      <c r="A14587" s="182"/>
      <c r="R14587" s="183"/>
      <c r="S14587" s="183"/>
    </row>
    <row r="14588" spans="1:38">
      <c r="A14588" s="182"/>
      <c r="Q14588" s="183"/>
      <c r="R14588" s="183"/>
      <c r="S14588" s="183"/>
    </row>
    <row r="14589" spans="1:38">
      <c r="A14589" s="182"/>
      <c r="Q14589" s="183"/>
    </row>
    <row r="14590" spans="1:38">
      <c r="A14590" s="182"/>
      <c r="R14590" s="183"/>
      <c r="S14590" s="183"/>
      <c r="AK14590" s="183"/>
      <c r="AL14590" s="183"/>
    </row>
    <row r="14591" spans="1:38">
      <c r="A14591" s="182"/>
      <c r="Q14591" s="183"/>
      <c r="R14591" s="183"/>
      <c r="S14591" s="183"/>
      <c r="AJ14591" s="183"/>
      <c r="AK14591" s="183"/>
      <c r="AL14591" s="183"/>
    </row>
    <row r="14592" spans="1:38">
      <c r="A14592" s="182"/>
      <c r="Q14592" s="183"/>
      <c r="R14592" s="183"/>
      <c r="S14592" s="183"/>
      <c r="AJ14592" s="183"/>
      <c r="AK14592" s="183"/>
      <c r="AL14592" s="183"/>
    </row>
    <row r="14593" spans="1:38">
      <c r="A14593" s="182"/>
      <c r="Q14593" s="183"/>
      <c r="R14593" s="183"/>
      <c r="S14593" s="183"/>
      <c r="AJ14593" s="183"/>
      <c r="AK14593" s="183"/>
      <c r="AL14593" s="183"/>
    </row>
    <row r="14594" spans="1:38">
      <c r="A14594" s="182"/>
      <c r="Q14594" s="183"/>
      <c r="R14594" s="183"/>
      <c r="S14594" s="183"/>
      <c r="AJ14594" s="183"/>
      <c r="AK14594" s="183"/>
      <c r="AL14594" s="183"/>
    </row>
    <row r="14595" spans="1:38">
      <c r="A14595" s="182"/>
      <c r="Q14595" s="183"/>
      <c r="R14595" s="183"/>
      <c r="S14595" s="183"/>
      <c r="AJ14595" s="183"/>
      <c r="AK14595" s="183"/>
      <c r="AL14595" s="183"/>
    </row>
    <row r="14596" spans="1:38">
      <c r="A14596" s="182"/>
      <c r="Q14596" s="183"/>
      <c r="R14596" s="183"/>
      <c r="S14596" s="183"/>
      <c r="AJ14596" s="183"/>
      <c r="AK14596" s="183"/>
      <c r="AL14596" s="183"/>
    </row>
    <row r="14597" spans="1:38">
      <c r="A14597" s="182"/>
      <c r="Q14597" s="183"/>
      <c r="R14597" s="183"/>
      <c r="S14597" s="183"/>
      <c r="AJ14597" s="183"/>
      <c r="AK14597" s="183"/>
      <c r="AL14597" s="183"/>
    </row>
    <row r="14598" spans="1:38">
      <c r="A14598" s="182"/>
      <c r="Q14598" s="183"/>
      <c r="R14598" s="183"/>
      <c r="S14598" s="183"/>
      <c r="AJ14598" s="183"/>
      <c r="AK14598" s="183"/>
      <c r="AL14598" s="183"/>
    </row>
    <row r="14599" spans="1:38">
      <c r="A14599" s="182"/>
      <c r="Q14599" s="183"/>
      <c r="R14599" s="183"/>
      <c r="S14599" s="183"/>
      <c r="AJ14599" s="183"/>
      <c r="AK14599" s="183"/>
      <c r="AL14599" s="183"/>
    </row>
    <row r="14600" spans="1:38">
      <c r="A14600" s="182"/>
      <c r="Q14600" s="183"/>
      <c r="R14600" s="183"/>
      <c r="S14600" s="183"/>
      <c r="AJ14600" s="183"/>
      <c r="AK14600" s="183"/>
      <c r="AL14600" s="183"/>
    </row>
    <row r="14601" spans="1:38">
      <c r="A14601" s="182"/>
      <c r="Q14601" s="183"/>
      <c r="R14601" s="183"/>
      <c r="S14601" s="183"/>
      <c r="AJ14601" s="183"/>
      <c r="AK14601" s="183"/>
      <c r="AL14601" s="183"/>
    </row>
    <row r="14602" spans="1:38">
      <c r="A14602" s="182"/>
      <c r="Q14602" s="183"/>
      <c r="R14602" s="183"/>
      <c r="S14602" s="183"/>
      <c r="AJ14602" s="183"/>
      <c r="AK14602" s="183"/>
      <c r="AL14602" s="183"/>
    </row>
    <row r="14603" spans="1:38">
      <c r="A14603" s="182"/>
      <c r="Q14603" s="183"/>
      <c r="R14603" s="183"/>
      <c r="S14603" s="183"/>
      <c r="AJ14603" s="183"/>
      <c r="AK14603" s="183"/>
      <c r="AL14603" s="183"/>
    </row>
    <row r="14604" spans="1:38">
      <c r="A14604" s="182"/>
      <c r="Q14604" s="183"/>
      <c r="R14604" s="183"/>
      <c r="S14604" s="183"/>
      <c r="AJ14604" s="183"/>
      <c r="AK14604" s="183"/>
      <c r="AL14604" s="183"/>
    </row>
    <row r="14605" spans="1:38">
      <c r="A14605" s="182"/>
      <c r="Q14605" s="183"/>
      <c r="R14605" s="183"/>
      <c r="S14605" s="183"/>
      <c r="AJ14605" s="183"/>
      <c r="AK14605" s="183"/>
      <c r="AL14605" s="183"/>
    </row>
    <row r="14606" spans="1:38">
      <c r="A14606" s="182"/>
      <c r="Q14606" s="183"/>
      <c r="R14606" s="183"/>
      <c r="S14606" s="183"/>
      <c r="AJ14606" s="183"/>
    </row>
    <row r="14607" spans="1:38">
      <c r="A14607" s="182"/>
      <c r="Q14607" s="183"/>
      <c r="R14607" s="183"/>
      <c r="S14607" s="183"/>
    </row>
    <row r="14608" spans="1:38">
      <c r="A14608" s="182"/>
      <c r="Q14608" s="183"/>
      <c r="R14608" s="183"/>
      <c r="S14608" s="183"/>
    </row>
    <row r="14609" spans="1:19">
      <c r="A14609" s="182"/>
      <c r="Q14609" s="183"/>
      <c r="R14609" s="183"/>
      <c r="S14609" s="183"/>
    </row>
    <row r="14610" spans="1:19">
      <c r="A14610" s="182"/>
      <c r="Q14610" s="183"/>
      <c r="R14610" s="183"/>
      <c r="S14610" s="183"/>
    </row>
    <row r="14611" spans="1:19">
      <c r="A14611" s="182"/>
      <c r="Q14611" s="183"/>
      <c r="R14611" s="183"/>
      <c r="S14611" s="183"/>
    </row>
    <row r="14612" spans="1:19">
      <c r="A14612" s="182"/>
      <c r="Q14612" s="183"/>
      <c r="R14612" s="183"/>
      <c r="S14612" s="183"/>
    </row>
    <row r="14613" spans="1:19">
      <c r="A14613" s="182"/>
      <c r="Q14613" s="183"/>
      <c r="R14613" s="183"/>
      <c r="S14613" s="183"/>
    </row>
    <row r="14614" spans="1:19">
      <c r="A14614" s="182"/>
      <c r="Q14614" s="183"/>
    </row>
    <row r="14615" spans="1:19">
      <c r="A14615" s="182"/>
      <c r="R14615" s="183"/>
      <c r="S14615" s="183"/>
    </row>
    <row r="14616" spans="1:19">
      <c r="A14616" s="182"/>
      <c r="Q14616" s="183"/>
      <c r="R14616" s="183"/>
      <c r="S14616" s="183"/>
    </row>
    <row r="14617" spans="1:19">
      <c r="A14617" s="182"/>
      <c r="Q14617" s="183"/>
      <c r="R14617" s="183"/>
      <c r="S14617" s="183"/>
    </row>
    <row r="14618" spans="1:19">
      <c r="A14618" s="182"/>
      <c r="Q14618" s="183"/>
      <c r="R14618" s="183"/>
      <c r="S14618" s="183"/>
    </row>
    <row r="14619" spans="1:19">
      <c r="A14619" s="182"/>
      <c r="Q14619" s="183"/>
      <c r="R14619" s="183"/>
      <c r="S14619" s="183"/>
    </row>
    <row r="14620" spans="1:19">
      <c r="A14620" s="182"/>
      <c r="Q14620" s="183"/>
      <c r="R14620" s="183"/>
      <c r="S14620" s="183"/>
    </row>
    <row r="14621" spans="1:19">
      <c r="A14621" s="182"/>
      <c r="Q14621" s="183"/>
      <c r="R14621" s="183"/>
      <c r="S14621" s="183"/>
    </row>
    <row r="14622" spans="1:19">
      <c r="A14622" s="182"/>
      <c r="Q14622" s="183"/>
      <c r="R14622" s="183"/>
      <c r="S14622" s="183"/>
    </row>
    <row r="14623" spans="1:19">
      <c r="A14623" s="182"/>
      <c r="Q14623" s="183"/>
      <c r="R14623" s="183"/>
      <c r="S14623" s="183"/>
    </row>
    <row r="14624" spans="1:19">
      <c r="A14624" s="182"/>
      <c r="Q14624" s="183"/>
      <c r="R14624" s="183"/>
      <c r="S14624" s="183"/>
    </row>
    <row r="14625" spans="1:38">
      <c r="A14625" s="182"/>
      <c r="Q14625" s="183"/>
      <c r="R14625" s="183"/>
      <c r="S14625" s="183"/>
    </row>
    <row r="14626" spans="1:38">
      <c r="A14626" s="182"/>
      <c r="Q14626" s="183"/>
      <c r="R14626" s="183"/>
      <c r="S14626" s="183"/>
      <c r="AK14626" s="183"/>
      <c r="AL14626" s="183"/>
    </row>
    <row r="14627" spans="1:38">
      <c r="A14627" s="182"/>
      <c r="Q14627" s="183"/>
      <c r="R14627" s="183"/>
      <c r="S14627" s="183"/>
      <c r="AJ14627" s="183"/>
      <c r="AK14627" s="183"/>
      <c r="AL14627" s="183"/>
    </row>
    <row r="14628" spans="1:38">
      <c r="A14628" s="182"/>
      <c r="Q14628" s="183"/>
      <c r="R14628" s="183"/>
      <c r="S14628" s="183"/>
      <c r="AJ14628" s="183"/>
      <c r="AK14628" s="183"/>
      <c r="AL14628" s="183"/>
    </row>
    <row r="14629" spans="1:38">
      <c r="A14629" s="182"/>
      <c r="Q14629" s="183"/>
      <c r="R14629" s="183"/>
      <c r="S14629" s="183"/>
      <c r="AJ14629" s="183"/>
      <c r="AK14629" s="183"/>
      <c r="AL14629" s="183"/>
    </row>
    <row r="14630" spans="1:38">
      <c r="A14630" s="182"/>
      <c r="Q14630" s="183"/>
      <c r="R14630" s="183"/>
      <c r="S14630" s="183"/>
      <c r="AJ14630" s="183"/>
    </row>
    <row r="14631" spans="1:38">
      <c r="A14631" s="182"/>
      <c r="Q14631" s="183"/>
      <c r="R14631" s="183"/>
      <c r="S14631" s="183"/>
    </row>
    <row r="14632" spans="1:38">
      <c r="A14632" s="182"/>
      <c r="Q14632" s="183"/>
      <c r="R14632" s="183"/>
      <c r="S14632" s="183"/>
    </row>
    <row r="14633" spans="1:38">
      <c r="A14633" s="182"/>
      <c r="Q14633" s="183"/>
      <c r="R14633" s="183"/>
      <c r="S14633" s="183"/>
    </row>
    <row r="14634" spans="1:38">
      <c r="A14634" s="182"/>
      <c r="Q14634" s="183"/>
      <c r="R14634" s="183"/>
      <c r="S14634" s="183"/>
    </row>
    <row r="14635" spans="1:38">
      <c r="A14635" s="182"/>
      <c r="Q14635" s="183"/>
      <c r="R14635" s="183"/>
      <c r="S14635" s="183"/>
    </row>
    <row r="14636" spans="1:38">
      <c r="A14636" s="182"/>
      <c r="Q14636" s="183"/>
      <c r="R14636" s="183"/>
      <c r="S14636" s="183"/>
    </row>
    <row r="14637" spans="1:38">
      <c r="A14637" s="182"/>
      <c r="Q14637" s="183"/>
      <c r="R14637" s="183"/>
      <c r="S14637" s="183"/>
    </row>
    <row r="14638" spans="1:38">
      <c r="A14638" s="182"/>
      <c r="Q14638" s="183"/>
      <c r="R14638" s="183"/>
      <c r="S14638" s="183"/>
    </row>
    <row r="14639" spans="1:38">
      <c r="A14639" s="182"/>
      <c r="Q14639" s="183"/>
      <c r="R14639" s="183"/>
      <c r="S14639" s="183"/>
    </row>
    <row r="14640" spans="1:38">
      <c r="A14640" s="182"/>
      <c r="Q14640" s="183"/>
      <c r="R14640" s="183"/>
      <c r="S14640" s="183"/>
    </row>
    <row r="14641" spans="1:19">
      <c r="A14641" s="182"/>
      <c r="Q14641" s="183"/>
      <c r="R14641" s="183"/>
      <c r="S14641" s="183"/>
    </row>
    <row r="14642" spans="1:19">
      <c r="A14642" s="182"/>
      <c r="Q14642" s="183"/>
      <c r="R14642" s="183"/>
      <c r="S14642" s="183"/>
    </row>
    <row r="14643" spans="1:19">
      <c r="A14643" s="182"/>
      <c r="Q14643" s="183"/>
      <c r="R14643" s="183"/>
      <c r="S14643" s="183"/>
    </row>
    <row r="14644" spans="1:19">
      <c r="A14644" s="182"/>
      <c r="Q14644" s="183"/>
      <c r="R14644" s="183"/>
      <c r="S14644" s="183"/>
    </row>
    <row r="14645" spans="1:19">
      <c r="A14645" s="182"/>
      <c r="Q14645" s="183"/>
      <c r="R14645" s="183"/>
      <c r="S14645" s="183"/>
    </row>
    <row r="14646" spans="1:19">
      <c r="A14646" s="182"/>
      <c r="Q14646" s="183"/>
      <c r="R14646" s="183"/>
      <c r="S14646" s="183"/>
    </row>
    <row r="14647" spans="1:19">
      <c r="A14647" s="182"/>
      <c r="Q14647" s="183"/>
      <c r="R14647" s="183"/>
      <c r="S14647" s="183"/>
    </row>
    <row r="14648" spans="1:19">
      <c r="A14648" s="182"/>
      <c r="Q14648" s="183"/>
      <c r="R14648" s="183"/>
      <c r="S14648" s="183"/>
    </row>
    <row r="14649" spans="1:19">
      <c r="A14649" s="182"/>
      <c r="Q14649" s="183"/>
      <c r="R14649" s="183"/>
      <c r="S14649" s="183"/>
    </row>
    <row r="14650" spans="1:19">
      <c r="A14650" s="182"/>
      <c r="Q14650" s="183"/>
      <c r="R14650" s="183"/>
      <c r="S14650" s="183"/>
    </row>
    <row r="14651" spans="1:19">
      <c r="A14651" s="182"/>
      <c r="Q14651" s="183"/>
      <c r="R14651" s="183"/>
      <c r="S14651" s="183"/>
    </row>
    <row r="14652" spans="1:19">
      <c r="A14652" s="182"/>
      <c r="Q14652" s="183"/>
      <c r="R14652" s="183"/>
      <c r="S14652" s="183"/>
    </row>
    <row r="14653" spans="1:19">
      <c r="A14653" s="182"/>
      <c r="Q14653" s="183"/>
      <c r="R14653" s="183"/>
      <c r="S14653" s="183"/>
    </row>
    <row r="14654" spans="1:19">
      <c r="A14654" s="182"/>
      <c r="Q14654" s="183"/>
      <c r="R14654" s="183"/>
      <c r="S14654" s="183"/>
    </row>
    <row r="14655" spans="1:19">
      <c r="A14655" s="182"/>
      <c r="Q14655" s="183"/>
      <c r="R14655" s="183"/>
      <c r="S14655" s="183"/>
    </row>
    <row r="14656" spans="1:19">
      <c r="A14656" s="182"/>
      <c r="Q14656" s="183"/>
      <c r="R14656" s="183"/>
      <c r="S14656" s="183"/>
    </row>
    <row r="14657" spans="1:38">
      <c r="A14657" s="182"/>
      <c r="Q14657" s="183"/>
      <c r="R14657" s="183"/>
      <c r="S14657" s="183"/>
    </row>
    <row r="14658" spans="1:38">
      <c r="A14658" s="182"/>
      <c r="Q14658" s="183"/>
      <c r="R14658" s="183"/>
      <c r="S14658" s="183"/>
    </row>
    <row r="14659" spans="1:38">
      <c r="A14659" s="182"/>
      <c r="Q14659" s="183"/>
      <c r="R14659" s="183"/>
      <c r="S14659" s="183"/>
    </row>
    <row r="14660" spans="1:38">
      <c r="A14660" s="182"/>
      <c r="Q14660" s="183"/>
      <c r="R14660" s="183"/>
      <c r="S14660" s="183"/>
    </row>
    <row r="14661" spans="1:38">
      <c r="A14661" s="182"/>
      <c r="Q14661" s="183"/>
      <c r="R14661" s="183"/>
      <c r="S14661" s="183"/>
    </row>
    <row r="14662" spans="1:38">
      <c r="A14662" s="182"/>
      <c r="Q14662" s="183"/>
      <c r="R14662" s="183"/>
      <c r="S14662" s="183"/>
    </row>
    <row r="14663" spans="1:38">
      <c r="A14663" s="182"/>
      <c r="Q14663" s="183"/>
      <c r="R14663" s="183"/>
      <c r="S14663" s="183"/>
    </row>
    <row r="14664" spans="1:38">
      <c r="A14664" s="182"/>
      <c r="Q14664" s="183"/>
      <c r="R14664" s="183"/>
      <c r="S14664" s="183"/>
    </row>
    <row r="14665" spans="1:38">
      <c r="A14665" s="182"/>
      <c r="Q14665" s="183"/>
      <c r="R14665" s="183"/>
      <c r="S14665" s="183"/>
    </row>
    <row r="14666" spans="1:38">
      <c r="A14666" s="182"/>
      <c r="Q14666" s="183"/>
      <c r="R14666" s="183"/>
      <c r="S14666" s="183"/>
      <c r="AK14666" s="183"/>
      <c r="AL14666" s="183"/>
    </row>
    <row r="14667" spans="1:38">
      <c r="A14667" s="182"/>
      <c r="Q14667" s="183"/>
      <c r="R14667" s="183"/>
      <c r="S14667" s="183"/>
      <c r="AJ14667" s="183"/>
      <c r="AK14667" s="183"/>
      <c r="AL14667" s="183"/>
    </row>
    <row r="14668" spans="1:38">
      <c r="A14668" s="182"/>
      <c r="Q14668" s="183"/>
      <c r="R14668" s="183"/>
      <c r="S14668" s="183"/>
      <c r="AJ14668" s="183"/>
      <c r="AK14668" s="183"/>
      <c r="AL14668" s="183"/>
    </row>
    <row r="14669" spans="1:38">
      <c r="A14669" s="182"/>
      <c r="Q14669" s="183"/>
      <c r="R14669" s="183"/>
      <c r="S14669" s="183"/>
      <c r="AJ14669" s="183"/>
      <c r="AK14669" s="183"/>
      <c r="AL14669" s="183"/>
    </row>
    <row r="14670" spans="1:38">
      <c r="A14670" s="182"/>
      <c r="Q14670" s="183"/>
      <c r="R14670" s="183"/>
      <c r="S14670" s="183"/>
      <c r="AJ14670" s="183"/>
    </row>
    <row r="14671" spans="1:38">
      <c r="A14671" s="182"/>
      <c r="Q14671" s="183"/>
      <c r="R14671" s="183"/>
      <c r="S14671" s="183"/>
    </row>
    <row r="14672" spans="1:38">
      <c r="A14672" s="182"/>
      <c r="Q14672" s="183"/>
      <c r="R14672" s="183"/>
      <c r="S14672" s="183"/>
    </row>
    <row r="14673" spans="1:38">
      <c r="A14673" s="182"/>
      <c r="Q14673" s="183"/>
      <c r="R14673" s="183"/>
      <c r="S14673" s="183"/>
    </row>
    <row r="14674" spans="1:38">
      <c r="A14674" s="182"/>
      <c r="Q14674" s="183"/>
      <c r="R14674" s="183"/>
      <c r="S14674" s="183"/>
    </row>
    <row r="14675" spans="1:38">
      <c r="A14675" s="182"/>
      <c r="Q14675" s="183"/>
      <c r="R14675" s="183"/>
      <c r="S14675" s="183"/>
    </row>
    <row r="14676" spans="1:38">
      <c r="A14676" s="182"/>
      <c r="Q14676" s="183"/>
      <c r="R14676" s="183"/>
      <c r="S14676" s="183"/>
    </row>
    <row r="14677" spans="1:38">
      <c r="A14677" s="182"/>
      <c r="Q14677" s="183"/>
      <c r="R14677" s="183"/>
      <c r="S14677" s="183"/>
    </row>
    <row r="14678" spans="1:38">
      <c r="A14678" s="182"/>
      <c r="Q14678" s="183"/>
      <c r="R14678" s="183"/>
      <c r="S14678" s="183"/>
      <c r="AK14678" s="183"/>
      <c r="AL14678" s="183"/>
    </row>
    <row r="14679" spans="1:38">
      <c r="A14679" s="182"/>
      <c r="Q14679" s="183"/>
      <c r="R14679" s="183"/>
      <c r="S14679" s="183"/>
      <c r="AJ14679" s="183"/>
      <c r="AK14679" s="183"/>
      <c r="AL14679" s="183"/>
    </row>
    <row r="14680" spans="1:38">
      <c r="A14680" s="182"/>
      <c r="Q14680" s="183"/>
      <c r="R14680" s="183"/>
      <c r="S14680" s="183"/>
      <c r="AJ14680" s="183"/>
      <c r="AK14680" s="183"/>
      <c r="AL14680" s="183"/>
    </row>
    <row r="14681" spans="1:38">
      <c r="A14681" s="182"/>
      <c r="Q14681" s="183"/>
      <c r="R14681" s="183"/>
      <c r="S14681" s="183"/>
      <c r="AJ14681" s="183"/>
      <c r="AK14681" s="183"/>
      <c r="AL14681" s="183"/>
    </row>
    <row r="14682" spans="1:38">
      <c r="A14682" s="182"/>
      <c r="Q14682" s="183"/>
      <c r="R14682" s="183"/>
      <c r="S14682" s="183"/>
      <c r="AJ14682" s="183"/>
    </row>
    <row r="14683" spans="1:38">
      <c r="A14683" s="182"/>
      <c r="Q14683" s="183"/>
      <c r="R14683" s="183"/>
      <c r="S14683" s="183"/>
    </row>
    <row r="14684" spans="1:38">
      <c r="A14684" s="182"/>
      <c r="Q14684" s="183"/>
      <c r="R14684" s="183"/>
      <c r="S14684" s="183"/>
    </row>
    <row r="14685" spans="1:38">
      <c r="A14685" s="182"/>
      <c r="Q14685" s="183"/>
      <c r="R14685" s="183"/>
      <c r="S14685" s="183"/>
    </row>
    <row r="14686" spans="1:38">
      <c r="A14686" s="182"/>
      <c r="Q14686" s="183"/>
      <c r="R14686" s="183"/>
      <c r="S14686" s="183"/>
    </row>
    <row r="14687" spans="1:38">
      <c r="A14687" s="182"/>
      <c r="Q14687" s="183"/>
      <c r="R14687" s="183"/>
      <c r="S14687" s="183"/>
    </row>
    <row r="14688" spans="1:38">
      <c r="A14688" s="182"/>
      <c r="Q14688" s="183"/>
      <c r="R14688" s="183"/>
      <c r="S14688" s="183"/>
    </row>
    <row r="14689" spans="1:38">
      <c r="A14689" s="182"/>
      <c r="Q14689" s="183"/>
      <c r="R14689" s="183"/>
      <c r="S14689" s="183"/>
    </row>
    <row r="14690" spans="1:38">
      <c r="A14690" s="182"/>
      <c r="Q14690" s="183"/>
      <c r="R14690" s="183"/>
      <c r="S14690" s="183"/>
      <c r="AK14690" s="183"/>
      <c r="AL14690" s="183"/>
    </row>
    <row r="14691" spans="1:38">
      <c r="A14691" s="182"/>
      <c r="Q14691" s="183"/>
      <c r="R14691" s="183"/>
      <c r="S14691" s="183"/>
      <c r="AJ14691" s="183"/>
      <c r="AK14691" s="183"/>
      <c r="AL14691" s="183"/>
    </row>
    <row r="14692" spans="1:38">
      <c r="A14692" s="182"/>
      <c r="Q14692" s="183"/>
      <c r="R14692" s="183"/>
      <c r="S14692" s="183"/>
      <c r="AJ14692" s="183"/>
      <c r="AK14692" s="183"/>
      <c r="AL14692" s="183"/>
    </row>
    <row r="14693" spans="1:38">
      <c r="A14693" s="182"/>
      <c r="Q14693" s="183"/>
      <c r="R14693" s="183"/>
      <c r="S14693" s="183"/>
      <c r="AJ14693" s="183"/>
      <c r="AK14693" s="183"/>
      <c r="AL14693" s="183"/>
    </row>
    <row r="14694" spans="1:38">
      <c r="A14694" s="182"/>
      <c r="Q14694" s="183"/>
      <c r="R14694" s="183"/>
      <c r="S14694" s="183"/>
      <c r="AJ14694" s="183"/>
    </row>
    <row r="14695" spans="1:38">
      <c r="A14695" s="182"/>
      <c r="Q14695" s="183"/>
      <c r="R14695" s="183"/>
      <c r="S14695" s="183"/>
    </row>
    <row r="14696" spans="1:38">
      <c r="A14696" s="182"/>
      <c r="Q14696" s="183"/>
      <c r="R14696" s="183"/>
      <c r="S14696" s="183"/>
    </row>
    <row r="14697" spans="1:38">
      <c r="A14697" s="182"/>
      <c r="Q14697" s="183"/>
      <c r="R14697" s="183"/>
      <c r="S14697" s="183"/>
    </row>
    <row r="14698" spans="1:38">
      <c r="A14698" s="182"/>
      <c r="Q14698" s="183"/>
      <c r="R14698" s="183"/>
      <c r="S14698" s="183"/>
      <c r="AK14698" s="183"/>
      <c r="AL14698" s="183"/>
    </row>
    <row r="14699" spans="1:38">
      <c r="A14699" s="182"/>
      <c r="Q14699" s="183"/>
      <c r="R14699" s="183"/>
      <c r="S14699" s="183"/>
      <c r="AJ14699" s="183"/>
      <c r="AK14699" s="183"/>
      <c r="AL14699" s="183"/>
    </row>
    <row r="14700" spans="1:38">
      <c r="A14700" s="182"/>
      <c r="Q14700" s="183"/>
      <c r="R14700" s="183"/>
      <c r="S14700" s="183"/>
      <c r="AJ14700" s="183"/>
      <c r="AK14700" s="183"/>
      <c r="AL14700" s="183"/>
    </row>
    <row r="14701" spans="1:38">
      <c r="A14701" s="182"/>
      <c r="Q14701" s="183"/>
      <c r="R14701" s="183"/>
      <c r="S14701" s="183"/>
      <c r="AJ14701" s="183"/>
      <c r="AK14701" s="183"/>
      <c r="AL14701" s="183"/>
    </row>
    <row r="14702" spans="1:38">
      <c r="A14702" s="182"/>
      <c r="Q14702" s="183"/>
      <c r="R14702" s="183"/>
      <c r="S14702" s="183"/>
      <c r="AJ14702" s="183"/>
      <c r="AK14702" s="183"/>
      <c r="AL14702" s="183"/>
    </row>
    <row r="14703" spans="1:38">
      <c r="A14703" s="182"/>
      <c r="Q14703" s="183"/>
      <c r="R14703" s="183"/>
      <c r="S14703" s="183"/>
      <c r="AJ14703" s="183"/>
      <c r="AK14703" s="183"/>
      <c r="AL14703" s="183"/>
    </row>
    <row r="14704" spans="1:38">
      <c r="A14704" s="182"/>
      <c r="Q14704" s="183"/>
      <c r="R14704" s="183"/>
      <c r="S14704" s="183"/>
      <c r="AJ14704" s="183"/>
      <c r="AK14704" s="183"/>
      <c r="AL14704" s="183"/>
    </row>
    <row r="14705" spans="1:38">
      <c r="A14705" s="182"/>
      <c r="Q14705" s="183"/>
      <c r="R14705" s="183"/>
      <c r="S14705" s="183"/>
      <c r="AJ14705" s="183"/>
      <c r="AK14705" s="183"/>
      <c r="AL14705" s="183"/>
    </row>
    <row r="14706" spans="1:38">
      <c r="A14706" s="182"/>
      <c r="Q14706" s="183"/>
      <c r="R14706" s="183"/>
      <c r="S14706" s="183"/>
      <c r="AJ14706" s="183"/>
      <c r="AK14706" s="183"/>
      <c r="AL14706" s="183"/>
    </row>
    <row r="14707" spans="1:38">
      <c r="A14707" s="182"/>
      <c r="Q14707" s="183"/>
      <c r="R14707" s="183"/>
      <c r="S14707" s="183"/>
      <c r="AJ14707" s="183"/>
      <c r="AK14707" s="183"/>
      <c r="AL14707" s="183"/>
    </row>
    <row r="14708" spans="1:38">
      <c r="A14708" s="182"/>
      <c r="Q14708" s="183"/>
      <c r="R14708" s="183"/>
      <c r="S14708" s="183"/>
      <c r="AJ14708" s="183"/>
      <c r="AK14708" s="183"/>
      <c r="AL14708" s="183"/>
    </row>
    <row r="14709" spans="1:38">
      <c r="A14709" s="182"/>
      <c r="Q14709" s="183"/>
      <c r="R14709" s="183"/>
      <c r="S14709" s="183"/>
      <c r="AJ14709" s="183"/>
      <c r="AK14709" s="183"/>
      <c r="AL14709" s="183"/>
    </row>
    <row r="14710" spans="1:38">
      <c r="A14710" s="182"/>
      <c r="Q14710" s="183"/>
      <c r="R14710" s="183"/>
      <c r="S14710" s="183"/>
      <c r="AJ14710" s="183"/>
      <c r="AK14710" s="183"/>
      <c r="AL14710" s="183"/>
    </row>
    <row r="14711" spans="1:38">
      <c r="A14711" s="182"/>
      <c r="Q14711" s="183"/>
      <c r="R14711" s="183"/>
      <c r="S14711" s="183"/>
      <c r="AJ14711" s="183"/>
      <c r="AK14711" s="183"/>
      <c r="AL14711" s="183"/>
    </row>
    <row r="14712" spans="1:38">
      <c r="A14712" s="182"/>
      <c r="Q14712" s="183"/>
      <c r="R14712" s="183"/>
      <c r="S14712" s="183"/>
      <c r="AJ14712" s="183"/>
      <c r="AK14712" s="183"/>
      <c r="AL14712" s="183"/>
    </row>
    <row r="14713" spans="1:38">
      <c r="A14713" s="182"/>
      <c r="Q14713" s="183"/>
      <c r="R14713" s="183"/>
      <c r="S14713" s="183"/>
      <c r="AJ14713" s="183"/>
      <c r="AK14713" s="183"/>
      <c r="AL14713" s="183"/>
    </row>
    <row r="14714" spans="1:38">
      <c r="A14714" s="182"/>
      <c r="Q14714" s="183"/>
      <c r="R14714" s="183"/>
      <c r="S14714" s="183"/>
      <c r="AJ14714" s="183"/>
      <c r="AK14714" s="183"/>
      <c r="AL14714" s="183"/>
    </row>
    <row r="14715" spans="1:38">
      <c r="A14715" s="182"/>
      <c r="Q14715" s="183"/>
      <c r="R14715" s="183"/>
      <c r="S14715" s="183"/>
      <c r="AJ14715" s="183"/>
      <c r="AK14715" s="183"/>
      <c r="AL14715" s="183"/>
    </row>
    <row r="14716" spans="1:38">
      <c r="A14716" s="182"/>
      <c r="Q14716" s="183"/>
      <c r="R14716" s="183"/>
      <c r="S14716" s="183"/>
      <c r="AJ14716" s="183"/>
      <c r="AK14716" s="183"/>
      <c r="AL14716" s="183"/>
    </row>
    <row r="14717" spans="1:38">
      <c r="A14717" s="182"/>
      <c r="Q14717" s="183"/>
      <c r="R14717" s="183"/>
      <c r="S14717" s="183"/>
      <c r="AJ14717" s="183"/>
      <c r="AK14717" s="183"/>
      <c r="AL14717" s="183"/>
    </row>
    <row r="14718" spans="1:38">
      <c r="A14718" s="182"/>
      <c r="Q14718" s="183"/>
      <c r="R14718" s="183"/>
      <c r="S14718" s="183"/>
      <c r="AJ14718" s="183"/>
      <c r="AK14718" s="183"/>
      <c r="AL14718" s="183"/>
    </row>
    <row r="14719" spans="1:38">
      <c r="A14719" s="182"/>
      <c r="Q14719" s="183"/>
      <c r="R14719" s="183"/>
      <c r="S14719" s="183"/>
      <c r="AJ14719" s="183"/>
      <c r="AK14719" s="183"/>
      <c r="AL14719" s="183"/>
    </row>
    <row r="14720" spans="1:38">
      <c r="A14720" s="182"/>
      <c r="Q14720" s="183"/>
      <c r="R14720" s="183"/>
      <c r="S14720" s="183"/>
      <c r="AJ14720" s="183"/>
      <c r="AK14720" s="183"/>
      <c r="AL14720" s="183"/>
    </row>
    <row r="14721" spans="1:38">
      <c r="A14721" s="182"/>
      <c r="Q14721" s="183"/>
      <c r="R14721" s="183"/>
      <c r="S14721" s="183"/>
      <c r="AJ14721" s="183"/>
      <c r="AK14721" s="183"/>
      <c r="AL14721" s="183"/>
    </row>
    <row r="14722" spans="1:38">
      <c r="A14722" s="182"/>
      <c r="Q14722" s="183"/>
      <c r="R14722" s="183"/>
      <c r="S14722" s="183"/>
      <c r="AJ14722" s="183"/>
      <c r="AK14722" s="183"/>
      <c r="AL14722" s="183"/>
    </row>
    <row r="14723" spans="1:38">
      <c r="A14723" s="182"/>
      <c r="Q14723" s="183"/>
      <c r="R14723" s="183"/>
      <c r="S14723" s="183"/>
      <c r="AJ14723" s="183"/>
      <c r="AK14723" s="183"/>
      <c r="AL14723" s="183"/>
    </row>
    <row r="14724" spans="1:38">
      <c r="A14724" s="182"/>
      <c r="Q14724" s="183"/>
      <c r="R14724" s="183"/>
      <c r="S14724" s="183"/>
      <c r="AJ14724" s="183"/>
      <c r="AK14724" s="183"/>
      <c r="AL14724" s="183"/>
    </row>
    <row r="14725" spans="1:38">
      <c r="A14725" s="182"/>
      <c r="Q14725" s="183"/>
      <c r="R14725" s="183"/>
      <c r="S14725" s="183"/>
      <c r="AJ14725" s="183"/>
      <c r="AK14725" s="183"/>
      <c r="AL14725" s="183"/>
    </row>
    <row r="14726" spans="1:38">
      <c r="A14726" s="182"/>
      <c r="Q14726" s="183"/>
      <c r="R14726" s="183"/>
      <c r="S14726" s="183"/>
      <c r="AJ14726" s="183"/>
      <c r="AK14726" s="183"/>
      <c r="AL14726" s="183"/>
    </row>
    <row r="14727" spans="1:38">
      <c r="A14727" s="182"/>
      <c r="Q14727" s="183"/>
      <c r="R14727" s="183"/>
      <c r="S14727" s="183"/>
      <c r="AJ14727" s="183"/>
      <c r="AK14727" s="183"/>
      <c r="AL14727" s="183"/>
    </row>
    <row r="14728" spans="1:38">
      <c r="A14728" s="182"/>
      <c r="Q14728" s="183"/>
      <c r="R14728" s="183"/>
      <c r="S14728" s="183"/>
      <c r="AJ14728" s="183"/>
      <c r="AK14728" s="183"/>
      <c r="AL14728" s="183"/>
    </row>
    <row r="14729" spans="1:38">
      <c r="A14729" s="182"/>
      <c r="Q14729" s="183"/>
      <c r="R14729" s="183"/>
      <c r="S14729" s="183"/>
      <c r="AJ14729" s="183"/>
      <c r="AK14729" s="183"/>
      <c r="AL14729" s="183"/>
    </row>
    <row r="14730" spans="1:38">
      <c r="A14730" s="182"/>
      <c r="Q14730" s="183"/>
      <c r="R14730" s="183"/>
      <c r="S14730" s="183"/>
      <c r="AJ14730" s="183"/>
    </row>
    <row r="14731" spans="1:38">
      <c r="A14731" s="182"/>
      <c r="Q14731" s="183"/>
      <c r="R14731" s="183"/>
      <c r="S14731" s="183"/>
    </row>
    <row r="14732" spans="1:38">
      <c r="A14732" s="182"/>
      <c r="Q14732" s="183"/>
      <c r="R14732" s="183"/>
      <c r="S14732" s="183"/>
    </row>
    <row r="14733" spans="1:38">
      <c r="A14733" s="182"/>
      <c r="Q14733" s="183"/>
      <c r="R14733" s="183"/>
      <c r="S14733" s="183"/>
    </row>
    <row r="14734" spans="1:38">
      <c r="A14734" s="182"/>
      <c r="Q14734" s="183"/>
      <c r="R14734" s="183"/>
      <c r="S14734" s="183"/>
    </row>
    <row r="14735" spans="1:38">
      <c r="A14735" s="182"/>
      <c r="Q14735" s="183"/>
      <c r="R14735" s="183"/>
      <c r="S14735" s="183"/>
    </row>
    <row r="14736" spans="1:38">
      <c r="A14736" s="182"/>
      <c r="Q14736" s="183"/>
      <c r="R14736" s="183"/>
      <c r="S14736" s="183"/>
    </row>
    <row r="14737" spans="1:38">
      <c r="A14737" s="182"/>
      <c r="Q14737" s="183"/>
      <c r="R14737" s="183"/>
      <c r="S14737" s="183"/>
    </row>
    <row r="14738" spans="1:38">
      <c r="A14738" s="182"/>
      <c r="Q14738" s="183"/>
      <c r="R14738" s="183"/>
      <c r="S14738" s="183"/>
    </row>
    <row r="14739" spans="1:38">
      <c r="A14739" s="182"/>
      <c r="Q14739" s="183"/>
      <c r="R14739" s="183"/>
      <c r="S14739" s="183"/>
    </row>
    <row r="14740" spans="1:38">
      <c r="A14740" s="182"/>
      <c r="Q14740" s="183"/>
      <c r="R14740" s="183"/>
      <c r="S14740" s="183"/>
    </row>
    <row r="14741" spans="1:38">
      <c r="A14741" s="182"/>
      <c r="Q14741" s="183"/>
      <c r="R14741" s="183"/>
      <c r="S14741" s="183"/>
    </row>
    <row r="14742" spans="1:38">
      <c r="A14742" s="182"/>
      <c r="Q14742" s="183"/>
      <c r="R14742" s="183"/>
      <c r="S14742" s="183"/>
      <c r="AK14742" s="183"/>
      <c r="AL14742" s="183"/>
    </row>
    <row r="14743" spans="1:38">
      <c r="A14743" s="182"/>
      <c r="Q14743" s="183"/>
      <c r="R14743" s="183"/>
      <c r="S14743" s="183"/>
      <c r="AJ14743" s="183"/>
      <c r="AK14743" s="183"/>
      <c r="AL14743" s="183"/>
    </row>
    <row r="14744" spans="1:38">
      <c r="A14744" s="182"/>
      <c r="Q14744" s="183"/>
      <c r="R14744" s="183"/>
      <c r="S14744" s="183"/>
      <c r="AJ14744" s="183"/>
      <c r="AK14744" s="183"/>
      <c r="AL14744" s="183"/>
    </row>
    <row r="14745" spans="1:38">
      <c r="A14745" s="182"/>
      <c r="Q14745" s="183"/>
      <c r="R14745" s="183"/>
      <c r="S14745" s="183"/>
      <c r="AJ14745" s="183"/>
      <c r="AK14745" s="183"/>
      <c r="AL14745" s="183"/>
    </row>
    <row r="14746" spans="1:38">
      <c r="A14746" s="182"/>
      <c r="Q14746" s="183"/>
      <c r="R14746" s="183"/>
      <c r="S14746" s="183"/>
      <c r="AJ14746" s="183"/>
    </row>
    <row r="14747" spans="1:38">
      <c r="A14747" s="182"/>
      <c r="Q14747" s="183"/>
      <c r="R14747" s="183"/>
      <c r="S14747" s="183"/>
    </row>
    <row r="14748" spans="1:38">
      <c r="A14748" s="182"/>
      <c r="Q14748" s="183"/>
      <c r="R14748" s="183"/>
      <c r="S14748" s="183"/>
    </row>
    <row r="14749" spans="1:38">
      <c r="A14749" s="182"/>
      <c r="Q14749" s="183"/>
      <c r="R14749" s="183"/>
      <c r="S14749" s="183"/>
    </row>
    <row r="14750" spans="1:38">
      <c r="A14750" s="182"/>
      <c r="Q14750" s="183"/>
      <c r="R14750" s="183"/>
      <c r="S14750" s="183"/>
    </row>
    <row r="14751" spans="1:38">
      <c r="A14751" s="182"/>
      <c r="Q14751" s="183"/>
      <c r="R14751" s="183"/>
      <c r="S14751" s="183"/>
    </row>
    <row r="14752" spans="1:38">
      <c r="A14752" s="182"/>
      <c r="Q14752" s="183"/>
      <c r="R14752" s="183"/>
      <c r="S14752" s="183"/>
    </row>
    <row r="14753" spans="1:38">
      <c r="A14753" s="182"/>
      <c r="Q14753" s="183"/>
      <c r="R14753" s="183"/>
      <c r="S14753" s="183"/>
    </row>
    <row r="14754" spans="1:38">
      <c r="A14754" s="182"/>
      <c r="Q14754" s="183"/>
      <c r="R14754" s="183"/>
      <c r="S14754" s="183"/>
    </row>
    <row r="14755" spans="1:38">
      <c r="A14755" s="182"/>
      <c r="Q14755" s="183"/>
      <c r="R14755" s="183"/>
      <c r="S14755" s="183"/>
    </row>
    <row r="14756" spans="1:38">
      <c r="A14756" s="182"/>
      <c r="Q14756" s="183"/>
      <c r="R14756" s="183"/>
      <c r="S14756" s="183"/>
    </row>
    <row r="14757" spans="1:38">
      <c r="A14757" s="182"/>
      <c r="Q14757" s="183"/>
      <c r="R14757" s="183"/>
      <c r="S14757" s="183"/>
    </row>
    <row r="14758" spans="1:38">
      <c r="A14758" s="182"/>
      <c r="Q14758" s="183"/>
      <c r="R14758" s="183"/>
      <c r="S14758" s="183"/>
      <c r="AK14758" s="183"/>
      <c r="AL14758" s="183"/>
    </row>
    <row r="14759" spans="1:38">
      <c r="A14759" s="182"/>
      <c r="Q14759" s="183"/>
      <c r="R14759" s="183"/>
      <c r="S14759" s="183"/>
      <c r="AJ14759" s="183"/>
      <c r="AK14759" s="183"/>
      <c r="AL14759" s="183"/>
    </row>
    <row r="14760" spans="1:38">
      <c r="A14760" s="182"/>
      <c r="Q14760" s="183"/>
      <c r="R14760" s="183"/>
      <c r="S14760" s="183"/>
      <c r="AJ14760" s="183"/>
      <c r="AK14760" s="183"/>
      <c r="AL14760" s="183"/>
    </row>
    <row r="14761" spans="1:38">
      <c r="A14761" s="182"/>
      <c r="Q14761" s="183"/>
      <c r="R14761" s="183"/>
      <c r="S14761" s="183"/>
      <c r="AJ14761" s="183"/>
      <c r="AK14761" s="183"/>
      <c r="AL14761" s="183"/>
    </row>
    <row r="14762" spans="1:38">
      <c r="A14762" s="182"/>
      <c r="Q14762" s="183"/>
      <c r="R14762" s="183"/>
      <c r="S14762" s="183"/>
      <c r="AJ14762" s="183"/>
      <c r="AK14762" s="183"/>
      <c r="AL14762" s="183"/>
    </row>
    <row r="14763" spans="1:38">
      <c r="A14763" s="182"/>
      <c r="Q14763" s="183"/>
      <c r="R14763" s="183"/>
      <c r="S14763" s="183"/>
      <c r="AJ14763" s="183"/>
      <c r="AK14763" s="183"/>
      <c r="AL14763" s="183"/>
    </row>
    <row r="14764" spans="1:38">
      <c r="A14764" s="182"/>
      <c r="Q14764" s="183"/>
      <c r="R14764" s="183"/>
      <c r="S14764" s="183"/>
      <c r="AJ14764" s="183"/>
      <c r="AK14764" s="183"/>
      <c r="AL14764" s="183"/>
    </row>
    <row r="14765" spans="1:38">
      <c r="A14765" s="182"/>
      <c r="Q14765" s="183"/>
      <c r="R14765" s="183"/>
      <c r="S14765" s="183"/>
      <c r="AJ14765" s="183"/>
      <c r="AK14765" s="183"/>
      <c r="AL14765" s="183"/>
    </row>
    <row r="14766" spans="1:38">
      <c r="A14766" s="182"/>
      <c r="Q14766" s="183"/>
      <c r="R14766" s="183"/>
      <c r="S14766" s="183"/>
      <c r="AJ14766" s="183"/>
    </row>
    <row r="14767" spans="1:38">
      <c r="A14767" s="182"/>
      <c r="Q14767" s="183"/>
      <c r="R14767" s="183"/>
      <c r="S14767" s="183"/>
    </row>
    <row r="14768" spans="1:38">
      <c r="A14768" s="182"/>
      <c r="Q14768" s="183"/>
      <c r="R14768" s="183"/>
      <c r="S14768" s="183"/>
    </row>
    <row r="14769" spans="1:38">
      <c r="A14769" s="182"/>
      <c r="Q14769" s="183"/>
      <c r="R14769" s="183"/>
      <c r="S14769" s="183"/>
    </row>
    <row r="14770" spans="1:38">
      <c r="A14770" s="182"/>
      <c r="Q14770" s="183"/>
      <c r="R14770" s="183"/>
      <c r="S14770" s="183"/>
      <c r="AK14770" s="183"/>
      <c r="AL14770" s="183"/>
    </row>
    <row r="14771" spans="1:38">
      <c r="A14771" s="182"/>
      <c r="Q14771" s="183"/>
      <c r="R14771" s="183"/>
      <c r="S14771" s="183"/>
      <c r="AJ14771" s="183"/>
      <c r="AK14771" s="183"/>
      <c r="AL14771" s="183"/>
    </row>
    <row r="14772" spans="1:38">
      <c r="A14772" s="182"/>
      <c r="Q14772" s="183"/>
      <c r="R14772" s="183"/>
      <c r="S14772" s="183"/>
      <c r="AJ14772" s="183"/>
      <c r="AK14772" s="183"/>
      <c r="AL14772" s="183"/>
    </row>
    <row r="14773" spans="1:38">
      <c r="A14773" s="182"/>
      <c r="Q14773" s="183"/>
      <c r="R14773" s="183"/>
      <c r="S14773" s="183"/>
      <c r="AJ14773" s="183"/>
      <c r="AK14773" s="183"/>
      <c r="AL14773" s="183"/>
    </row>
    <row r="14774" spans="1:38">
      <c r="A14774" s="182"/>
      <c r="Q14774" s="183"/>
      <c r="R14774" s="183"/>
      <c r="S14774" s="183"/>
      <c r="AJ14774" s="183"/>
    </row>
    <row r="14775" spans="1:38">
      <c r="A14775" s="182"/>
      <c r="Q14775" s="183"/>
      <c r="R14775" s="183"/>
      <c r="S14775" s="183"/>
    </row>
    <row r="14776" spans="1:38">
      <c r="A14776" s="182"/>
      <c r="Q14776" s="183"/>
      <c r="R14776" s="183"/>
      <c r="S14776" s="183"/>
    </row>
    <row r="14777" spans="1:38">
      <c r="A14777" s="182"/>
      <c r="Q14777" s="183"/>
      <c r="R14777" s="183"/>
      <c r="S14777" s="183"/>
    </row>
    <row r="14778" spans="1:38">
      <c r="A14778" s="182"/>
      <c r="Q14778" s="183"/>
      <c r="R14778" s="183"/>
      <c r="S14778" s="183"/>
    </row>
    <row r="14779" spans="1:38">
      <c r="A14779" s="182"/>
      <c r="Q14779" s="183"/>
      <c r="R14779" s="183"/>
      <c r="S14779" s="183"/>
    </row>
    <row r="14780" spans="1:38">
      <c r="A14780" s="182"/>
      <c r="Q14780" s="183"/>
      <c r="R14780" s="183"/>
      <c r="S14780" s="183"/>
    </row>
    <row r="14781" spans="1:38">
      <c r="A14781" s="182"/>
      <c r="Q14781" s="183"/>
      <c r="R14781" s="183"/>
      <c r="S14781" s="183"/>
    </row>
    <row r="14782" spans="1:38">
      <c r="A14782" s="182"/>
      <c r="Q14782" s="183"/>
      <c r="R14782" s="183"/>
      <c r="S14782" s="183"/>
    </row>
    <row r="14783" spans="1:38">
      <c r="A14783" s="182"/>
      <c r="Q14783" s="183"/>
      <c r="R14783" s="183"/>
      <c r="S14783" s="183"/>
    </row>
    <row r="14784" spans="1:38">
      <c r="A14784" s="182"/>
      <c r="Q14784" s="183"/>
      <c r="R14784" s="183"/>
      <c r="S14784" s="183"/>
    </row>
    <row r="14785" spans="1:19">
      <c r="A14785" s="182"/>
      <c r="Q14785" s="183"/>
      <c r="R14785" s="183"/>
      <c r="S14785" s="183"/>
    </row>
    <row r="14786" spans="1:19">
      <c r="A14786" s="182"/>
      <c r="Q14786" s="183"/>
      <c r="R14786" s="183"/>
      <c r="S14786" s="183"/>
    </row>
    <row r="14787" spans="1:19">
      <c r="A14787" s="182"/>
      <c r="Q14787" s="183"/>
      <c r="R14787" s="183"/>
      <c r="S14787" s="183"/>
    </row>
    <row r="14788" spans="1:19">
      <c r="A14788" s="182"/>
      <c r="Q14788" s="183"/>
      <c r="R14788" s="183"/>
      <c r="S14788" s="183"/>
    </row>
    <row r="14789" spans="1:19">
      <c r="A14789" s="182"/>
      <c r="Q14789" s="183"/>
      <c r="R14789" s="183"/>
      <c r="S14789" s="183"/>
    </row>
    <row r="14790" spans="1:19">
      <c r="A14790" s="182"/>
      <c r="Q14790" s="183"/>
      <c r="R14790" s="183"/>
      <c r="S14790" s="183"/>
    </row>
    <row r="14791" spans="1:19">
      <c r="A14791" s="182"/>
      <c r="Q14791" s="183"/>
      <c r="R14791" s="183"/>
      <c r="S14791" s="183"/>
    </row>
    <row r="14792" spans="1:19">
      <c r="A14792" s="182"/>
      <c r="Q14792" s="183"/>
      <c r="R14792" s="183"/>
      <c r="S14792" s="183"/>
    </row>
    <row r="14793" spans="1:19">
      <c r="A14793" s="182"/>
      <c r="Q14793" s="183"/>
      <c r="R14793" s="183"/>
      <c r="S14793" s="183"/>
    </row>
    <row r="14794" spans="1:19">
      <c r="A14794" s="182"/>
      <c r="Q14794" s="183"/>
      <c r="R14794" s="183"/>
      <c r="S14794" s="183"/>
    </row>
    <row r="14795" spans="1:19">
      <c r="A14795" s="182"/>
      <c r="Q14795" s="183"/>
      <c r="R14795" s="183"/>
      <c r="S14795" s="183"/>
    </row>
    <row r="14796" spans="1:19">
      <c r="A14796" s="182"/>
      <c r="Q14796" s="183"/>
      <c r="R14796" s="183"/>
      <c r="S14796" s="183"/>
    </row>
    <row r="14797" spans="1:19">
      <c r="A14797" s="182"/>
      <c r="Q14797" s="183"/>
      <c r="R14797" s="183"/>
      <c r="S14797" s="183"/>
    </row>
    <row r="14798" spans="1:19">
      <c r="A14798" s="182"/>
      <c r="Q14798" s="183"/>
      <c r="R14798" s="183"/>
      <c r="S14798" s="183"/>
    </row>
    <row r="14799" spans="1:19">
      <c r="A14799" s="182"/>
      <c r="Q14799" s="183"/>
      <c r="R14799" s="183"/>
      <c r="S14799" s="183"/>
    </row>
    <row r="14800" spans="1:19">
      <c r="A14800" s="182"/>
      <c r="Q14800" s="183"/>
      <c r="R14800" s="183"/>
      <c r="S14800" s="183"/>
    </row>
    <row r="14801" spans="1:19">
      <c r="A14801" s="182"/>
      <c r="Q14801" s="183"/>
      <c r="R14801" s="183"/>
      <c r="S14801" s="183"/>
    </row>
    <row r="14802" spans="1:19">
      <c r="A14802" s="182"/>
      <c r="Q14802" s="183"/>
      <c r="R14802" s="183"/>
      <c r="S14802" s="183"/>
    </row>
    <row r="14803" spans="1:19">
      <c r="A14803" s="182"/>
      <c r="Q14803" s="183"/>
      <c r="R14803" s="183"/>
      <c r="S14803" s="183"/>
    </row>
    <row r="14804" spans="1:19">
      <c r="A14804" s="182"/>
      <c r="Q14804" s="183"/>
      <c r="R14804" s="183"/>
      <c r="S14804" s="183"/>
    </row>
    <row r="14805" spans="1:19">
      <c r="A14805" s="182"/>
      <c r="Q14805" s="183"/>
      <c r="R14805" s="183"/>
      <c r="S14805" s="183"/>
    </row>
    <row r="14806" spans="1:19">
      <c r="A14806" s="182"/>
      <c r="Q14806" s="183"/>
      <c r="R14806" s="183"/>
      <c r="S14806" s="183"/>
    </row>
    <row r="14807" spans="1:19">
      <c r="A14807" s="182"/>
      <c r="Q14807" s="183"/>
      <c r="R14807" s="183"/>
      <c r="S14807" s="183"/>
    </row>
    <row r="14808" spans="1:19">
      <c r="A14808" s="182"/>
      <c r="Q14808" s="183"/>
      <c r="R14808" s="183"/>
      <c r="S14808" s="183"/>
    </row>
    <row r="14809" spans="1:19">
      <c r="A14809" s="182"/>
      <c r="Q14809" s="183"/>
      <c r="R14809" s="183"/>
      <c r="S14809" s="183"/>
    </row>
    <row r="14810" spans="1:19">
      <c r="A14810" s="182"/>
      <c r="Q14810" s="183"/>
      <c r="R14810" s="183"/>
      <c r="S14810" s="183"/>
    </row>
    <row r="14811" spans="1:19">
      <c r="A14811" s="182"/>
      <c r="Q14811" s="183"/>
      <c r="R14811" s="183"/>
      <c r="S14811" s="183"/>
    </row>
    <row r="14812" spans="1:19">
      <c r="A14812" s="182"/>
      <c r="Q14812" s="183"/>
      <c r="R14812" s="183"/>
      <c r="S14812" s="183"/>
    </row>
    <row r="14813" spans="1:19">
      <c r="A14813" s="182"/>
      <c r="Q14813" s="183"/>
      <c r="R14813" s="183"/>
      <c r="S14813" s="183"/>
    </row>
    <row r="14814" spans="1:19">
      <c r="A14814" s="182"/>
      <c r="Q14814" s="183"/>
      <c r="R14814" s="183"/>
      <c r="S14814" s="183"/>
    </row>
    <row r="14815" spans="1:19">
      <c r="A14815" s="182"/>
      <c r="Q14815" s="183"/>
      <c r="R14815" s="183"/>
      <c r="S14815" s="183"/>
    </row>
    <row r="14816" spans="1:19">
      <c r="A14816" s="182"/>
      <c r="Q14816" s="183"/>
      <c r="R14816" s="183"/>
      <c r="S14816" s="183"/>
    </row>
    <row r="14817" spans="1:19">
      <c r="A14817" s="182"/>
      <c r="Q14817" s="183"/>
      <c r="R14817" s="183"/>
      <c r="S14817" s="183"/>
    </row>
    <row r="14818" spans="1:19">
      <c r="A14818" s="182"/>
      <c r="Q14818" s="183"/>
      <c r="R14818" s="183"/>
      <c r="S14818" s="183"/>
    </row>
    <row r="14819" spans="1:19">
      <c r="A14819" s="182"/>
      <c r="Q14819" s="183"/>
      <c r="R14819" s="183"/>
      <c r="S14819" s="183"/>
    </row>
    <row r="14820" spans="1:19">
      <c r="A14820" s="182"/>
      <c r="Q14820" s="183"/>
      <c r="R14820" s="183"/>
      <c r="S14820" s="183"/>
    </row>
    <row r="14821" spans="1:19">
      <c r="A14821" s="182"/>
      <c r="Q14821" s="183"/>
      <c r="R14821" s="183"/>
      <c r="S14821" s="183"/>
    </row>
    <row r="14822" spans="1:19">
      <c r="A14822" s="182"/>
      <c r="Q14822" s="183"/>
      <c r="R14822" s="183"/>
      <c r="S14822" s="183"/>
    </row>
    <row r="14823" spans="1:19">
      <c r="A14823" s="182"/>
      <c r="Q14823" s="183"/>
      <c r="R14823" s="183"/>
      <c r="S14823" s="183"/>
    </row>
    <row r="14824" spans="1:19">
      <c r="A14824" s="182"/>
      <c r="Q14824" s="183"/>
      <c r="R14824" s="183"/>
      <c r="S14824" s="183"/>
    </row>
    <row r="14825" spans="1:19">
      <c r="A14825" s="182"/>
      <c r="Q14825" s="183"/>
      <c r="R14825" s="183"/>
      <c r="S14825" s="183"/>
    </row>
    <row r="14826" spans="1:19">
      <c r="A14826" s="182"/>
      <c r="Q14826" s="183"/>
      <c r="R14826" s="183"/>
      <c r="S14826" s="183"/>
    </row>
    <row r="14827" spans="1:19">
      <c r="A14827" s="182"/>
      <c r="Q14827" s="183"/>
      <c r="R14827" s="183"/>
      <c r="S14827" s="183"/>
    </row>
    <row r="14828" spans="1:19">
      <c r="A14828" s="182"/>
      <c r="Q14828" s="183"/>
      <c r="R14828" s="183"/>
      <c r="S14828" s="183"/>
    </row>
    <row r="14829" spans="1:19">
      <c r="A14829" s="182"/>
      <c r="Q14829" s="183"/>
      <c r="R14829" s="183"/>
      <c r="S14829" s="183"/>
    </row>
    <row r="14830" spans="1:19">
      <c r="A14830" s="182"/>
      <c r="Q14830" s="183"/>
      <c r="R14830" s="183"/>
      <c r="S14830" s="183"/>
    </row>
    <row r="14831" spans="1:19">
      <c r="A14831" s="182"/>
      <c r="Q14831" s="183"/>
      <c r="R14831" s="183"/>
      <c r="S14831" s="183"/>
    </row>
    <row r="14832" spans="1:19">
      <c r="A14832" s="182"/>
      <c r="Q14832" s="183"/>
      <c r="R14832" s="183"/>
      <c r="S14832" s="183"/>
    </row>
    <row r="14833" spans="1:19">
      <c r="A14833" s="182"/>
      <c r="Q14833" s="183"/>
      <c r="R14833" s="183"/>
      <c r="S14833" s="183"/>
    </row>
    <row r="14834" spans="1:19">
      <c r="A14834" s="182"/>
      <c r="Q14834" s="183"/>
      <c r="R14834" s="183"/>
      <c r="S14834" s="183"/>
    </row>
    <row r="14835" spans="1:19">
      <c r="A14835" s="182"/>
      <c r="Q14835" s="183"/>
      <c r="R14835" s="183"/>
      <c r="S14835" s="183"/>
    </row>
    <row r="14836" spans="1:19">
      <c r="A14836" s="182"/>
      <c r="Q14836" s="183"/>
      <c r="R14836" s="183"/>
      <c r="S14836" s="183"/>
    </row>
    <row r="14837" spans="1:19">
      <c r="A14837" s="182"/>
      <c r="Q14837" s="183"/>
      <c r="R14837" s="183"/>
      <c r="S14837" s="183"/>
    </row>
    <row r="14838" spans="1:19">
      <c r="A14838" s="182"/>
      <c r="Q14838" s="183"/>
      <c r="R14838" s="183"/>
      <c r="S14838" s="183"/>
    </row>
    <row r="14839" spans="1:19">
      <c r="A14839" s="182"/>
      <c r="Q14839" s="183"/>
      <c r="R14839" s="183"/>
      <c r="S14839" s="183"/>
    </row>
    <row r="14840" spans="1:19">
      <c r="A14840" s="182"/>
      <c r="Q14840" s="183"/>
      <c r="R14840" s="183"/>
      <c r="S14840" s="183"/>
    </row>
    <row r="14841" spans="1:19">
      <c r="A14841" s="182"/>
      <c r="Q14841" s="183"/>
      <c r="R14841" s="183"/>
      <c r="S14841" s="183"/>
    </row>
    <row r="14842" spans="1:19">
      <c r="A14842" s="182"/>
      <c r="Q14842" s="183"/>
      <c r="R14842" s="183"/>
      <c r="S14842" s="183"/>
    </row>
    <row r="14843" spans="1:19">
      <c r="A14843" s="182"/>
      <c r="Q14843" s="183"/>
      <c r="R14843" s="183"/>
      <c r="S14843" s="183"/>
    </row>
    <row r="14844" spans="1:19">
      <c r="A14844" s="182"/>
      <c r="Q14844" s="183"/>
      <c r="R14844" s="183"/>
      <c r="S14844" s="183"/>
    </row>
    <row r="14845" spans="1:19">
      <c r="A14845" s="182"/>
      <c r="Q14845" s="183"/>
      <c r="R14845" s="183"/>
      <c r="S14845" s="183"/>
    </row>
    <row r="14846" spans="1:19">
      <c r="A14846" s="182"/>
      <c r="Q14846" s="183"/>
      <c r="R14846" s="183"/>
      <c r="S14846" s="183"/>
    </row>
    <row r="14847" spans="1:19">
      <c r="A14847" s="182"/>
      <c r="Q14847" s="183"/>
      <c r="R14847" s="183"/>
      <c r="S14847" s="183"/>
    </row>
    <row r="14848" spans="1:19">
      <c r="A14848" s="182"/>
      <c r="Q14848" s="183"/>
      <c r="R14848" s="183"/>
      <c r="S14848" s="183"/>
    </row>
    <row r="14849" spans="1:19">
      <c r="A14849" s="182"/>
      <c r="Q14849" s="183"/>
      <c r="R14849" s="183"/>
      <c r="S14849" s="183"/>
    </row>
    <row r="14850" spans="1:19">
      <c r="A14850" s="182"/>
      <c r="Q14850" s="183"/>
      <c r="R14850" s="183"/>
      <c r="S14850" s="183"/>
    </row>
    <row r="14851" spans="1:19">
      <c r="A14851" s="182"/>
      <c r="Q14851" s="183"/>
      <c r="R14851" s="183"/>
      <c r="S14851" s="183"/>
    </row>
    <row r="14852" spans="1:19">
      <c r="A14852" s="182"/>
      <c r="Q14852" s="183"/>
      <c r="R14852" s="183"/>
      <c r="S14852" s="183"/>
    </row>
    <row r="14853" spans="1:19">
      <c r="A14853" s="182"/>
      <c r="Q14853" s="183"/>
      <c r="R14853" s="183"/>
      <c r="S14853" s="183"/>
    </row>
    <row r="14854" spans="1:19">
      <c r="A14854" s="182"/>
      <c r="Q14854" s="183"/>
      <c r="R14854" s="183"/>
      <c r="S14854" s="183"/>
    </row>
    <row r="14855" spans="1:19">
      <c r="A14855" s="182"/>
      <c r="Q14855" s="183"/>
      <c r="R14855" s="183"/>
      <c r="S14855" s="183"/>
    </row>
    <row r="14856" spans="1:19">
      <c r="A14856" s="182"/>
      <c r="Q14856" s="183"/>
      <c r="R14856" s="183"/>
      <c r="S14856" s="183"/>
    </row>
    <row r="14857" spans="1:19">
      <c r="A14857" s="182"/>
      <c r="Q14857" s="183"/>
      <c r="R14857" s="183"/>
      <c r="S14857" s="183"/>
    </row>
    <row r="14858" spans="1:19">
      <c r="A14858" s="182"/>
      <c r="Q14858" s="183"/>
      <c r="R14858" s="183"/>
      <c r="S14858" s="183"/>
    </row>
    <row r="14859" spans="1:19">
      <c r="A14859" s="182"/>
      <c r="Q14859" s="183"/>
      <c r="R14859" s="183"/>
      <c r="S14859" s="183"/>
    </row>
    <row r="14860" spans="1:19">
      <c r="A14860" s="182"/>
      <c r="Q14860" s="183"/>
      <c r="R14860" s="183"/>
      <c r="S14860" s="183"/>
    </row>
    <row r="14861" spans="1:19">
      <c r="A14861" s="182"/>
      <c r="Q14861" s="183"/>
      <c r="R14861" s="183"/>
      <c r="S14861" s="183"/>
    </row>
    <row r="14862" spans="1:19">
      <c r="A14862" s="182"/>
      <c r="Q14862" s="183"/>
      <c r="R14862" s="183"/>
      <c r="S14862" s="183"/>
    </row>
    <row r="14863" spans="1:19">
      <c r="A14863" s="182"/>
      <c r="Q14863" s="183"/>
      <c r="R14863" s="183"/>
      <c r="S14863" s="183"/>
    </row>
    <row r="14864" spans="1:19">
      <c r="A14864" s="182"/>
      <c r="Q14864" s="183"/>
      <c r="R14864" s="183"/>
      <c r="S14864" s="183"/>
    </row>
    <row r="14865" spans="1:38">
      <c r="A14865" s="182"/>
      <c r="Q14865" s="183"/>
      <c r="R14865" s="183"/>
      <c r="S14865" s="183"/>
    </row>
    <row r="14866" spans="1:38">
      <c r="A14866" s="182"/>
      <c r="Q14866" s="183"/>
      <c r="R14866" s="183"/>
      <c r="S14866" s="183"/>
      <c r="AK14866" s="183"/>
      <c r="AL14866" s="183"/>
    </row>
    <row r="14867" spans="1:38">
      <c r="A14867" s="182"/>
      <c r="Q14867" s="183"/>
      <c r="R14867" s="183"/>
      <c r="S14867" s="183"/>
      <c r="AJ14867" s="183"/>
      <c r="AK14867" s="183"/>
      <c r="AL14867" s="183"/>
    </row>
    <row r="14868" spans="1:38">
      <c r="A14868" s="182"/>
      <c r="Q14868" s="183"/>
      <c r="R14868" s="183"/>
      <c r="S14868" s="183"/>
      <c r="AJ14868" s="183"/>
      <c r="AK14868" s="183"/>
      <c r="AL14868" s="183"/>
    </row>
    <row r="14869" spans="1:38">
      <c r="A14869" s="182"/>
      <c r="Q14869" s="183"/>
      <c r="R14869" s="183"/>
      <c r="S14869" s="183"/>
      <c r="AJ14869" s="183"/>
      <c r="AK14869" s="183"/>
      <c r="AL14869" s="183"/>
    </row>
    <row r="14870" spans="1:38">
      <c r="A14870" s="182"/>
      <c r="Q14870" s="183"/>
      <c r="R14870" s="183"/>
      <c r="S14870" s="183"/>
      <c r="AJ14870" s="183"/>
      <c r="AK14870" s="183"/>
      <c r="AL14870" s="183"/>
    </row>
    <row r="14871" spans="1:38">
      <c r="A14871" s="182"/>
      <c r="Q14871" s="183"/>
      <c r="R14871" s="183"/>
      <c r="S14871" s="183"/>
      <c r="AJ14871" s="183"/>
      <c r="AK14871" s="183"/>
      <c r="AL14871" s="183"/>
    </row>
    <row r="14872" spans="1:38">
      <c r="A14872" s="182"/>
      <c r="Q14872" s="183"/>
      <c r="R14872" s="183"/>
      <c r="S14872" s="183"/>
      <c r="AJ14872" s="183"/>
      <c r="AK14872" s="183"/>
      <c r="AL14872" s="183"/>
    </row>
    <row r="14873" spans="1:38">
      <c r="A14873" s="182"/>
      <c r="Q14873" s="183"/>
      <c r="R14873" s="183"/>
      <c r="S14873" s="183"/>
      <c r="AJ14873" s="183"/>
      <c r="AK14873" s="183"/>
      <c r="AL14873" s="183"/>
    </row>
    <row r="14874" spans="1:38">
      <c r="A14874" s="182"/>
      <c r="Q14874" s="183"/>
      <c r="R14874" s="183"/>
      <c r="S14874" s="183"/>
      <c r="AJ14874" s="183"/>
    </row>
    <row r="14875" spans="1:38">
      <c r="A14875" s="182"/>
      <c r="Q14875" s="183"/>
      <c r="R14875" s="183"/>
      <c r="S14875" s="183"/>
    </row>
    <row r="14876" spans="1:38">
      <c r="A14876" s="182"/>
      <c r="Q14876" s="183"/>
      <c r="R14876" s="183"/>
      <c r="S14876" s="183"/>
    </row>
    <row r="14877" spans="1:38">
      <c r="A14877" s="182"/>
      <c r="Q14877" s="183"/>
      <c r="R14877" s="183"/>
      <c r="S14877" s="183"/>
    </row>
    <row r="14878" spans="1:38">
      <c r="A14878" s="182"/>
      <c r="Q14878" s="183"/>
      <c r="R14878" s="183"/>
      <c r="S14878" s="183"/>
      <c r="AK14878" s="183"/>
      <c r="AL14878" s="183"/>
    </row>
    <row r="14879" spans="1:38">
      <c r="A14879" s="182"/>
      <c r="Q14879" s="183"/>
      <c r="R14879" s="183"/>
      <c r="S14879" s="183"/>
      <c r="AJ14879" s="183"/>
      <c r="AK14879" s="183"/>
      <c r="AL14879" s="183"/>
    </row>
    <row r="14880" spans="1:38">
      <c r="A14880" s="182"/>
      <c r="Q14880" s="183"/>
      <c r="R14880" s="183"/>
      <c r="S14880" s="183"/>
      <c r="AJ14880" s="183"/>
      <c r="AK14880" s="183"/>
      <c r="AL14880" s="183"/>
    </row>
    <row r="14881" spans="1:38">
      <c r="A14881" s="182"/>
      <c r="Q14881" s="183"/>
      <c r="R14881" s="183"/>
      <c r="S14881" s="183"/>
      <c r="AJ14881" s="183"/>
      <c r="AK14881" s="183"/>
      <c r="AL14881" s="183"/>
    </row>
    <row r="14882" spans="1:38">
      <c r="A14882" s="182"/>
      <c r="Q14882" s="183"/>
      <c r="R14882" s="183"/>
      <c r="S14882" s="183"/>
      <c r="AJ14882" s="183"/>
      <c r="AK14882" s="183"/>
      <c r="AL14882" s="183"/>
    </row>
    <row r="14883" spans="1:38">
      <c r="A14883" s="182"/>
      <c r="Q14883" s="183"/>
      <c r="R14883" s="183"/>
      <c r="S14883" s="183"/>
      <c r="AJ14883" s="183"/>
      <c r="AK14883" s="183"/>
      <c r="AL14883" s="183"/>
    </row>
    <row r="14884" spans="1:38">
      <c r="A14884" s="182"/>
      <c r="Q14884" s="183"/>
      <c r="R14884" s="183"/>
      <c r="S14884" s="183"/>
      <c r="AJ14884" s="183"/>
      <c r="AK14884" s="183"/>
      <c r="AL14884" s="183"/>
    </row>
    <row r="14885" spans="1:38">
      <c r="A14885" s="182"/>
      <c r="Q14885" s="183"/>
      <c r="R14885" s="183"/>
      <c r="S14885" s="183"/>
      <c r="AJ14885" s="183"/>
      <c r="AK14885" s="183"/>
      <c r="AL14885" s="183"/>
    </row>
    <row r="14886" spans="1:38">
      <c r="A14886" s="182"/>
      <c r="Q14886" s="183"/>
      <c r="R14886" s="183"/>
      <c r="S14886" s="183"/>
      <c r="AJ14886" s="183"/>
      <c r="AK14886" s="183"/>
      <c r="AL14886" s="183"/>
    </row>
    <row r="14887" spans="1:38">
      <c r="A14887" s="182"/>
      <c r="Q14887" s="183"/>
      <c r="R14887" s="183"/>
      <c r="S14887" s="183"/>
      <c r="AJ14887" s="183"/>
      <c r="AK14887" s="183"/>
      <c r="AL14887" s="183"/>
    </row>
    <row r="14888" spans="1:38">
      <c r="A14888" s="182"/>
      <c r="Q14888" s="183"/>
      <c r="R14888" s="183"/>
      <c r="S14888" s="183"/>
      <c r="AJ14888" s="183"/>
      <c r="AK14888" s="183"/>
      <c r="AL14888" s="183"/>
    </row>
    <row r="14889" spans="1:38">
      <c r="A14889" s="182"/>
      <c r="Q14889" s="183"/>
      <c r="R14889" s="183"/>
      <c r="S14889" s="183"/>
      <c r="AJ14889" s="183"/>
      <c r="AK14889" s="183"/>
      <c r="AL14889" s="183"/>
    </row>
    <row r="14890" spans="1:38">
      <c r="A14890" s="182"/>
      <c r="Q14890" s="183"/>
      <c r="R14890" s="183"/>
      <c r="S14890" s="183"/>
      <c r="AJ14890" s="183"/>
      <c r="AK14890" s="183"/>
      <c r="AL14890" s="183"/>
    </row>
    <row r="14891" spans="1:38">
      <c r="A14891" s="182"/>
      <c r="Q14891" s="183"/>
      <c r="R14891" s="183"/>
      <c r="S14891" s="183"/>
      <c r="AJ14891" s="183"/>
      <c r="AK14891" s="183"/>
      <c r="AL14891" s="183"/>
    </row>
    <row r="14892" spans="1:38">
      <c r="A14892" s="182"/>
      <c r="Q14892" s="183"/>
      <c r="R14892" s="183"/>
      <c r="S14892" s="183"/>
      <c r="AJ14892" s="183"/>
      <c r="AK14892" s="183"/>
      <c r="AL14892" s="183"/>
    </row>
    <row r="14893" spans="1:38">
      <c r="A14893" s="182"/>
      <c r="Q14893" s="183"/>
      <c r="R14893" s="183"/>
      <c r="S14893" s="183"/>
      <c r="AJ14893" s="183"/>
      <c r="AK14893" s="183"/>
      <c r="AL14893" s="183"/>
    </row>
    <row r="14894" spans="1:38">
      <c r="A14894" s="182"/>
      <c r="Q14894" s="183"/>
      <c r="R14894" s="183"/>
      <c r="S14894" s="183"/>
      <c r="AJ14894" s="183"/>
    </row>
    <row r="14895" spans="1:38">
      <c r="A14895" s="182"/>
      <c r="Q14895" s="183"/>
      <c r="R14895" s="183"/>
      <c r="S14895" s="183"/>
    </row>
    <row r="14896" spans="1:38">
      <c r="A14896" s="182"/>
      <c r="Q14896" s="183"/>
      <c r="R14896" s="183"/>
      <c r="S14896" s="183"/>
    </row>
    <row r="14897" spans="1:19">
      <c r="A14897" s="182"/>
      <c r="Q14897" s="183"/>
      <c r="R14897" s="183"/>
      <c r="S14897" s="183"/>
    </row>
    <row r="14898" spans="1:19">
      <c r="A14898" s="182"/>
      <c r="Q14898" s="183"/>
      <c r="R14898" s="183"/>
      <c r="S14898" s="183"/>
    </row>
    <row r="14899" spans="1:19">
      <c r="A14899" s="182"/>
      <c r="Q14899" s="183"/>
      <c r="R14899" s="183"/>
      <c r="S14899" s="183"/>
    </row>
    <row r="14900" spans="1:19">
      <c r="A14900" s="182"/>
      <c r="Q14900" s="183"/>
      <c r="R14900" s="183"/>
      <c r="S14900" s="183"/>
    </row>
    <row r="14901" spans="1:19">
      <c r="A14901" s="182"/>
      <c r="Q14901" s="183"/>
      <c r="R14901" s="183"/>
      <c r="S14901" s="183"/>
    </row>
    <row r="14902" spans="1:19">
      <c r="A14902" s="182"/>
      <c r="Q14902" s="183"/>
      <c r="R14902" s="183"/>
      <c r="S14902" s="183"/>
    </row>
    <row r="14903" spans="1:19">
      <c r="A14903" s="182"/>
      <c r="Q14903" s="183"/>
      <c r="R14903" s="183"/>
      <c r="S14903" s="183"/>
    </row>
    <row r="14904" spans="1:19">
      <c r="A14904" s="182"/>
      <c r="Q14904" s="183"/>
      <c r="R14904" s="183"/>
      <c r="S14904" s="183"/>
    </row>
    <row r="14905" spans="1:19">
      <c r="A14905" s="182"/>
      <c r="Q14905" s="183"/>
      <c r="R14905" s="183"/>
      <c r="S14905" s="183"/>
    </row>
    <row r="14906" spans="1:19">
      <c r="A14906" s="182"/>
      <c r="Q14906" s="183"/>
      <c r="R14906" s="183"/>
      <c r="S14906" s="183"/>
    </row>
    <row r="14907" spans="1:19">
      <c r="A14907" s="182"/>
      <c r="Q14907" s="183"/>
      <c r="R14907" s="183"/>
      <c r="S14907" s="183"/>
    </row>
    <row r="14908" spans="1:19">
      <c r="A14908" s="182"/>
      <c r="Q14908" s="183"/>
      <c r="R14908" s="183"/>
      <c r="S14908" s="183"/>
    </row>
    <row r="14909" spans="1:19">
      <c r="A14909" s="182"/>
      <c r="Q14909" s="183"/>
      <c r="R14909" s="183"/>
      <c r="S14909" s="183"/>
    </row>
    <row r="14910" spans="1:19">
      <c r="A14910" s="182"/>
      <c r="Q14910" s="183"/>
      <c r="R14910" s="183"/>
      <c r="S14910" s="183"/>
    </row>
    <row r="14911" spans="1:19">
      <c r="A14911" s="182"/>
      <c r="Q14911" s="183"/>
      <c r="R14911" s="183"/>
      <c r="S14911" s="183"/>
    </row>
    <row r="14912" spans="1:19">
      <c r="A14912" s="182"/>
      <c r="Q14912" s="183"/>
      <c r="R14912" s="183"/>
      <c r="S14912" s="183"/>
    </row>
    <row r="14913" spans="1:38">
      <c r="A14913" s="182"/>
      <c r="Q14913" s="183"/>
      <c r="R14913" s="183"/>
      <c r="S14913" s="183"/>
    </row>
    <row r="14914" spans="1:38">
      <c r="A14914" s="182"/>
      <c r="Q14914" s="183"/>
      <c r="R14914" s="183"/>
      <c r="S14914" s="183"/>
    </row>
    <row r="14915" spans="1:38">
      <c r="A14915" s="182"/>
      <c r="Q14915" s="183"/>
      <c r="R14915" s="183"/>
      <c r="S14915" s="183"/>
    </row>
    <row r="14916" spans="1:38">
      <c r="A14916" s="182"/>
      <c r="Q14916" s="183"/>
      <c r="R14916" s="183"/>
      <c r="S14916" s="183"/>
    </row>
    <row r="14917" spans="1:38">
      <c r="A14917" s="182"/>
      <c r="Q14917" s="183"/>
      <c r="R14917" s="183"/>
      <c r="S14917" s="183"/>
    </row>
    <row r="14918" spans="1:38">
      <c r="A14918" s="182"/>
      <c r="Q14918" s="183"/>
      <c r="R14918" s="183"/>
      <c r="S14918" s="183"/>
      <c r="AK14918" s="183"/>
      <c r="AL14918" s="183"/>
    </row>
    <row r="14919" spans="1:38">
      <c r="A14919" s="182"/>
      <c r="Q14919" s="183"/>
      <c r="R14919" s="183"/>
      <c r="S14919" s="183"/>
      <c r="AJ14919" s="183"/>
      <c r="AK14919" s="183"/>
      <c r="AL14919" s="183"/>
    </row>
    <row r="14920" spans="1:38">
      <c r="A14920" s="182"/>
      <c r="Q14920" s="183"/>
      <c r="R14920" s="183"/>
      <c r="S14920" s="183"/>
      <c r="AJ14920" s="183"/>
      <c r="AK14920" s="183"/>
      <c r="AL14920" s="183"/>
    </row>
    <row r="14921" spans="1:38">
      <c r="A14921" s="182"/>
      <c r="Q14921" s="183"/>
      <c r="R14921" s="183"/>
      <c r="S14921" s="183"/>
      <c r="AJ14921" s="183"/>
      <c r="AK14921" s="183"/>
      <c r="AL14921" s="183"/>
    </row>
    <row r="14922" spans="1:38">
      <c r="A14922" s="182"/>
      <c r="Q14922" s="183"/>
      <c r="R14922" s="183"/>
      <c r="S14922" s="183"/>
      <c r="AJ14922" s="183"/>
    </row>
    <row r="14923" spans="1:38">
      <c r="A14923" s="182"/>
      <c r="Q14923" s="183"/>
      <c r="R14923" s="183"/>
      <c r="S14923" s="183"/>
    </row>
    <row r="14924" spans="1:38">
      <c r="A14924" s="182"/>
      <c r="Q14924" s="183"/>
      <c r="R14924" s="183"/>
      <c r="S14924" s="183"/>
    </row>
    <row r="14925" spans="1:38">
      <c r="A14925" s="182"/>
      <c r="Q14925" s="183"/>
      <c r="R14925" s="183"/>
      <c r="S14925" s="183"/>
    </row>
    <row r="14926" spans="1:38">
      <c r="A14926" s="182"/>
      <c r="Q14926" s="183"/>
      <c r="R14926" s="183"/>
      <c r="S14926" s="183"/>
      <c r="AK14926" s="183"/>
      <c r="AL14926" s="183"/>
    </row>
    <row r="14927" spans="1:38">
      <c r="A14927" s="182"/>
      <c r="Q14927" s="183"/>
      <c r="R14927" s="183"/>
      <c r="S14927" s="183"/>
      <c r="AJ14927" s="183"/>
      <c r="AK14927" s="183"/>
      <c r="AL14927" s="183"/>
    </row>
    <row r="14928" spans="1:38">
      <c r="A14928" s="182"/>
      <c r="Q14928" s="183"/>
      <c r="R14928" s="183"/>
      <c r="S14928" s="183"/>
      <c r="AJ14928" s="183"/>
      <c r="AK14928" s="183"/>
      <c r="AL14928" s="183"/>
    </row>
    <row r="14929" spans="1:38">
      <c r="A14929" s="182"/>
      <c r="Q14929" s="183"/>
      <c r="R14929" s="183"/>
      <c r="S14929" s="183"/>
      <c r="AJ14929" s="183"/>
      <c r="AK14929" s="183"/>
      <c r="AL14929" s="183"/>
    </row>
    <row r="14930" spans="1:38">
      <c r="A14930" s="182"/>
      <c r="Q14930" s="183"/>
      <c r="R14930" s="183"/>
      <c r="S14930" s="183"/>
      <c r="AJ14930" s="183"/>
    </row>
    <row r="14931" spans="1:38">
      <c r="A14931" s="182"/>
      <c r="Q14931" s="183"/>
      <c r="R14931" s="183"/>
      <c r="S14931" s="183"/>
    </row>
    <row r="14932" spans="1:38">
      <c r="A14932" s="182"/>
      <c r="Q14932" s="183"/>
      <c r="R14932" s="183"/>
      <c r="S14932" s="183"/>
    </row>
    <row r="14933" spans="1:38">
      <c r="A14933" s="182"/>
      <c r="Q14933" s="183"/>
      <c r="R14933" s="183"/>
      <c r="S14933" s="183"/>
    </row>
    <row r="14934" spans="1:38">
      <c r="A14934" s="182"/>
      <c r="Q14934" s="183"/>
      <c r="R14934" s="183"/>
      <c r="S14934" s="183"/>
      <c r="AK14934" s="183"/>
      <c r="AL14934" s="183"/>
    </row>
    <row r="14935" spans="1:38">
      <c r="A14935" s="182"/>
      <c r="Q14935" s="183"/>
      <c r="R14935" s="183"/>
      <c r="S14935" s="183"/>
      <c r="AJ14935" s="183"/>
      <c r="AK14935" s="183"/>
      <c r="AL14935" s="183"/>
    </row>
    <row r="14936" spans="1:38">
      <c r="A14936" s="182"/>
      <c r="Q14936" s="183"/>
      <c r="R14936" s="183"/>
      <c r="S14936" s="183"/>
      <c r="AJ14936" s="183"/>
      <c r="AK14936" s="183"/>
      <c r="AL14936" s="183"/>
    </row>
    <row r="14937" spans="1:38">
      <c r="A14937" s="182"/>
      <c r="Q14937" s="183"/>
      <c r="R14937" s="183"/>
      <c r="S14937" s="183"/>
      <c r="AJ14937" s="183"/>
      <c r="AK14937" s="183"/>
      <c r="AL14937" s="183"/>
    </row>
    <row r="14938" spans="1:38">
      <c r="A14938" s="182"/>
      <c r="Q14938" s="183"/>
      <c r="R14938" s="183"/>
      <c r="S14938" s="183"/>
      <c r="AJ14938" s="183"/>
    </row>
    <row r="14939" spans="1:38">
      <c r="A14939" s="182"/>
      <c r="Q14939" s="183"/>
      <c r="R14939" s="183"/>
      <c r="S14939" s="183"/>
    </row>
    <row r="14940" spans="1:38">
      <c r="A14940" s="182"/>
      <c r="Q14940" s="183"/>
      <c r="R14940" s="183"/>
      <c r="S14940" s="183"/>
    </row>
    <row r="14941" spans="1:38">
      <c r="A14941" s="182"/>
      <c r="Q14941" s="183"/>
      <c r="R14941" s="183"/>
      <c r="S14941" s="183"/>
    </row>
    <row r="14942" spans="1:38">
      <c r="A14942" s="182"/>
      <c r="Q14942" s="183"/>
      <c r="R14942" s="183"/>
      <c r="S14942" s="183"/>
    </row>
    <row r="14943" spans="1:38">
      <c r="A14943" s="182"/>
      <c r="Q14943" s="183"/>
      <c r="R14943" s="183"/>
      <c r="S14943" s="183"/>
    </row>
    <row r="14944" spans="1:38">
      <c r="A14944" s="182"/>
      <c r="Q14944" s="183"/>
      <c r="R14944" s="183"/>
      <c r="S14944" s="183"/>
    </row>
    <row r="14945" spans="1:19">
      <c r="A14945" s="182"/>
      <c r="Q14945" s="183"/>
      <c r="R14945" s="183"/>
      <c r="S14945" s="183"/>
    </row>
    <row r="14946" spans="1:19">
      <c r="A14946" s="182"/>
      <c r="Q14946" s="183"/>
      <c r="R14946" s="183"/>
      <c r="S14946" s="183"/>
    </row>
    <row r="14947" spans="1:19">
      <c r="A14947" s="182"/>
      <c r="Q14947" s="183"/>
      <c r="R14947" s="183"/>
      <c r="S14947" s="183"/>
    </row>
    <row r="14948" spans="1:19">
      <c r="A14948" s="182"/>
      <c r="Q14948" s="183"/>
      <c r="R14948" s="183"/>
      <c r="S14948" s="183"/>
    </row>
    <row r="14949" spans="1:19">
      <c r="A14949" s="182"/>
      <c r="Q14949" s="183"/>
      <c r="R14949" s="183"/>
      <c r="S14949" s="183"/>
    </row>
    <row r="14950" spans="1:19">
      <c r="A14950" s="182"/>
      <c r="Q14950" s="183"/>
      <c r="R14950" s="183"/>
      <c r="S14950" s="183"/>
    </row>
    <row r="14951" spans="1:19">
      <c r="A14951" s="182"/>
      <c r="Q14951" s="183"/>
      <c r="R14951" s="183"/>
      <c r="S14951" s="183"/>
    </row>
    <row r="14952" spans="1:19">
      <c r="A14952" s="182"/>
      <c r="Q14952" s="183"/>
      <c r="R14952" s="183"/>
      <c r="S14952" s="183"/>
    </row>
    <row r="14953" spans="1:19">
      <c r="A14953" s="182"/>
      <c r="Q14953" s="183"/>
      <c r="R14953" s="183"/>
      <c r="S14953" s="183"/>
    </row>
    <row r="14954" spans="1:19">
      <c r="A14954" s="182"/>
      <c r="Q14954" s="183"/>
      <c r="R14954" s="183"/>
      <c r="S14954" s="183"/>
    </row>
    <row r="14955" spans="1:19">
      <c r="A14955" s="182"/>
      <c r="Q14955" s="183"/>
      <c r="R14955" s="183"/>
      <c r="S14955" s="183"/>
    </row>
    <row r="14956" spans="1:19">
      <c r="A14956" s="182"/>
      <c r="Q14956" s="183"/>
      <c r="R14956" s="183"/>
      <c r="S14956" s="183"/>
    </row>
    <row r="14957" spans="1:19">
      <c r="A14957" s="182"/>
      <c r="Q14957" s="183"/>
      <c r="R14957" s="183"/>
      <c r="S14957" s="183"/>
    </row>
    <row r="14958" spans="1:19">
      <c r="A14958" s="182"/>
      <c r="Q14958" s="183"/>
      <c r="R14958" s="183"/>
      <c r="S14958" s="183"/>
    </row>
    <row r="14959" spans="1:19">
      <c r="A14959" s="182"/>
      <c r="Q14959" s="183"/>
      <c r="R14959" s="183"/>
      <c r="S14959" s="183"/>
    </row>
    <row r="14960" spans="1:19">
      <c r="A14960" s="182"/>
      <c r="Q14960" s="183"/>
      <c r="R14960" s="183"/>
      <c r="S14960" s="183"/>
    </row>
    <row r="14961" spans="1:38">
      <c r="A14961" s="182"/>
      <c r="Q14961" s="183"/>
      <c r="R14961" s="183"/>
      <c r="S14961" s="183"/>
    </row>
    <row r="14962" spans="1:38">
      <c r="A14962" s="182"/>
      <c r="Q14962" s="183"/>
      <c r="R14962" s="183"/>
      <c r="S14962" s="183"/>
    </row>
    <row r="14963" spans="1:38">
      <c r="A14963" s="182"/>
      <c r="Q14963" s="183"/>
      <c r="R14963" s="183"/>
      <c r="S14963" s="183"/>
    </row>
    <row r="14964" spans="1:38">
      <c r="A14964" s="182"/>
      <c r="Q14964" s="183"/>
      <c r="R14964" s="183"/>
      <c r="S14964" s="183"/>
    </row>
    <row r="14965" spans="1:38">
      <c r="A14965" s="182"/>
      <c r="Q14965" s="183"/>
      <c r="R14965" s="183"/>
      <c r="S14965" s="183"/>
    </row>
    <row r="14966" spans="1:38">
      <c r="A14966" s="182"/>
      <c r="Q14966" s="183"/>
      <c r="R14966" s="183"/>
      <c r="S14966" s="183"/>
      <c r="AK14966" s="183"/>
      <c r="AL14966" s="183"/>
    </row>
    <row r="14967" spans="1:38">
      <c r="A14967" s="182"/>
      <c r="Q14967" s="183"/>
      <c r="R14967" s="183"/>
      <c r="S14967" s="183"/>
      <c r="AJ14967" s="183"/>
      <c r="AK14967" s="183"/>
      <c r="AL14967" s="183"/>
    </row>
    <row r="14968" spans="1:38">
      <c r="A14968" s="182"/>
      <c r="Q14968" s="183"/>
      <c r="R14968" s="183"/>
      <c r="S14968" s="183"/>
      <c r="AJ14968" s="183"/>
      <c r="AK14968" s="183"/>
      <c r="AL14968" s="183"/>
    </row>
    <row r="14969" spans="1:38">
      <c r="A14969" s="182"/>
      <c r="Q14969" s="183"/>
      <c r="R14969" s="183"/>
      <c r="S14969" s="183"/>
      <c r="AJ14969" s="183"/>
      <c r="AK14969" s="183"/>
      <c r="AL14969" s="183"/>
    </row>
    <row r="14970" spans="1:38">
      <c r="A14970" s="182"/>
      <c r="Q14970" s="183"/>
      <c r="R14970" s="183"/>
      <c r="S14970" s="183"/>
      <c r="AJ14970" s="183"/>
    </row>
    <row r="14971" spans="1:38">
      <c r="A14971" s="182"/>
      <c r="Q14971" s="183"/>
      <c r="R14971" s="183"/>
      <c r="S14971" s="183"/>
    </row>
    <row r="14972" spans="1:38">
      <c r="A14972" s="182"/>
      <c r="Q14972" s="183"/>
      <c r="R14972" s="183"/>
      <c r="S14972" s="183"/>
    </row>
    <row r="14973" spans="1:38">
      <c r="A14973" s="182"/>
      <c r="Q14973" s="183"/>
      <c r="R14973" s="183"/>
      <c r="S14973" s="183"/>
    </row>
    <row r="14974" spans="1:38">
      <c r="A14974" s="182"/>
      <c r="Q14974" s="183"/>
      <c r="R14974" s="183"/>
      <c r="S14974" s="183"/>
    </row>
    <row r="14975" spans="1:38">
      <c r="A14975" s="182"/>
      <c r="Q14975" s="183"/>
      <c r="R14975" s="183"/>
      <c r="S14975" s="183"/>
    </row>
    <row r="14976" spans="1:38">
      <c r="A14976" s="182"/>
      <c r="Q14976" s="183"/>
      <c r="R14976" s="183"/>
      <c r="S14976" s="183"/>
    </row>
    <row r="14977" spans="1:19">
      <c r="A14977" s="182"/>
      <c r="Q14977" s="183"/>
      <c r="R14977" s="183"/>
      <c r="S14977" s="183"/>
    </row>
    <row r="14978" spans="1:19">
      <c r="A14978" s="182"/>
      <c r="Q14978" s="183"/>
      <c r="R14978" s="183"/>
      <c r="S14978" s="183"/>
    </row>
    <row r="14979" spans="1:19">
      <c r="A14979" s="182"/>
      <c r="Q14979" s="183"/>
      <c r="R14979" s="183"/>
      <c r="S14979" s="183"/>
    </row>
    <row r="14980" spans="1:19">
      <c r="A14980" s="182"/>
      <c r="Q14980" s="183"/>
      <c r="R14980" s="183"/>
      <c r="S14980" s="183"/>
    </row>
    <row r="14981" spans="1:19">
      <c r="A14981" s="182"/>
      <c r="Q14981" s="183"/>
      <c r="R14981" s="183"/>
      <c r="S14981" s="183"/>
    </row>
    <row r="14982" spans="1:19">
      <c r="A14982" s="182"/>
      <c r="Q14982" s="183"/>
      <c r="R14982" s="183"/>
      <c r="S14982" s="183"/>
    </row>
    <row r="14983" spans="1:19">
      <c r="A14983" s="182"/>
      <c r="Q14983" s="183"/>
      <c r="R14983" s="183"/>
      <c r="S14983" s="183"/>
    </row>
    <row r="14984" spans="1:19">
      <c r="A14984" s="182"/>
      <c r="Q14984" s="183"/>
      <c r="R14984" s="183"/>
      <c r="S14984" s="183"/>
    </row>
    <row r="14985" spans="1:19">
      <c r="A14985" s="182"/>
      <c r="Q14985" s="183"/>
      <c r="R14985" s="183"/>
      <c r="S14985" s="183"/>
    </row>
    <row r="14986" spans="1:19">
      <c r="A14986" s="182"/>
      <c r="Q14986" s="183"/>
      <c r="R14986" s="183"/>
      <c r="S14986" s="183"/>
    </row>
    <row r="14987" spans="1:19">
      <c r="A14987" s="182"/>
      <c r="Q14987" s="183"/>
      <c r="R14987" s="183"/>
      <c r="S14987" s="183"/>
    </row>
    <row r="14988" spans="1:19">
      <c r="A14988" s="182"/>
      <c r="Q14988" s="183"/>
      <c r="R14988" s="183"/>
      <c r="S14988" s="183"/>
    </row>
    <row r="14989" spans="1:19">
      <c r="A14989" s="182"/>
      <c r="Q14989" s="183"/>
      <c r="R14989" s="183"/>
      <c r="S14989" s="183"/>
    </row>
    <row r="14990" spans="1:19">
      <c r="A14990" s="182"/>
      <c r="Q14990" s="183"/>
      <c r="R14990" s="183"/>
      <c r="S14990" s="183"/>
    </row>
    <row r="14991" spans="1:19">
      <c r="A14991" s="182"/>
      <c r="Q14991" s="183"/>
      <c r="R14991" s="183"/>
      <c r="S14991" s="183"/>
    </row>
    <row r="14992" spans="1:19">
      <c r="A14992" s="182"/>
      <c r="Q14992" s="183"/>
      <c r="R14992" s="183"/>
      <c r="S14992" s="183"/>
    </row>
    <row r="14993" spans="1:38">
      <c r="A14993" s="182"/>
      <c r="Q14993" s="183"/>
      <c r="R14993" s="183"/>
      <c r="S14993" s="183"/>
    </row>
    <row r="14994" spans="1:38">
      <c r="A14994" s="182"/>
      <c r="Q14994" s="183"/>
      <c r="R14994" s="183"/>
      <c r="S14994" s="183"/>
    </row>
    <row r="14995" spans="1:38">
      <c r="A14995" s="182"/>
      <c r="Q14995" s="183"/>
      <c r="R14995" s="183"/>
      <c r="S14995" s="183"/>
    </row>
    <row r="14996" spans="1:38">
      <c r="A14996" s="182"/>
      <c r="Q14996" s="183"/>
      <c r="R14996" s="183"/>
      <c r="S14996" s="183"/>
    </row>
    <row r="14997" spans="1:38">
      <c r="A14997" s="182"/>
      <c r="Q14997" s="183"/>
      <c r="R14997" s="183"/>
      <c r="S14997" s="183"/>
    </row>
    <row r="14998" spans="1:38">
      <c r="A14998" s="182"/>
      <c r="Q14998" s="183"/>
      <c r="R14998" s="183"/>
      <c r="S14998" s="183"/>
      <c r="AK14998" s="183"/>
      <c r="AL14998" s="183"/>
    </row>
    <row r="14999" spans="1:38">
      <c r="A14999" s="182"/>
      <c r="Q14999" s="183"/>
      <c r="R14999" s="183"/>
      <c r="S14999" s="183"/>
      <c r="AJ14999" s="183"/>
      <c r="AK14999" s="183"/>
      <c r="AL14999" s="183"/>
    </row>
    <row r="15000" spans="1:38">
      <c r="A15000" s="182"/>
      <c r="Q15000" s="183"/>
      <c r="R15000" s="183"/>
      <c r="S15000" s="183"/>
      <c r="AJ15000" s="183"/>
      <c r="AK15000" s="183"/>
      <c r="AL15000" s="183"/>
    </row>
    <row r="15001" spans="1:38">
      <c r="A15001" s="182"/>
      <c r="Q15001" s="183"/>
      <c r="R15001" s="183"/>
      <c r="S15001" s="183"/>
      <c r="AJ15001" s="183"/>
      <c r="AK15001" s="183"/>
      <c r="AL15001" s="183"/>
    </row>
    <row r="15002" spans="1:38">
      <c r="A15002" s="182"/>
      <c r="Q15002" s="183"/>
      <c r="R15002" s="183"/>
      <c r="S15002" s="183"/>
      <c r="AJ15002" s="183"/>
    </row>
    <row r="15003" spans="1:38">
      <c r="A15003" s="182"/>
      <c r="Q15003" s="183"/>
      <c r="R15003" s="183"/>
      <c r="S15003" s="183"/>
    </row>
    <row r="15004" spans="1:38">
      <c r="A15004" s="182"/>
      <c r="Q15004" s="183"/>
      <c r="R15004" s="183"/>
      <c r="S15004" s="183"/>
    </row>
    <row r="15005" spans="1:38">
      <c r="A15005" s="182"/>
      <c r="Q15005" s="183"/>
      <c r="R15005" s="183"/>
      <c r="S15005" s="183"/>
    </row>
    <row r="15006" spans="1:38">
      <c r="A15006" s="182"/>
      <c r="Q15006" s="183"/>
      <c r="R15006" s="183"/>
      <c r="S15006" s="183"/>
    </row>
    <row r="15007" spans="1:38">
      <c r="A15007" s="182"/>
      <c r="Q15007" s="183"/>
      <c r="R15007" s="183"/>
      <c r="S15007" s="183"/>
    </row>
    <row r="15008" spans="1:38">
      <c r="A15008" s="182"/>
      <c r="Q15008" s="183"/>
      <c r="R15008" s="183"/>
      <c r="S15008" s="183"/>
    </row>
    <row r="15009" spans="1:38">
      <c r="A15009" s="182"/>
      <c r="Q15009" s="183"/>
      <c r="R15009" s="183"/>
      <c r="S15009" s="183"/>
    </row>
    <row r="15010" spans="1:38">
      <c r="A15010" s="182"/>
      <c r="Q15010" s="183"/>
      <c r="R15010" s="183"/>
      <c r="S15010" s="183"/>
    </row>
    <row r="15011" spans="1:38">
      <c r="A15011" s="182"/>
      <c r="Q15011" s="183"/>
      <c r="R15011" s="183"/>
      <c r="S15011" s="183"/>
    </row>
    <row r="15012" spans="1:38">
      <c r="A15012" s="182"/>
      <c r="Q15012" s="183"/>
      <c r="R15012" s="183"/>
      <c r="S15012" s="183"/>
    </row>
    <row r="15013" spans="1:38">
      <c r="A15013" s="182"/>
      <c r="Q15013" s="183"/>
      <c r="R15013" s="183"/>
      <c r="S15013" s="183"/>
    </row>
    <row r="15014" spans="1:38">
      <c r="A15014" s="182"/>
      <c r="Q15014" s="183"/>
      <c r="R15014" s="183"/>
      <c r="S15014" s="183"/>
      <c r="AK15014" s="183"/>
      <c r="AL15014" s="183"/>
    </row>
    <row r="15015" spans="1:38">
      <c r="A15015" s="182"/>
      <c r="Q15015" s="183"/>
      <c r="R15015" s="183"/>
      <c r="S15015" s="183"/>
      <c r="AJ15015" s="183"/>
      <c r="AK15015" s="183"/>
      <c r="AL15015" s="183"/>
    </row>
    <row r="15016" spans="1:38">
      <c r="A15016" s="182"/>
      <c r="Q15016" s="183"/>
      <c r="R15016" s="183"/>
      <c r="S15016" s="183"/>
      <c r="AJ15016" s="183"/>
      <c r="AK15016" s="183"/>
      <c r="AL15016" s="183"/>
    </row>
    <row r="15017" spans="1:38">
      <c r="A15017" s="182"/>
      <c r="Q15017" s="183"/>
      <c r="R15017" s="183"/>
      <c r="S15017" s="183"/>
      <c r="AJ15017" s="183"/>
      <c r="AK15017" s="183"/>
      <c r="AL15017" s="183"/>
    </row>
    <row r="15018" spans="1:38">
      <c r="A15018" s="182"/>
      <c r="Q15018" s="183"/>
      <c r="R15018" s="183"/>
      <c r="S15018" s="183"/>
      <c r="AJ15018" s="183"/>
    </row>
    <row r="15019" spans="1:38">
      <c r="A15019" s="182"/>
      <c r="Q15019" s="183"/>
      <c r="R15019" s="183"/>
      <c r="S15019" s="183"/>
    </row>
    <row r="15020" spans="1:38">
      <c r="A15020" s="182"/>
      <c r="Q15020" s="183"/>
      <c r="R15020" s="183"/>
      <c r="S15020" s="183"/>
    </row>
    <row r="15021" spans="1:38">
      <c r="A15021" s="182"/>
      <c r="Q15021" s="183"/>
      <c r="R15021" s="183"/>
      <c r="S15021" s="183"/>
    </row>
    <row r="15022" spans="1:38">
      <c r="A15022" s="182"/>
      <c r="Q15022" s="183"/>
      <c r="R15022" s="183"/>
      <c r="S15022" s="183"/>
    </row>
    <row r="15023" spans="1:38">
      <c r="A15023" s="182"/>
      <c r="Q15023" s="183"/>
      <c r="R15023" s="183"/>
      <c r="S15023" s="183"/>
    </row>
    <row r="15024" spans="1:38">
      <c r="A15024" s="182"/>
      <c r="Q15024" s="183"/>
      <c r="R15024" s="183"/>
      <c r="S15024" s="183"/>
    </row>
    <row r="15025" spans="1:19">
      <c r="A15025" s="182"/>
      <c r="Q15025" s="183"/>
      <c r="R15025" s="183"/>
      <c r="S15025" s="183"/>
    </row>
    <row r="15026" spans="1:19">
      <c r="A15026" s="182"/>
      <c r="Q15026" s="183"/>
      <c r="R15026" s="183"/>
      <c r="S15026" s="183"/>
    </row>
    <row r="15027" spans="1:19">
      <c r="A15027" s="182"/>
      <c r="Q15027" s="183"/>
      <c r="R15027" s="183"/>
      <c r="S15027" s="183"/>
    </row>
    <row r="15028" spans="1:19">
      <c r="A15028" s="182"/>
      <c r="Q15028" s="183"/>
      <c r="R15028" s="183"/>
      <c r="S15028" s="183"/>
    </row>
    <row r="15029" spans="1:19">
      <c r="A15029" s="182"/>
      <c r="Q15029" s="183"/>
      <c r="R15029" s="183"/>
      <c r="S15029" s="183"/>
    </row>
    <row r="15030" spans="1:19">
      <c r="A15030" s="182"/>
      <c r="Q15030" s="183"/>
      <c r="R15030" s="183"/>
      <c r="S15030" s="183"/>
    </row>
    <row r="15031" spans="1:19">
      <c r="A15031" s="182"/>
      <c r="Q15031" s="183"/>
      <c r="R15031" s="183"/>
      <c r="S15031" s="183"/>
    </row>
    <row r="15032" spans="1:19">
      <c r="A15032" s="182"/>
      <c r="Q15032" s="183"/>
      <c r="R15032" s="183"/>
      <c r="S15032" s="183"/>
    </row>
    <row r="15033" spans="1:19">
      <c r="A15033" s="182"/>
      <c r="Q15033" s="183"/>
      <c r="R15033" s="183"/>
      <c r="S15033" s="183"/>
    </row>
    <row r="15034" spans="1:19">
      <c r="A15034" s="182"/>
      <c r="Q15034" s="183"/>
      <c r="R15034" s="183"/>
      <c r="S15034" s="183"/>
    </row>
    <row r="15035" spans="1:19">
      <c r="A15035" s="182"/>
      <c r="Q15035" s="183"/>
      <c r="R15035" s="183"/>
      <c r="S15035" s="183"/>
    </row>
    <row r="15036" spans="1:19">
      <c r="A15036" s="182"/>
      <c r="Q15036" s="183"/>
      <c r="R15036" s="183"/>
      <c r="S15036" s="183"/>
    </row>
    <row r="15037" spans="1:19">
      <c r="A15037" s="182"/>
      <c r="Q15037" s="183"/>
      <c r="R15037" s="183"/>
      <c r="S15037" s="183"/>
    </row>
    <row r="15038" spans="1:19">
      <c r="A15038" s="182"/>
      <c r="Q15038" s="183"/>
      <c r="R15038" s="183"/>
      <c r="S15038" s="183"/>
    </row>
    <row r="15039" spans="1:19">
      <c r="A15039" s="182"/>
      <c r="Q15039" s="183"/>
      <c r="R15039" s="183"/>
      <c r="S15039" s="183"/>
    </row>
    <row r="15040" spans="1:19">
      <c r="A15040" s="182"/>
      <c r="Q15040" s="183"/>
      <c r="R15040" s="183"/>
      <c r="S15040" s="183"/>
    </row>
    <row r="15041" spans="1:19">
      <c r="A15041" s="182"/>
      <c r="Q15041" s="183"/>
      <c r="R15041" s="183"/>
      <c r="S15041" s="183"/>
    </row>
    <row r="15042" spans="1:19">
      <c r="A15042" s="182"/>
      <c r="Q15042" s="183"/>
      <c r="R15042" s="183"/>
      <c r="S15042" s="183"/>
    </row>
    <row r="15043" spans="1:19">
      <c r="A15043" s="182"/>
      <c r="Q15043" s="183"/>
      <c r="R15043" s="183"/>
      <c r="S15043" s="183"/>
    </row>
    <row r="15044" spans="1:19">
      <c r="A15044" s="182"/>
      <c r="Q15044" s="183"/>
      <c r="R15044" s="183"/>
      <c r="S15044" s="183"/>
    </row>
    <row r="15045" spans="1:19">
      <c r="A15045" s="182"/>
      <c r="Q15045" s="183"/>
      <c r="R15045" s="183"/>
      <c r="S15045" s="183"/>
    </row>
    <row r="15046" spans="1:19">
      <c r="A15046" s="182"/>
      <c r="Q15046" s="183"/>
      <c r="R15046" s="183"/>
      <c r="S15046" s="183"/>
    </row>
    <row r="15047" spans="1:19">
      <c r="A15047" s="182"/>
      <c r="Q15047" s="183"/>
      <c r="R15047" s="183"/>
      <c r="S15047" s="183"/>
    </row>
    <row r="15048" spans="1:19">
      <c r="A15048" s="182"/>
      <c r="Q15048" s="183"/>
      <c r="R15048" s="183"/>
      <c r="S15048" s="183"/>
    </row>
    <row r="15049" spans="1:19">
      <c r="A15049" s="182"/>
      <c r="Q15049" s="183"/>
      <c r="R15049" s="183"/>
      <c r="S15049" s="183"/>
    </row>
    <row r="15050" spans="1:19">
      <c r="A15050" s="182"/>
      <c r="Q15050" s="183"/>
      <c r="R15050" s="183"/>
      <c r="S15050" s="183"/>
    </row>
    <row r="15051" spans="1:19">
      <c r="A15051" s="182"/>
      <c r="Q15051" s="183"/>
      <c r="R15051" s="183"/>
      <c r="S15051" s="183"/>
    </row>
    <row r="15052" spans="1:19">
      <c r="A15052" s="182"/>
      <c r="Q15052" s="183"/>
      <c r="R15052" s="183"/>
      <c r="S15052" s="183"/>
    </row>
    <row r="15053" spans="1:19">
      <c r="A15053" s="182"/>
      <c r="Q15053" s="183"/>
      <c r="R15053" s="183"/>
      <c r="S15053" s="183"/>
    </row>
    <row r="15054" spans="1:19">
      <c r="A15054" s="182"/>
      <c r="Q15054" s="183"/>
      <c r="R15054" s="183"/>
      <c r="S15054" s="183"/>
    </row>
    <row r="15055" spans="1:19">
      <c r="A15055" s="182"/>
      <c r="Q15055" s="183"/>
      <c r="R15055" s="183"/>
      <c r="S15055" s="183"/>
    </row>
    <row r="15056" spans="1:19">
      <c r="A15056" s="182"/>
      <c r="Q15056" s="183"/>
      <c r="R15056" s="183"/>
      <c r="S15056" s="183"/>
    </row>
    <row r="15057" spans="1:38">
      <c r="A15057" s="182"/>
      <c r="Q15057" s="183"/>
      <c r="R15057" s="183"/>
      <c r="S15057" s="183"/>
    </row>
    <row r="15058" spans="1:38">
      <c r="A15058" s="182"/>
      <c r="Q15058" s="183"/>
      <c r="R15058" s="183"/>
      <c r="S15058" s="183"/>
    </row>
    <row r="15059" spans="1:38">
      <c r="A15059" s="182"/>
      <c r="Q15059" s="183"/>
      <c r="R15059" s="183"/>
      <c r="S15059" s="183"/>
    </row>
    <row r="15060" spans="1:38">
      <c r="A15060" s="182"/>
      <c r="Q15060" s="183"/>
      <c r="R15060" s="183"/>
      <c r="S15060" s="183"/>
    </row>
    <row r="15061" spans="1:38">
      <c r="A15061" s="182"/>
      <c r="Q15061" s="183"/>
      <c r="R15061" s="183"/>
      <c r="S15061" s="183"/>
    </row>
    <row r="15062" spans="1:38">
      <c r="A15062" s="182"/>
      <c r="Q15062" s="183"/>
      <c r="R15062" s="183"/>
      <c r="S15062" s="183"/>
    </row>
    <row r="15063" spans="1:38">
      <c r="A15063" s="182"/>
      <c r="Q15063" s="183"/>
      <c r="R15063" s="183"/>
      <c r="S15063" s="183"/>
    </row>
    <row r="15064" spans="1:38">
      <c r="A15064" s="182"/>
      <c r="Q15064" s="183"/>
      <c r="R15064" s="183"/>
      <c r="S15064" s="183"/>
    </row>
    <row r="15065" spans="1:38">
      <c r="A15065" s="182"/>
      <c r="Q15065" s="183"/>
      <c r="R15065" s="183"/>
      <c r="S15065" s="183"/>
    </row>
    <row r="15066" spans="1:38">
      <c r="A15066" s="182"/>
      <c r="Q15066" s="183"/>
      <c r="R15066" s="183"/>
      <c r="S15066" s="183"/>
      <c r="AK15066" s="183"/>
      <c r="AL15066" s="183"/>
    </row>
    <row r="15067" spans="1:38">
      <c r="A15067" s="182"/>
      <c r="Q15067" s="183"/>
      <c r="R15067" s="183"/>
      <c r="S15067" s="183"/>
      <c r="AJ15067" s="183"/>
      <c r="AK15067" s="183"/>
      <c r="AL15067" s="183"/>
    </row>
    <row r="15068" spans="1:38">
      <c r="A15068" s="182"/>
      <c r="Q15068" s="183"/>
      <c r="R15068" s="183"/>
      <c r="S15068" s="183"/>
      <c r="AJ15068" s="183"/>
      <c r="AK15068" s="183"/>
      <c r="AL15068" s="183"/>
    </row>
    <row r="15069" spans="1:38">
      <c r="A15069" s="182"/>
      <c r="Q15069" s="183"/>
      <c r="R15069" s="183"/>
      <c r="S15069" s="183"/>
      <c r="AJ15069" s="183"/>
      <c r="AK15069" s="183"/>
      <c r="AL15069" s="183"/>
    </row>
    <row r="15070" spans="1:38">
      <c r="A15070" s="182"/>
      <c r="Q15070" s="183"/>
      <c r="R15070" s="183"/>
      <c r="S15070" s="183"/>
      <c r="AJ15070" s="183"/>
    </row>
    <row r="15071" spans="1:38">
      <c r="A15071" s="182"/>
      <c r="Q15071" s="183"/>
      <c r="R15071" s="183"/>
      <c r="S15071" s="183"/>
    </row>
    <row r="15072" spans="1:38">
      <c r="A15072" s="182"/>
      <c r="Q15072" s="183"/>
      <c r="R15072" s="183"/>
      <c r="S15072" s="183"/>
    </row>
    <row r="15073" spans="1:38">
      <c r="A15073" s="182"/>
      <c r="Q15073" s="183"/>
      <c r="R15073" s="183"/>
      <c r="S15073" s="183"/>
    </row>
    <row r="15074" spans="1:38">
      <c r="A15074" s="182"/>
      <c r="Q15074" s="183"/>
      <c r="R15074" s="183"/>
      <c r="S15074" s="183"/>
      <c r="AK15074" s="183"/>
      <c r="AL15074" s="183"/>
    </row>
    <row r="15075" spans="1:38">
      <c r="A15075" s="182"/>
      <c r="Q15075" s="183"/>
      <c r="R15075" s="183"/>
      <c r="S15075" s="183"/>
      <c r="AJ15075" s="183"/>
      <c r="AK15075" s="183"/>
      <c r="AL15075" s="183"/>
    </row>
    <row r="15076" spans="1:38">
      <c r="A15076" s="182"/>
      <c r="Q15076" s="183"/>
      <c r="R15076" s="183"/>
      <c r="S15076" s="183"/>
      <c r="AJ15076" s="183"/>
      <c r="AK15076" s="183"/>
      <c r="AL15076" s="183"/>
    </row>
    <row r="15077" spans="1:38">
      <c r="A15077" s="182"/>
      <c r="Q15077" s="183"/>
      <c r="R15077" s="183"/>
      <c r="S15077" s="183"/>
      <c r="AJ15077" s="183"/>
      <c r="AK15077" s="183"/>
      <c r="AL15077" s="183"/>
    </row>
    <row r="15078" spans="1:38">
      <c r="A15078" s="182"/>
      <c r="Q15078" s="183"/>
      <c r="R15078" s="183"/>
      <c r="S15078" s="183"/>
      <c r="AJ15078" s="183"/>
    </row>
    <row r="15079" spans="1:38">
      <c r="A15079" s="182"/>
      <c r="Q15079" s="183"/>
      <c r="R15079" s="183"/>
      <c r="S15079" s="183"/>
    </row>
    <row r="15080" spans="1:38">
      <c r="A15080" s="182"/>
      <c r="Q15080" s="183"/>
      <c r="R15080" s="183"/>
      <c r="S15080" s="183"/>
    </row>
    <row r="15081" spans="1:38">
      <c r="A15081" s="182"/>
      <c r="Q15081" s="183"/>
      <c r="R15081" s="183"/>
      <c r="S15081" s="183"/>
    </row>
    <row r="15082" spans="1:38">
      <c r="A15082" s="182"/>
      <c r="Q15082" s="183"/>
      <c r="R15082" s="183"/>
      <c r="S15082" s="183"/>
    </row>
    <row r="15083" spans="1:38">
      <c r="A15083" s="182"/>
      <c r="Q15083" s="183"/>
      <c r="R15083" s="183"/>
      <c r="S15083" s="183"/>
    </row>
    <row r="15084" spans="1:38">
      <c r="A15084" s="182"/>
      <c r="Q15084" s="183"/>
      <c r="R15084" s="183"/>
      <c r="S15084" s="183"/>
    </row>
    <row r="15085" spans="1:38">
      <c r="A15085" s="182"/>
      <c r="Q15085" s="183"/>
      <c r="R15085" s="183"/>
      <c r="S15085" s="183"/>
    </row>
    <row r="15086" spans="1:38">
      <c r="A15086" s="182"/>
      <c r="Q15086" s="183"/>
      <c r="R15086" s="183"/>
      <c r="S15086" s="183"/>
    </row>
    <row r="15087" spans="1:38">
      <c r="A15087" s="182"/>
      <c r="Q15087" s="183"/>
      <c r="R15087" s="183"/>
      <c r="S15087" s="183"/>
    </row>
    <row r="15088" spans="1:38">
      <c r="A15088" s="182"/>
      <c r="Q15088" s="183"/>
      <c r="R15088" s="183"/>
      <c r="S15088" s="183"/>
    </row>
    <row r="15089" spans="1:38">
      <c r="A15089" s="182"/>
      <c r="Q15089" s="183"/>
      <c r="R15089" s="183"/>
      <c r="S15089" s="183"/>
    </row>
    <row r="15090" spans="1:38">
      <c r="A15090" s="182"/>
      <c r="Q15090" s="183"/>
      <c r="R15090" s="183"/>
      <c r="S15090" s="183"/>
      <c r="AK15090" s="183"/>
      <c r="AL15090" s="183"/>
    </row>
    <row r="15091" spans="1:38">
      <c r="A15091" s="182"/>
      <c r="Q15091" s="183"/>
      <c r="R15091" s="183"/>
      <c r="S15091" s="183"/>
      <c r="AJ15091" s="183"/>
      <c r="AK15091" s="183"/>
      <c r="AL15091" s="183"/>
    </row>
    <row r="15092" spans="1:38">
      <c r="A15092" s="182"/>
      <c r="Q15092" s="183"/>
      <c r="R15092" s="183"/>
      <c r="S15092" s="183"/>
      <c r="AJ15092" s="183"/>
      <c r="AK15092" s="183"/>
      <c r="AL15092" s="183"/>
    </row>
    <row r="15093" spans="1:38">
      <c r="A15093" s="182"/>
      <c r="Q15093" s="183"/>
      <c r="R15093" s="183"/>
      <c r="S15093" s="183"/>
      <c r="AJ15093" s="183"/>
      <c r="AK15093" s="183"/>
      <c r="AL15093" s="183"/>
    </row>
    <row r="15094" spans="1:38">
      <c r="A15094" s="182"/>
      <c r="Q15094" s="183"/>
      <c r="R15094" s="183"/>
      <c r="S15094" s="183"/>
      <c r="AJ15094" s="183"/>
    </row>
    <row r="15095" spans="1:38">
      <c r="A15095" s="182"/>
      <c r="Q15095" s="183"/>
      <c r="R15095" s="183"/>
      <c r="S15095" s="183"/>
    </row>
    <row r="15096" spans="1:38">
      <c r="A15096" s="182"/>
      <c r="Q15096" s="183"/>
      <c r="R15096" s="183"/>
      <c r="S15096" s="183"/>
    </row>
    <row r="15097" spans="1:38">
      <c r="A15097" s="182"/>
      <c r="Q15097" s="183"/>
      <c r="R15097" s="183"/>
      <c r="S15097" s="183"/>
    </row>
    <row r="15098" spans="1:38">
      <c r="A15098" s="182"/>
      <c r="Q15098" s="183"/>
      <c r="R15098" s="183"/>
      <c r="S15098" s="183"/>
      <c r="AK15098" s="183"/>
      <c r="AL15098" s="183"/>
    </row>
    <row r="15099" spans="1:38">
      <c r="A15099" s="182"/>
      <c r="Q15099" s="183"/>
      <c r="R15099" s="183"/>
      <c r="S15099" s="183"/>
      <c r="AJ15099" s="183"/>
      <c r="AK15099" s="183"/>
      <c r="AL15099" s="183"/>
    </row>
    <row r="15100" spans="1:38">
      <c r="A15100" s="182"/>
      <c r="Q15100" s="183"/>
      <c r="R15100" s="183"/>
      <c r="S15100" s="183"/>
      <c r="AJ15100" s="183"/>
      <c r="AK15100" s="183"/>
      <c r="AL15100" s="183"/>
    </row>
    <row r="15101" spans="1:38">
      <c r="A15101" s="182"/>
      <c r="Q15101" s="183"/>
      <c r="R15101" s="183"/>
      <c r="S15101" s="183"/>
      <c r="AJ15101" s="183"/>
      <c r="AK15101" s="183"/>
      <c r="AL15101" s="183"/>
    </row>
    <row r="15102" spans="1:38">
      <c r="A15102" s="182"/>
      <c r="Q15102" s="183"/>
      <c r="R15102" s="183"/>
      <c r="S15102" s="183"/>
      <c r="AJ15102" s="183"/>
    </row>
    <row r="15103" spans="1:38">
      <c r="A15103" s="182"/>
      <c r="Q15103" s="183"/>
      <c r="R15103" s="183"/>
      <c r="S15103" s="183"/>
    </row>
    <row r="15104" spans="1:38">
      <c r="A15104" s="182"/>
      <c r="Q15104" s="183"/>
      <c r="R15104" s="183"/>
      <c r="S15104" s="183"/>
    </row>
    <row r="15105" spans="1:19">
      <c r="A15105" s="182"/>
      <c r="Q15105" s="183"/>
      <c r="R15105" s="183"/>
      <c r="S15105" s="183"/>
    </row>
    <row r="15106" spans="1:19">
      <c r="A15106" s="182"/>
      <c r="Q15106" s="183"/>
      <c r="R15106" s="183"/>
      <c r="S15106" s="183"/>
    </row>
    <row r="15107" spans="1:19">
      <c r="A15107" s="182"/>
      <c r="Q15107" s="183"/>
      <c r="R15107" s="183"/>
      <c r="S15107" s="183"/>
    </row>
    <row r="15108" spans="1:19">
      <c r="A15108" s="182"/>
      <c r="Q15108" s="183"/>
      <c r="R15108" s="183"/>
      <c r="S15108" s="183"/>
    </row>
    <row r="15109" spans="1:19">
      <c r="A15109" s="182"/>
      <c r="Q15109" s="183"/>
      <c r="R15109" s="183"/>
      <c r="S15109" s="183"/>
    </row>
    <row r="15110" spans="1:19">
      <c r="A15110" s="182"/>
      <c r="Q15110" s="183"/>
      <c r="R15110" s="183"/>
      <c r="S15110" s="183"/>
    </row>
    <row r="15111" spans="1:19">
      <c r="A15111" s="182"/>
      <c r="Q15111" s="183"/>
      <c r="R15111" s="183"/>
      <c r="S15111" s="183"/>
    </row>
    <row r="15112" spans="1:19">
      <c r="A15112" s="182"/>
      <c r="Q15112" s="183"/>
      <c r="R15112" s="183"/>
      <c r="S15112" s="183"/>
    </row>
    <row r="15113" spans="1:19">
      <c r="A15113" s="182"/>
      <c r="Q15113" s="183"/>
      <c r="R15113" s="183"/>
      <c r="S15113" s="183"/>
    </row>
    <row r="15114" spans="1:19">
      <c r="A15114" s="182"/>
      <c r="Q15114" s="183"/>
      <c r="R15114" s="183"/>
      <c r="S15114" s="183"/>
    </row>
    <row r="15115" spans="1:19">
      <c r="A15115" s="182"/>
      <c r="Q15115" s="183"/>
      <c r="R15115" s="183"/>
      <c r="S15115" s="183"/>
    </row>
    <row r="15116" spans="1:19">
      <c r="A15116" s="182"/>
      <c r="Q15116" s="183"/>
      <c r="R15116" s="183"/>
      <c r="S15116" s="183"/>
    </row>
    <row r="15117" spans="1:19">
      <c r="A15117" s="182"/>
      <c r="Q15117" s="183"/>
      <c r="R15117" s="183"/>
      <c r="S15117" s="183"/>
    </row>
    <row r="15118" spans="1:19">
      <c r="A15118" s="182"/>
      <c r="Q15118" s="183"/>
      <c r="R15118" s="183"/>
      <c r="S15118" s="183"/>
    </row>
    <row r="15119" spans="1:19">
      <c r="A15119" s="182"/>
      <c r="Q15119" s="183"/>
      <c r="R15119" s="183"/>
      <c r="S15119" s="183"/>
    </row>
    <row r="15120" spans="1:19">
      <c r="A15120" s="182"/>
      <c r="Q15120" s="183"/>
      <c r="R15120" s="183"/>
      <c r="S15120" s="183"/>
    </row>
    <row r="15121" spans="1:19">
      <c r="A15121" s="182"/>
      <c r="Q15121" s="183"/>
      <c r="R15121" s="183"/>
      <c r="S15121" s="183"/>
    </row>
    <row r="15122" spans="1:19">
      <c r="A15122" s="182"/>
      <c r="Q15122" s="183"/>
      <c r="R15122" s="183"/>
      <c r="S15122" s="183"/>
    </row>
    <row r="15123" spans="1:19">
      <c r="A15123" s="182"/>
      <c r="Q15123" s="183"/>
      <c r="R15123" s="183"/>
      <c r="S15123" s="183"/>
    </row>
    <row r="15124" spans="1:19">
      <c r="A15124" s="182"/>
      <c r="Q15124" s="183"/>
      <c r="R15124" s="183"/>
      <c r="S15124" s="183"/>
    </row>
    <row r="15125" spans="1:19">
      <c r="A15125" s="182"/>
      <c r="Q15125" s="183"/>
      <c r="R15125" s="183"/>
      <c r="S15125" s="183"/>
    </row>
    <row r="15126" spans="1:19">
      <c r="A15126" s="182"/>
      <c r="Q15126" s="183"/>
      <c r="R15126" s="183"/>
      <c r="S15126" s="183"/>
    </row>
    <row r="15127" spans="1:19">
      <c r="A15127" s="182"/>
      <c r="Q15127" s="183"/>
      <c r="R15127" s="183"/>
      <c r="S15127" s="183"/>
    </row>
    <row r="15128" spans="1:19">
      <c r="A15128" s="182"/>
      <c r="Q15128" s="183"/>
      <c r="R15128" s="183"/>
      <c r="S15128" s="183"/>
    </row>
    <row r="15129" spans="1:19">
      <c r="A15129" s="182"/>
      <c r="Q15129" s="183"/>
      <c r="R15129" s="183"/>
      <c r="S15129" s="183"/>
    </row>
    <row r="15130" spans="1:19">
      <c r="A15130" s="182"/>
      <c r="Q15130" s="183"/>
      <c r="R15130" s="183"/>
      <c r="S15130" s="183"/>
    </row>
    <row r="15131" spans="1:19">
      <c r="A15131" s="182"/>
      <c r="Q15131" s="183"/>
      <c r="R15131" s="183"/>
      <c r="S15131" s="183"/>
    </row>
    <row r="15132" spans="1:19">
      <c r="A15132" s="182"/>
      <c r="Q15132" s="183"/>
      <c r="R15132" s="183"/>
      <c r="S15132" s="183"/>
    </row>
    <row r="15133" spans="1:19">
      <c r="A15133" s="182"/>
      <c r="Q15133" s="183"/>
      <c r="R15133" s="183"/>
      <c r="S15133" s="183"/>
    </row>
    <row r="15134" spans="1:19">
      <c r="A15134" s="182"/>
      <c r="Q15134" s="183"/>
      <c r="R15134" s="183"/>
      <c r="S15134" s="183"/>
    </row>
    <row r="15135" spans="1:19">
      <c r="A15135" s="182"/>
      <c r="Q15135" s="183"/>
      <c r="R15135" s="183"/>
      <c r="S15135" s="183"/>
    </row>
    <row r="15136" spans="1:19">
      <c r="A15136" s="182"/>
      <c r="Q15136" s="183"/>
      <c r="R15136" s="183"/>
      <c r="S15136" s="183"/>
    </row>
    <row r="15137" spans="1:19">
      <c r="A15137" s="182"/>
      <c r="Q15137" s="183"/>
      <c r="R15137" s="183"/>
      <c r="S15137" s="183"/>
    </row>
    <row r="15138" spans="1:19">
      <c r="A15138" s="182"/>
      <c r="Q15138" s="183"/>
      <c r="R15138" s="183"/>
      <c r="S15138" s="183"/>
    </row>
    <row r="15139" spans="1:19">
      <c r="A15139" s="182"/>
      <c r="Q15139" s="183"/>
      <c r="R15139" s="183"/>
      <c r="S15139" s="183"/>
    </row>
    <row r="15140" spans="1:19">
      <c r="A15140" s="182"/>
      <c r="Q15140" s="183"/>
      <c r="R15140" s="183"/>
      <c r="S15140" s="183"/>
    </row>
    <row r="15141" spans="1:19">
      <c r="A15141" s="182"/>
      <c r="Q15141" s="183"/>
      <c r="R15141" s="183"/>
      <c r="S15141" s="183"/>
    </row>
    <row r="15142" spans="1:19">
      <c r="A15142" s="182"/>
      <c r="Q15142" s="183"/>
      <c r="R15142" s="183"/>
      <c r="S15142" s="183"/>
    </row>
    <row r="15143" spans="1:19">
      <c r="A15143" s="182"/>
      <c r="Q15143" s="183"/>
      <c r="R15143" s="183"/>
      <c r="S15143" s="183"/>
    </row>
    <row r="15144" spans="1:19">
      <c r="A15144" s="182"/>
      <c r="Q15144" s="183"/>
      <c r="R15144" s="183"/>
      <c r="S15144" s="183"/>
    </row>
    <row r="15145" spans="1:19">
      <c r="A15145" s="182"/>
      <c r="Q15145" s="183"/>
      <c r="R15145" s="183"/>
      <c r="S15145" s="183"/>
    </row>
    <row r="15146" spans="1:19">
      <c r="A15146" s="182"/>
      <c r="Q15146" s="183"/>
      <c r="R15146" s="183"/>
      <c r="S15146" s="183"/>
    </row>
    <row r="15147" spans="1:19">
      <c r="A15147" s="182"/>
      <c r="Q15147" s="183"/>
      <c r="R15147" s="183"/>
      <c r="S15147" s="183"/>
    </row>
    <row r="15148" spans="1:19">
      <c r="A15148" s="182"/>
      <c r="Q15148" s="183"/>
      <c r="R15148" s="183"/>
      <c r="S15148" s="183"/>
    </row>
    <row r="15149" spans="1:19">
      <c r="A15149" s="182"/>
      <c r="Q15149" s="183"/>
      <c r="R15149" s="183"/>
      <c r="S15149" s="183"/>
    </row>
    <row r="15150" spans="1:19">
      <c r="A15150" s="182"/>
      <c r="Q15150" s="183"/>
      <c r="R15150" s="183"/>
      <c r="S15150" s="183"/>
    </row>
    <row r="15151" spans="1:19">
      <c r="A15151" s="182"/>
      <c r="Q15151" s="183"/>
      <c r="R15151" s="183"/>
      <c r="S15151" s="183"/>
    </row>
    <row r="15152" spans="1:19">
      <c r="A15152" s="182"/>
      <c r="Q15152" s="183"/>
      <c r="R15152" s="183"/>
      <c r="S15152" s="183"/>
    </row>
    <row r="15153" spans="1:38">
      <c r="A15153" s="182"/>
      <c r="Q15153" s="183"/>
      <c r="R15153" s="183"/>
      <c r="S15153" s="183"/>
    </row>
    <row r="15154" spans="1:38">
      <c r="A15154" s="182"/>
      <c r="Q15154" s="183"/>
      <c r="R15154" s="183"/>
      <c r="S15154" s="183"/>
    </row>
    <row r="15155" spans="1:38">
      <c r="A15155" s="182"/>
      <c r="Q15155" s="183"/>
      <c r="R15155" s="183"/>
      <c r="S15155" s="183"/>
    </row>
    <row r="15156" spans="1:38">
      <c r="A15156" s="182"/>
      <c r="Q15156" s="183"/>
      <c r="R15156" s="183"/>
      <c r="S15156" s="183"/>
    </row>
    <row r="15157" spans="1:38">
      <c r="A15157" s="182"/>
      <c r="Q15157" s="183"/>
      <c r="R15157" s="183"/>
      <c r="S15157" s="183"/>
    </row>
    <row r="15158" spans="1:38">
      <c r="A15158" s="182"/>
      <c r="Q15158" s="183"/>
      <c r="R15158" s="183"/>
      <c r="S15158" s="183"/>
      <c r="AK15158" s="183"/>
      <c r="AL15158" s="183"/>
    </row>
    <row r="15159" spans="1:38">
      <c r="A15159" s="182"/>
      <c r="Q15159" s="183"/>
      <c r="R15159" s="183"/>
      <c r="S15159" s="183"/>
      <c r="AJ15159" s="183"/>
      <c r="AK15159" s="183"/>
      <c r="AL15159" s="183"/>
    </row>
    <row r="15160" spans="1:38">
      <c r="A15160" s="182"/>
      <c r="Q15160" s="183"/>
      <c r="R15160" s="183"/>
      <c r="S15160" s="183"/>
      <c r="AJ15160" s="183"/>
      <c r="AK15160" s="183"/>
      <c r="AL15160" s="183"/>
    </row>
    <row r="15161" spans="1:38">
      <c r="A15161" s="182"/>
      <c r="Q15161" s="183"/>
      <c r="R15161" s="183"/>
      <c r="S15161" s="183"/>
      <c r="AJ15161" s="183"/>
      <c r="AK15161" s="183"/>
      <c r="AL15161" s="183"/>
    </row>
    <row r="15162" spans="1:38">
      <c r="A15162" s="182"/>
      <c r="Q15162" s="183"/>
      <c r="R15162" s="183"/>
      <c r="S15162" s="183"/>
      <c r="AJ15162" s="183"/>
      <c r="AK15162" s="183"/>
      <c r="AL15162" s="183"/>
    </row>
    <row r="15163" spans="1:38">
      <c r="A15163" s="182"/>
      <c r="Q15163" s="183"/>
      <c r="R15163" s="183"/>
      <c r="S15163" s="183"/>
      <c r="AJ15163" s="183"/>
      <c r="AK15163" s="183"/>
      <c r="AL15163" s="183"/>
    </row>
    <row r="15164" spans="1:38">
      <c r="A15164" s="182"/>
      <c r="Q15164" s="183"/>
      <c r="R15164" s="183"/>
      <c r="S15164" s="183"/>
      <c r="AJ15164" s="183"/>
      <c r="AK15164" s="183"/>
      <c r="AL15164" s="183"/>
    </row>
    <row r="15165" spans="1:38">
      <c r="A15165" s="182"/>
      <c r="Q15165" s="183"/>
      <c r="R15165" s="183"/>
      <c r="S15165" s="183"/>
      <c r="AJ15165" s="183"/>
      <c r="AK15165" s="183"/>
      <c r="AL15165" s="183"/>
    </row>
    <row r="15166" spans="1:38">
      <c r="A15166" s="182"/>
      <c r="Q15166" s="183"/>
      <c r="R15166" s="183"/>
      <c r="S15166" s="183"/>
      <c r="AJ15166" s="183"/>
    </row>
    <row r="15167" spans="1:38">
      <c r="A15167" s="182"/>
      <c r="Q15167" s="183"/>
      <c r="R15167" s="183"/>
      <c r="S15167" s="183"/>
    </row>
    <row r="15168" spans="1:38">
      <c r="A15168" s="182"/>
      <c r="Q15168" s="183"/>
      <c r="R15168" s="183"/>
      <c r="S15168" s="183"/>
    </row>
    <row r="15169" spans="1:38">
      <c r="A15169" s="182"/>
      <c r="Q15169" s="183"/>
      <c r="R15169" s="183"/>
      <c r="S15169" s="183"/>
    </row>
    <row r="15170" spans="1:38">
      <c r="A15170" s="182"/>
      <c r="Q15170" s="183"/>
      <c r="R15170" s="183"/>
      <c r="S15170" s="183"/>
    </row>
    <row r="15171" spans="1:38">
      <c r="A15171" s="182"/>
      <c r="Q15171" s="183"/>
      <c r="R15171" s="183"/>
      <c r="S15171" s="183"/>
    </row>
    <row r="15172" spans="1:38">
      <c r="A15172" s="182"/>
      <c r="Q15172" s="183"/>
      <c r="R15172" s="183"/>
      <c r="S15172" s="183"/>
    </row>
    <row r="15173" spans="1:38">
      <c r="A15173" s="182"/>
      <c r="Q15173" s="183"/>
      <c r="R15173" s="183"/>
      <c r="S15173" s="183"/>
    </row>
    <row r="15174" spans="1:38">
      <c r="A15174" s="182"/>
      <c r="Q15174" s="183"/>
      <c r="R15174" s="183"/>
      <c r="S15174" s="183"/>
    </row>
    <row r="15175" spans="1:38">
      <c r="A15175" s="182"/>
      <c r="Q15175" s="183"/>
      <c r="R15175" s="183"/>
      <c r="S15175" s="183"/>
    </row>
    <row r="15176" spans="1:38">
      <c r="A15176" s="182"/>
      <c r="Q15176" s="183"/>
      <c r="R15176" s="183"/>
      <c r="S15176" s="183"/>
    </row>
    <row r="15177" spans="1:38">
      <c r="A15177" s="182"/>
      <c r="Q15177" s="183"/>
      <c r="R15177" s="183"/>
      <c r="S15177" s="183"/>
    </row>
    <row r="15178" spans="1:38">
      <c r="A15178" s="182"/>
      <c r="Q15178" s="183"/>
      <c r="R15178" s="183"/>
      <c r="S15178" s="183"/>
      <c r="AK15178" s="183"/>
      <c r="AL15178" s="183"/>
    </row>
    <row r="15179" spans="1:38">
      <c r="A15179" s="182"/>
      <c r="Q15179" s="183"/>
      <c r="R15179" s="183"/>
      <c r="S15179" s="183"/>
      <c r="AJ15179" s="183"/>
      <c r="AK15179" s="183"/>
      <c r="AL15179" s="183"/>
    </row>
    <row r="15180" spans="1:38">
      <c r="A15180" s="182"/>
      <c r="Q15180" s="183"/>
      <c r="R15180" s="183"/>
      <c r="S15180" s="183"/>
      <c r="AJ15180" s="183"/>
      <c r="AK15180" s="183"/>
      <c r="AL15180" s="183"/>
    </row>
    <row r="15181" spans="1:38">
      <c r="A15181" s="182"/>
      <c r="Q15181" s="183"/>
      <c r="R15181" s="183"/>
      <c r="S15181" s="183"/>
      <c r="AJ15181" s="183"/>
      <c r="AK15181" s="183"/>
      <c r="AL15181" s="183"/>
    </row>
    <row r="15182" spans="1:38">
      <c r="A15182" s="182"/>
      <c r="Q15182" s="183"/>
      <c r="R15182" s="183"/>
      <c r="S15182" s="183"/>
      <c r="AJ15182" s="183"/>
    </row>
    <row r="15183" spans="1:38">
      <c r="A15183" s="182"/>
      <c r="Q15183" s="183"/>
      <c r="R15183" s="183"/>
      <c r="S15183" s="183"/>
    </row>
    <row r="15184" spans="1:38">
      <c r="A15184" s="182"/>
      <c r="Q15184" s="183"/>
      <c r="R15184" s="183"/>
      <c r="S15184" s="183"/>
    </row>
    <row r="15185" spans="1:38">
      <c r="A15185" s="182"/>
      <c r="Q15185" s="183"/>
      <c r="R15185" s="183"/>
      <c r="S15185" s="183"/>
    </row>
    <row r="15186" spans="1:38">
      <c r="A15186" s="182"/>
      <c r="Q15186" s="183"/>
      <c r="R15186" s="183"/>
      <c r="S15186" s="183"/>
    </row>
    <row r="15187" spans="1:38">
      <c r="A15187" s="182"/>
      <c r="Q15187" s="183"/>
      <c r="R15187" s="183"/>
      <c r="S15187" s="183"/>
    </row>
    <row r="15188" spans="1:38">
      <c r="A15188" s="182"/>
      <c r="Q15188" s="183"/>
      <c r="R15188" s="183"/>
      <c r="S15188" s="183"/>
    </row>
    <row r="15189" spans="1:38">
      <c r="A15189" s="182"/>
      <c r="Q15189" s="183"/>
      <c r="R15189" s="183"/>
      <c r="S15189" s="183"/>
    </row>
    <row r="15190" spans="1:38">
      <c r="A15190" s="182"/>
      <c r="Q15190" s="183"/>
      <c r="R15190" s="183"/>
      <c r="S15190" s="183"/>
    </row>
    <row r="15191" spans="1:38">
      <c r="A15191" s="182"/>
      <c r="Q15191" s="183"/>
      <c r="R15191" s="183"/>
      <c r="S15191" s="183"/>
    </row>
    <row r="15192" spans="1:38">
      <c r="A15192" s="182"/>
      <c r="Q15192" s="183"/>
      <c r="R15192" s="183"/>
      <c r="S15192" s="183"/>
    </row>
    <row r="15193" spans="1:38">
      <c r="A15193" s="182"/>
      <c r="Q15193" s="183"/>
      <c r="R15193" s="183"/>
      <c r="S15193" s="183"/>
    </row>
    <row r="15194" spans="1:38">
      <c r="A15194" s="182"/>
      <c r="Q15194" s="183"/>
      <c r="R15194" s="183"/>
      <c r="S15194" s="183"/>
      <c r="AK15194" s="183"/>
      <c r="AL15194" s="183"/>
    </row>
    <row r="15195" spans="1:38">
      <c r="A15195" s="182"/>
      <c r="Q15195" s="183"/>
      <c r="R15195" s="183"/>
      <c r="S15195" s="183"/>
      <c r="AJ15195" s="183"/>
      <c r="AK15195" s="183"/>
      <c r="AL15195" s="183"/>
    </row>
    <row r="15196" spans="1:38">
      <c r="A15196" s="182"/>
      <c r="Q15196" s="183"/>
      <c r="R15196" s="183"/>
      <c r="S15196" s="183"/>
      <c r="AJ15196" s="183"/>
      <c r="AK15196" s="183"/>
      <c r="AL15196" s="183"/>
    </row>
    <row r="15197" spans="1:38">
      <c r="A15197" s="182"/>
      <c r="Q15197" s="183"/>
      <c r="R15197" s="183"/>
      <c r="S15197" s="183"/>
      <c r="AJ15197" s="183"/>
      <c r="AK15197" s="183"/>
      <c r="AL15197" s="183"/>
    </row>
    <row r="15198" spans="1:38">
      <c r="A15198" s="182"/>
      <c r="Q15198" s="183"/>
      <c r="R15198" s="183"/>
      <c r="S15198" s="183"/>
      <c r="AJ15198" s="183"/>
    </row>
    <row r="15199" spans="1:38">
      <c r="A15199" s="182"/>
      <c r="Q15199" s="183"/>
      <c r="R15199" s="183"/>
      <c r="S15199" s="183"/>
    </row>
    <row r="15200" spans="1:38">
      <c r="A15200" s="182"/>
      <c r="Q15200" s="183"/>
      <c r="R15200" s="183"/>
      <c r="S15200" s="183"/>
    </row>
    <row r="15201" spans="1:19">
      <c r="A15201" s="182"/>
      <c r="Q15201" s="183"/>
      <c r="R15201" s="183"/>
      <c r="S15201" s="183"/>
    </row>
    <row r="15202" spans="1:19">
      <c r="A15202" s="182"/>
      <c r="Q15202" s="183"/>
      <c r="R15202" s="183"/>
      <c r="S15202" s="183"/>
    </row>
    <row r="15203" spans="1:19">
      <c r="A15203" s="182"/>
      <c r="Q15203" s="183"/>
      <c r="R15203" s="183"/>
      <c r="S15203" s="183"/>
    </row>
    <row r="15204" spans="1:19">
      <c r="A15204" s="182"/>
      <c r="Q15204" s="183"/>
      <c r="R15204" s="183"/>
      <c r="S15204" s="183"/>
    </row>
    <row r="15205" spans="1:19">
      <c r="A15205" s="182"/>
      <c r="Q15205" s="183"/>
      <c r="R15205" s="183"/>
      <c r="S15205" s="183"/>
    </row>
    <row r="15206" spans="1:19">
      <c r="A15206" s="182"/>
      <c r="Q15206" s="183"/>
      <c r="R15206" s="183"/>
      <c r="S15206" s="183"/>
    </row>
    <row r="15207" spans="1:19">
      <c r="A15207" s="182"/>
      <c r="Q15207" s="183"/>
      <c r="R15207" s="183"/>
      <c r="S15207" s="183"/>
    </row>
    <row r="15208" spans="1:19">
      <c r="A15208" s="182"/>
      <c r="Q15208" s="183"/>
      <c r="R15208" s="183"/>
      <c r="S15208" s="183"/>
    </row>
    <row r="15209" spans="1:19">
      <c r="A15209" s="182"/>
      <c r="Q15209" s="183"/>
      <c r="R15209" s="183"/>
      <c r="S15209" s="183"/>
    </row>
    <row r="15210" spans="1:19">
      <c r="A15210" s="182"/>
      <c r="Q15210" s="183"/>
      <c r="R15210" s="183"/>
      <c r="S15210" s="183"/>
    </row>
    <row r="15211" spans="1:19">
      <c r="A15211" s="182"/>
      <c r="Q15211" s="183"/>
      <c r="R15211" s="183"/>
      <c r="S15211" s="183"/>
    </row>
    <row r="15212" spans="1:19">
      <c r="A15212" s="182"/>
      <c r="Q15212" s="183"/>
      <c r="R15212" s="183"/>
      <c r="S15212" s="183"/>
    </row>
    <row r="15213" spans="1:19">
      <c r="A15213" s="182"/>
      <c r="Q15213" s="183"/>
      <c r="R15213" s="183"/>
      <c r="S15213" s="183"/>
    </row>
    <row r="15214" spans="1:19">
      <c r="A15214" s="182"/>
      <c r="Q15214" s="183"/>
      <c r="R15214" s="183"/>
      <c r="S15214" s="183"/>
    </row>
    <row r="15215" spans="1:19">
      <c r="A15215" s="182"/>
      <c r="Q15215" s="183"/>
      <c r="R15215" s="183"/>
      <c r="S15215" s="183"/>
    </row>
    <row r="15216" spans="1:19">
      <c r="A15216" s="182"/>
      <c r="Q15216" s="183"/>
      <c r="R15216" s="183"/>
      <c r="S15216" s="183"/>
    </row>
    <row r="15217" spans="1:38">
      <c r="A15217" s="182"/>
      <c r="Q15217" s="183"/>
      <c r="R15217" s="183"/>
      <c r="S15217" s="183"/>
    </row>
    <row r="15218" spans="1:38">
      <c r="A15218" s="182"/>
      <c r="Q15218" s="183"/>
      <c r="R15218" s="183"/>
      <c r="S15218" s="183"/>
    </row>
    <row r="15219" spans="1:38">
      <c r="A15219" s="182"/>
      <c r="Q15219" s="183"/>
      <c r="R15219" s="183"/>
      <c r="S15219" s="183"/>
    </row>
    <row r="15220" spans="1:38">
      <c r="A15220" s="182"/>
      <c r="Q15220" s="183"/>
      <c r="R15220" s="183"/>
      <c r="S15220" s="183"/>
    </row>
    <row r="15221" spans="1:38">
      <c r="A15221" s="182"/>
      <c r="Q15221" s="183"/>
      <c r="R15221" s="183"/>
      <c r="S15221" s="183"/>
    </row>
    <row r="15222" spans="1:38">
      <c r="A15222" s="182"/>
      <c r="Q15222" s="183"/>
      <c r="R15222" s="183"/>
      <c r="S15222" s="183"/>
      <c r="AK15222" s="183"/>
      <c r="AL15222" s="183"/>
    </row>
    <row r="15223" spans="1:38">
      <c r="A15223" s="182"/>
      <c r="Q15223" s="183"/>
      <c r="R15223" s="183"/>
      <c r="S15223" s="183"/>
      <c r="AJ15223" s="183"/>
      <c r="AK15223" s="183"/>
      <c r="AL15223" s="183"/>
    </row>
    <row r="15224" spans="1:38">
      <c r="A15224" s="182"/>
      <c r="Q15224" s="183"/>
      <c r="R15224" s="183"/>
      <c r="S15224" s="183"/>
      <c r="AJ15224" s="183"/>
      <c r="AK15224" s="183"/>
      <c r="AL15224" s="183"/>
    </row>
    <row r="15225" spans="1:38">
      <c r="A15225" s="182"/>
      <c r="Q15225" s="183"/>
      <c r="R15225" s="183"/>
      <c r="S15225" s="183"/>
      <c r="AJ15225" s="183"/>
      <c r="AK15225" s="183"/>
      <c r="AL15225" s="183"/>
    </row>
    <row r="15226" spans="1:38">
      <c r="A15226" s="182"/>
      <c r="Q15226" s="183"/>
      <c r="R15226" s="183"/>
      <c r="S15226" s="183"/>
      <c r="AJ15226" s="183"/>
    </row>
    <row r="15227" spans="1:38">
      <c r="A15227" s="182"/>
      <c r="Q15227" s="183"/>
      <c r="R15227" s="183"/>
      <c r="S15227" s="183"/>
    </row>
    <row r="15228" spans="1:38">
      <c r="A15228" s="182"/>
      <c r="Q15228" s="183"/>
      <c r="R15228" s="183"/>
      <c r="S15228" s="183"/>
    </row>
    <row r="15229" spans="1:38">
      <c r="A15229" s="182"/>
      <c r="Q15229" s="183"/>
      <c r="R15229" s="183"/>
      <c r="S15229" s="183"/>
    </row>
    <row r="15230" spans="1:38">
      <c r="A15230" s="182"/>
      <c r="Q15230" s="183"/>
      <c r="R15230" s="183"/>
      <c r="S15230" s="183"/>
    </row>
    <row r="15231" spans="1:38">
      <c r="A15231" s="182"/>
      <c r="Q15231" s="183"/>
      <c r="R15231" s="183"/>
      <c r="S15231" s="183"/>
    </row>
    <row r="15232" spans="1:38">
      <c r="A15232" s="182"/>
      <c r="Q15232" s="183"/>
      <c r="R15232" s="183"/>
      <c r="S15232" s="183"/>
    </row>
    <row r="15233" spans="1:19">
      <c r="A15233" s="182"/>
      <c r="Q15233" s="183"/>
      <c r="R15233" s="183"/>
      <c r="S15233" s="183"/>
    </row>
    <row r="15234" spans="1:19">
      <c r="A15234" s="182"/>
      <c r="Q15234" s="183"/>
      <c r="R15234" s="183"/>
      <c r="S15234" s="183"/>
    </row>
    <row r="15235" spans="1:19">
      <c r="A15235" s="182"/>
      <c r="Q15235" s="183"/>
      <c r="R15235" s="183"/>
      <c r="S15235" s="183"/>
    </row>
    <row r="15236" spans="1:19">
      <c r="A15236" s="182"/>
      <c r="Q15236" s="183"/>
      <c r="R15236" s="183"/>
      <c r="S15236" s="183"/>
    </row>
    <row r="15237" spans="1:19">
      <c r="A15237" s="182"/>
      <c r="Q15237" s="183"/>
      <c r="R15237" s="183"/>
      <c r="S15237" s="183"/>
    </row>
    <row r="15238" spans="1:19">
      <c r="A15238" s="182"/>
      <c r="Q15238" s="183"/>
      <c r="R15238" s="183"/>
      <c r="S15238" s="183"/>
    </row>
    <row r="15239" spans="1:19">
      <c r="A15239" s="182"/>
      <c r="Q15239" s="183"/>
      <c r="R15239" s="183"/>
      <c r="S15239" s="183"/>
    </row>
    <row r="15240" spans="1:19">
      <c r="A15240" s="182"/>
      <c r="Q15240" s="183"/>
      <c r="R15240" s="183"/>
      <c r="S15240" s="183"/>
    </row>
    <row r="15241" spans="1:19">
      <c r="A15241" s="182"/>
      <c r="Q15241" s="183"/>
      <c r="R15241" s="183"/>
      <c r="S15241" s="183"/>
    </row>
    <row r="15242" spans="1:19">
      <c r="A15242" s="182"/>
      <c r="Q15242" s="183"/>
      <c r="R15242" s="183"/>
      <c r="S15242" s="183"/>
    </row>
    <row r="15243" spans="1:19">
      <c r="A15243" s="182"/>
      <c r="Q15243" s="183"/>
      <c r="R15243" s="183"/>
      <c r="S15243" s="183"/>
    </row>
    <row r="15244" spans="1:19">
      <c r="A15244" s="182"/>
      <c r="Q15244" s="183"/>
      <c r="R15244" s="183"/>
      <c r="S15244" s="183"/>
    </row>
    <row r="15245" spans="1:19">
      <c r="A15245" s="182"/>
      <c r="Q15245" s="183"/>
      <c r="R15245" s="183"/>
      <c r="S15245" s="183"/>
    </row>
    <row r="15246" spans="1:19">
      <c r="A15246" s="182"/>
      <c r="Q15246" s="183"/>
      <c r="R15246" s="183"/>
      <c r="S15246" s="183"/>
    </row>
    <row r="15247" spans="1:19">
      <c r="A15247" s="182"/>
      <c r="M15247" s="183"/>
      <c r="N15247" s="183"/>
      <c r="Q15247" s="183"/>
      <c r="R15247" s="183"/>
      <c r="S15247" s="183"/>
    </row>
    <row r="15248" spans="1:19">
      <c r="A15248" s="182"/>
      <c r="L15248" s="183"/>
      <c r="Q15248" s="183"/>
      <c r="R15248" s="183"/>
      <c r="S15248" s="183"/>
    </row>
    <row r="15249" spans="1:38">
      <c r="A15249" s="182"/>
      <c r="Q15249" s="183"/>
      <c r="R15249" s="183"/>
      <c r="S15249" s="183"/>
    </row>
    <row r="15250" spans="1:38">
      <c r="A15250" s="182"/>
      <c r="Q15250" s="183"/>
      <c r="R15250" s="183"/>
      <c r="S15250" s="183"/>
    </row>
    <row r="15251" spans="1:38">
      <c r="A15251" s="182"/>
      <c r="Q15251" s="183"/>
      <c r="R15251" s="183"/>
      <c r="S15251" s="183"/>
    </row>
    <row r="15252" spans="1:38">
      <c r="A15252" s="182"/>
      <c r="Q15252" s="183"/>
      <c r="R15252" s="183"/>
      <c r="S15252" s="183"/>
    </row>
    <row r="15253" spans="1:38">
      <c r="A15253" s="182"/>
      <c r="Q15253" s="183"/>
      <c r="R15253" s="183"/>
      <c r="S15253" s="183"/>
    </row>
    <row r="15254" spans="1:38">
      <c r="A15254" s="182"/>
      <c r="Q15254" s="183"/>
      <c r="R15254" s="183"/>
      <c r="S15254" s="183"/>
    </row>
    <row r="15255" spans="1:38">
      <c r="A15255" s="182"/>
      <c r="Q15255" s="183"/>
      <c r="R15255" s="183"/>
      <c r="S15255" s="183"/>
    </row>
    <row r="15256" spans="1:38">
      <c r="A15256" s="182"/>
      <c r="Q15256" s="183"/>
      <c r="R15256" s="183"/>
      <c r="S15256" s="183"/>
    </row>
    <row r="15257" spans="1:38">
      <c r="A15257" s="182"/>
      <c r="Q15257" s="183"/>
      <c r="R15257" s="183"/>
      <c r="S15257" s="183"/>
    </row>
    <row r="15258" spans="1:38">
      <c r="A15258" s="182"/>
      <c r="Q15258" s="183"/>
      <c r="R15258" s="183"/>
      <c r="S15258" s="183"/>
      <c r="AK15258" s="183"/>
      <c r="AL15258" s="183"/>
    </row>
    <row r="15259" spans="1:38">
      <c r="A15259" s="182"/>
      <c r="Q15259" s="183"/>
      <c r="R15259" s="183"/>
      <c r="S15259" s="183"/>
      <c r="AJ15259" s="183"/>
      <c r="AK15259" s="183"/>
      <c r="AL15259" s="183"/>
    </row>
    <row r="15260" spans="1:38">
      <c r="A15260" s="182"/>
      <c r="Q15260" s="183"/>
      <c r="R15260" s="183"/>
      <c r="S15260" s="183"/>
      <c r="AJ15260" s="183"/>
      <c r="AK15260" s="183"/>
      <c r="AL15260" s="183"/>
    </row>
    <row r="15261" spans="1:38">
      <c r="A15261" s="182"/>
      <c r="Q15261" s="183"/>
      <c r="R15261" s="183"/>
      <c r="S15261" s="183"/>
      <c r="AJ15261" s="183"/>
      <c r="AK15261" s="183"/>
      <c r="AL15261" s="183"/>
    </row>
    <row r="15262" spans="1:38">
      <c r="A15262" s="182"/>
      <c r="Q15262" s="183"/>
      <c r="R15262" s="183"/>
      <c r="S15262" s="183"/>
      <c r="AJ15262" s="183"/>
    </row>
    <row r="15263" spans="1:38">
      <c r="A15263" s="182"/>
      <c r="Q15263" s="183"/>
      <c r="R15263" s="183"/>
      <c r="S15263" s="183"/>
    </row>
    <row r="15264" spans="1:38">
      <c r="A15264" s="182"/>
      <c r="Q15264" s="183"/>
      <c r="R15264" s="183"/>
      <c r="S15264" s="183"/>
    </row>
    <row r="15265" spans="1:38">
      <c r="A15265" s="182"/>
      <c r="Q15265" s="183"/>
      <c r="R15265" s="183"/>
      <c r="S15265" s="183"/>
    </row>
    <row r="15266" spans="1:38">
      <c r="A15266" s="182"/>
      <c r="Q15266" s="183"/>
      <c r="R15266" s="183"/>
      <c r="S15266" s="183"/>
    </row>
    <row r="15267" spans="1:38">
      <c r="A15267" s="182"/>
      <c r="Q15267" s="183"/>
      <c r="R15267" s="183"/>
      <c r="S15267" s="183"/>
    </row>
    <row r="15268" spans="1:38">
      <c r="A15268" s="182"/>
      <c r="Q15268" s="183"/>
      <c r="R15268" s="183"/>
      <c r="S15268" s="183"/>
    </row>
    <row r="15269" spans="1:38">
      <c r="A15269" s="182"/>
      <c r="Q15269" s="183"/>
      <c r="R15269" s="183"/>
      <c r="S15269" s="183"/>
    </row>
    <row r="15270" spans="1:38">
      <c r="A15270" s="182"/>
      <c r="Q15270" s="183"/>
      <c r="R15270" s="183"/>
      <c r="S15270" s="183"/>
    </row>
    <row r="15271" spans="1:38">
      <c r="A15271" s="182"/>
      <c r="Q15271" s="183"/>
      <c r="R15271" s="183"/>
      <c r="S15271" s="183"/>
    </row>
    <row r="15272" spans="1:38">
      <c r="A15272" s="182"/>
      <c r="Q15272" s="183"/>
      <c r="R15272" s="183"/>
      <c r="S15272" s="183"/>
    </row>
    <row r="15273" spans="1:38">
      <c r="A15273" s="182"/>
      <c r="Q15273" s="183"/>
      <c r="R15273" s="183"/>
      <c r="S15273" s="183"/>
    </row>
    <row r="15274" spans="1:38">
      <c r="A15274" s="182"/>
      <c r="Q15274" s="183"/>
      <c r="R15274" s="183"/>
      <c r="S15274" s="183"/>
      <c r="AK15274" s="183"/>
      <c r="AL15274" s="183"/>
    </row>
    <row r="15275" spans="1:38">
      <c r="A15275" s="182"/>
      <c r="Q15275" s="183"/>
      <c r="R15275" s="183"/>
      <c r="S15275" s="183"/>
      <c r="AJ15275" s="183"/>
      <c r="AK15275" s="183"/>
      <c r="AL15275" s="183"/>
    </row>
    <row r="15276" spans="1:38">
      <c r="A15276" s="182"/>
      <c r="Q15276" s="183"/>
      <c r="R15276" s="183"/>
      <c r="S15276" s="183"/>
      <c r="AJ15276" s="183"/>
      <c r="AK15276" s="183"/>
      <c r="AL15276" s="183"/>
    </row>
    <row r="15277" spans="1:38">
      <c r="A15277" s="182"/>
      <c r="Q15277" s="183"/>
      <c r="R15277" s="183"/>
      <c r="S15277" s="183"/>
      <c r="AJ15277" s="183"/>
      <c r="AK15277" s="183"/>
      <c r="AL15277" s="183"/>
    </row>
    <row r="15278" spans="1:38">
      <c r="A15278" s="182"/>
      <c r="Q15278" s="183"/>
      <c r="R15278" s="183"/>
      <c r="S15278" s="183"/>
      <c r="AJ15278" s="183"/>
      <c r="AK15278" s="183"/>
      <c r="AL15278" s="183"/>
    </row>
    <row r="15279" spans="1:38">
      <c r="A15279" s="182"/>
      <c r="Q15279" s="183"/>
      <c r="R15279" s="183"/>
      <c r="S15279" s="183"/>
      <c r="AJ15279" s="183"/>
      <c r="AK15279" s="183"/>
      <c r="AL15279" s="183"/>
    </row>
    <row r="15280" spans="1:38">
      <c r="A15280" s="182"/>
      <c r="Q15280" s="183"/>
      <c r="R15280" s="183"/>
      <c r="S15280" s="183"/>
      <c r="AJ15280" s="183"/>
      <c r="AK15280" s="183"/>
      <c r="AL15280" s="183"/>
    </row>
    <row r="15281" spans="1:38">
      <c r="A15281" s="182"/>
      <c r="Q15281" s="183"/>
      <c r="R15281" s="183"/>
      <c r="S15281" s="183"/>
      <c r="AJ15281" s="183"/>
      <c r="AK15281" s="183"/>
      <c r="AL15281" s="183"/>
    </row>
    <row r="15282" spans="1:38">
      <c r="A15282" s="182"/>
      <c r="Q15282" s="183"/>
      <c r="R15282" s="183"/>
      <c r="S15282" s="183"/>
      <c r="AJ15282" s="183"/>
    </row>
    <row r="15283" spans="1:38">
      <c r="A15283" s="182"/>
      <c r="Q15283" s="183"/>
      <c r="R15283" s="183"/>
      <c r="S15283" s="183"/>
    </row>
    <row r="15284" spans="1:38">
      <c r="A15284" s="182"/>
      <c r="Q15284" s="183"/>
      <c r="R15284" s="183"/>
      <c r="S15284" s="183"/>
    </row>
    <row r="15285" spans="1:38">
      <c r="A15285" s="182"/>
      <c r="Q15285" s="183"/>
      <c r="R15285" s="183"/>
      <c r="S15285" s="183"/>
    </row>
    <row r="15286" spans="1:38">
      <c r="A15286" s="182"/>
      <c r="Q15286" s="183"/>
      <c r="R15286" s="183"/>
      <c r="S15286" s="183"/>
      <c r="AK15286" s="183"/>
      <c r="AL15286" s="183"/>
    </row>
    <row r="15287" spans="1:38">
      <c r="A15287" s="182"/>
      <c r="Q15287" s="183"/>
      <c r="R15287" s="183"/>
      <c r="S15287" s="183"/>
      <c r="AJ15287" s="183"/>
      <c r="AK15287" s="183"/>
      <c r="AL15287" s="183"/>
    </row>
    <row r="15288" spans="1:38">
      <c r="A15288" s="182"/>
      <c r="Q15288" s="183"/>
      <c r="R15288" s="183"/>
      <c r="S15288" s="183"/>
      <c r="AJ15288" s="183"/>
      <c r="AK15288" s="183"/>
      <c r="AL15288" s="183"/>
    </row>
    <row r="15289" spans="1:38">
      <c r="A15289" s="182"/>
      <c r="Q15289" s="183"/>
      <c r="R15289" s="183"/>
      <c r="S15289" s="183"/>
      <c r="AJ15289" s="183"/>
      <c r="AK15289" s="183"/>
      <c r="AL15289" s="183"/>
    </row>
    <row r="15290" spans="1:38">
      <c r="A15290" s="182"/>
      <c r="Q15290" s="183"/>
      <c r="R15290" s="183"/>
      <c r="S15290" s="183"/>
      <c r="AJ15290" s="183"/>
    </row>
    <row r="15291" spans="1:38">
      <c r="A15291" s="182"/>
      <c r="Q15291" s="183"/>
      <c r="R15291" s="183"/>
      <c r="S15291" s="183"/>
    </row>
    <row r="15292" spans="1:38">
      <c r="A15292" s="182"/>
      <c r="Q15292" s="183"/>
      <c r="R15292" s="183"/>
      <c r="S15292" s="183"/>
    </row>
    <row r="15293" spans="1:38">
      <c r="A15293" s="182"/>
      <c r="Q15293" s="183"/>
      <c r="R15293" s="183"/>
      <c r="S15293" s="183"/>
    </row>
    <row r="15294" spans="1:38">
      <c r="A15294" s="182"/>
      <c r="Q15294" s="183"/>
      <c r="R15294" s="183"/>
      <c r="S15294" s="183"/>
    </row>
    <row r="15295" spans="1:38">
      <c r="A15295" s="182"/>
      <c r="Q15295" s="183"/>
      <c r="R15295" s="183"/>
      <c r="S15295" s="183"/>
    </row>
    <row r="15296" spans="1:38">
      <c r="A15296" s="182"/>
      <c r="Q15296" s="183"/>
      <c r="R15296" s="183"/>
      <c r="S15296" s="183"/>
    </row>
    <row r="15297" spans="1:19">
      <c r="A15297" s="182"/>
      <c r="Q15297" s="183"/>
      <c r="R15297" s="183"/>
      <c r="S15297" s="183"/>
    </row>
    <row r="15298" spans="1:19">
      <c r="A15298" s="182"/>
      <c r="Q15298" s="183"/>
      <c r="R15298" s="183"/>
      <c r="S15298" s="183"/>
    </row>
    <row r="15299" spans="1:19">
      <c r="A15299" s="182"/>
      <c r="Q15299" s="183"/>
      <c r="R15299" s="183"/>
      <c r="S15299" s="183"/>
    </row>
    <row r="15300" spans="1:19">
      <c r="A15300" s="182"/>
      <c r="Q15300" s="183"/>
      <c r="R15300" s="183"/>
      <c r="S15300" s="183"/>
    </row>
    <row r="15301" spans="1:19">
      <c r="A15301" s="182"/>
      <c r="Q15301" s="183"/>
      <c r="R15301" s="183"/>
      <c r="S15301" s="183"/>
    </row>
    <row r="15302" spans="1:19">
      <c r="A15302" s="182"/>
      <c r="Q15302" s="183"/>
      <c r="R15302" s="183"/>
      <c r="S15302" s="183"/>
    </row>
    <row r="15303" spans="1:19">
      <c r="A15303" s="182"/>
      <c r="Q15303" s="183"/>
      <c r="R15303" s="183"/>
      <c r="S15303" s="183"/>
    </row>
    <row r="15304" spans="1:19">
      <c r="A15304" s="182"/>
      <c r="Q15304" s="183"/>
      <c r="R15304" s="183"/>
      <c r="S15304" s="183"/>
    </row>
    <row r="15305" spans="1:19">
      <c r="A15305" s="182"/>
      <c r="Q15305" s="183"/>
      <c r="R15305" s="183"/>
      <c r="S15305" s="183"/>
    </row>
    <row r="15306" spans="1:19">
      <c r="A15306" s="182"/>
      <c r="Q15306" s="183"/>
      <c r="R15306" s="183"/>
      <c r="S15306" s="183"/>
    </row>
    <row r="15307" spans="1:19">
      <c r="A15307" s="182"/>
      <c r="Q15307" s="183"/>
      <c r="R15307" s="183"/>
      <c r="S15307" s="183"/>
    </row>
    <row r="15308" spans="1:19">
      <c r="A15308" s="182"/>
      <c r="Q15308" s="183"/>
      <c r="R15308" s="183"/>
      <c r="S15308" s="183"/>
    </row>
    <row r="15309" spans="1:19">
      <c r="A15309" s="182"/>
      <c r="Q15309" s="183"/>
      <c r="R15309" s="183"/>
      <c r="S15309" s="183"/>
    </row>
    <row r="15310" spans="1:19">
      <c r="A15310" s="182"/>
      <c r="Q15310" s="183"/>
      <c r="R15310" s="183"/>
      <c r="S15310" s="183"/>
    </row>
    <row r="15311" spans="1:19">
      <c r="A15311" s="182"/>
      <c r="Q15311" s="183"/>
      <c r="R15311" s="183"/>
      <c r="S15311" s="183"/>
    </row>
    <row r="15312" spans="1:19">
      <c r="A15312" s="182"/>
      <c r="Q15312" s="183"/>
      <c r="R15312" s="183"/>
      <c r="S15312" s="183"/>
    </row>
    <row r="15313" spans="1:19">
      <c r="A15313" s="182"/>
      <c r="Q15313" s="183"/>
      <c r="R15313" s="183"/>
      <c r="S15313" s="183"/>
    </row>
    <row r="15314" spans="1:19">
      <c r="A15314" s="182"/>
      <c r="Q15314" s="183"/>
      <c r="R15314" s="183"/>
      <c r="S15314" s="183"/>
    </row>
    <row r="15315" spans="1:19">
      <c r="A15315" s="182"/>
      <c r="Q15315" s="183"/>
      <c r="R15315" s="183"/>
      <c r="S15315" s="183"/>
    </row>
    <row r="15316" spans="1:19">
      <c r="A15316" s="182"/>
      <c r="Q15316" s="183"/>
      <c r="R15316" s="183"/>
      <c r="S15316" s="183"/>
    </row>
    <row r="15317" spans="1:19">
      <c r="A15317" s="182"/>
      <c r="Q15317" s="183"/>
      <c r="R15317" s="183"/>
      <c r="S15317" s="183"/>
    </row>
    <row r="15318" spans="1:19">
      <c r="A15318" s="182"/>
      <c r="Q15318" s="183"/>
      <c r="R15318" s="183"/>
      <c r="S15318" s="183"/>
    </row>
    <row r="15319" spans="1:19">
      <c r="A15319" s="182"/>
      <c r="Q15319" s="183"/>
      <c r="R15319" s="183"/>
      <c r="S15319" s="183"/>
    </row>
    <row r="15320" spans="1:19">
      <c r="A15320" s="182"/>
      <c r="Q15320" s="183"/>
      <c r="R15320" s="183"/>
      <c r="S15320" s="183"/>
    </row>
    <row r="15321" spans="1:19">
      <c r="A15321" s="182"/>
      <c r="Q15321" s="183"/>
      <c r="R15321" s="183"/>
      <c r="S15321" s="183"/>
    </row>
    <row r="15322" spans="1:19">
      <c r="A15322" s="182"/>
      <c r="Q15322" s="183"/>
      <c r="R15322" s="183"/>
      <c r="S15322" s="183"/>
    </row>
    <row r="15323" spans="1:19">
      <c r="A15323" s="182"/>
      <c r="Q15323" s="183"/>
      <c r="R15323" s="183"/>
      <c r="S15323" s="183"/>
    </row>
    <row r="15324" spans="1:19">
      <c r="A15324" s="182"/>
      <c r="Q15324" s="183"/>
      <c r="R15324" s="183"/>
      <c r="S15324" s="183"/>
    </row>
    <row r="15325" spans="1:19">
      <c r="A15325" s="182"/>
      <c r="Q15325" s="183"/>
      <c r="R15325" s="183"/>
      <c r="S15325" s="183"/>
    </row>
    <row r="15326" spans="1:19">
      <c r="A15326" s="182"/>
      <c r="Q15326" s="183"/>
      <c r="R15326" s="183"/>
      <c r="S15326" s="183"/>
    </row>
    <row r="15327" spans="1:19">
      <c r="A15327" s="182"/>
      <c r="Q15327" s="183"/>
      <c r="R15327" s="183"/>
      <c r="S15327" s="183"/>
    </row>
    <row r="15328" spans="1:19">
      <c r="A15328" s="182"/>
      <c r="Q15328" s="183"/>
      <c r="R15328" s="183"/>
      <c r="S15328" s="183"/>
    </row>
    <row r="15329" spans="1:19">
      <c r="A15329" s="182"/>
      <c r="Q15329" s="183"/>
      <c r="R15329" s="183"/>
      <c r="S15329" s="183"/>
    </row>
    <row r="15330" spans="1:19">
      <c r="A15330" s="182"/>
      <c r="Q15330" s="183"/>
      <c r="R15330" s="183"/>
      <c r="S15330" s="183"/>
    </row>
    <row r="15331" spans="1:19">
      <c r="A15331" s="182"/>
      <c r="Q15331" s="183"/>
      <c r="R15331" s="183"/>
      <c r="S15331" s="183"/>
    </row>
    <row r="15332" spans="1:19">
      <c r="A15332" s="182"/>
      <c r="Q15332" s="183"/>
      <c r="R15332" s="183"/>
      <c r="S15332" s="183"/>
    </row>
    <row r="15333" spans="1:19">
      <c r="A15333" s="182"/>
      <c r="Q15333" s="183"/>
      <c r="R15333" s="183"/>
      <c r="S15333" s="183"/>
    </row>
    <row r="15334" spans="1:19">
      <c r="A15334" s="182"/>
      <c r="Q15334" s="183"/>
      <c r="R15334" s="183"/>
      <c r="S15334" s="183"/>
    </row>
    <row r="15335" spans="1:19">
      <c r="A15335" s="182"/>
      <c r="Q15335" s="183"/>
      <c r="R15335" s="183"/>
      <c r="S15335" s="183"/>
    </row>
    <row r="15336" spans="1:19">
      <c r="A15336" s="182"/>
      <c r="Q15336" s="183"/>
      <c r="R15336" s="183"/>
      <c r="S15336" s="183"/>
    </row>
    <row r="15337" spans="1:19">
      <c r="A15337" s="182"/>
      <c r="Q15337" s="183"/>
      <c r="R15337" s="183"/>
      <c r="S15337" s="183"/>
    </row>
    <row r="15338" spans="1:19">
      <c r="A15338" s="182"/>
      <c r="Q15338" s="183"/>
      <c r="R15338" s="183"/>
      <c r="S15338" s="183"/>
    </row>
    <row r="15339" spans="1:19">
      <c r="A15339" s="182"/>
      <c r="Q15339" s="183"/>
      <c r="R15339" s="183"/>
      <c r="S15339" s="183"/>
    </row>
    <row r="15340" spans="1:19">
      <c r="A15340" s="182"/>
      <c r="Q15340" s="183"/>
      <c r="R15340" s="183"/>
      <c r="S15340" s="183"/>
    </row>
    <row r="15341" spans="1:19">
      <c r="A15341" s="182"/>
      <c r="Q15341" s="183"/>
      <c r="R15341" s="183"/>
      <c r="S15341" s="183"/>
    </row>
    <row r="15342" spans="1:19">
      <c r="A15342" s="182"/>
      <c r="Q15342" s="183"/>
      <c r="R15342" s="183"/>
      <c r="S15342" s="183"/>
    </row>
    <row r="15343" spans="1:19">
      <c r="A15343" s="182"/>
      <c r="Q15343" s="183"/>
      <c r="R15343" s="183"/>
      <c r="S15343" s="183"/>
    </row>
    <row r="15344" spans="1:19">
      <c r="A15344" s="182"/>
      <c r="Q15344" s="183"/>
      <c r="R15344" s="183"/>
      <c r="S15344" s="183"/>
    </row>
    <row r="15345" spans="1:38">
      <c r="A15345" s="182"/>
      <c r="Q15345" s="183"/>
      <c r="R15345" s="183"/>
      <c r="S15345" s="183"/>
    </row>
    <row r="15346" spans="1:38">
      <c r="A15346" s="182"/>
      <c r="Q15346" s="183"/>
      <c r="R15346" s="183"/>
      <c r="S15346" s="183"/>
    </row>
    <row r="15347" spans="1:38">
      <c r="A15347" s="182"/>
      <c r="Q15347" s="183"/>
      <c r="R15347" s="183"/>
      <c r="S15347" s="183"/>
    </row>
    <row r="15348" spans="1:38">
      <c r="A15348" s="182"/>
      <c r="Q15348" s="183"/>
      <c r="R15348" s="183"/>
      <c r="S15348" s="183"/>
    </row>
    <row r="15349" spans="1:38">
      <c r="A15349" s="182"/>
      <c r="Q15349" s="183"/>
      <c r="R15349" s="183"/>
      <c r="S15349" s="183"/>
    </row>
    <row r="15350" spans="1:38">
      <c r="A15350" s="182"/>
      <c r="Q15350" s="183"/>
      <c r="R15350" s="183"/>
      <c r="S15350" s="183"/>
    </row>
    <row r="15351" spans="1:38">
      <c r="A15351" s="182"/>
      <c r="Q15351" s="183"/>
      <c r="R15351" s="183"/>
      <c r="S15351" s="183"/>
    </row>
    <row r="15352" spans="1:38">
      <c r="A15352" s="182"/>
      <c r="Q15352" s="183"/>
      <c r="R15352" s="183"/>
      <c r="S15352" s="183"/>
    </row>
    <row r="15353" spans="1:38">
      <c r="A15353" s="182"/>
      <c r="Q15353" s="183"/>
      <c r="R15353" s="183"/>
      <c r="S15353" s="183"/>
    </row>
    <row r="15354" spans="1:38">
      <c r="A15354" s="182"/>
      <c r="Q15354" s="183"/>
      <c r="R15354" s="183"/>
      <c r="S15354" s="183"/>
    </row>
    <row r="15355" spans="1:38">
      <c r="A15355" s="182"/>
      <c r="Q15355" s="183"/>
      <c r="R15355" s="183"/>
      <c r="S15355" s="183"/>
    </row>
    <row r="15356" spans="1:38">
      <c r="A15356" s="182"/>
      <c r="Q15356" s="183"/>
      <c r="R15356" s="183"/>
      <c r="S15356" s="183"/>
    </row>
    <row r="15357" spans="1:38">
      <c r="A15357" s="182"/>
      <c r="Q15357" s="183"/>
      <c r="R15357" s="183"/>
      <c r="S15357" s="183"/>
      <c r="AK15357" s="183"/>
      <c r="AL15357" s="183"/>
    </row>
    <row r="15358" spans="1:38">
      <c r="A15358" s="182"/>
      <c r="Q15358" s="183"/>
      <c r="R15358" s="183"/>
      <c r="S15358" s="183"/>
      <c r="AJ15358" s="183"/>
      <c r="AK15358" s="183"/>
      <c r="AL15358" s="183"/>
    </row>
    <row r="15359" spans="1:38">
      <c r="A15359" s="182"/>
      <c r="Q15359" s="183"/>
      <c r="R15359" s="183"/>
      <c r="S15359" s="183"/>
      <c r="AJ15359" s="183"/>
      <c r="AK15359" s="183"/>
      <c r="AL15359" s="183"/>
    </row>
    <row r="15360" spans="1:38">
      <c r="A15360" s="182"/>
      <c r="Q15360" s="183"/>
      <c r="R15360" s="183"/>
      <c r="S15360" s="183"/>
      <c r="AJ15360" s="183"/>
      <c r="AK15360" s="183"/>
      <c r="AL15360" s="183"/>
    </row>
    <row r="15361" spans="1:38">
      <c r="A15361" s="182"/>
      <c r="Q15361" s="183"/>
      <c r="R15361" s="183"/>
      <c r="S15361" s="183"/>
      <c r="AJ15361" s="183"/>
      <c r="AK15361" s="183"/>
      <c r="AL15361" s="183"/>
    </row>
    <row r="15362" spans="1:38">
      <c r="A15362" s="182"/>
      <c r="Q15362" s="183"/>
      <c r="R15362" s="183"/>
      <c r="S15362" s="183"/>
      <c r="AJ15362" s="183"/>
      <c r="AK15362" s="183"/>
      <c r="AL15362" s="183"/>
    </row>
    <row r="15363" spans="1:38">
      <c r="A15363" s="182"/>
      <c r="Q15363" s="183"/>
      <c r="R15363" s="183"/>
      <c r="S15363" s="183"/>
      <c r="AJ15363" s="183"/>
      <c r="AK15363" s="183"/>
      <c r="AL15363" s="183"/>
    </row>
    <row r="15364" spans="1:38">
      <c r="A15364" s="182"/>
      <c r="Q15364" s="183"/>
      <c r="R15364" s="183"/>
      <c r="S15364" s="183"/>
      <c r="AJ15364" s="183"/>
      <c r="AK15364" s="183"/>
      <c r="AL15364" s="183"/>
    </row>
    <row r="15365" spans="1:38">
      <c r="A15365" s="182"/>
      <c r="Q15365" s="183"/>
      <c r="R15365" s="183"/>
      <c r="S15365" s="183"/>
      <c r="AJ15365" s="183"/>
      <c r="AK15365" s="183"/>
      <c r="AL15365" s="183"/>
    </row>
    <row r="15366" spans="1:38">
      <c r="A15366" s="182"/>
      <c r="Q15366" s="183"/>
      <c r="R15366" s="183"/>
      <c r="S15366" s="183"/>
      <c r="AJ15366" s="183"/>
      <c r="AK15366" s="183"/>
      <c r="AL15366" s="183"/>
    </row>
    <row r="15367" spans="1:38">
      <c r="A15367" s="182"/>
      <c r="Q15367" s="183"/>
      <c r="R15367" s="183"/>
      <c r="S15367" s="183"/>
      <c r="AJ15367" s="183"/>
      <c r="AK15367" s="183"/>
      <c r="AL15367" s="183"/>
    </row>
    <row r="15368" spans="1:38">
      <c r="A15368" s="182"/>
      <c r="Q15368" s="183"/>
      <c r="R15368" s="183"/>
      <c r="S15368" s="183"/>
      <c r="AJ15368" s="183"/>
      <c r="AK15368" s="183"/>
      <c r="AL15368" s="183"/>
    </row>
    <row r="15369" spans="1:38">
      <c r="A15369" s="182"/>
      <c r="Q15369" s="183"/>
      <c r="R15369" s="183"/>
      <c r="S15369" s="183"/>
      <c r="AJ15369" s="183"/>
      <c r="AK15369" s="183"/>
      <c r="AL15369" s="183"/>
    </row>
    <row r="15370" spans="1:38">
      <c r="A15370" s="182"/>
      <c r="Q15370" s="183"/>
      <c r="R15370" s="183"/>
      <c r="S15370" s="183"/>
      <c r="AJ15370" s="183"/>
      <c r="AK15370" s="183"/>
      <c r="AL15370" s="183"/>
    </row>
    <row r="15371" spans="1:38">
      <c r="A15371" s="182"/>
      <c r="Q15371" s="183"/>
      <c r="R15371" s="183"/>
      <c r="S15371" s="183"/>
      <c r="AJ15371" s="183"/>
      <c r="AK15371" s="183"/>
      <c r="AL15371" s="183"/>
    </row>
    <row r="15372" spans="1:38">
      <c r="A15372" s="182"/>
      <c r="Q15372" s="183"/>
      <c r="R15372" s="183"/>
      <c r="S15372" s="183"/>
      <c r="AJ15372" s="183"/>
      <c r="AK15372" s="183"/>
      <c r="AL15372" s="183"/>
    </row>
    <row r="15373" spans="1:38">
      <c r="A15373" s="182"/>
      <c r="Q15373" s="183"/>
      <c r="R15373" s="183"/>
      <c r="S15373" s="183"/>
      <c r="AJ15373" s="183"/>
      <c r="AK15373" s="183"/>
      <c r="AL15373" s="183"/>
    </row>
    <row r="15374" spans="1:38">
      <c r="A15374" s="182"/>
      <c r="Q15374" s="183"/>
      <c r="R15374" s="183"/>
      <c r="S15374" s="183"/>
      <c r="AJ15374" s="183"/>
      <c r="AK15374" s="183"/>
      <c r="AL15374" s="183"/>
    </row>
    <row r="15375" spans="1:38">
      <c r="A15375" s="182"/>
      <c r="Q15375" s="183"/>
      <c r="R15375" s="183"/>
      <c r="S15375" s="183"/>
      <c r="AJ15375" s="183"/>
      <c r="AK15375" s="183"/>
      <c r="AL15375" s="183"/>
    </row>
    <row r="15376" spans="1:38">
      <c r="A15376" s="182"/>
      <c r="Q15376" s="183"/>
      <c r="R15376" s="183"/>
      <c r="S15376" s="183"/>
      <c r="AJ15376" s="183"/>
      <c r="AK15376" s="183"/>
      <c r="AL15376" s="183"/>
    </row>
    <row r="15377" spans="1:38">
      <c r="A15377" s="182"/>
      <c r="Q15377" s="183"/>
      <c r="R15377" s="183"/>
      <c r="S15377" s="183"/>
      <c r="AJ15377" s="183"/>
      <c r="AK15377" s="183"/>
      <c r="AL15377" s="183"/>
    </row>
    <row r="15378" spans="1:38">
      <c r="A15378" s="182"/>
      <c r="Q15378" s="183"/>
      <c r="R15378" s="183"/>
      <c r="S15378" s="183"/>
      <c r="AJ15378" s="183"/>
      <c r="AK15378" s="183"/>
      <c r="AL15378" s="183"/>
    </row>
    <row r="15379" spans="1:38">
      <c r="A15379" s="182"/>
      <c r="Q15379" s="183"/>
      <c r="R15379" s="183"/>
      <c r="S15379" s="183"/>
      <c r="AJ15379" s="183"/>
      <c r="AK15379" s="183"/>
      <c r="AL15379" s="183"/>
    </row>
    <row r="15380" spans="1:38">
      <c r="A15380" s="182"/>
      <c r="Q15380" s="183"/>
      <c r="R15380" s="183"/>
      <c r="S15380" s="183"/>
      <c r="AJ15380" s="183"/>
      <c r="AK15380" s="183"/>
      <c r="AL15380" s="183"/>
    </row>
    <row r="15381" spans="1:38">
      <c r="A15381" s="182"/>
      <c r="Q15381" s="183"/>
      <c r="R15381" s="183"/>
      <c r="S15381" s="183"/>
      <c r="AJ15381" s="183"/>
      <c r="AK15381" s="183"/>
      <c r="AL15381" s="183"/>
    </row>
    <row r="15382" spans="1:38">
      <c r="A15382" s="182"/>
      <c r="Q15382" s="183"/>
      <c r="R15382" s="183"/>
      <c r="S15382" s="183"/>
      <c r="AJ15382" s="183"/>
      <c r="AK15382" s="183"/>
      <c r="AL15382" s="183"/>
    </row>
    <row r="15383" spans="1:38">
      <c r="A15383" s="182"/>
      <c r="Q15383" s="183"/>
      <c r="R15383" s="183"/>
      <c r="S15383" s="183"/>
      <c r="AJ15383" s="183"/>
      <c r="AK15383" s="183"/>
      <c r="AL15383" s="183"/>
    </row>
    <row r="15384" spans="1:38">
      <c r="A15384" s="182"/>
      <c r="Q15384" s="183"/>
      <c r="R15384" s="183"/>
      <c r="S15384" s="183"/>
      <c r="AJ15384" s="183"/>
      <c r="AK15384" s="183"/>
      <c r="AL15384" s="183"/>
    </row>
    <row r="15385" spans="1:38">
      <c r="A15385" s="182"/>
      <c r="Q15385" s="183"/>
      <c r="R15385" s="183"/>
      <c r="S15385" s="183"/>
      <c r="AJ15385" s="183"/>
    </row>
    <row r="15386" spans="1:38">
      <c r="A15386" s="182"/>
      <c r="Q15386" s="183"/>
      <c r="R15386" s="183"/>
      <c r="S15386" s="183"/>
    </row>
    <row r="15387" spans="1:38">
      <c r="A15387" s="182"/>
      <c r="Q15387" s="183"/>
      <c r="R15387" s="183"/>
      <c r="S15387" s="183"/>
    </row>
    <row r="15388" spans="1:38">
      <c r="A15388" s="182"/>
      <c r="Q15388" s="183"/>
      <c r="R15388" s="183"/>
      <c r="S15388" s="183"/>
    </row>
    <row r="15389" spans="1:38">
      <c r="A15389" s="182"/>
      <c r="Q15389" s="183"/>
      <c r="R15389" s="183"/>
      <c r="S15389" s="183"/>
    </row>
    <row r="15390" spans="1:38">
      <c r="A15390" s="182"/>
      <c r="Q15390" s="183"/>
      <c r="R15390" s="183"/>
      <c r="S15390" s="183"/>
    </row>
    <row r="15391" spans="1:38">
      <c r="A15391" s="182"/>
      <c r="Q15391" s="183"/>
      <c r="R15391" s="183"/>
      <c r="S15391" s="183"/>
    </row>
    <row r="15392" spans="1:38">
      <c r="A15392" s="182"/>
      <c r="Q15392" s="183"/>
      <c r="R15392" s="183"/>
      <c r="S15392" s="183"/>
    </row>
    <row r="15393" spans="1:38">
      <c r="A15393" s="182"/>
      <c r="Q15393" s="183"/>
      <c r="R15393" s="183"/>
      <c r="S15393" s="183"/>
    </row>
    <row r="15394" spans="1:38">
      <c r="A15394" s="182"/>
      <c r="Q15394" s="183"/>
      <c r="R15394" s="183"/>
      <c r="S15394" s="183"/>
    </row>
    <row r="15395" spans="1:38">
      <c r="A15395" s="182"/>
      <c r="Q15395" s="183"/>
      <c r="R15395" s="183"/>
      <c r="S15395" s="183"/>
    </row>
    <row r="15396" spans="1:38">
      <c r="A15396" s="182"/>
      <c r="Q15396" s="183"/>
      <c r="R15396" s="183"/>
      <c r="S15396" s="183"/>
    </row>
    <row r="15397" spans="1:38">
      <c r="A15397" s="182"/>
      <c r="Q15397" s="183"/>
      <c r="R15397" s="183"/>
      <c r="S15397" s="183"/>
    </row>
    <row r="15398" spans="1:38">
      <c r="A15398" s="182"/>
      <c r="Q15398" s="183"/>
      <c r="R15398" s="183"/>
      <c r="S15398" s="183"/>
    </row>
    <row r="15399" spans="1:38">
      <c r="A15399" s="182"/>
      <c r="Q15399" s="183"/>
      <c r="R15399" s="183"/>
      <c r="S15399" s="183"/>
    </row>
    <row r="15400" spans="1:38">
      <c r="A15400" s="182"/>
      <c r="Q15400" s="183"/>
      <c r="R15400" s="183"/>
      <c r="S15400" s="183"/>
    </row>
    <row r="15401" spans="1:38">
      <c r="A15401" s="182"/>
      <c r="Q15401" s="183"/>
      <c r="R15401" s="183"/>
      <c r="S15401" s="183"/>
      <c r="AK15401" s="183"/>
      <c r="AL15401" s="183"/>
    </row>
    <row r="15402" spans="1:38">
      <c r="A15402" s="182"/>
      <c r="Q15402" s="183"/>
      <c r="R15402" s="183"/>
      <c r="S15402" s="183"/>
      <c r="AJ15402" s="183"/>
      <c r="AK15402" s="183"/>
      <c r="AL15402" s="183"/>
    </row>
    <row r="15403" spans="1:38">
      <c r="A15403" s="182"/>
      <c r="Q15403" s="183"/>
      <c r="R15403" s="183"/>
      <c r="S15403" s="183"/>
      <c r="AJ15403" s="183"/>
      <c r="AK15403" s="183"/>
      <c r="AL15403" s="183"/>
    </row>
    <row r="15404" spans="1:38">
      <c r="A15404" s="182"/>
      <c r="Q15404" s="183"/>
      <c r="R15404" s="183"/>
      <c r="S15404" s="183"/>
      <c r="AJ15404" s="183"/>
      <c r="AK15404" s="183"/>
      <c r="AL15404" s="183"/>
    </row>
    <row r="15405" spans="1:38">
      <c r="A15405" s="182"/>
      <c r="Q15405" s="183"/>
      <c r="R15405" s="183"/>
      <c r="S15405" s="183"/>
      <c r="AJ15405" s="183"/>
      <c r="AK15405" s="183"/>
      <c r="AL15405" s="183"/>
    </row>
    <row r="15406" spans="1:38">
      <c r="A15406" s="182"/>
      <c r="Q15406" s="183"/>
      <c r="R15406" s="183"/>
      <c r="S15406" s="183"/>
      <c r="AJ15406" s="183"/>
      <c r="AK15406" s="183"/>
      <c r="AL15406" s="183"/>
    </row>
    <row r="15407" spans="1:38">
      <c r="A15407" s="182"/>
      <c r="Q15407" s="183"/>
      <c r="R15407" s="183"/>
      <c r="S15407" s="183"/>
      <c r="AJ15407" s="183"/>
      <c r="AK15407" s="183"/>
      <c r="AL15407" s="183"/>
    </row>
    <row r="15408" spans="1:38">
      <c r="A15408" s="182"/>
      <c r="Q15408" s="183"/>
      <c r="R15408" s="183"/>
      <c r="S15408" s="183"/>
      <c r="AJ15408" s="183"/>
      <c r="AK15408" s="183"/>
      <c r="AL15408" s="183"/>
    </row>
    <row r="15409" spans="1:36">
      <c r="A15409" s="182"/>
      <c r="Q15409" s="183"/>
      <c r="R15409" s="183"/>
      <c r="S15409" s="183"/>
      <c r="AJ15409" s="183"/>
    </row>
    <row r="15410" spans="1:36">
      <c r="A15410" s="182"/>
      <c r="Q15410" s="183"/>
      <c r="R15410" s="183"/>
      <c r="S15410" s="183"/>
    </row>
    <row r="15411" spans="1:36">
      <c r="A15411" s="182"/>
      <c r="Q15411" s="183"/>
      <c r="R15411" s="183"/>
      <c r="S15411" s="183"/>
    </row>
    <row r="15412" spans="1:36">
      <c r="A15412" s="182"/>
      <c r="Q15412" s="183"/>
      <c r="R15412" s="183"/>
      <c r="S15412" s="183"/>
    </row>
    <row r="15413" spans="1:36">
      <c r="A15413" s="182"/>
      <c r="Q15413" s="183"/>
      <c r="R15413" s="183"/>
      <c r="S15413" s="183"/>
    </row>
    <row r="15414" spans="1:36">
      <c r="A15414" s="182"/>
      <c r="Q15414" s="183"/>
      <c r="R15414" s="183"/>
      <c r="S15414" s="183"/>
    </row>
    <row r="15415" spans="1:36">
      <c r="A15415" s="182"/>
      <c r="Q15415" s="183"/>
      <c r="R15415" s="183"/>
      <c r="S15415" s="183"/>
    </row>
    <row r="15416" spans="1:36">
      <c r="A15416" s="182"/>
      <c r="Q15416" s="183"/>
      <c r="R15416" s="183"/>
      <c r="S15416" s="183"/>
    </row>
    <row r="15417" spans="1:36">
      <c r="A15417" s="182"/>
      <c r="Q15417" s="183"/>
      <c r="R15417" s="183"/>
      <c r="S15417" s="183"/>
    </row>
    <row r="15418" spans="1:36">
      <c r="A15418" s="182"/>
      <c r="Q15418" s="183"/>
      <c r="R15418" s="183"/>
      <c r="S15418" s="183"/>
    </row>
    <row r="15419" spans="1:36">
      <c r="A15419" s="182"/>
      <c r="Q15419" s="183"/>
      <c r="R15419" s="183"/>
      <c r="S15419" s="183"/>
    </row>
    <row r="15420" spans="1:36">
      <c r="A15420" s="182"/>
      <c r="Q15420" s="183"/>
      <c r="R15420" s="183"/>
      <c r="S15420" s="183"/>
    </row>
    <row r="15421" spans="1:36">
      <c r="A15421" s="182"/>
      <c r="Q15421" s="183"/>
      <c r="R15421" s="183"/>
      <c r="S15421" s="183"/>
    </row>
    <row r="15422" spans="1:36">
      <c r="A15422" s="182"/>
      <c r="Q15422" s="183"/>
      <c r="R15422" s="183"/>
      <c r="S15422" s="183"/>
    </row>
    <row r="15423" spans="1:36">
      <c r="A15423" s="182"/>
      <c r="Q15423" s="183"/>
      <c r="R15423" s="183"/>
      <c r="S15423" s="183"/>
    </row>
    <row r="15424" spans="1:36">
      <c r="A15424" s="182"/>
      <c r="Q15424" s="183"/>
      <c r="R15424" s="183"/>
      <c r="S15424" s="183"/>
    </row>
    <row r="15425" spans="1:38">
      <c r="A15425" s="182"/>
      <c r="Q15425" s="183"/>
      <c r="R15425" s="183"/>
      <c r="S15425" s="183"/>
      <c r="AK15425" s="183"/>
      <c r="AL15425" s="183"/>
    </row>
    <row r="15426" spans="1:38">
      <c r="A15426" s="182"/>
      <c r="Q15426" s="183"/>
      <c r="R15426" s="183"/>
      <c r="S15426" s="183"/>
      <c r="AJ15426" s="183"/>
      <c r="AK15426" s="183"/>
      <c r="AL15426" s="183"/>
    </row>
    <row r="15427" spans="1:38">
      <c r="A15427" s="182"/>
      <c r="Q15427" s="183"/>
      <c r="R15427" s="183"/>
      <c r="S15427" s="183"/>
      <c r="AJ15427" s="183"/>
      <c r="AK15427" s="183"/>
      <c r="AL15427" s="183"/>
    </row>
    <row r="15428" spans="1:38">
      <c r="A15428" s="182"/>
      <c r="Q15428" s="183"/>
      <c r="R15428" s="183"/>
      <c r="S15428" s="183"/>
      <c r="AJ15428" s="183"/>
      <c r="AK15428" s="183"/>
      <c r="AL15428" s="183"/>
    </row>
    <row r="15429" spans="1:38">
      <c r="A15429" s="182"/>
      <c r="Q15429" s="183"/>
      <c r="R15429" s="183"/>
      <c r="S15429" s="183"/>
      <c r="AJ15429" s="183"/>
    </row>
    <row r="15430" spans="1:38">
      <c r="A15430" s="182"/>
      <c r="Q15430" s="183"/>
      <c r="R15430" s="183"/>
      <c r="S15430" s="183"/>
    </row>
    <row r="15431" spans="1:38">
      <c r="A15431" s="182"/>
      <c r="Q15431" s="183"/>
      <c r="R15431" s="183"/>
      <c r="S15431" s="183"/>
    </row>
    <row r="15432" spans="1:38">
      <c r="A15432" s="182"/>
      <c r="Q15432" s="183"/>
      <c r="R15432" s="183"/>
      <c r="S15432" s="183"/>
    </row>
    <row r="15433" spans="1:38">
      <c r="A15433" s="182"/>
      <c r="Q15433" s="183"/>
      <c r="R15433" s="183"/>
      <c r="S15433" s="183"/>
    </row>
    <row r="15434" spans="1:38">
      <c r="A15434" s="182"/>
      <c r="Q15434" s="183"/>
      <c r="R15434" s="183"/>
      <c r="S15434" s="183"/>
    </row>
    <row r="15435" spans="1:38">
      <c r="A15435" s="182"/>
      <c r="Q15435" s="183"/>
      <c r="R15435" s="183"/>
      <c r="S15435" s="183"/>
    </row>
    <row r="15436" spans="1:38">
      <c r="A15436" s="182"/>
      <c r="Q15436" s="183"/>
      <c r="R15436" s="183"/>
      <c r="S15436" s="183"/>
    </row>
    <row r="15437" spans="1:38">
      <c r="A15437" s="182"/>
      <c r="Q15437" s="183"/>
      <c r="R15437" s="183"/>
      <c r="S15437" s="183"/>
    </row>
    <row r="15438" spans="1:38">
      <c r="A15438" s="182"/>
      <c r="Q15438" s="183"/>
      <c r="R15438" s="183"/>
      <c r="S15438" s="183"/>
    </row>
    <row r="15439" spans="1:38">
      <c r="A15439" s="182"/>
      <c r="Q15439" s="183"/>
      <c r="R15439" s="183"/>
      <c r="S15439" s="183"/>
    </row>
    <row r="15440" spans="1:38">
      <c r="A15440" s="182"/>
      <c r="Q15440" s="183"/>
      <c r="R15440" s="183"/>
      <c r="S15440" s="183"/>
    </row>
    <row r="15441" spans="1:38">
      <c r="A15441" s="182"/>
      <c r="Q15441" s="183"/>
      <c r="R15441" s="183"/>
      <c r="S15441" s="183"/>
    </row>
    <row r="15442" spans="1:38">
      <c r="A15442" s="182"/>
      <c r="Q15442" s="183"/>
      <c r="R15442" s="183"/>
      <c r="S15442" s="183"/>
    </row>
    <row r="15443" spans="1:38">
      <c r="A15443" s="182"/>
      <c r="Q15443" s="183"/>
      <c r="R15443" s="183"/>
      <c r="S15443" s="183"/>
    </row>
    <row r="15444" spans="1:38">
      <c r="A15444" s="182"/>
      <c r="Q15444" s="183"/>
      <c r="R15444" s="183"/>
      <c r="S15444" s="183"/>
    </row>
    <row r="15445" spans="1:38">
      <c r="A15445" s="182"/>
      <c r="Q15445" s="183"/>
      <c r="R15445" s="183"/>
      <c r="S15445" s="183"/>
      <c r="AK15445" s="183"/>
      <c r="AL15445" s="183"/>
    </row>
    <row r="15446" spans="1:38">
      <c r="A15446" s="182"/>
      <c r="Q15446" s="183"/>
      <c r="R15446" s="183"/>
      <c r="S15446" s="183"/>
      <c r="AJ15446" s="183"/>
      <c r="AK15446" s="183"/>
      <c r="AL15446" s="183"/>
    </row>
    <row r="15447" spans="1:38">
      <c r="A15447" s="182"/>
      <c r="Q15447" s="183"/>
      <c r="R15447" s="183"/>
      <c r="S15447" s="183"/>
      <c r="AJ15447" s="183"/>
      <c r="AK15447" s="183"/>
      <c r="AL15447" s="183"/>
    </row>
    <row r="15448" spans="1:38">
      <c r="A15448" s="182"/>
      <c r="Q15448" s="183"/>
      <c r="R15448" s="183"/>
      <c r="S15448" s="183"/>
      <c r="AJ15448" s="183"/>
      <c r="AK15448" s="183"/>
      <c r="AL15448" s="183"/>
    </row>
    <row r="15449" spans="1:38">
      <c r="A15449" s="182"/>
      <c r="Q15449" s="183"/>
      <c r="R15449" s="183"/>
      <c r="S15449" s="183"/>
      <c r="AJ15449" s="183"/>
    </row>
    <row r="15450" spans="1:38">
      <c r="A15450" s="182"/>
      <c r="Q15450" s="183"/>
      <c r="R15450" s="183"/>
      <c r="S15450" s="183"/>
    </row>
    <row r="15451" spans="1:38">
      <c r="A15451" s="182"/>
      <c r="Q15451" s="183"/>
      <c r="R15451" s="183"/>
      <c r="S15451" s="183"/>
    </row>
    <row r="15452" spans="1:38">
      <c r="A15452" s="182"/>
      <c r="Q15452" s="183"/>
      <c r="R15452" s="183"/>
      <c r="S15452" s="183"/>
    </row>
    <row r="15453" spans="1:38">
      <c r="A15453" s="182"/>
      <c r="Q15453" s="183"/>
      <c r="R15453" s="183"/>
      <c r="S15453" s="183"/>
    </row>
    <row r="15454" spans="1:38">
      <c r="A15454" s="182"/>
      <c r="Q15454" s="183"/>
      <c r="R15454" s="183"/>
      <c r="S15454" s="183"/>
    </row>
    <row r="15455" spans="1:38">
      <c r="A15455" s="182"/>
      <c r="Q15455" s="183"/>
      <c r="R15455" s="183"/>
      <c r="S15455" s="183"/>
    </row>
    <row r="15456" spans="1:38">
      <c r="A15456" s="182"/>
      <c r="Q15456" s="183"/>
      <c r="R15456" s="183"/>
      <c r="S15456" s="183"/>
    </row>
    <row r="15457" spans="1:38">
      <c r="A15457" s="182"/>
      <c r="Q15457" s="183"/>
      <c r="R15457" s="183"/>
      <c r="S15457" s="183"/>
      <c r="AK15457" s="183"/>
      <c r="AL15457" s="183"/>
    </row>
    <row r="15458" spans="1:38">
      <c r="A15458" s="182"/>
      <c r="Q15458" s="183"/>
      <c r="R15458" s="183"/>
      <c r="S15458" s="183"/>
      <c r="AJ15458" s="183"/>
      <c r="AK15458" s="183"/>
      <c r="AL15458" s="183"/>
    </row>
    <row r="15459" spans="1:38">
      <c r="A15459" s="182"/>
      <c r="Q15459" s="183"/>
      <c r="R15459" s="183"/>
      <c r="S15459" s="183"/>
      <c r="AJ15459" s="183"/>
      <c r="AK15459" s="183"/>
      <c r="AL15459" s="183"/>
    </row>
    <row r="15460" spans="1:38">
      <c r="A15460" s="182"/>
      <c r="Q15460" s="183"/>
      <c r="R15460" s="183"/>
      <c r="S15460" s="183"/>
      <c r="AJ15460" s="183"/>
      <c r="AK15460" s="183"/>
      <c r="AL15460" s="183"/>
    </row>
    <row r="15461" spans="1:38">
      <c r="A15461" s="182"/>
      <c r="Q15461" s="183"/>
      <c r="R15461" s="183"/>
      <c r="S15461" s="183"/>
      <c r="AJ15461" s="183"/>
    </row>
    <row r="15462" spans="1:38">
      <c r="A15462" s="182"/>
      <c r="Q15462" s="183"/>
      <c r="R15462" s="183"/>
      <c r="S15462" s="183"/>
    </row>
    <row r="15463" spans="1:38">
      <c r="A15463" s="182"/>
      <c r="Q15463" s="183"/>
      <c r="R15463" s="183"/>
      <c r="S15463" s="183"/>
    </row>
    <row r="15464" spans="1:38">
      <c r="A15464" s="182"/>
      <c r="Q15464" s="183"/>
      <c r="R15464" s="183"/>
      <c r="S15464" s="183"/>
    </row>
    <row r="15465" spans="1:38">
      <c r="A15465" s="182"/>
      <c r="Q15465" s="183"/>
      <c r="R15465" s="183"/>
      <c r="S15465" s="183"/>
    </row>
    <row r="15466" spans="1:38">
      <c r="A15466" s="182"/>
      <c r="Q15466" s="183"/>
      <c r="R15466" s="183"/>
      <c r="S15466" s="183"/>
    </row>
    <row r="15467" spans="1:38">
      <c r="A15467" s="182"/>
      <c r="Q15467" s="183"/>
      <c r="R15467" s="183"/>
      <c r="S15467" s="183"/>
    </row>
    <row r="15468" spans="1:38">
      <c r="A15468" s="182"/>
      <c r="Q15468" s="183"/>
      <c r="R15468" s="183"/>
      <c r="S15468" s="183"/>
    </row>
    <row r="15469" spans="1:38">
      <c r="A15469" s="182"/>
      <c r="Q15469" s="183"/>
      <c r="R15469" s="183"/>
      <c r="S15469" s="183"/>
      <c r="AK15469" s="183"/>
      <c r="AL15469" s="183"/>
    </row>
    <row r="15470" spans="1:38">
      <c r="A15470" s="182"/>
      <c r="Q15470" s="183"/>
      <c r="R15470" s="183"/>
      <c r="S15470" s="183"/>
      <c r="AJ15470" s="183"/>
      <c r="AK15470" s="183"/>
      <c r="AL15470" s="183"/>
    </row>
    <row r="15471" spans="1:38">
      <c r="A15471" s="182"/>
      <c r="Q15471" s="183"/>
      <c r="R15471" s="183"/>
      <c r="S15471" s="183"/>
      <c r="AJ15471" s="183"/>
      <c r="AK15471" s="183"/>
      <c r="AL15471" s="183"/>
    </row>
    <row r="15472" spans="1:38">
      <c r="A15472" s="182"/>
      <c r="Q15472" s="183"/>
      <c r="R15472" s="183"/>
      <c r="S15472" s="183"/>
      <c r="AJ15472" s="183"/>
      <c r="AK15472" s="183"/>
      <c r="AL15472" s="183"/>
    </row>
    <row r="15473" spans="1:38">
      <c r="A15473" s="182"/>
      <c r="Q15473" s="183"/>
      <c r="R15473" s="183"/>
      <c r="S15473" s="183"/>
      <c r="AJ15473" s="183"/>
      <c r="AK15473" s="183"/>
      <c r="AL15473" s="183"/>
    </row>
    <row r="15474" spans="1:38">
      <c r="A15474" s="182"/>
      <c r="Q15474" s="183"/>
      <c r="R15474" s="183"/>
      <c r="S15474" s="183"/>
      <c r="AJ15474" s="183"/>
      <c r="AK15474" s="183"/>
      <c r="AL15474" s="183"/>
    </row>
    <row r="15475" spans="1:38">
      <c r="A15475" s="182"/>
      <c r="Q15475" s="183"/>
      <c r="R15475" s="183"/>
      <c r="S15475" s="183"/>
      <c r="AJ15475" s="183"/>
      <c r="AK15475" s="183"/>
      <c r="AL15475" s="183"/>
    </row>
    <row r="15476" spans="1:38">
      <c r="A15476" s="182"/>
      <c r="Q15476" s="183"/>
      <c r="R15476" s="183"/>
      <c r="S15476" s="183"/>
      <c r="AJ15476" s="183"/>
      <c r="AK15476" s="183"/>
      <c r="AL15476" s="183"/>
    </row>
    <row r="15477" spans="1:38">
      <c r="A15477" s="182"/>
      <c r="Q15477" s="183"/>
      <c r="R15477" s="183"/>
      <c r="S15477" s="183"/>
      <c r="AJ15477" s="183"/>
    </row>
    <row r="15478" spans="1:38">
      <c r="A15478" s="182"/>
      <c r="Q15478" s="183"/>
      <c r="R15478" s="183"/>
      <c r="S15478" s="183"/>
    </row>
    <row r="15479" spans="1:38">
      <c r="A15479" s="182"/>
      <c r="Q15479" s="183"/>
      <c r="R15479" s="183"/>
      <c r="S15479" s="183"/>
    </row>
    <row r="15480" spans="1:38">
      <c r="A15480" s="182"/>
      <c r="Q15480" s="183"/>
      <c r="R15480" s="183"/>
      <c r="S15480" s="183"/>
    </row>
    <row r="15481" spans="1:38">
      <c r="A15481" s="182"/>
      <c r="Q15481" s="183"/>
      <c r="R15481" s="183"/>
      <c r="S15481" s="183"/>
    </row>
    <row r="15482" spans="1:38">
      <c r="A15482" s="182"/>
      <c r="Q15482" s="183"/>
      <c r="R15482" s="183"/>
      <c r="S15482" s="183"/>
    </row>
    <row r="15483" spans="1:38">
      <c r="A15483" s="182"/>
      <c r="Q15483" s="183"/>
      <c r="R15483" s="183"/>
      <c r="S15483" s="183"/>
    </row>
    <row r="15484" spans="1:38">
      <c r="A15484" s="182"/>
      <c r="Q15484" s="183"/>
      <c r="R15484" s="183"/>
      <c r="S15484" s="183"/>
    </row>
    <row r="15485" spans="1:38">
      <c r="A15485" s="182"/>
      <c r="Q15485" s="183"/>
      <c r="R15485" s="183"/>
      <c r="S15485" s="183"/>
    </row>
    <row r="15486" spans="1:38">
      <c r="A15486" s="182"/>
      <c r="Q15486" s="183"/>
      <c r="R15486" s="183"/>
      <c r="S15486" s="183"/>
    </row>
    <row r="15487" spans="1:38">
      <c r="A15487" s="182"/>
      <c r="Q15487" s="183"/>
      <c r="R15487" s="183"/>
      <c r="S15487" s="183"/>
    </row>
    <row r="15488" spans="1:38">
      <c r="A15488" s="182"/>
      <c r="Q15488" s="183"/>
      <c r="R15488" s="183"/>
      <c r="S15488" s="183"/>
    </row>
    <row r="15489" spans="1:19">
      <c r="A15489" s="182"/>
      <c r="Q15489" s="183"/>
      <c r="R15489" s="183"/>
      <c r="S15489" s="183"/>
    </row>
    <row r="15490" spans="1:19">
      <c r="A15490" s="182"/>
      <c r="Q15490" s="183"/>
      <c r="R15490" s="183"/>
      <c r="S15490" s="183"/>
    </row>
    <row r="15491" spans="1:19">
      <c r="A15491" s="182"/>
      <c r="Q15491" s="183"/>
      <c r="R15491" s="183"/>
      <c r="S15491" s="183"/>
    </row>
    <row r="15492" spans="1:19">
      <c r="A15492" s="182"/>
      <c r="Q15492" s="183"/>
      <c r="R15492" s="183"/>
      <c r="S15492" s="183"/>
    </row>
    <row r="15493" spans="1:19">
      <c r="A15493" s="182"/>
      <c r="Q15493" s="183"/>
      <c r="R15493" s="183"/>
      <c r="S15493" s="183"/>
    </row>
    <row r="15494" spans="1:19">
      <c r="A15494" s="182"/>
      <c r="Q15494" s="183"/>
      <c r="R15494" s="183"/>
      <c r="S15494" s="183"/>
    </row>
    <row r="15495" spans="1:19">
      <c r="A15495" s="182"/>
      <c r="Q15495" s="183"/>
      <c r="R15495" s="183"/>
      <c r="S15495" s="183"/>
    </row>
    <row r="15496" spans="1:19">
      <c r="A15496" s="182"/>
      <c r="Q15496" s="183"/>
      <c r="R15496" s="183"/>
      <c r="S15496" s="183"/>
    </row>
    <row r="15497" spans="1:19">
      <c r="A15497" s="182"/>
      <c r="Q15497" s="183"/>
      <c r="R15497" s="183"/>
      <c r="S15497" s="183"/>
    </row>
    <row r="15498" spans="1:19">
      <c r="A15498" s="182"/>
      <c r="Q15498" s="183"/>
      <c r="R15498" s="183"/>
      <c r="S15498" s="183"/>
    </row>
    <row r="15499" spans="1:19">
      <c r="A15499" s="182"/>
      <c r="Q15499" s="183"/>
      <c r="R15499" s="183"/>
      <c r="S15499" s="183"/>
    </row>
    <row r="15500" spans="1:19">
      <c r="A15500" s="182"/>
      <c r="Q15500" s="183"/>
      <c r="R15500" s="183"/>
      <c r="S15500" s="183"/>
    </row>
    <row r="15501" spans="1:19">
      <c r="A15501" s="182"/>
      <c r="Q15501" s="183"/>
      <c r="R15501" s="183"/>
      <c r="S15501" s="183"/>
    </row>
    <row r="15502" spans="1:19">
      <c r="A15502" s="182"/>
      <c r="Q15502" s="183"/>
      <c r="R15502" s="183"/>
      <c r="S15502" s="183"/>
    </row>
    <row r="15503" spans="1:19">
      <c r="A15503" s="182"/>
      <c r="Q15503" s="183"/>
      <c r="R15503" s="183"/>
      <c r="S15503" s="183"/>
    </row>
    <row r="15504" spans="1:19">
      <c r="A15504" s="182"/>
      <c r="Q15504" s="183"/>
      <c r="R15504" s="183"/>
      <c r="S15504" s="183"/>
    </row>
    <row r="15505" spans="1:19">
      <c r="A15505" s="182"/>
      <c r="Q15505" s="183"/>
      <c r="R15505" s="183"/>
      <c r="S15505" s="183"/>
    </row>
    <row r="15506" spans="1:19">
      <c r="A15506" s="182"/>
      <c r="Q15506" s="183"/>
      <c r="R15506" s="183"/>
      <c r="S15506" s="183"/>
    </row>
    <row r="15507" spans="1:19">
      <c r="A15507" s="182"/>
      <c r="Q15507" s="183"/>
      <c r="R15507" s="183"/>
      <c r="S15507" s="183"/>
    </row>
    <row r="15508" spans="1:19">
      <c r="A15508" s="182"/>
      <c r="Q15508" s="183"/>
      <c r="R15508" s="183"/>
      <c r="S15508" s="183"/>
    </row>
    <row r="15509" spans="1:19">
      <c r="A15509" s="182"/>
      <c r="Q15509" s="183"/>
      <c r="R15509" s="183"/>
      <c r="S15509" s="183"/>
    </row>
    <row r="15510" spans="1:19">
      <c r="A15510" s="182"/>
      <c r="Q15510" s="183"/>
      <c r="R15510" s="183"/>
      <c r="S15510" s="183"/>
    </row>
    <row r="15511" spans="1:19">
      <c r="A15511" s="182"/>
      <c r="Q15511" s="183"/>
      <c r="R15511" s="183"/>
      <c r="S15511" s="183"/>
    </row>
    <row r="15512" spans="1:19">
      <c r="A15512" s="182"/>
      <c r="Q15512" s="183"/>
      <c r="R15512" s="183"/>
      <c r="S15512" s="183"/>
    </row>
    <row r="15513" spans="1:19">
      <c r="A15513" s="182"/>
      <c r="Q15513" s="183"/>
      <c r="R15513" s="183"/>
      <c r="S15513" s="183"/>
    </row>
    <row r="15514" spans="1:19">
      <c r="A15514" s="182"/>
      <c r="Q15514" s="183"/>
      <c r="R15514" s="183"/>
      <c r="S15514" s="183"/>
    </row>
    <row r="15515" spans="1:19">
      <c r="A15515" s="182"/>
      <c r="Q15515" s="183"/>
      <c r="R15515" s="183"/>
      <c r="S15515" s="183"/>
    </row>
    <row r="15516" spans="1:19">
      <c r="A15516" s="182"/>
      <c r="Q15516" s="183"/>
      <c r="R15516" s="183"/>
      <c r="S15516" s="183"/>
    </row>
    <row r="15517" spans="1:19">
      <c r="A15517" s="182"/>
      <c r="Q15517" s="183"/>
      <c r="R15517" s="183"/>
      <c r="S15517" s="183"/>
    </row>
    <row r="15518" spans="1:19">
      <c r="A15518" s="182"/>
      <c r="Q15518" s="183"/>
      <c r="R15518" s="183"/>
      <c r="S15518" s="183"/>
    </row>
    <row r="15519" spans="1:19">
      <c r="A15519" s="182"/>
      <c r="Q15519" s="183"/>
      <c r="R15519" s="183"/>
      <c r="S15519" s="183"/>
    </row>
    <row r="15520" spans="1:19">
      <c r="A15520" s="182"/>
      <c r="Q15520" s="183"/>
      <c r="R15520" s="183"/>
      <c r="S15520" s="183"/>
    </row>
    <row r="15521" spans="1:38">
      <c r="A15521" s="182"/>
      <c r="Q15521" s="183"/>
      <c r="R15521" s="183"/>
      <c r="S15521" s="183"/>
    </row>
    <row r="15522" spans="1:38">
      <c r="A15522" s="182"/>
      <c r="Q15522" s="183"/>
      <c r="R15522" s="183"/>
      <c r="S15522" s="183"/>
    </row>
    <row r="15523" spans="1:38">
      <c r="A15523" s="182"/>
      <c r="Q15523" s="183"/>
      <c r="R15523" s="183"/>
      <c r="S15523" s="183"/>
    </row>
    <row r="15524" spans="1:38">
      <c r="A15524" s="182"/>
      <c r="Q15524" s="183"/>
      <c r="R15524" s="183"/>
      <c r="S15524" s="183"/>
    </row>
    <row r="15525" spans="1:38">
      <c r="A15525" s="182"/>
      <c r="Q15525" s="183"/>
      <c r="R15525" s="183"/>
      <c r="S15525" s="183"/>
      <c r="AK15525" s="183"/>
      <c r="AL15525" s="183"/>
    </row>
    <row r="15526" spans="1:38">
      <c r="A15526" s="182"/>
      <c r="Q15526" s="183"/>
      <c r="R15526" s="183"/>
      <c r="S15526" s="183"/>
      <c r="AJ15526" s="183"/>
      <c r="AK15526" s="183"/>
      <c r="AL15526" s="183"/>
    </row>
    <row r="15527" spans="1:38">
      <c r="A15527" s="182"/>
      <c r="Q15527" s="183"/>
      <c r="R15527" s="183"/>
      <c r="S15527" s="183"/>
      <c r="AJ15527" s="183"/>
      <c r="AK15527" s="183"/>
      <c r="AL15527" s="183"/>
    </row>
    <row r="15528" spans="1:38">
      <c r="A15528" s="182"/>
      <c r="Q15528" s="183"/>
      <c r="R15528" s="183"/>
      <c r="S15528" s="183"/>
      <c r="AJ15528" s="183"/>
      <c r="AK15528" s="183"/>
      <c r="AL15528" s="183"/>
    </row>
    <row r="15529" spans="1:38">
      <c r="A15529" s="182"/>
      <c r="Q15529" s="183"/>
      <c r="R15529" s="183"/>
      <c r="S15529" s="183"/>
      <c r="AJ15529" s="183"/>
      <c r="AK15529" s="183"/>
      <c r="AL15529" s="183"/>
    </row>
    <row r="15530" spans="1:38">
      <c r="A15530" s="182"/>
      <c r="Q15530" s="183"/>
      <c r="R15530" s="183"/>
      <c r="S15530" s="183"/>
      <c r="AJ15530" s="183"/>
      <c r="AK15530" s="183"/>
      <c r="AL15530" s="183"/>
    </row>
    <row r="15531" spans="1:38">
      <c r="A15531" s="182"/>
      <c r="Q15531" s="183"/>
      <c r="R15531" s="183"/>
      <c r="S15531" s="183"/>
      <c r="AJ15531" s="183"/>
      <c r="AK15531" s="183"/>
      <c r="AL15531" s="183"/>
    </row>
    <row r="15532" spans="1:38">
      <c r="A15532" s="182"/>
      <c r="Q15532" s="183"/>
      <c r="R15532" s="183"/>
      <c r="S15532" s="183"/>
      <c r="AJ15532" s="183"/>
      <c r="AK15532" s="183"/>
      <c r="AL15532" s="183"/>
    </row>
    <row r="15533" spans="1:38">
      <c r="A15533" s="182"/>
      <c r="Q15533" s="183"/>
      <c r="R15533" s="183"/>
      <c r="S15533" s="183"/>
      <c r="AJ15533" s="183"/>
    </row>
    <row r="15534" spans="1:38">
      <c r="A15534" s="182"/>
      <c r="Q15534" s="183"/>
      <c r="R15534" s="183"/>
      <c r="S15534" s="183"/>
    </row>
    <row r="15535" spans="1:38">
      <c r="A15535" s="182"/>
      <c r="Q15535" s="183"/>
      <c r="R15535" s="183"/>
      <c r="S15535" s="183"/>
    </row>
    <row r="15536" spans="1:38">
      <c r="A15536" s="182"/>
      <c r="Q15536" s="183"/>
      <c r="R15536" s="183"/>
      <c r="S15536" s="183"/>
    </row>
    <row r="15537" spans="1:38">
      <c r="A15537" s="182"/>
      <c r="Q15537" s="183"/>
      <c r="R15537" s="183"/>
      <c r="S15537" s="183"/>
      <c r="AK15537" s="183"/>
      <c r="AL15537" s="183"/>
    </row>
    <row r="15538" spans="1:38">
      <c r="A15538" s="182"/>
      <c r="Q15538" s="183"/>
      <c r="R15538" s="183"/>
      <c r="S15538" s="183"/>
      <c r="AJ15538" s="183"/>
      <c r="AK15538" s="183"/>
      <c r="AL15538" s="183"/>
    </row>
    <row r="15539" spans="1:38">
      <c r="A15539" s="182"/>
      <c r="Q15539" s="183"/>
      <c r="R15539" s="183"/>
      <c r="S15539" s="183"/>
      <c r="AJ15539" s="183"/>
      <c r="AK15539" s="183"/>
      <c r="AL15539" s="183"/>
    </row>
    <row r="15540" spans="1:38">
      <c r="A15540" s="182"/>
      <c r="Q15540" s="183"/>
      <c r="R15540" s="183"/>
      <c r="S15540" s="183"/>
      <c r="AJ15540" s="183"/>
      <c r="AK15540" s="183"/>
      <c r="AL15540" s="183"/>
    </row>
    <row r="15541" spans="1:38">
      <c r="A15541" s="182"/>
      <c r="Q15541" s="183"/>
      <c r="R15541" s="183"/>
      <c r="S15541" s="183"/>
      <c r="AJ15541" s="183"/>
    </row>
    <row r="15542" spans="1:38">
      <c r="A15542" s="182"/>
      <c r="Q15542" s="183"/>
      <c r="R15542" s="183"/>
      <c r="S15542" s="183"/>
    </row>
    <row r="15543" spans="1:38">
      <c r="A15543" s="182"/>
      <c r="Q15543" s="183"/>
      <c r="R15543" s="183"/>
      <c r="S15543" s="183"/>
    </row>
    <row r="15544" spans="1:38">
      <c r="A15544" s="182"/>
      <c r="Q15544" s="183"/>
      <c r="R15544" s="183"/>
      <c r="S15544" s="183"/>
    </row>
    <row r="15545" spans="1:38">
      <c r="A15545" s="182"/>
      <c r="Q15545" s="183"/>
      <c r="R15545" s="183"/>
      <c r="S15545" s="183"/>
      <c r="AK15545" s="183"/>
      <c r="AL15545" s="183"/>
    </row>
    <row r="15546" spans="1:38">
      <c r="A15546" s="182"/>
      <c r="Q15546" s="183"/>
      <c r="R15546" s="183"/>
      <c r="S15546" s="183"/>
      <c r="AJ15546" s="183"/>
      <c r="AK15546" s="183"/>
      <c r="AL15546" s="183"/>
    </row>
    <row r="15547" spans="1:38">
      <c r="A15547" s="182"/>
      <c r="Q15547" s="183"/>
      <c r="R15547" s="183"/>
      <c r="S15547" s="183"/>
      <c r="AJ15547" s="183"/>
      <c r="AK15547" s="183"/>
      <c r="AL15547" s="183"/>
    </row>
    <row r="15548" spans="1:38">
      <c r="A15548" s="182"/>
      <c r="Q15548" s="183"/>
      <c r="R15548" s="183"/>
      <c r="S15548" s="183"/>
      <c r="AJ15548" s="183"/>
      <c r="AK15548" s="183"/>
      <c r="AL15548" s="183"/>
    </row>
    <row r="15549" spans="1:38">
      <c r="A15549" s="182"/>
      <c r="Q15549" s="183"/>
      <c r="R15549" s="183"/>
      <c r="S15549" s="183"/>
      <c r="AJ15549" s="183"/>
    </row>
    <row r="15550" spans="1:38">
      <c r="A15550" s="182"/>
      <c r="Q15550" s="183"/>
      <c r="R15550" s="183"/>
      <c r="S15550" s="183"/>
    </row>
    <row r="15551" spans="1:38">
      <c r="A15551" s="182"/>
      <c r="Q15551" s="183"/>
      <c r="R15551" s="183"/>
      <c r="S15551" s="183"/>
    </row>
    <row r="15552" spans="1:38">
      <c r="A15552" s="182"/>
      <c r="Q15552" s="183"/>
      <c r="R15552" s="183"/>
      <c r="S15552" s="183"/>
    </row>
    <row r="15553" spans="1:38">
      <c r="A15553" s="182"/>
      <c r="Q15553" s="183"/>
      <c r="R15553" s="183"/>
      <c r="S15553" s="183"/>
    </row>
    <row r="15554" spans="1:38">
      <c r="A15554" s="182"/>
      <c r="Q15554" s="183"/>
      <c r="R15554" s="183"/>
      <c r="S15554" s="183"/>
    </row>
    <row r="15555" spans="1:38">
      <c r="A15555" s="182"/>
      <c r="Q15555" s="183"/>
      <c r="R15555" s="183"/>
      <c r="S15555" s="183"/>
    </row>
    <row r="15556" spans="1:38">
      <c r="A15556" s="182"/>
      <c r="Q15556" s="183"/>
      <c r="R15556" s="183"/>
      <c r="S15556" s="183"/>
    </row>
    <row r="15557" spans="1:38">
      <c r="A15557" s="182"/>
      <c r="Q15557" s="183"/>
      <c r="R15557" s="183"/>
      <c r="S15557" s="183"/>
      <c r="AK15557" s="183"/>
      <c r="AL15557" s="183"/>
    </row>
    <row r="15558" spans="1:38">
      <c r="A15558" s="182"/>
      <c r="Q15558" s="183"/>
      <c r="R15558" s="183"/>
      <c r="S15558" s="183"/>
      <c r="AJ15558" s="183"/>
      <c r="AK15558" s="183"/>
      <c r="AL15558" s="183"/>
    </row>
    <row r="15559" spans="1:38">
      <c r="A15559" s="182"/>
      <c r="Q15559" s="183"/>
      <c r="R15559" s="183"/>
      <c r="S15559" s="183"/>
      <c r="AJ15559" s="183"/>
      <c r="AK15559" s="183"/>
      <c r="AL15559" s="183"/>
    </row>
    <row r="15560" spans="1:38">
      <c r="A15560" s="182"/>
      <c r="Q15560" s="183"/>
      <c r="R15560" s="183"/>
      <c r="S15560" s="183"/>
      <c r="AJ15560" s="183"/>
      <c r="AK15560" s="183"/>
      <c r="AL15560" s="183"/>
    </row>
    <row r="15561" spans="1:38">
      <c r="A15561" s="182"/>
      <c r="Q15561" s="183"/>
      <c r="R15561" s="183"/>
      <c r="S15561" s="183"/>
      <c r="AJ15561" s="183"/>
      <c r="AK15561" s="183"/>
      <c r="AL15561" s="183"/>
    </row>
    <row r="15562" spans="1:38">
      <c r="A15562" s="182"/>
      <c r="Q15562" s="183"/>
      <c r="R15562" s="183"/>
      <c r="S15562" s="183"/>
      <c r="AJ15562" s="183"/>
      <c r="AK15562" s="183"/>
      <c r="AL15562" s="183"/>
    </row>
    <row r="15563" spans="1:38">
      <c r="A15563" s="182"/>
      <c r="Q15563" s="183"/>
      <c r="R15563" s="183"/>
      <c r="S15563" s="183"/>
      <c r="AJ15563" s="183"/>
      <c r="AK15563" s="183"/>
      <c r="AL15563" s="183"/>
    </row>
    <row r="15564" spans="1:38">
      <c r="A15564" s="182"/>
      <c r="Q15564" s="183"/>
      <c r="R15564" s="183"/>
      <c r="S15564" s="183"/>
      <c r="AJ15564" s="183"/>
      <c r="AK15564" s="183"/>
      <c r="AL15564" s="183"/>
    </row>
    <row r="15565" spans="1:38">
      <c r="A15565" s="182"/>
      <c r="Q15565" s="183"/>
      <c r="R15565" s="183"/>
      <c r="S15565" s="183"/>
      <c r="AJ15565" s="183"/>
      <c r="AK15565" s="183"/>
      <c r="AL15565" s="183"/>
    </row>
    <row r="15566" spans="1:38">
      <c r="A15566" s="182"/>
      <c r="Q15566" s="183"/>
      <c r="R15566" s="183"/>
      <c r="S15566" s="183"/>
      <c r="AJ15566" s="183"/>
      <c r="AK15566" s="183"/>
      <c r="AL15566" s="183"/>
    </row>
    <row r="15567" spans="1:38">
      <c r="A15567" s="182"/>
      <c r="Q15567" s="183"/>
      <c r="R15567" s="183"/>
      <c r="S15567" s="183"/>
      <c r="AJ15567" s="183"/>
      <c r="AK15567" s="183"/>
      <c r="AL15567" s="183"/>
    </row>
    <row r="15568" spans="1:38">
      <c r="A15568" s="182"/>
      <c r="Q15568" s="183"/>
      <c r="R15568" s="183"/>
      <c r="S15568" s="183"/>
      <c r="AJ15568" s="183"/>
      <c r="AK15568" s="183"/>
      <c r="AL15568" s="183"/>
    </row>
    <row r="15569" spans="1:38">
      <c r="A15569" s="182"/>
      <c r="Q15569" s="183"/>
      <c r="R15569" s="183"/>
      <c r="S15569" s="183"/>
      <c r="AJ15569" s="183"/>
      <c r="AK15569" s="183"/>
      <c r="AL15569" s="183"/>
    </row>
    <row r="15570" spans="1:38">
      <c r="A15570" s="182"/>
      <c r="Q15570" s="183"/>
      <c r="R15570" s="183"/>
      <c r="S15570" s="183"/>
      <c r="AJ15570" s="183"/>
      <c r="AK15570" s="183"/>
      <c r="AL15570" s="183"/>
    </row>
    <row r="15571" spans="1:38">
      <c r="A15571" s="182"/>
      <c r="Q15571" s="183"/>
      <c r="R15571" s="183"/>
      <c r="S15571" s="183"/>
      <c r="AJ15571" s="183"/>
      <c r="AK15571" s="183"/>
      <c r="AL15571" s="183"/>
    </row>
    <row r="15572" spans="1:38">
      <c r="A15572" s="182"/>
      <c r="Q15572" s="183"/>
      <c r="R15572" s="183"/>
      <c r="S15572" s="183"/>
      <c r="AJ15572" s="183"/>
      <c r="AK15572" s="183"/>
      <c r="AL15572" s="183"/>
    </row>
    <row r="15573" spans="1:38">
      <c r="A15573" s="182"/>
      <c r="Q15573" s="183"/>
      <c r="R15573" s="183"/>
      <c r="S15573" s="183"/>
      <c r="AJ15573" s="183"/>
      <c r="AK15573" s="183"/>
      <c r="AL15573" s="183"/>
    </row>
    <row r="15574" spans="1:38">
      <c r="A15574" s="182"/>
      <c r="Q15574" s="183"/>
      <c r="R15574" s="183"/>
      <c r="S15574" s="183"/>
      <c r="AJ15574" s="183"/>
      <c r="AK15574" s="183"/>
      <c r="AL15574" s="183"/>
    </row>
    <row r="15575" spans="1:38">
      <c r="A15575" s="182"/>
      <c r="Q15575" s="183"/>
      <c r="R15575" s="183"/>
      <c r="S15575" s="183"/>
      <c r="AJ15575" s="183"/>
      <c r="AK15575" s="183"/>
      <c r="AL15575" s="183"/>
    </row>
    <row r="15576" spans="1:38">
      <c r="A15576" s="182"/>
      <c r="Q15576" s="183"/>
      <c r="R15576" s="183"/>
      <c r="S15576" s="183"/>
      <c r="AJ15576" s="183"/>
      <c r="AK15576" s="183"/>
      <c r="AL15576" s="183"/>
    </row>
    <row r="15577" spans="1:38">
      <c r="A15577" s="182"/>
      <c r="Q15577" s="183"/>
      <c r="R15577" s="183"/>
      <c r="S15577" s="183"/>
      <c r="AJ15577" s="183"/>
    </row>
    <row r="15578" spans="1:38">
      <c r="A15578" s="182"/>
      <c r="Q15578" s="183"/>
      <c r="R15578" s="183"/>
      <c r="S15578" s="183"/>
    </row>
    <row r="15579" spans="1:38">
      <c r="A15579" s="182"/>
      <c r="Q15579" s="183"/>
      <c r="R15579" s="183"/>
      <c r="S15579" s="183"/>
    </row>
    <row r="15580" spans="1:38">
      <c r="A15580" s="182"/>
      <c r="Q15580" s="183"/>
      <c r="R15580" s="183"/>
      <c r="S15580" s="183"/>
    </row>
    <row r="15581" spans="1:38">
      <c r="A15581" s="182"/>
      <c r="Q15581" s="183"/>
      <c r="R15581" s="183"/>
      <c r="S15581" s="183"/>
      <c r="AK15581" s="183"/>
      <c r="AL15581" s="183"/>
    </row>
    <row r="15582" spans="1:38">
      <c r="A15582" s="182"/>
      <c r="Q15582" s="183"/>
      <c r="R15582" s="183"/>
      <c r="S15582" s="183"/>
      <c r="AJ15582" s="183"/>
      <c r="AK15582" s="183"/>
      <c r="AL15582" s="183"/>
    </row>
    <row r="15583" spans="1:38">
      <c r="A15583" s="182"/>
      <c r="Q15583" s="183"/>
      <c r="R15583" s="183"/>
      <c r="S15583" s="183"/>
      <c r="AJ15583" s="183"/>
      <c r="AK15583" s="183"/>
      <c r="AL15583" s="183"/>
    </row>
    <row r="15584" spans="1:38">
      <c r="A15584" s="182"/>
      <c r="Q15584" s="183"/>
      <c r="R15584" s="183"/>
      <c r="S15584" s="183"/>
      <c r="AJ15584" s="183"/>
      <c r="AK15584" s="183"/>
      <c r="AL15584" s="183"/>
    </row>
    <row r="15585" spans="1:38">
      <c r="A15585" s="182"/>
      <c r="Q15585" s="183"/>
      <c r="R15585" s="183"/>
      <c r="S15585" s="183"/>
      <c r="AJ15585" s="183"/>
    </row>
    <row r="15586" spans="1:38">
      <c r="A15586" s="182"/>
      <c r="Q15586" s="183"/>
      <c r="R15586" s="183"/>
      <c r="S15586" s="183"/>
    </row>
    <row r="15587" spans="1:38">
      <c r="A15587" s="182"/>
      <c r="Q15587" s="183"/>
      <c r="R15587" s="183"/>
      <c r="S15587" s="183"/>
    </row>
    <row r="15588" spans="1:38">
      <c r="A15588" s="182"/>
      <c r="Q15588" s="183"/>
      <c r="R15588" s="183"/>
      <c r="S15588" s="183"/>
    </row>
    <row r="15589" spans="1:38">
      <c r="A15589" s="182"/>
      <c r="Q15589" s="183"/>
      <c r="R15589" s="183"/>
      <c r="S15589" s="183"/>
      <c r="AK15589" s="183"/>
      <c r="AL15589" s="183"/>
    </row>
    <row r="15590" spans="1:38">
      <c r="A15590" s="182"/>
      <c r="Q15590" s="183"/>
      <c r="R15590" s="183"/>
      <c r="S15590" s="183"/>
      <c r="AJ15590" s="183"/>
      <c r="AK15590" s="183"/>
      <c r="AL15590" s="183"/>
    </row>
    <row r="15591" spans="1:38">
      <c r="A15591" s="182"/>
      <c r="Q15591" s="183"/>
      <c r="R15591" s="183"/>
      <c r="S15591" s="183"/>
      <c r="AJ15591" s="183"/>
      <c r="AK15591" s="183"/>
      <c r="AL15591" s="183"/>
    </row>
    <row r="15592" spans="1:38">
      <c r="A15592" s="182"/>
      <c r="Q15592" s="183"/>
      <c r="R15592" s="183"/>
      <c r="S15592" s="183"/>
      <c r="AJ15592" s="183"/>
      <c r="AK15592" s="183"/>
      <c r="AL15592" s="183"/>
    </row>
    <row r="15593" spans="1:38">
      <c r="A15593" s="182"/>
      <c r="Q15593" s="183"/>
      <c r="R15593" s="183"/>
      <c r="S15593" s="183"/>
      <c r="AJ15593" s="183"/>
    </row>
    <row r="15594" spans="1:38">
      <c r="A15594" s="182"/>
      <c r="Q15594" s="183"/>
      <c r="R15594" s="183"/>
      <c r="S15594" s="183"/>
    </row>
    <row r="15595" spans="1:38">
      <c r="A15595" s="182"/>
      <c r="Q15595" s="183"/>
      <c r="R15595" s="183"/>
      <c r="S15595" s="183"/>
    </row>
    <row r="15596" spans="1:38">
      <c r="A15596" s="182"/>
      <c r="Q15596" s="183"/>
      <c r="R15596" s="183"/>
      <c r="S15596" s="183"/>
    </row>
    <row r="15597" spans="1:38">
      <c r="A15597" s="182"/>
      <c r="Q15597" s="183"/>
      <c r="R15597" s="183"/>
      <c r="S15597" s="183"/>
    </row>
    <row r="15598" spans="1:38">
      <c r="A15598" s="182"/>
      <c r="Q15598" s="183"/>
      <c r="R15598" s="183"/>
      <c r="S15598" s="183"/>
    </row>
    <row r="15599" spans="1:38">
      <c r="A15599" s="182"/>
      <c r="Q15599" s="183"/>
      <c r="R15599" s="183"/>
      <c r="S15599" s="183"/>
    </row>
    <row r="15600" spans="1:38">
      <c r="A15600" s="182"/>
      <c r="Q15600" s="183"/>
      <c r="R15600" s="183"/>
      <c r="S15600" s="183"/>
    </row>
    <row r="15601" spans="1:19">
      <c r="A15601" s="182"/>
      <c r="Q15601" s="183"/>
      <c r="R15601" s="183"/>
      <c r="S15601" s="183"/>
    </row>
    <row r="15602" spans="1:19">
      <c r="A15602" s="182"/>
      <c r="Q15602" s="183"/>
      <c r="R15602" s="183"/>
      <c r="S15602" s="183"/>
    </row>
    <row r="15603" spans="1:19">
      <c r="A15603" s="182"/>
      <c r="Q15603" s="183"/>
      <c r="R15603" s="183"/>
      <c r="S15603" s="183"/>
    </row>
    <row r="15604" spans="1:19">
      <c r="A15604" s="182"/>
      <c r="Q15604" s="183"/>
      <c r="R15604" s="183"/>
      <c r="S15604" s="183"/>
    </row>
    <row r="15605" spans="1:19">
      <c r="A15605" s="182"/>
      <c r="Q15605" s="183"/>
      <c r="R15605" s="183"/>
      <c r="S15605" s="183"/>
    </row>
    <row r="15606" spans="1:19">
      <c r="A15606" s="182"/>
      <c r="Q15606" s="183"/>
      <c r="R15606" s="183"/>
      <c r="S15606" s="183"/>
    </row>
    <row r="15607" spans="1:19">
      <c r="A15607" s="182"/>
      <c r="Q15607" s="183"/>
      <c r="R15607" s="183"/>
      <c r="S15607" s="183"/>
    </row>
    <row r="15608" spans="1:19">
      <c r="A15608" s="182"/>
      <c r="Q15608" s="183"/>
      <c r="R15608" s="183"/>
      <c r="S15608" s="183"/>
    </row>
    <row r="15609" spans="1:19">
      <c r="A15609" s="182"/>
      <c r="Q15609" s="183"/>
      <c r="R15609" s="183"/>
      <c r="S15609" s="183"/>
    </row>
    <row r="15610" spans="1:19">
      <c r="A15610" s="182"/>
      <c r="Q15610" s="183"/>
      <c r="R15610" s="183"/>
      <c r="S15610" s="183"/>
    </row>
    <row r="15611" spans="1:19">
      <c r="A15611" s="182"/>
      <c r="Q15611" s="183"/>
      <c r="R15611" s="183"/>
      <c r="S15611" s="183"/>
    </row>
    <row r="15612" spans="1:19">
      <c r="A15612" s="182"/>
      <c r="Q15612" s="183"/>
      <c r="R15612" s="183"/>
      <c r="S15612" s="183"/>
    </row>
    <row r="15613" spans="1:19">
      <c r="A15613" s="182"/>
      <c r="Q15613" s="183"/>
      <c r="R15613" s="183"/>
      <c r="S15613" s="183"/>
    </row>
    <row r="15614" spans="1:19">
      <c r="A15614" s="182"/>
      <c r="Q15614" s="183"/>
      <c r="R15614" s="183"/>
      <c r="S15614" s="183"/>
    </row>
    <row r="15615" spans="1:19">
      <c r="A15615" s="182"/>
      <c r="Q15615" s="183"/>
      <c r="R15615" s="183"/>
      <c r="S15615" s="183"/>
    </row>
    <row r="15616" spans="1:19">
      <c r="A15616" s="182"/>
      <c r="Q15616" s="183"/>
      <c r="R15616" s="183"/>
      <c r="S15616" s="183"/>
    </row>
    <row r="15617" spans="1:38">
      <c r="A15617" s="182"/>
      <c r="Q15617" s="183"/>
      <c r="R15617" s="183"/>
      <c r="S15617" s="183"/>
      <c r="AK15617" s="183"/>
      <c r="AL15617" s="183"/>
    </row>
    <row r="15618" spans="1:38">
      <c r="A15618" s="182"/>
      <c r="Q15618" s="183"/>
      <c r="R15618" s="183"/>
      <c r="S15618" s="183"/>
      <c r="AJ15618" s="183"/>
      <c r="AK15618" s="183"/>
      <c r="AL15618" s="183"/>
    </row>
    <row r="15619" spans="1:38">
      <c r="A15619" s="182"/>
      <c r="Q15619" s="183"/>
      <c r="R15619" s="183"/>
      <c r="S15619" s="183"/>
      <c r="AJ15619" s="183"/>
      <c r="AK15619" s="183"/>
      <c r="AL15619" s="183"/>
    </row>
    <row r="15620" spans="1:38">
      <c r="A15620" s="182"/>
      <c r="Q15620" s="183"/>
      <c r="R15620" s="183"/>
      <c r="S15620" s="183"/>
      <c r="AJ15620" s="183"/>
      <c r="AK15620" s="183"/>
      <c r="AL15620" s="183"/>
    </row>
    <row r="15621" spans="1:38">
      <c r="A15621" s="182"/>
      <c r="Q15621" s="183"/>
      <c r="R15621" s="183"/>
      <c r="S15621" s="183"/>
      <c r="AJ15621" s="183"/>
    </row>
    <row r="15622" spans="1:38">
      <c r="A15622" s="182"/>
      <c r="Q15622" s="183"/>
      <c r="R15622" s="183"/>
      <c r="S15622" s="183"/>
    </row>
    <row r="15623" spans="1:38">
      <c r="A15623" s="182"/>
      <c r="Q15623" s="183"/>
      <c r="R15623" s="183"/>
      <c r="S15623" s="183"/>
    </row>
    <row r="15624" spans="1:38">
      <c r="A15624" s="182"/>
      <c r="Q15624" s="183"/>
      <c r="R15624" s="183"/>
      <c r="S15624" s="183"/>
    </row>
    <row r="15625" spans="1:38">
      <c r="A15625" s="182"/>
      <c r="Q15625" s="183"/>
      <c r="R15625" s="183"/>
      <c r="S15625" s="183"/>
      <c r="AK15625" s="183"/>
      <c r="AL15625" s="183"/>
    </row>
    <row r="15626" spans="1:38">
      <c r="A15626" s="182"/>
      <c r="Q15626" s="183"/>
      <c r="R15626" s="183"/>
      <c r="S15626" s="183"/>
      <c r="AJ15626" s="183"/>
      <c r="AK15626" s="183"/>
      <c r="AL15626" s="183"/>
    </row>
    <row r="15627" spans="1:38">
      <c r="A15627" s="182"/>
      <c r="Q15627" s="183"/>
      <c r="R15627" s="183"/>
      <c r="S15627" s="183"/>
      <c r="AJ15627" s="183"/>
      <c r="AK15627" s="183"/>
      <c r="AL15627" s="183"/>
    </row>
    <row r="15628" spans="1:38">
      <c r="A15628" s="182"/>
      <c r="Q15628" s="183"/>
      <c r="R15628" s="183"/>
      <c r="S15628" s="183"/>
      <c r="AJ15628" s="183"/>
      <c r="AK15628" s="183"/>
      <c r="AL15628" s="183"/>
    </row>
    <row r="15629" spans="1:38">
      <c r="A15629" s="182"/>
      <c r="Q15629" s="183"/>
      <c r="R15629" s="183"/>
      <c r="S15629" s="183"/>
      <c r="AJ15629" s="183"/>
    </row>
    <row r="15630" spans="1:38">
      <c r="A15630" s="182"/>
      <c r="Q15630" s="183"/>
      <c r="R15630" s="183"/>
      <c r="S15630" s="183"/>
    </row>
    <row r="15631" spans="1:38">
      <c r="A15631" s="182"/>
      <c r="Q15631" s="183"/>
      <c r="R15631" s="183"/>
      <c r="S15631" s="183"/>
    </row>
    <row r="15632" spans="1:38">
      <c r="A15632" s="182"/>
      <c r="Q15632" s="183"/>
      <c r="R15632" s="183"/>
      <c r="S15632" s="183"/>
    </row>
    <row r="15633" spans="1:38">
      <c r="A15633" s="182"/>
      <c r="Q15633" s="183"/>
      <c r="R15633" s="183"/>
      <c r="S15633" s="183"/>
    </row>
    <row r="15634" spans="1:38">
      <c r="A15634" s="182"/>
      <c r="Q15634" s="183"/>
      <c r="R15634" s="183"/>
      <c r="S15634" s="183"/>
    </row>
    <row r="15635" spans="1:38">
      <c r="A15635" s="182"/>
      <c r="Q15635" s="183"/>
      <c r="R15635" s="183"/>
      <c r="S15635" s="183"/>
    </row>
    <row r="15636" spans="1:38">
      <c r="A15636" s="182"/>
      <c r="Q15636" s="183"/>
      <c r="R15636" s="183"/>
      <c r="S15636" s="183"/>
    </row>
    <row r="15637" spans="1:38">
      <c r="A15637" s="182"/>
      <c r="Q15637" s="183"/>
      <c r="R15637" s="183"/>
      <c r="S15637" s="183"/>
      <c r="AK15637" s="183"/>
      <c r="AL15637" s="183"/>
    </row>
    <row r="15638" spans="1:38">
      <c r="A15638" s="182"/>
      <c r="Q15638" s="183"/>
      <c r="R15638" s="183"/>
      <c r="S15638" s="183"/>
      <c r="AJ15638" s="183"/>
      <c r="AK15638" s="183"/>
      <c r="AL15638" s="183"/>
    </row>
    <row r="15639" spans="1:38">
      <c r="A15639" s="182"/>
      <c r="Q15639" s="183"/>
      <c r="R15639" s="183"/>
      <c r="S15639" s="183"/>
      <c r="AJ15639" s="183"/>
      <c r="AK15639" s="183"/>
      <c r="AL15639" s="183"/>
    </row>
    <row r="15640" spans="1:38">
      <c r="A15640" s="182"/>
      <c r="Q15640" s="183"/>
      <c r="R15640" s="183"/>
      <c r="S15640" s="183"/>
      <c r="AJ15640" s="183"/>
      <c r="AK15640" s="183"/>
      <c r="AL15640" s="183"/>
    </row>
    <row r="15641" spans="1:38">
      <c r="A15641" s="182"/>
      <c r="Q15641" s="183"/>
      <c r="R15641" s="183"/>
      <c r="S15641" s="183"/>
      <c r="AJ15641" s="183"/>
    </row>
    <row r="15642" spans="1:38">
      <c r="A15642" s="182"/>
      <c r="Q15642" s="183"/>
      <c r="R15642" s="183"/>
      <c r="S15642" s="183"/>
    </row>
    <row r="15643" spans="1:38">
      <c r="A15643" s="182"/>
      <c r="Q15643" s="183"/>
      <c r="R15643" s="183"/>
      <c r="S15643" s="183"/>
    </row>
    <row r="15644" spans="1:38">
      <c r="A15644" s="182"/>
      <c r="Q15644" s="183"/>
      <c r="R15644" s="183"/>
      <c r="S15644" s="183"/>
    </row>
    <row r="15645" spans="1:38">
      <c r="A15645" s="182"/>
      <c r="Q15645" s="183"/>
      <c r="R15645" s="183"/>
      <c r="S15645" s="183"/>
    </row>
    <row r="15646" spans="1:38">
      <c r="A15646" s="182"/>
      <c r="Q15646" s="183"/>
      <c r="R15646" s="183"/>
      <c r="S15646" s="183"/>
    </row>
    <row r="15647" spans="1:38">
      <c r="A15647" s="182"/>
      <c r="Q15647" s="183"/>
      <c r="R15647" s="183"/>
      <c r="S15647" s="183"/>
    </row>
    <row r="15648" spans="1:38">
      <c r="A15648" s="182"/>
      <c r="Q15648" s="183"/>
      <c r="R15648" s="183"/>
      <c r="S15648" s="183"/>
    </row>
    <row r="15649" spans="1:38">
      <c r="A15649" s="182"/>
      <c r="Q15649" s="183"/>
      <c r="R15649" s="183"/>
      <c r="S15649" s="183"/>
    </row>
    <row r="15650" spans="1:38">
      <c r="A15650" s="182"/>
      <c r="Q15650" s="183"/>
      <c r="R15650" s="183"/>
      <c r="S15650" s="183"/>
    </row>
    <row r="15651" spans="1:38">
      <c r="A15651" s="182"/>
      <c r="Q15651" s="183"/>
      <c r="R15651" s="183"/>
      <c r="S15651" s="183"/>
    </row>
    <row r="15652" spans="1:38">
      <c r="A15652" s="182"/>
      <c r="Q15652" s="183"/>
      <c r="R15652" s="183"/>
      <c r="S15652" s="183"/>
    </row>
    <row r="15653" spans="1:38">
      <c r="A15653" s="182"/>
      <c r="Q15653" s="183"/>
      <c r="R15653" s="183"/>
      <c r="S15653" s="183"/>
    </row>
    <row r="15654" spans="1:38">
      <c r="A15654" s="182"/>
      <c r="Q15654" s="183"/>
      <c r="R15654" s="183"/>
      <c r="S15654" s="183"/>
    </row>
    <row r="15655" spans="1:38">
      <c r="A15655" s="182"/>
      <c r="Q15655" s="183"/>
      <c r="R15655" s="183"/>
      <c r="S15655" s="183"/>
    </row>
    <row r="15656" spans="1:38">
      <c r="A15656" s="182"/>
      <c r="Q15656" s="183"/>
      <c r="R15656" s="183"/>
      <c r="S15656" s="183"/>
    </row>
    <row r="15657" spans="1:38">
      <c r="A15657" s="182"/>
      <c r="Q15657" s="183"/>
      <c r="R15657" s="183"/>
      <c r="S15657" s="183"/>
    </row>
    <row r="15658" spans="1:38">
      <c r="A15658" s="182"/>
      <c r="Q15658" s="183"/>
      <c r="R15658" s="183"/>
      <c r="S15658" s="183"/>
    </row>
    <row r="15659" spans="1:38">
      <c r="A15659" s="182"/>
      <c r="Q15659" s="183"/>
      <c r="R15659" s="183"/>
      <c r="S15659" s="183"/>
    </row>
    <row r="15660" spans="1:38">
      <c r="A15660" s="182"/>
      <c r="Q15660" s="183"/>
      <c r="R15660" s="183"/>
      <c r="S15660" s="183"/>
    </row>
    <row r="15661" spans="1:38">
      <c r="A15661" s="182"/>
      <c r="Q15661" s="183"/>
      <c r="R15661" s="183"/>
      <c r="S15661" s="183"/>
      <c r="AK15661" s="183"/>
      <c r="AL15661" s="183"/>
    </row>
    <row r="15662" spans="1:38">
      <c r="A15662" s="182"/>
      <c r="Q15662" s="183"/>
      <c r="R15662" s="183"/>
      <c r="S15662" s="183"/>
      <c r="AJ15662" s="183"/>
      <c r="AK15662" s="183"/>
      <c r="AL15662" s="183"/>
    </row>
    <row r="15663" spans="1:38">
      <c r="A15663" s="182"/>
      <c r="Q15663" s="183"/>
      <c r="R15663" s="183"/>
      <c r="S15663" s="183"/>
      <c r="AJ15663" s="183"/>
      <c r="AK15663" s="183"/>
      <c r="AL15663" s="183"/>
    </row>
    <row r="15664" spans="1:38">
      <c r="A15664" s="182"/>
      <c r="Q15664" s="183"/>
      <c r="R15664" s="183"/>
      <c r="S15664" s="183"/>
      <c r="AJ15664" s="183"/>
      <c r="AK15664" s="183"/>
      <c r="AL15664" s="183"/>
    </row>
    <row r="15665" spans="1:38">
      <c r="A15665" s="182"/>
      <c r="Q15665" s="183"/>
      <c r="R15665" s="183"/>
      <c r="S15665" s="183"/>
      <c r="AJ15665" s="183"/>
      <c r="AK15665" s="183"/>
      <c r="AL15665" s="183"/>
    </row>
    <row r="15666" spans="1:38">
      <c r="A15666" s="182"/>
      <c r="Q15666" s="183"/>
      <c r="R15666" s="183"/>
      <c r="S15666" s="183"/>
      <c r="AJ15666" s="183"/>
      <c r="AK15666" s="183"/>
      <c r="AL15666" s="183"/>
    </row>
    <row r="15667" spans="1:38">
      <c r="A15667" s="182"/>
      <c r="Q15667" s="183"/>
      <c r="R15667" s="183"/>
      <c r="S15667" s="183"/>
      <c r="AJ15667" s="183"/>
      <c r="AK15667" s="183"/>
      <c r="AL15667" s="183"/>
    </row>
    <row r="15668" spans="1:38">
      <c r="A15668" s="182"/>
      <c r="Q15668" s="183"/>
      <c r="R15668" s="183"/>
      <c r="S15668" s="183"/>
      <c r="AJ15668" s="183"/>
      <c r="AK15668" s="183"/>
      <c r="AL15668" s="183"/>
    </row>
    <row r="15669" spans="1:38">
      <c r="A15669" s="182"/>
      <c r="Q15669" s="183"/>
      <c r="R15669" s="183"/>
      <c r="S15669" s="183"/>
      <c r="AJ15669" s="183"/>
    </row>
    <row r="15670" spans="1:38">
      <c r="A15670" s="182"/>
      <c r="Q15670" s="183"/>
      <c r="R15670" s="183"/>
      <c r="S15670" s="183"/>
    </row>
    <row r="15671" spans="1:38">
      <c r="A15671" s="182"/>
      <c r="Q15671" s="183"/>
      <c r="R15671" s="183"/>
      <c r="S15671" s="183"/>
    </row>
    <row r="15672" spans="1:38">
      <c r="A15672" s="182"/>
      <c r="Q15672" s="183"/>
      <c r="R15672" s="183"/>
      <c r="S15672" s="183"/>
    </row>
    <row r="15673" spans="1:38">
      <c r="A15673" s="182"/>
      <c r="Q15673" s="183"/>
      <c r="R15673" s="183"/>
      <c r="S15673" s="183"/>
    </row>
    <row r="15674" spans="1:38">
      <c r="A15674" s="182"/>
      <c r="Q15674" s="183"/>
      <c r="R15674" s="183"/>
      <c r="S15674" s="183"/>
    </row>
    <row r="15675" spans="1:38">
      <c r="A15675" s="182"/>
      <c r="Q15675" s="183"/>
      <c r="R15675" s="183"/>
      <c r="S15675" s="183"/>
    </row>
    <row r="15676" spans="1:38">
      <c r="A15676" s="182"/>
      <c r="Q15676" s="183"/>
      <c r="R15676" s="183"/>
      <c r="S15676" s="183"/>
    </row>
    <row r="15677" spans="1:38">
      <c r="A15677" s="182"/>
      <c r="Q15677" s="183"/>
      <c r="R15677" s="183"/>
      <c r="S15677" s="183"/>
    </row>
    <row r="15678" spans="1:38">
      <c r="A15678" s="182"/>
      <c r="Q15678" s="183"/>
      <c r="R15678" s="183"/>
      <c r="S15678" s="183"/>
    </row>
    <row r="15679" spans="1:38">
      <c r="A15679" s="182"/>
      <c r="Q15679" s="183"/>
      <c r="R15679" s="183"/>
      <c r="S15679" s="183"/>
    </row>
    <row r="15680" spans="1:38">
      <c r="A15680" s="182"/>
      <c r="Q15680" s="183"/>
      <c r="R15680" s="183"/>
      <c r="S15680" s="183"/>
    </row>
    <row r="15681" spans="1:38">
      <c r="A15681" s="182"/>
      <c r="Q15681" s="183"/>
      <c r="R15681" s="183"/>
      <c r="S15681" s="183"/>
    </row>
    <row r="15682" spans="1:38">
      <c r="A15682" s="182"/>
      <c r="Q15682" s="183"/>
      <c r="R15682" s="183"/>
      <c r="S15682" s="183"/>
    </row>
    <row r="15683" spans="1:38">
      <c r="A15683" s="182"/>
      <c r="Q15683" s="183"/>
      <c r="R15683" s="183"/>
      <c r="S15683" s="183"/>
    </row>
    <row r="15684" spans="1:38">
      <c r="A15684" s="182"/>
      <c r="Q15684" s="183"/>
      <c r="R15684" s="183"/>
      <c r="S15684" s="183"/>
    </row>
    <row r="15685" spans="1:38">
      <c r="A15685" s="182"/>
      <c r="Q15685" s="183"/>
      <c r="R15685" s="183"/>
      <c r="S15685" s="183"/>
    </row>
    <row r="15686" spans="1:38">
      <c r="A15686" s="182"/>
      <c r="Q15686" s="183"/>
      <c r="R15686" s="183"/>
      <c r="S15686" s="183"/>
    </row>
    <row r="15687" spans="1:38">
      <c r="A15687" s="182"/>
      <c r="Q15687" s="183"/>
      <c r="R15687" s="183"/>
      <c r="S15687" s="183"/>
    </row>
    <row r="15688" spans="1:38">
      <c r="A15688" s="182"/>
      <c r="Q15688" s="183"/>
      <c r="R15688" s="183"/>
      <c r="S15688" s="183"/>
    </row>
    <row r="15689" spans="1:38">
      <c r="A15689" s="182"/>
      <c r="Q15689" s="183"/>
      <c r="R15689" s="183"/>
      <c r="S15689" s="183"/>
      <c r="AK15689" s="183"/>
      <c r="AL15689" s="183"/>
    </row>
    <row r="15690" spans="1:38">
      <c r="A15690" s="182"/>
      <c r="Q15690" s="183"/>
      <c r="R15690" s="183"/>
      <c r="S15690" s="183"/>
      <c r="AJ15690" s="183"/>
      <c r="AK15690" s="183"/>
      <c r="AL15690" s="183"/>
    </row>
    <row r="15691" spans="1:38">
      <c r="A15691" s="182"/>
      <c r="Q15691" s="183"/>
      <c r="R15691" s="183"/>
      <c r="S15691" s="183"/>
      <c r="AJ15691" s="183"/>
      <c r="AK15691" s="183"/>
      <c r="AL15691" s="183"/>
    </row>
    <row r="15692" spans="1:38">
      <c r="A15692" s="182"/>
      <c r="Q15692" s="183"/>
      <c r="R15692" s="183"/>
      <c r="S15692" s="183"/>
      <c r="AJ15692" s="183"/>
      <c r="AK15692" s="183"/>
      <c r="AL15692" s="183"/>
    </row>
    <row r="15693" spans="1:38">
      <c r="A15693" s="182"/>
      <c r="Q15693" s="183"/>
      <c r="R15693" s="183"/>
      <c r="S15693" s="183"/>
      <c r="AJ15693" s="183"/>
    </row>
    <row r="15694" spans="1:38">
      <c r="A15694" s="182"/>
      <c r="Q15694" s="183"/>
      <c r="R15694" s="183"/>
      <c r="S15694" s="183"/>
    </row>
    <row r="15695" spans="1:38">
      <c r="A15695" s="182"/>
      <c r="Q15695" s="183"/>
      <c r="R15695" s="183"/>
      <c r="S15695" s="183"/>
    </row>
    <row r="15696" spans="1:38">
      <c r="A15696" s="182"/>
      <c r="Q15696" s="183"/>
      <c r="R15696" s="183"/>
      <c r="S15696" s="183"/>
    </row>
    <row r="15697" spans="1:38">
      <c r="A15697" s="182"/>
      <c r="Q15697" s="183"/>
      <c r="R15697" s="183"/>
      <c r="S15697" s="183"/>
    </row>
    <row r="15698" spans="1:38">
      <c r="A15698" s="182"/>
      <c r="Q15698" s="183"/>
      <c r="R15698" s="183"/>
      <c r="S15698" s="183"/>
    </row>
    <row r="15699" spans="1:38">
      <c r="A15699" s="182"/>
      <c r="Q15699" s="183"/>
      <c r="R15699" s="183"/>
      <c r="S15699" s="183"/>
    </row>
    <row r="15700" spans="1:38">
      <c r="A15700" s="182"/>
      <c r="Q15700" s="183"/>
      <c r="R15700" s="183"/>
      <c r="S15700" s="183"/>
    </row>
    <row r="15701" spans="1:38">
      <c r="A15701" s="182"/>
      <c r="Q15701" s="183"/>
      <c r="R15701" s="183"/>
      <c r="S15701" s="183"/>
      <c r="AK15701" s="183"/>
      <c r="AL15701" s="183"/>
    </row>
    <row r="15702" spans="1:38">
      <c r="A15702" s="182"/>
      <c r="Q15702" s="183"/>
      <c r="R15702" s="183"/>
      <c r="S15702" s="183"/>
      <c r="AJ15702" s="183"/>
      <c r="AK15702" s="183"/>
      <c r="AL15702" s="183"/>
    </row>
    <row r="15703" spans="1:38">
      <c r="A15703" s="182"/>
      <c r="Q15703" s="183"/>
      <c r="R15703" s="183"/>
      <c r="S15703" s="183"/>
      <c r="AJ15703" s="183"/>
      <c r="AK15703" s="183"/>
      <c r="AL15703" s="183"/>
    </row>
    <row r="15704" spans="1:38">
      <c r="A15704" s="182"/>
      <c r="Q15704" s="183"/>
      <c r="R15704" s="183"/>
      <c r="S15704" s="183"/>
      <c r="AJ15704" s="183"/>
      <c r="AK15704" s="183"/>
      <c r="AL15704" s="183"/>
    </row>
    <row r="15705" spans="1:38">
      <c r="A15705" s="182"/>
      <c r="Q15705" s="183"/>
      <c r="R15705" s="183"/>
      <c r="S15705" s="183"/>
      <c r="AJ15705" s="183"/>
    </row>
    <row r="15706" spans="1:38">
      <c r="A15706" s="182"/>
      <c r="Q15706" s="183"/>
      <c r="R15706" s="183"/>
      <c r="S15706" s="183"/>
    </row>
    <row r="15707" spans="1:38">
      <c r="A15707" s="182"/>
      <c r="Q15707" s="183"/>
      <c r="R15707" s="183"/>
      <c r="S15707" s="183"/>
    </row>
    <row r="15708" spans="1:38">
      <c r="A15708" s="182"/>
      <c r="Q15708" s="183"/>
      <c r="R15708" s="183"/>
      <c r="S15708" s="183"/>
    </row>
    <row r="15709" spans="1:38">
      <c r="A15709" s="182"/>
      <c r="Q15709" s="183"/>
      <c r="R15709" s="183"/>
      <c r="S15709" s="183"/>
    </row>
    <row r="15710" spans="1:38">
      <c r="A15710" s="182"/>
      <c r="Q15710" s="183"/>
      <c r="R15710" s="183"/>
      <c r="S15710" s="183"/>
    </row>
    <row r="15711" spans="1:38">
      <c r="A15711" s="182"/>
      <c r="Q15711" s="183"/>
      <c r="R15711" s="183"/>
      <c r="S15711" s="183"/>
    </row>
    <row r="15712" spans="1:38">
      <c r="A15712" s="182"/>
      <c r="Q15712" s="183"/>
      <c r="R15712" s="183"/>
      <c r="S15712" s="183"/>
    </row>
    <row r="15713" spans="1:38">
      <c r="A15713" s="182"/>
      <c r="Q15713" s="183"/>
      <c r="R15713" s="183"/>
      <c r="S15713" s="183"/>
    </row>
    <row r="15714" spans="1:38">
      <c r="A15714" s="182"/>
      <c r="Q15714" s="183"/>
      <c r="R15714" s="183"/>
      <c r="S15714" s="183"/>
    </row>
    <row r="15715" spans="1:38">
      <c r="A15715" s="182"/>
      <c r="Q15715" s="183"/>
      <c r="R15715" s="183"/>
      <c r="S15715" s="183"/>
    </row>
    <row r="15716" spans="1:38">
      <c r="A15716" s="182"/>
      <c r="Q15716" s="183"/>
      <c r="R15716" s="183"/>
      <c r="S15716" s="183"/>
    </row>
    <row r="15717" spans="1:38">
      <c r="A15717" s="182"/>
      <c r="Q15717" s="183"/>
      <c r="R15717" s="183"/>
      <c r="S15717" s="183"/>
      <c r="AK15717" s="183"/>
      <c r="AL15717" s="183"/>
    </row>
    <row r="15718" spans="1:38">
      <c r="A15718" s="182"/>
      <c r="Q15718" s="183"/>
      <c r="R15718" s="183"/>
      <c r="S15718" s="183"/>
      <c r="AJ15718" s="183"/>
      <c r="AK15718" s="183"/>
      <c r="AL15718" s="183"/>
    </row>
    <row r="15719" spans="1:38">
      <c r="A15719" s="182"/>
      <c r="Q15719" s="183"/>
      <c r="R15719" s="183"/>
      <c r="S15719" s="183"/>
      <c r="AJ15719" s="183"/>
      <c r="AK15719" s="183"/>
      <c r="AL15719" s="183"/>
    </row>
    <row r="15720" spans="1:38">
      <c r="A15720" s="182"/>
      <c r="Q15720" s="183"/>
      <c r="R15720" s="183"/>
      <c r="S15720" s="183"/>
      <c r="AJ15720" s="183"/>
      <c r="AK15720" s="183"/>
      <c r="AL15720" s="183"/>
    </row>
    <row r="15721" spans="1:38">
      <c r="A15721" s="182"/>
      <c r="Q15721" s="183"/>
      <c r="R15721" s="183"/>
      <c r="S15721" s="183"/>
      <c r="AJ15721" s="183"/>
    </row>
    <row r="15722" spans="1:38">
      <c r="A15722" s="182"/>
      <c r="Q15722" s="183"/>
      <c r="R15722" s="183"/>
      <c r="S15722" s="183"/>
    </row>
    <row r="15723" spans="1:38">
      <c r="A15723" s="182"/>
      <c r="Q15723" s="183"/>
      <c r="R15723" s="183"/>
      <c r="S15723" s="183"/>
    </row>
    <row r="15724" spans="1:38">
      <c r="A15724" s="182"/>
      <c r="Q15724" s="183"/>
      <c r="R15724" s="183"/>
      <c r="S15724" s="183"/>
    </row>
    <row r="15725" spans="1:38">
      <c r="A15725" s="182"/>
      <c r="Q15725" s="183"/>
      <c r="R15725" s="183"/>
      <c r="S15725" s="183"/>
    </row>
    <row r="15726" spans="1:38">
      <c r="A15726" s="182"/>
      <c r="Q15726" s="183"/>
      <c r="R15726" s="183"/>
      <c r="S15726" s="183"/>
    </row>
    <row r="15727" spans="1:38">
      <c r="A15727" s="182"/>
      <c r="Q15727" s="183"/>
      <c r="R15727" s="183"/>
      <c r="S15727" s="183"/>
    </row>
    <row r="15728" spans="1:38">
      <c r="A15728" s="182"/>
      <c r="Q15728" s="183"/>
      <c r="R15728" s="183"/>
      <c r="S15728" s="183"/>
    </row>
    <row r="15729" spans="1:38">
      <c r="A15729" s="182"/>
      <c r="Q15729" s="183"/>
      <c r="R15729" s="183"/>
      <c r="S15729" s="183"/>
      <c r="AK15729" s="183"/>
      <c r="AL15729" s="183"/>
    </row>
    <row r="15730" spans="1:38">
      <c r="A15730" s="182"/>
      <c r="Q15730" s="183"/>
      <c r="R15730" s="183"/>
      <c r="S15730" s="183"/>
      <c r="AJ15730" s="183"/>
      <c r="AK15730" s="183"/>
      <c r="AL15730" s="183"/>
    </row>
    <row r="15731" spans="1:38">
      <c r="A15731" s="182"/>
      <c r="Q15731" s="183"/>
      <c r="R15731" s="183"/>
      <c r="S15731" s="183"/>
      <c r="AJ15731" s="183"/>
      <c r="AK15731" s="183"/>
      <c r="AL15731" s="183"/>
    </row>
    <row r="15732" spans="1:38">
      <c r="A15732" s="182"/>
      <c r="Q15732" s="183"/>
      <c r="R15732" s="183"/>
      <c r="S15732" s="183"/>
      <c r="AJ15732" s="183"/>
      <c r="AK15732" s="183"/>
      <c r="AL15732" s="183"/>
    </row>
    <row r="15733" spans="1:38">
      <c r="A15733" s="182"/>
      <c r="Q15733" s="183"/>
      <c r="R15733" s="183"/>
      <c r="S15733" s="183"/>
      <c r="AJ15733" s="183"/>
    </row>
    <row r="15734" spans="1:38">
      <c r="A15734" s="182"/>
      <c r="M15734" s="183"/>
      <c r="N15734" s="183"/>
      <c r="O15734" s="183"/>
      <c r="Q15734" s="183"/>
      <c r="R15734" s="183"/>
      <c r="S15734" s="183"/>
    </row>
    <row r="15735" spans="1:38">
      <c r="A15735" s="182"/>
      <c r="L15735" s="183"/>
      <c r="M15735" s="183"/>
      <c r="Q15735" s="183"/>
      <c r="R15735" s="183"/>
      <c r="S15735" s="183"/>
    </row>
    <row r="15736" spans="1:38">
      <c r="A15736" s="182"/>
      <c r="M15736" s="183"/>
      <c r="N15736" s="183"/>
      <c r="O15736" s="183"/>
      <c r="Q15736" s="183"/>
      <c r="R15736" s="183"/>
      <c r="S15736" s="183"/>
    </row>
    <row r="15737" spans="1:38">
      <c r="A15737" s="182"/>
      <c r="L15737" s="183"/>
      <c r="M15737" s="183"/>
      <c r="Q15737" s="183"/>
      <c r="R15737" s="183"/>
      <c r="S15737" s="183"/>
    </row>
    <row r="15738" spans="1:38">
      <c r="A15738" s="182"/>
      <c r="Q15738" s="183"/>
      <c r="R15738" s="183"/>
      <c r="S15738" s="183"/>
    </row>
    <row r="15739" spans="1:38">
      <c r="A15739" s="182"/>
      <c r="Q15739" s="183"/>
      <c r="R15739" s="183"/>
      <c r="S15739" s="183"/>
    </row>
    <row r="15740" spans="1:38">
      <c r="A15740" s="182"/>
      <c r="Q15740" s="183"/>
      <c r="R15740" s="183"/>
      <c r="S15740" s="183"/>
    </row>
    <row r="15741" spans="1:38">
      <c r="A15741" s="182"/>
      <c r="Q15741" s="183"/>
      <c r="R15741" s="183"/>
      <c r="S15741" s="183"/>
    </row>
    <row r="15742" spans="1:38">
      <c r="A15742" s="182"/>
      <c r="Q15742" s="183"/>
      <c r="R15742" s="183"/>
      <c r="S15742" s="183"/>
    </row>
    <row r="15743" spans="1:38">
      <c r="A15743" s="182"/>
      <c r="Q15743" s="183"/>
      <c r="R15743" s="183"/>
      <c r="S15743" s="183"/>
    </row>
    <row r="15744" spans="1:38">
      <c r="A15744" s="182"/>
      <c r="Q15744" s="183"/>
      <c r="R15744" s="183"/>
      <c r="S15744" s="183"/>
    </row>
    <row r="15745" spans="1:38">
      <c r="A15745" s="182"/>
      <c r="Q15745" s="183"/>
      <c r="R15745" s="183"/>
      <c r="S15745" s="183"/>
      <c r="AK15745" s="183"/>
      <c r="AL15745" s="183"/>
    </row>
    <row r="15746" spans="1:38">
      <c r="A15746" s="182"/>
      <c r="Q15746" s="183"/>
      <c r="R15746" s="183"/>
      <c r="S15746" s="183"/>
      <c r="AJ15746" s="183"/>
      <c r="AK15746" s="183"/>
      <c r="AL15746" s="183"/>
    </row>
    <row r="15747" spans="1:38">
      <c r="A15747" s="182"/>
      <c r="Q15747" s="183"/>
      <c r="R15747" s="183"/>
      <c r="S15747" s="183"/>
      <c r="AJ15747" s="183"/>
      <c r="AK15747" s="183"/>
      <c r="AL15747" s="183"/>
    </row>
    <row r="15748" spans="1:38">
      <c r="A15748" s="182"/>
      <c r="Q15748" s="183"/>
      <c r="R15748" s="183"/>
      <c r="S15748" s="183"/>
      <c r="AJ15748" s="183"/>
      <c r="AK15748" s="183"/>
      <c r="AL15748" s="183"/>
    </row>
    <row r="15749" spans="1:38">
      <c r="A15749" s="182"/>
      <c r="Q15749" s="183"/>
      <c r="R15749" s="183"/>
      <c r="S15749" s="183"/>
      <c r="AJ15749" s="183"/>
    </row>
    <row r="15750" spans="1:38">
      <c r="A15750" s="182"/>
      <c r="Q15750" s="183"/>
      <c r="R15750" s="183"/>
      <c r="S15750" s="183"/>
    </row>
    <row r="15751" spans="1:38">
      <c r="A15751" s="182"/>
      <c r="Q15751" s="183"/>
      <c r="R15751" s="183"/>
      <c r="S15751" s="183"/>
    </row>
    <row r="15752" spans="1:38">
      <c r="A15752" s="182"/>
      <c r="Q15752" s="183"/>
      <c r="R15752" s="183"/>
      <c r="S15752" s="183"/>
    </row>
    <row r="15753" spans="1:38">
      <c r="A15753" s="182"/>
      <c r="Q15753" s="183"/>
      <c r="R15753" s="183"/>
      <c r="S15753" s="183"/>
    </row>
    <row r="15754" spans="1:38">
      <c r="A15754" s="182"/>
      <c r="Q15754" s="183"/>
      <c r="R15754" s="183"/>
      <c r="S15754" s="183"/>
    </row>
    <row r="15755" spans="1:38">
      <c r="A15755" s="182"/>
      <c r="Q15755" s="183"/>
      <c r="R15755" s="183"/>
      <c r="S15755" s="183"/>
    </row>
    <row r="15756" spans="1:38">
      <c r="A15756" s="182"/>
      <c r="Q15756" s="183"/>
      <c r="R15756" s="183"/>
      <c r="S15756" s="183"/>
    </row>
    <row r="15757" spans="1:38">
      <c r="A15757" s="182"/>
      <c r="Q15757" s="183"/>
      <c r="R15757" s="183"/>
      <c r="S15757" s="183"/>
      <c r="AK15757" s="183"/>
      <c r="AL15757" s="183"/>
    </row>
    <row r="15758" spans="1:38">
      <c r="A15758" s="182"/>
      <c r="Q15758" s="183"/>
      <c r="R15758" s="183"/>
      <c r="S15758" s="183"/>
      <c r="AJ15758" s="183"/>
      <c r="AK15758" s="183"/>
      <c r="AL15758" s="183"/>
    </row>
    <row r="15759" spans="1:38">
      <c r="A15759" s="182"/>
      <c r="Q15759" s="183"/>
      <c r="R15759" s="183"/>
      <c r="S15759" s="183"/>
      <c r="AJ15759" s="183"/>
      <c r="AK15759" s="183"/>
      <c r="AL15759" s="183"/>
    </row>
    <row r="15760" spans="1:38">
      <c r="A15760" s="182"/>
      <c r="Q15760" s="183"/>
      <c r="R15760" s="183"/>
      <c r="S15760" s="183"/>
      <c r="AJ15760" s="183"/>
      <c r="AK15760" s="183"/>
      <c r="AL15760" s="183"/>
    </row>
    <row r="15761" spans="1:38">
      <c r="A15761" s="182"/>
      <c r="Q15761" s="183"/>
      <c r="R15761" s="183"/>
      <c r="S15761" s="183"/>
      <c r="AJ15761" s="183"/>
    </row>
    <row r="15762" spans="1:38">
      <c r="A15762" s="182"/>
      <c r="Q15762" s="183"/>
      <c r="R15762" s="183"/>
      <c r="S15762" s="183"/>
    </row>
    <row r="15763" spans="1:38">
      <c r="A15763" s="182"/>
      <c r="Q15763" s="183"/>
      <c r="R15763" s="183"/>
      <c r="S15763" s="183"/>
    </row>
    <row r="15764" spans="1:38">
      <c r="A15764" s="182"/>
      <c r="Q15764" s="183"/>
      <c r="R15764" s="183"/>
      <c r="S15764" s="183"/>
    </row>
    <row r="15765" spans="1:38">
      <c r="A15765" s="182"/>
      <c r="Q15765" s="183"/>
      <c r="R15765" s="183"/>
      <c r="S15765" s="183"/>
    </row>
    <row r="15766" spans="1:38">
      <c r="A15766" s="182"/>
      <c r="Q15766" s="183"/>
      <c r="R15766" s="183"/>
      <c r="S15766" s="183"/>
    </row>
    <row r="15767" spans="1:38">
      <c r="A15767" s="182"/>
      <c r="Q15767" s="183"/>
      <c r="R15767" s="183"/>
      <c r="S15767" s="183"/>
    </row>
    <row r="15768" spans="1:38">
      <c r="A15768" s="182"/>
      <c r="Q15768" s="183"/>
      <c r="R15768" s="183"/>
      <c r="S15768" s="183"/>
    </row>
    <row r="15769" spans="1:38">
      <c r="A15769" s="182"/>
      <c r="Q15769" s="183"/>
      <c r="R15769" s="183"/>
      <c r="S15769" s="183"/>
    </row>
    <row r="15770" spans="1:38">
      <c r="A15770" s="182"/>
      <c r="Q15770" s="183"/>
      <c r="R15770" s="183"/>
      <c r="S15770" s="183"/>
    </row>
    <row r="15771" spans="1:38">
      <c r="A15771" s="182"/>
      <c r="Q15771" s="183"/>
      <c r="R15771" s="183"/>
      <c r="S15771" s="183"/>
    </row>
    <row r="15772" spans="1:38">
      <c r="A15772" s="182"/>
      <c r="Q15772" s="183"/>
      <c r="R15772" s="183"/>
      <c r="S15772" s="183"/>
    </row>
    <row r="15773" spans="1:38">
      <c r="A15773" s="182"/>
      <c r="Q15773" s="183"/>
      <c r="R15773" s="183"/>
      <c r="S15773" s="183"/>
      <c r="AK15773" s="183"/>
      <c r="AL15773" s="183"/>
    </row>
    <row r="15774" spans="1:38">
      <c r="A15774" s="182"/>
      <c r="Q15774" s="183"/>
      <c r="R15774" s="183"/>
      <c r="S15774" s="183"/>
      <c r="AJ15774" s="183"/>
      <c r="AK15774" s="183"/>
      <c r="AL15774" s="183"/>
    </row>
    <row r="15775" spans="1:38">
      <c r="A15775" s="182"/>
      <c r="Q15775" s="183"/>
      <c r="R15775" s="183"/>
      <c r="S15775" s="183"/>
      <c r="AJ15775" s="183"/>
      <c r="AK15775" s="183"/>
      <c r="AL15775" s="183"/>
    </row>
    <row r="15776" spans="1:38">
      <c r="A15776" s="182"/>
      <c r="Q15776" s="183"/>
      <c r="R15776" s="183"/>
      <c r="S15776" s="183"/>
      <c r="AJ15776" s="183"/>
      <c r="AK15776" s="183"/>
      <c r="AL15776" s="183"/>
    </row>
    <row r="15777" spans="1:36">
      <c r="A15777" s="182"/>
      <c r="Q15777" s="183"/>
      <c r="R15777" s="183"/>
      <c r="S15777" s="183"/>
      <c r="AJ15777" s="183"/>
    </row>
    <row r="15778" spans="1:36">
      <c r="A15778" s="182"/>
      <c r="Q15778" s="183"/>
      <c r="R15778" s="183"/>
      <c r="S15778" s="183"/>
    </row>
    <row r="15779" spans="1:36">
      <c r="A15779" s="182"/>
      <c r="Q15779" s="183"/>
      <c r="R15779" s="183"/>
      <c r="S15779" s="183"/>
    </row>
    <row r="15780" spans="1:36">
      <c r="A15780" s="182"/>
      <c r="Q15780" s="183"/>
      <c r="R15780" s="183"/>
      <c r="S15780" s="183"/>
    </row>
    <row r="15781" spans="1:36">
      <c r="A15781" s="182"/>
      <c r="Q15781" s="183"/>
      <c r="R15781" s="183"/>
      <c r="S15781" s="183"/>
    </row>
    <row r="15782" spans="1:36">
      <c r="A15782" s="182"/>
      <c r="Q15782" s="183"/>
      <c r="R15782" s="183"/>
      <c r="S15782" s="183"/>
    </row>
    <row r="15783" spans="1:36">
      <c r="A15783" s="182"/>
      <c r="Q15783" s="183"/>
      <c r="R15783" s="183"/>
      <c r="S15783" s="183"/>
    </row>
    <row r="15784" spans="1:36">
      <c r="A15784" s="182"/>
      <c r="Q15784" s="183"/>
      <c r="R15784" s="183"/>
      <c r="S15784" s="183"/>
    </row>
    <row r="15785" spans="1:36">
      <c r="A15785" s="182"/>
      <c r="Q15785" s="183"/>
      <c r="R15785" s="183"/>
      <c r="S15785" s="183"/>
    </row>
    <row r="15786" spans="1:36">
      <c r="A15786" s="182"/>
      <c r="Q15786" s="183"/>
      <c r="R15786" s="183"/>
      <c r="S15786" s="183"/>
    </row>
    <row r="15787" spans="1:36">
      <c r="A15787" s="182"/>
      <c r="Q15787" s="183"/>
      <c r="R15787" s="183"/>
      <c r="S15787" s="183"/>
    </row>
    <row r="15788" spans="1:36">
      <c r="A15788" s="182"/>
      <c r="Q15788" s="183"/>
      <c r="R15788" s="183"/>
      <c r="S15788" s="183"/>
    </row>
    <row r="15789" spans="1:36">
      <c r="A15789" s="182"/>
      <c r="Q15789" s="183"/>
      <c r="R15789" s="183"/>
      <c r="S15789" s="183"/>
    </row>
    <row r="15790" spans="1:36">
      <c r="A15790" s="182"/>
      <c r="Q15790" s="183"/>
      <c r="R15790" s="183"/>
      <c r="S15790" s="183"/>
    </row>
    <row r="15791" spans="1:36">
      <c r="A15791" s="182"/>
      <c r="Q15791" s="183"/>
      <c r="R15791" s="183"/>
      <c r="S15791" s="183"/>
    </row>
    <row r="15792" spans="1:36">
      <c r="A15792" s="182"/>
      <c r="Q15792" s="183"/>
      <c r="R15792" s="183"/>
      <c r="S15792" s="183"/>
    </row>
    <row r="15793" spans="1:38">
      <c r="A15793" s="182"/>
      <c r="Q15793" s="183"/>
      <c r="R15793" s="183"/>
      <c r="S15793" s="183"/>
    </row>
    <row r="15794" spans="1:38">
      <c r="A15794" s="182"/>
      <c r="Q15794" s="183"/>
      <c r="R15794" s="183"/>
      <c r="S15794" s="183"/>
    </row>
    <row r="15795" spans="1:38">
      <c r="A15795" s="182"/>
      <c r="Q15795" s="183"/>
      <c r="R15795" s="183"/>
      <c r="S15795" s="183"/>
    </row>
    <row r="15796" spans="1:38">
      <c r="A15796" s="182"/>
      <c r="Q15796" s="183"/>
      <c r="R15796" s="183"/>
      <c r="S15796" s="183"/>
    </row>
    <row r="15797" spans="1:38">
      <c r="A15797" s="182"/>
      <c r="Q15797" s="183"/>
      <c r="R15797" s="183"/>
      <c r="S15797" s="183"/>
      <c r="AK15797" s="183"/>
      <c r="AL15797" s="183"/>
    </row>
    <row r="15798" spans="1:38">
      <c r="A15798" s="182"/>
      <c r="Q15798" s="183"/>
      <c r="R15798" s="183"/>
      <c r="S15798" s="183"/>
      <c r="AJ15798" s="183"/>
      <c r="AK15798" s="183"/>
      <c r="AL15798" s="183"/>
    </row>
    <row r="15799" spans="1:38">
      <c r="A15799" s="182"/>
      <c r="Q15799" s="183"/>
      <c r="R15799" s="183"/>
      <c r="S15799" s="183"/>
      <c r="AJ15799" s="183"/>
      <c r="AK15799" s="183"/>
      <c r="AL15799" s="183"/>
    </row>
    <row r="15800" spans="1:38">
      <c r="A15800" s="182"/>
      <c r="Q15800" s="183"/>
      <c r="R15800" s="183"/>
      <c r="S15800" s="183"/>
      <c r="AJ15800" s="183"/>
      <c r="AK15800" s="183"/>
      <c r="AL15800" s="183"/>
    </row>
    <row r="15801" spans="1:38">
      <c r="A15801" s="182"/>
      <c r="Q15801" s="183"/>
      <c r="R15801" s="183"/>
      <c r="S15801" s="183"/>
      <c r="AJ15801" s="183"/>
    </row>
    <row r="15802" spans="1:38">
      <c r="A15802" s="182"/>
      <c r="Q15802" s="183"/>
      <c r="R15802" s="183"/>
      <c r="S15802" s="183"/>
    </row>
    <row r="15803" spans="1:38">
      <c r="A15803" s="182"/>
      <c r="Q15803" s="183"/>
      <c r="R15803" s="183"/>
      <c r="S15803" s="183"/>
    </row>
    <row r="15804" spans="1:38">
      <c r="A15804" s="182"/>
      <c r="Q15804" s="183"/>
      <c r="R15804" s="183"/>
      <c r="S15804" s="183"/>
    </row>
    <row r="15805" spans="1:38">
      <c r="A15805" s="182"/>
      <c r="Q15805" s="183"/>
      <c r="R15805" s="183"/>
      <c r="S15805" s="183"/>
    </row>
    <row r="15806" spans="1:38">
      <c r="A15806" s="182"/>
      <c r="Q15806" s="183"/>
      <c r="R15806" s="183"/>
      <c r="S15806" s="183"/>
    </row>
    <row r="15807" spans="1:38">
      <c r="A15807" s="182"/>
      <c r="Q15807" s="183"/>
      <c r="R15807" s="183"/>
      <c r="S15807" s="183"/>
    </row>
    <row r="15808" spans="1:38">
      <c r="A15808" s="182"/>
      <c r="Q15808" s="183"/>
      <c r="R15808" s="183"/>
      <c r="S15808" s="183"/>
    </row>
    <row r="15809" spans="1:19">
      <c r="A15809" s="182"/>
      <c r="Q15809" s="183"/>
      <c r="R15809" s="183"/>
      <c r="S15809" s="183"/>
    </row>
    <row r="15810" spans="1:19">
      <c r="A15810" s="182"/>
      <c r="Q15810" s="183"/>
      <c r="R15810" s="183"/>
      <c r="S15810" s="183"/>
    </row>
    <row r="15811" spans="1:19">
      <c r="A15811" s="182"/>
      <c r="Q15811" s="183"/>
      <c r="R15811" s="183"/>
      <c r="S15811" s="183"/>
    </row>
    <row r="15812" spans="1:19">
      <c r="A15812" s="182"/>
      <c r="Q15812" s="183"/>
      <c r="R15812" s="183"/>
      <c r="S15812" s="183"/>
    </row>
    <row r="15813" spans="1:19">
      <c r="A15813" s="182"/>
      <c r="Q15813" s="183"/>
      <c r="R15813" s="183"/>
      <c r="S15813" s="183"/>
    </row>
    <row r="15814" spans="1:19">
      <c r="A15814" s="182"/>
      <c r="Q15814" s="183"/>
      <c r="R15814" s="183"/>
      <c r="S15814" s="183"/>
    </row>
    <row r="15815" spans="1:19">
      <c r="A15815" s="182"/>
      <c r="Q15815" s="183"/>
      <c r="R15815" s="183"/>
      <c r="S15815" s="183"/>
    </row>
    <row r="15816" spans="1:19">
      <c r="A15816" s="182"/>
      <c r="Q15816" s="183"/>
      <c r="R15816" s="183"/>
      <c r="S15816" s="183"/>
    </row>
    <row r="15817" spans="1:19">
      <c r="A15817" s="182"/>
      <c r="Q15817" s="183"/>
      <c r="R15817" s="183"/>
      <c r="S15817" s="183"/>
    </row>
    <row r="15818" spans="1:19">
      <c r="A15818" s="182"/>
      <c r="M15818" s="183"/>
      <c r="N15818" s="183"/>
      <c r="Q15818" s="183"/>
      <c r="R15818" s="183"/>
      <c r="S15818" s="183"/>
    </row>
    <row r="15819" spans="1:19">
      <c r="A15819" s="182"/>
      <c r="L15819" s="183"/>
      <c r="Q15819" s="183"/>
      <c r="R15819" s="183"/>
      <c r="S15819" s="183"/>
    </row>
    <row r="15820" spans="1:19">
      <c r="A15820" s="182"/>
      <c r="Q15820" s="183"/>
      <c r="R15820" s="183"/>
      <c r="S15820" s="183"/>
    </row>
    <row r="15821" spans="1:19">
      <c r="A15821" s="182"/>
      <c r="Q15821" s="183"/>
      <c r="R15821" s="183"/>
      <c r="S15821" s="183"/>
    </row>
    <row r="15822" spans="1:19">
      <c r="A15822" s="182"/>
      <c r="Q15822" s="183"/>
      <c r="R15822" s="183"/>
      <c r="S15822" s="183"/>
    </row>
    <row r="15823" spans="1:19">
      <c r="A15823" s="182"/>
      <c r="Q15823" s="183"/>
      <c r="R15823" s="183"/>
      <c r="S15823" s="183"/>
    </row>
    <row r="15824" spans="1:19">
      <c r="A15824" s="182"/>
      <c r="Q15824" s="183"/>
      <c r="R15824" s="183"/>
      <c r="S15824" s="183"/>
    </row>
    <row r="15825" spans="1:38">
      <c r="A15825" s="182"/>
      <c r="Q15825" s="183"/>
      <c r="R15825" s="183"/>
      <c r="S15825" s="183"/>
    </row>
    <row r="15826" spans="1:38">
      <c r="A15826" s="182"/>
      <c r="Q15826" s="183"/>
      <c r="R15826" s="183"/>
      <c r="S15826" s="183"/>
    </row>
    <row r="15827" spans="1:38">
      <c r="A15827" s="182"/>
      <c r="Q15827" s="183"/>
      <c r="R15827" s="183"/>
      <c r="S15827" s="183"/>
    </row>
    <row r="15828" spans="1:38">
      <c r="A15828" s="182"/>
      <c r="Q15828" s="183"/>
      <c r="R15828" s="183"/>
      <c r="S15828" s="183"/>
    </row>
    <row r="15829" spans="1:38">
      <c r="A15829" s="182"/>
      <c r="Q15829" s="183"/>
      <c r="R15829" s="183"/>
      <c r="S15829" s="183"/>
      <c r="AK15829" s="183"/>
      <c r="AL15829" s="183"/>
    </row>
    <row r="15830" spans="1:38">
      <c r="A15830" s="182"/>
      <c r="Q15830" s="183"/>
      <c r="R15830" s="183"/>
      <c r="S15830" s="183"/>
      <c r="AJ15830" s="183"/>
      <c r="AK15830" s="183"/>
      <c r="AL15830" s="183"/>
    </row>
    <row r="15831" spans="1:38">
      <c r="A15831" s="182"/>
      <c r="Q15831" s="183"/>
      <c r="R15831" s="183"/>
      <c r="S15831" s="183"/>
      <c r="AJ15831" s="183"/>
      <c r="AK15831" s="183"/>
      <c r="AL15831" s="183"/>
    </row>
    <row r="15832" spans="1:38">
      <c r="A15832" s="182"/>
      <c r="Q15832" s="183"/>
      <c r="R15832" s="183"/>
      <c r="S15832" s="183"/>
      <c r="AJ15832" s="183"/>
      <c r="AK15832" s="183"/>
      <c r="AL15832" s="183"/>
    </row>
    <row r="15833" spans="1:38">
      <c r="A15833" s="182"/>
      <c r="Q15833" s="183"/>
      <c r="R15833" s="183"/>
      <c r="S15833" s="183"/>
      <c r="AJ15833" s="183"/>
      <c r="AK15833" s="183"/>
      <c r="AL15833" s="183"/>
    </row>
    <row r="15834" spans="1:38">
      <c r="A15834" s="182"/>
      <c r="Q15834" s="183"/>
      <c r="R15834" s="183"/>
      <c r="S15834" s="183"/>
      <c r="AJ15834" s="183"/>
      <c r="AK15834" s="183"/>
      <c r="AL15834" s="183"/>
    </row>
    <row r="15835" spans="1:38">
      <c r="A15835" s="182"/>
      <c r="Q15835" s="183"/>
      <c r="R15835" s="183"/>
      <c r="S15835" s="183"/>
      <c r="AJ15835" s="183"/>
      <c r="AK15835" s="183"/>
      <c r="AL15835" s="183"/>
    </row>
    <row r="15836" spans="1:38">
      <c r="A15836" s="182"/>
      <c r="Q15836" s="183"/>
      <c r="R15836" s="183"/>
      <c r="S15836" s="183"/>
      <c r="AJ15836" s="183"/>
      <c r="AK15836" s="183"/>
      <c r="AL15836" s="183"/>
    </row>
    <row r="15837" spans="1:38">
      <c r="A15837" s="182"/>
      <c r="Q15837" s="183"/>
      <c r="R15837" s="183"/>
      <c r="S15837" s="183"/>
      <c r="AJ15837" s="183"/>
    </row>
    <row r="15838" spans="1:38">
      <c r="A15838" s="182"/>
      <c r="Q15838" s="183"/>
      <c r="R15838" s="183"/>
      <c r="S15838" s="183"/>
    </row>
    <row r="15839" spans="1:38">
      <c r="A15839" s="182"/>
      <c r="Q15839" s="183"/>
      <c r="R15839" s="183"/>
      <c r="S15839" s="183"/>
    </row>
    <row r="15840" spans="1:38">
      <c r="A15840" s="182"/>
      <c r="Q15840" s="183"/>
      <c r="R15840" s="183"/>
      <c r="S15840" s="183"/>
    </row>
    <row r="15841" spans="1:38">
      <c r="A15841" s="182"/>
      <c r="Q15841" s="183"/>
      <c r="R15841" s="183"/>
      <c r="S15841" s="183"/>
      <c r="AK15841" s="183"/>
      <c r="AL15841" s="183"/>
    </row>
    <row r="15842" spans="1:38">
      <c r="A15842" s="182"/>
      <c r="Q15842" s="183"/>
      <c r="R15842" s="183"/>
      <c r="S15842" s="183"/>
      <c r="AJ15842" s="183"/>
      <c r="AK15842" s="183"/>
      <c r="AL15842" s="183"/>
    </row>
    <row r="15843" spans="1:38">
      <c r="A15843" s="182"/>
      <c r="Q15843" s="183"/>
      <c r="R15843" s="183"/>
      <c r="S15843" s="183"/>
      <c r="AJ15843" s="183"/>
      <c r="AK15843" s="183"/>
      <c r="AL15843" s="183"/>
    </row>
    <row r="15844" spans="1:38">
      <c r="A15844" s="182"/>
      <c r="Q15844" s="183"/>
      <c r="R15844" s="183"/>
      <c r="S15844" s="183"/>
      <c r="AJ15844" s="183"/>
      <c r="AK15844" s="183"/>
      <c r="AL15844" s="183"/>
    </row>
    <row r="15845" spans="1:38">
      <c r="A15845" s="182"/>
      <c r="Q15845" s="183"/>
      <c r="R15845" s="183"/>
      <c r="S15845" s="183"/>
      <c r="AJ15845" s="183"/>
    </row>
    <row r="15846" spans="1:38">
      <c r="A15846" s="182"/>
      <c r="Q15846" s="183"/>
      <c r="R15846" s="183"/>
      <c r="S15846" s="183"/>
    </row>
    <row r="15847" spans="1:38">
      <c r="A15847" s="182"/>
      <c r="Q15847" s="183"/>
      <c r="R15847" s="183"/>
      <c r="S15847" s="183"/>
    </row>
    <row r="15848" spans="1:38">
      <c r="A15848" s="182"/>
      <c r="Q15848" s="183"/>
      <c r="R15848" s="183"/>
      <c r="S15848" s="183"/>
    </row>
    <row r="15849" spans="1:38">
      <c r="A15849" s="182"/>
      <c r="Q15849" s="183"/>
      <c r="R15849" s="183"/>
      <c r="S15849" s="183"/>
    </row>
    <row r="15850" spans="1:38">
      <c r="A15850" s="182"/>
      <c r="Q15850" s="183"/>
      <c r="R15850" s="183"/>
      <c r="S15850" s="183"/>
    </row>
    <row r="15851" spans="1:38">
      <c r="A15851" s="182"/>
      <c r="Q15851" s="183"/>
      <c r="R15851" s="183"/>
      <c r="S15851" s="183"/>
    </row>
    <row r="15852" spans="1:38">
      <c r="A15852" s="182"/>
      <c r="Q15852" s="183"/>
      <c r="R15852" s="183"/>
      <c r="S15852" s="183"/>
    </row>
    <row r="15853" spans="1:38">
      <c r="A15853" s="182"/>
      <c r="Q15853" s="183"/>
      <c r="R15853" s="183"/>
      <c r="S15853" s="183"/>
    </row>
    <row r="15854" spans="1:38">
      <c r="A15854" s="182"/>
      <c r="Q15854" s="183"/>
      <c r="R15854" s="183"/>
      <c r="S15854" s="183"/>
    </row>
    <row r="15855" spans="1:38">
      <c r="A15855" s="182"/>
      <c r="Q15855" s="183"/>
      <c r="R15855" s="183"/>
      <c r="S15855" s="183"/>
    </row>
    <row r="15856" spans="1:38">
      <c r="A15856" s="182"/>
      <c r="Q15856" s="183"/>
      <c r="R15856" s="183"/>
      <c r="S15856" s="183"/>
    </row>
    <row r="15857" spans="1:38">
      <c r="A15857" s="182"/>
      <c r="Q15857" s="183"/>
      <c r="R15857" s="183"/>
      <c r="S15857" s="183"/>
      <c r="AK15857" s="183"/>
      <c r="AL15857" s="183"/>
    </row>
    <row r="15858" spans="1:38">
      <c r="A15858" s="182"/>
      <c r="Q15858" s="183"/>
      <c r="R15858" s="183"/>
      <c r="S15858" s="183"/>
      <c r="AJ15858" s="183"/>
      <c r="AK15858" s="183"/>
      <c r="AL15858" s="183"/>
    </row>
    <row r="15859" spans="1:38">
      <c r="A15859" s="182"/>
      <c r="Q15859" s="183"/>
      <c r="R15859" s="183"/>
      <c r="S15859" s="183"/>
      <c r="AJ15859" s="183"/>
      <c r="AK15859" s="183"/>
      <c r="AL15859" s="183"/>
    </row>
    <row r="15860" spans="1:38">
      <c r="A15860" s="182"/>
      <c r="Q15860" s="183"/>
      <c r="R15860" s="183"/>
      <c r="S15860" s="183"/>
      <c r="AJ15860" s="183"/>
      <c r="AK15860" s="183"/>
      <c r="AL15860" s="183"/>
    </row>
    <row r="15861" spans="1:38">
      <c r="A15861" s="182"/>
      <c r="Q15861" s="183"/>
      <c r="R15861" s="183"/>
      <c r="S15861" s="183"/>
      <c r="AJ15861" s="183"/>
    </row>
    <row r="15862" spans="1:38">
      <c r="A15862" s="182"/>
      <c r="Q15862" s="183"/>
      <c r="R15862" s="183"/>
      <c r="S15862" s="183"/>
    </row>
    <row r="15863" spans="1:38">
      <c r="A15863" s="182"/>
      <c r="Q15863" s="183"/>
      <c r="R15863" s="183"/>
      <c r="S15863" s="183"/>
    </row>
    <row r="15864" spans="1:38">
      <c r="A15864" s="182"/>
      <c r="Q15864" s="183"/>
      <c r="R15864" s="183"/>
      <c r="S15864" s="183"/>
    </row>
    <row r="15865" spans="1:38">
      <c r="A15865" s="182"/>
      <c r="Q15865" s="183"/>
      <c r="R15865" s="183"/>
      <c r="S15865" s="183"/>
    </row>
    <row r="15866" spans="1:38">
      <c r="A15866" s="182"/>
      <c r="Q15866" s="183"/>
      <c r="R15866" s="183"/>
      <c r="S15866" s="183"/>
    </row>
    <row r="15867" spans="1:38">
      <c r="A15867" s="182"/>
      <c r="Q15867" s="183"/>
      <c r="R15867" s="183"/>
      <c r="S15867" s="183"/>
    </row>
    <row r="15868" spans="1:38">
      <c r="A15868" s="182"/>
      <c r="Q15868" s="183"/>
      <c r="R15868" s="183"/>
      <c r="S15868" s="183"/>
    </row>
    <row r="15869" spans="1:38">
      <c r="A15869" s="182"/>
      <c r="Q15869" s="183"/>
      <c r="R15869" s="183"/>
      <c r="S15869" s="183"/>
    </row>
    <row r="15870" spans="1:38">
      <c r="A15870" s="182"/>
      <c r="Q15870" s="183"/>
      <c r="R15870" s="183"/>
      <c r="S15870" s="183"/>
    </row>
    <row r="15871" spans="1:38">
      <c r="A15871" s="182"/>
      <c r="Q15871" s="183"/>
      <c r="R15871" s="183"/>
      <c r="S15871" s="183"/>
    </row>
    <row r="15872" spans="1:38">
      <c r="A15872" s="182"/>
      <c r="Q15872" s="183"/>
      <c r="R15872" s="183"/>
      <c r="S15872" s="183"/>
    </row>
    <row r="15873" spans="1:38">
      <c r="A15873" s="182"/>
      <c r="Q15873" s="183"/>
      <c r="R15873" s="183"/>
      <c r="S15873" s="183"/>
    </row>
    <row r="15874" spans="1:38">
      <c r="A15874" s="182"/>
      <c r="Q15874" s="183"/>
      <c r="R15874" s="183"/>
      <c r="S15874" s="183"/>
    </row>
    <row r="15875" spans="1:38">
      <c r="A15875" s="182"/>
      <c r="Q15875" s="183"/>
      <c r="R15875" s="183"/>
      <c r="S15875" s="183"/>
    </row>
    <row r="15876" spans="1:38">
      <c r="A15876" s="182"/>
      <c r="Q15876" s="183"/>
      <c r="R15876" s="183"/>
      <c r="S15876" s="183"/>
    </row>
    <row r="15877" spans="1:38">
      <c r="A15877" s="182"/>
      <c r="Q15877" s="183"/>
      <c r="R15877" s="183"/>
      <c r="S15877" s="183"/>
      <c r="AK15877" s="183"/>
      <c r="AL15877" s="183"/>
    </row>
    <row r="15878" spans="1:38">
      <c r="A15878" s="182"/>
      <c r="Q15878" s="183"/>
      <c r="R15878" s="183"/>
      <c r="S15878" s="183"/>
      <c r="AJ15878" s="183"/>
      <c r="AK15878" s="183"/>
      <c r="AL15878" s="183"/>
    </row>
    <row r="15879" spans="1:38">
      <c r="A15879" s="182"/>
      <c r="Q15879" s="183"/>
      <c r="R15879" s="183"/>
      <c r="S15879" s="183"/>
      <c r="AJ15879" s="183"/>
      <c r="AK15879" s="183"/>
      <c r="AL15879" s="183"/>
    </row>
    <row r="15880" spans="1:38">
      <c r="A15880" s="182"/>
      <c r="Q15880" s="183"/>
      <c r="R15880" s="183"/>
      <c r="S15880" s="183"/>
      <c r="AJ15880" s="183"/>
      <c r="AK15880" s="183"/>
      <c r="AL15880" s="183"/>
    </row>
    <row r="15881" spans="1:38">
      <c r="A15881" s="182"/>
      <c r="Q15881" s="183"/>
      <c r="R15881" s="183"/>
      <c r="S15881" s="183"/>
      <c r="AJ15881" s="183"/>
    </row>
    <row r="15882" spans="1:38">
      <c r="A15882" s="182"/>
      <c r="Q15882" s="183"/>
      <c r="R15882" s="183"/>
      <c r="S15882" s="183"/>
    </row>
    <row r="15883" spans="1:38">
      <c r="A15883" s="182"/>
      <c r="Q15883" s="183"/>
      <c r="R15883" s="183"/>
      <c r="S15883" s="183"/>
    </row>
    <row r="15884" spans="1:38">
      <c r="A15884" s="182"/>
      <c r="Q15884" s="183"/>
      <c r="R15884" s="183"/>
      <c r="S15884" s="183"/>
    </row>
    <row r="15885" spans="1:38">
      <c r="A15885" s="182"/>
      <c r="Q15885" s="183"/>
      <c r="R15885" s="183"/>
      <c r="S15885" s="183"/>
    </row>
    <row r="15886" spans="1:38">
      <c r="A15886" s="182"/>
      <c r="Q15886" s="183"/>
      <c r="R15886" s="183"/>
      <c r="S15886" s="183"/>
    </row>
    <row r="15887" spans="1:38">
      <c r="A15887" s="182"/>
      <c r="Q15887" s="183"/>
      <c r="R15887" s="183"/>
      <c r="S15887" s="183"/>
    </row>
    <row r="15888" spans="1:38">
      <c r="A15888" s="182"/>
      <c r="Q15888" s="183"/>
      <c r="R15888" s="183"/>
      <c r="S15888" s="183"/>
    </row>
    <row r="15889" spans="1:19">
      <c r="A15889" s="182"/>
      <c r="Q15889" s="183"/>
      <c r="R15889" s="183"/>
      <c r="S15889" s="183"/>
    </row>
    <row r="15890" spans="1:19">
      <c r="A15890" s="182"/>
      <c r="Q15890" s="183"/>
      <c r="R15890" s="183"/>
      <c r="S15890" s="183"/>
    </row>
    <row r="15891" spans="1:19">
      <c r="A15891" s="182"/>
      <c r="Q15891" s="183"/>
      <c r="R15891" s="183"/>
      <c r="S15891" s="183"/>
    </row>
    <row r="15892" spans="1:19">
      <c r="A15892" s="182"/>
      <c r="Q15892" s="183"/>
      <c r="R15892" s="183"/>
      <c r="S15892" s="183"/>
    </row>
    <row r="15893" spans="1:19">
      <c r="A15893" s="182"/>
      <c r="Q15893" s="183"/>
      <c r="R15893" s="183"/>
      <c r="S15893" s="183"/>
    </row>
    <row r="15894" spans="1:19">
      <c r="A15894" s="182"/>
      <c r="Q15894" s="183"/>
      <c r="R15894" s="183"/>
      <c r="S15894" s="183"/>
    </row>
    <row r="15895" spans="1:19">
      <c r="A15895" s="182"/>
      <c r="Q15895" s="183"/>
      <c r="R15895" s="183"/>
      <c r="S15895" s="183"/>
    </row>
    <row r="15896" spans="1:19">
      <c r="A15896" s="182"/>
      <c r="Q15896" s="183"/>
      <c r="R15896" s="183"/>
      <c r="S15896" s="183"/>
    </row>
    <row r="15897" spans="1:19">
      <c r="A15897" s="182"/>
      <c r="Q15897" s="183"/>
      <c r="R15897" s="183"/>
      <c r="S15897" s="183"/>
    </row>
    <row r="15898" spans="1:19">
      <c r="A15898" s="182"/>
      <c r="Q15898" s="183"/>
      <c r="R15898" s="183"/>
      <c r="S15898" s="183"/>
    </row>
    <row r="15899" spans="1:19">
      <c r="A15899" s="182"/>
      <c r="Q15899" s="183"/>
      <c r="R15899" s="183"/>
      <c r="S15899" s="183"/>
    </row>
    <row r="15900" spans="1:19">
      <c r="A15900" s="182"/>
      <c r="Q15900" s="183"/>
      <c r="R15900" s="183"/>
      <c r="S15900" s="183"/>
    </row>
    <row r="15901" spans="1:19">
      <c r="A15901" s="182"/>
      <c r="Q15901" s="183"/>
      <c r="R15901" s="183"/>
      <c r="S15901" s="183"/>
    </row>
    <row r="15902" spans="1:19">
      <c r="A15902" s="182"/>
      <c r="Q15902" s="183"/>
      <c r="R15902" s="183"/>
      <c r="S15902" s="183"/>
    </row>
    <row r="15903" spans="1:19">
      <c r="A15903" s="182"/>
      <c r="Q15903" s="183"/>
      <c r="R15903" s="183"/>
      <c r="S15903" s="183"/>
    </row>
    <row r="15904" spans="1:19">
      <c r="A15904" s="182"/>
      <c r="Q15904" s="183"/>
      <c r="R15904" s="183"/>
      <c r="S15904" s="183"/>
    </row>
    <row r="15905" spans="1:19">
      <c r="A15905" s="182"/>
      <c r="Q15905" s="183"/>
      <c r="R15905" s="183"/>
      <c r="S15905" s="183"/>
    </row>
    <row r="15906" spans="1:19">
      <c r="A15906" s="182"/>
      <c r="Q15906" s="183"/>
      <c r="R15906" s="183"/>
      <c r="S15906" s="183"/>
    </row>
    <row r="15907" spans="1:19">
      <c r="A15907" s="182"/>
      <c r="Q15907" s="183"/>
      <c r="R15907" s="183"/>
      <c r="S15907" s="183"/>
    </row>
    <row r="15908" spans="1:19">
      <c r="A15908" s="182"/>
      <c r="Q15908" s="183"/>
      <c r="R15908" s="183"/>
      <c r="S15908" s="183"/>
    </row>
    <row r="15909" spans="1:19">
      <c r="A15909" s="182"/>
      <c r="Q15909" s="183"/>
      <c r="R15909" s="183"/>
      <c r="S15909" s="183"/>
    </row>
    <row r="15910" spans="1:19">
      <c r="A15910" s="182"/>
      <c r="Q15910" s="183"/>
      <c r="R15910" s="183"/>
      <c r="S15910" s="183"/>
    </row>
    <row r="15911" spans="1:19">
      <c r="A15911" s="182"/>
      <c r="Q15911" s="183"/>
      <c r="R15911" s="183"/>
      <c r="S15911" s="183"/>
    </row>
    <row r="15912" spans="1:19">
      <c r="A15912" s="182"/>
      <c r="Q15912" s="183"/>
      <c r="R15912" s="183"/>
      <c r="S15912" s="183"/>
    </row>
    <row r="15913" spans="1:19">
      <c r="A15913" s="182"/>
      <c r="Q15913" s="183"/>
      <c r="R15913" s="183"/>
      <c r="S15913" s="183"/>
    </row>
    <row r="15914" spans="1:19">
      <c r="A15914" s="182"/>
      <c r="Q15914" s="183"/>
      <c r="R15914" s="183"/>
      <c r="S15914" s="183"/>
    </row>
    <row r="15915" spans="1:19">
      <c r="A15915" s="182"/>
      <c r="Q15915" s="183"/>
      <c r="R15915" s="183"/>
      <c r="S15915" s="183"/>
    </row>
    <row r="15916" spans="1:19">
      <c r="A15916" s="182"/>
      <c r="Q15916" s="183"/>
      <c r="R15916" s="183"/>
      <c r="S15916" s="183"/>
    </row>
    <row r="15917" spans="1:19">
      <c r="A15917" s="182"/>
      <c r="Q15917" s="183"/>
      <c r="R15917" s="183"/>
      <c r="S15917" s="183"/>
    </row>
    <row r="15918" spans="1:19">
      <c r="A15918" s="182"/>
      <c r="Q15918" s="183"/>
      <c r="R15918" s="183"/>
      <c r="S15918" s="183"/>
    </row>
    <row r="15919" spans="1:19">
      <c r="A15919" s="182"/>
      <c r="Q15919" s="183"/>
      <c r="R15919" s="183"/>
      <c r="S15919" s="183"/>
    </row>
    <row r="15920" spans="1:19">
      <c r="A15920" s="182"/>
      <c r="Q15920" s="183"/>
      <c r="R15920" s="183"/>
      <c r="S15920" s="183"/>
    </row>
    <row r="15921" spans="1:38">
      <c r="A15921" s="182"/>
      <c r="Q15921" s="183"/>
      <c r="R15921" s="183"/>
      <c r="S15921" s="183"/>
    </row>
    <row r="15922" spans="1:38">
      <c r="A15922" s="182"/>
      <c r="Q15922" s="183"/>
      <c r="R15922" s="183"/>
      <c r="S15922" s="183"/>
    </row>
    <row r="15923" spans="1:38">
      <c r="A15923" s="182"/>
      <c r="Q15923" s="183"/>
      <c r="R15923" s="183"/>
      <c r="S15923" s="183"/>
    </row>
    <row r="15924" spans="1:38">
      <c r="A15924" s="182"/>
      <c r="Q15924" s="183"/>
      <c r="R15924" s="183"/>
      <c r="S15924" s="183"/>
    </row>
    <row r="15925" spans="1:38">
      <c r="A15925" s="182"/>
      <c r="Q15925" s="183"/>
      <c r="R15925" s="183"/>
      <c r="S15925" s="183"/>
      <c r="AK15925" s="183"/>
      <c r="AL15925" s="183"/>
    </row>
    <row r="15926" spans="1:38">
      <c r="A15926" s="182"/>
      <c r="Q15926" s="183"/>
      <c r="R15926" s="183"/>
      <c r="S15926" s="183"/>
      <c r="AJ15926" s="183"/>
      <c r="AK15926" s="183"/>
      <c r="AL15926" s="183"/>
    </row>
    <row r="15927" spans="1:38">
      <c r="A15927" s="182"/>
      <c r="Q15927" s="183"/>
      <c r="R15927" s="183"/>
      <c r="S15927" s="183"/>
      <c r="AJ15927" s="183"/>
      <c r="AK15927" s="183"/>
      <c r="AL15927" s="183"/>
    </row>
    <row r="15928" spans="1:38">
      <c r="A15928" s="182"/>
      <c r="Q15928" s="183"/>
      <c r="R15928" s="183"/>
      <c r="S15928" s="183"/>
      <c r="AJ15928" s="183"/>
      <c r="AK15928" s="183"/>
      <c r="AL15928" s="183"/>
    </row>
    <row r="15929" spans="1:38">
      <c r="A15929" s="182"/>
      <c r="Q15929" s="183"/>
      <c r="R15929" s="183"/>
      <c r="S15929" s="183"/>
      <c r="AJ15929" s="183"/>
    </row>
    <row r="15930" spans="1:38">
      <c r="A15930" s="182"/>
      <c r="Q15930" s="183"/>
      <c r="R15930" s="183"/>
      <c r="S15930" s="183"/>
    </row>
    <row r="15931" spans="1:38">
      <c r="A15931" s="182"/>
      <c r="Q15931" s="183"/>
      <c r="R15931" s="183"/>
      <c r="S15931" s="183"/>
    </row>
    <row r="15932" spans="1:38">
      <c r="A15932" s="182"/>
      <c r="Q15932" s="183"/>
      <c r="R15932" s="183"/>
      <c r="S15932" s="183"/>
    </row>
    <row r="15933" spans="1:38">
      <c r="A15933" s="182"/>
      <c r="Q15933" s="183"/>
      <c r="R15933" s="183"/>
      <c r="S15933" s="183"/>
    </row>
    <row r="15934" spans="1:38">
      <c r="A15934" s="182"/>
      <c r="Q15934" s="183"/>
      <c r="R15934" s="183"/>
      <c r="S15934" s="183"/>
    </row>
    <row r="15935" spans="1:38">
      <c r="A15935" s="182"/>
      <c r="Q15935" s="183"/>
      <c r="R15935" s="183"/>
      <c r="S15935" s="183"/>
    </row>
    <row r="15936" spans="1:38">
      <c r="A15936" s="182"/>
      <c r="Q15936" s="183"/>
      <c r="R15936" s="183"/>
      <c r="S15936" s="183"/>
    </row>
    <row r="15937" spans="1:38">
      <c r="A15937" s="182"/>
      <c r="Q15937" s="183"/>
      <c r="R15937" s="183"/>
      <c r="S15937" s="183"/>
    </row>
    <row r="15938" spans="1:38">
      <c r="A15938" s="182"/>
      <c r="Q15938" s="183"/>
      <c r="R15938" s="183"/>
      <c r="S15938" s="183"/>
    </row>
    <row r="15939" spans="1:38">
      <c r="A15939" s="182"/>
      <c r="Q15939" s="183"/>
      <c r="R15939" s="183"/>
      <c r="S15939" s="183"/>
    </row>
    <row r="15940" spans="1:38">
      <c r="A15940" s="182"/>
      <c r="Q15940" s="183"/>
      <c r="R15940" s="183"/>
      <c r="S15940" s="183"/>
    </row>
    <row r="15941" spans="1:38">
      <c r="A15941" s="182"/>
      <c r="Q15941" s="183"/>
      <c r="R15941" s="183"/>
      <c r="S15941" s="183"/>
      <c r="AK15941" s="183"/>
      <c r="AL15941" s="183"/>
    </row>
    <row r="15942" spans="1:38">
      <c r="A15942" s="182"/>
      <c r="Q15942" s="183"/>
      <c r="R15942" s="183"/>
      <c r="S15942" s="183"/>
      <c r="AJ15942" s="183"/>
      <c r="AK15942" s="183"/>
      <c r="AL15942" s="183"/>
    </row>
    <row r="15943" spans="1:38">
      <c r="A15943" s="182"/>
      <c r="Q15943" s="183"/>
      <c r="R15943" s="183"/>
      <c r="S15943" s="183"/>
      <c r="AJ15943" s="183"/>
      <c r="AK15943" s="183"/>
      <c r="AL15943" s="183"/>
    </row>
    <row r="15944" spans="1:38">
      <c r="A15944" s="182"/>
      <c r="Q15944" s="183"/>
      <c r="R15944" s="183"/>
      <c r="S15944" s="183"/>
      <c r="AJ15944" s="183"/>
      <c r="AK15944" s="183"/>
      <c r="AL15944" s="183"/>
    </row>
    <row r="15945" spans="1:38">
      <c r="A15945" s="182"/>
      <c r="Q15945" s="183"/>
      <c r="R15945" s="183"/>
      <c r="S15945" s="183"/>
      <c r="AJ15945" s="183"/>
    </row>
    <row r="15946" spans="1:38">
      <c r="A15946" s="182"/>
      <c r="Q15946" s="183"/>
      <c r="R15946" s="183"/>
      <c r="S15946" s="183"/>
    </row>
    <row r="15947" spans="1:38">
      <c r="A15947" s="182"/>
      <c r="Q15947" s="183"/>
      <c r="R15947" s="183"/>
      <c r="S15947" s="183"/>
    </row>
    <row r="15948" spans="1:38">
      <c r="A15948" s="182"/>
      <c r="Q15948" s="183"/>
      <c r="R15948" s="183"/>
      <c r="S15948" s="183"/>
    </row>
    <row r="15949" spans="1:38">
      <c r="A15949" s="182"/>
      <c r="Q15949" s="183"/>
      <c r="R15949" s="183"/>
      <c r="S15949" s="183"/>
      <c r="AK15949" s="183"/>
      <c r="AL15949" s="183"/>
    </row>
    <row r="15950" spans="1:38">
      <c r="A15950" s="182"/>
      <c r="Q15950" s="183"/>
      <c r="R15950" s="183"/>
      <c r="S15950" s="183"/>
      <c r="AJ15950" s="183"/>
      <c r="AK15950" s="183"/>
      <c r="AL15950" s="183"/>
    </row>
    <row r="15951" spans="1:38">
      <c r="A15951" s="182"/>
      <c r="Q15951" s="183"/>
      <c r="R15951" s="183"/>
      <c r="S15951" s="183"/>
      <c r="AJ15951" s="183"/>
      <c r="AK15951" s="183"/>
      <c r="AL15951" s="183"/>
    </row>
    <row r="15952" spans="1:38">
      <c r="A15952" s="182"/>
      <c r="Q15952" s="183"/>
      <c r="R15952" s="183"/>
      <c r="S15952" s="183"/>
      <c r="AJ15952" s="183"/>
      <c r="AK15952" s="183"/>
      <c r="AL15952" s="183"/>
    </row>
    <row r="15953" spans="1:38">
      <c r="A15953" s="182"/>
      <c r="Q15953" s="183"/>
      <c r="R15953" s="183"/>
      <c r="S15953" s="183"/>
      <c r="AJ15953" s="183"/>
      <c r="AK15953" s="183"/>
      <c r="AL15953" s="183"/>
    </row>
    <row r="15954" spans="1:38">
      <c r="A15954" s="182"/>
      <c r="Q15954" s="183"/>
      <c r="R15954" s="183"/>
      <c r="S15954" s="183"/>
      <c r="AJ15954" s="183"/>
      <c r="AK15954" s="183"/>
      <c r="AL15954" s="183"/>
    </row>
    <row r="15955" spans="1:38">
      <c r="A15955" s="182"/>
      <c r="Q15955" s="183"/>
      <c r="R15955" s="183"/>
      <c r="S15955" s="183"/>
      <c r="AJ15955" s="183"/>
      <c r="AK15955" s="183"/>
      <c r="AL15955" s="183"/>
    </row>
    <row r="15956" spans="1:38">
      <c r="A15956" s="182"/>
      <c r="Q15956" s="183"/>
      <c r="R15956" s="183"/>
      <c r="S15956" s="183"/>
      <c r="AJ15956" s="183"/>
      <c r="AK15956" s="183"/>
      <c r="AL15956" s="183"/>
    </row>
    <row r="15957" spans="1:38">
      <c r="A15957" s="182"/>
      <c r="Q15957" s="183"/>
      <c r="R15957" s="183"/>
      <c r="S15957" s="183"/>
      <c r="AJ15957" s="183"/>
    </row>
    <row r="15958" spans="1:38">
      <c r="A15958" s="182"/>
      <c r="Q15958" s="183"/>
      <c r="R15958" s="183"/>
      <c r="S15958" s="183"/>
    </row>
    <row r="15959" spans="1:38">
      <c r="A15959" s="182"/>
      <c r="Q15959" s="183"/>
      <c r="R15959" s="183"/>
      <c r="S15959" s="183"/>
    </row>
    <row r="15960" spans="1:38">
      <c r="A15960" s="182"/>
      <c r="Q15960" s="183"/>
      <c r="R15960" s="183"/>
      <c r="S15960" s="183"/>
    </row>
    <row r="15961" spans="1:38">
      <c r="A15961" s="182"/>
      <c r="Q15961" s="183"/>
      <c r="R15961" s="183"/>
      <c r="S15961" s="183"/>
    </row>
    <row r="15962" spans="1:38">
      <c r="A15962" s="182"/>
      <c r="Q15962" s="183"/>
      <c r="R15962" s="183"/>
      <c r="S15962" s="183"/>
    </row>
    <row r="15963" spans="1:38">
      <c r="A15963" s="182"/>
      <c r="Q15963" s="183"/>
      <c r="R15963" s="183"/>
      <c r="S15963" s="183"/>
    </row>
    <row r="15964" spans="1:38">
      <c r="A15964" s="182"/>
      <c r="Q15964" s="183"/>
      <c r="R15964" s="183"/>
      <c r="S15964" s="183"/>
    </row>
    <row r="15965" spans="1:38">
      <c r="A15965" s="182"/>
      <c r="Q15965" s="183"/>
      <c r="R15965" s="183"/>
      <c r="S15965" s="183"/>
    </row>
    <row r="15966" spans="1:38">
      <c r="A15966" s="182"/>
      <c r="Q15966" s="183"/>
      <c r="R15966" s="183"/>
      <c r="S15966" s="183"/>
    </row>
    <row r="15967" spans="1:38">
      <c r="A15967" s="182"/>
      <c r="Q15967" s="183"/>
      <c r="R15967" s="183"/>
      <c r="S15967" s="183"/>
    </row>
    <row r="15968" spans="1:38">
      <c r="A15968" s="182"/>
      <c r="Q15968" s="183"/>
      <c r="R15968" s="183"/>
      <c r="S15968" s="183"/>
    </row>
    <row r="15969" spans="1:38">
      <c r="A15969" s="182"/>
      <c r="Q15969" s="183"/>
      <c r="R15969" s="183"/>
      <c r="S15969" s="183"/>
    </row>
    <row r="15970" spans="1:38">
      <c r="A15970" s="182"/>
      <c r="Q15970" s="183"/>
      <c r="R15970" s="183"/>
      <c r="S15970" s="183"/>
    </row>
    <row r="15971" spans="1:38">
      <c r="A15971" s="182"/>
      <c r="Q15971" s="183"/>
      <c r="R15971" s="183"/>
      <c r="S15971" s="183"/>
    </row>
    <row r="15972" spans="1:38">
      <c r="A15972" s="182"/>
      <c r="Q15972" s="183"/>
      <c r="R15972" s="183"/>
      <c r="S15972" s="183"/>
    </row>
    <row r="15973" spans="1:38">
      <c r="A15973" s="182"/>
      <c r="Q15973" s="183"/>
      <c r="R15973" s="183"/>
      <c r="S15973" s="183"/>
      <c r="AK15973" s="183"/>
      <c r="AL15973" s="183"/>
    </row>
    <row r="15974" spans="1:38">
      <c r="A15974" s="182"/>
      <c r="Q15974" s="183"/>
      <c r="R15974" s="183"/>
      <c r="S15974" s="183"/>
      <c r="AJ15974" s="183"/>
      <c r="AK15974" s="183"/>
      <c r="AL15974" s="183"/>
    </row>
    <row r="15975" spans="1:38">
      <c r="A15975" s="182"/>
      <c r="Q15975" s="183"/>
      <c r="R15975" s="183"/>
      <c r="S15975" s="183"/>
      <c r="AJ15975" s="183"/>
      <c r="AK15975" s="183"/>
      <c r="AL15975" s="183"/>
    </row>
    <row r="15976" spans="1:38">
      <c r="A15976" s="182"/>
      <c r="Q15976" s="183"/>
      <c r="R15976" s="183"/>
      <c r="S15976" s="183"/>
      <c r="AJ15976" s="183"/>
      <c r="AK15976" s="183"/>
      <c r="AL15976" s="183"/>
    </row>
    <row r="15977" spans="1:38">
      <c r="A15977" s="182"/>
      <c r="Q15977" s="183"/>
      <c r="R15977" s="183"/>
      <c r="S15977" s="183"/>
      <c r="AJ15977" s="183"/>
    </row>
    <row r="15978" spans="1:38">
      <c r="A15978" s="182"/>
      <c r="Q15978" s="183"/>
      <c r="R15978" s="183"/>
      <c r="S15978" s="183"/>
    </row>
    <row r="15979" spans="1:38">
      <c r="A15979" s="182"/>
      <c r="Q15979" s="183"/>
      <c r="R15979" s="183"/>
      <c r="S15979" s="183"/>
    </row>
    <row r="15980" spans="1:38">
      <c r="A15980" s="182"/>
      <c r="Q15980" s="183"/>
      <c r="R15980" s="183"/>
      <c r="S15980" s="183"/>
    </row>
    <row r="15981" spans="1:38">
      <c r="A15981" s="182"/>
      <c r="Q15981" s="183"/>
      <c r="R15981" s="183"/>
      <c r="S15981" s="183"/>
    </row>
    <row r="15982" spans="1:38">
      <c r="A15982" s="182"/>
      <c r="Q15982" s="183"/>
      <c r="R15982" s="183"/>
      <c r="S15982" s="183"/>
    </row>
    <row r="15983" spans="1:38">
      <c r="A15983" s="182"/>
      <c r="Q15983" s="183"/>
      <c r="R15983" s="183"/>
      <c r="S15983" s="183"/>
    </row>
    <row r="15984" spans="1:38">
      <c r="A15984" s="182"/>
      <c r="Q15984" s="183"/>
      <c r="R15984" s="183"/>
      <c r="S15984" s="183"/>
    </row>
    <row r="15985" spans="1:38">
      <c r="A15985" s="182"/>
      <c r="Q15985" s="183"/>
      <c r="R15985" s="183"/>
      <c r="S15985" s="183"/>
      <c r="AK15985" s="183"/>
      <c r="AL15985" s="183"/>
    </row>
    <row r="15986" spans="1:38">
      <c r="A15986" s="182"/>
      <c r="Q15986" s="183"/>
      <c r="R15986" s="183"/>
      <c r="S15986" s="183"/>
      <c r="AJ15986" s="183"/>
      <c r="AK15986" s="183"/>
      <c r="AL15986" s="183"/>
    </row>
    <row r="15987" spans="1:38">
      <c r="A15987" s="182"/>
      <c r="Q15987" s="183"/>
      <c r="R15987" s="183"/>
      <c r="S15987" s="183"/>
      <c r="AJ15987" s="183"/>
      <c r="AK15987" s="183"/>
      <c r="AL15987" s="183"/>
    </row>
    <row r="15988" spans="1:38">
      <c r="A15988" s="182"/>
      <c r="Q15988" s="183"/>
      <c r="R15988" s="183"/>
      <c r="S15988" s="183"/>
      <c r="AJ15988" s="183"/>
      <c r="AK15988" s="183"/>
      <c r="AL15988" s="183"/>
    </row>
    <row r="15989" spans="1:38">
      <c r="A15989" s="182"/>
      <c r="Q15989" s="183"/>
      <c r="R15989" s="183"/>
      <c r="S15989" s="183"/>
      <c r="AJ15989" s="183"/>
    </row>
    <row r="15990" spans="1:38">
      <c r="A15990" s="182"/>
      <c r="Q15990" s="183"/>
      <c r="R15990" s="183"/>
      <c r="S15990" s="183"/>
    </row>
    <row r="15991" spans="1:38">
      <c r="A15991" s="182"/>
      <c r="Q15991" s="183"/>
      <c r="R15991" s="183"/>
      <c r="S15991" s="183"/>
    </row>
    <row r="15992" spans="1:38">
      <c r="A15992" s="182"/>
      <c r="Q15992" s="183"/>
      <c r="R15992" s="183"/>
      <c r="S15992" s="183"/>
    </row>
    <row r="15993" spans="1:38">
      <c r="A15993" s="182"/>
      <c r="Q15993" s="183"/>
      <c r="R15993" s="183"/>
      <c r="S15993" s="183"/>
      <c r="AK15993" s="183"/>
      <c r="AL15993" s="183"/>
    </row>
    <row r="15994" spans="1:38">
      <c r="A15994" s="182"/>
      <c r="Q15994" s="183"/>
      <c r="R15994" s="183"/>
      <c r="S15994" s="183"/>
      <c r="AJ15994" s="183"/>
      <c r="AK15994" s="183"/>
      <c r="AL15994" s="183"/>
    </row>
    <row r="15995" spans="1:38">
      <c r="A15995" s="182"/>
      <c r="Q15995" s="183"/>
      <c r="R15995" s="183"/>
      <c r="S15995" s="183"/>
      <c r="AJ15995" s="183"/>
      <c r="AK15995" s="183"/>
      <c r="AL15995" s="183"/>
    </row>
    <row r="15996" spans="1:38">
      <c r="A15996" s="182"/>
      <c r="Q15996" s="183"/>
      <c r="R15996" s="183"/>
      <c r="S15996" s="183"/>
      <c r="AJ15996" s="183"/>
      <c r="AK15996" s="183"/>
      <c r="AL15996" s="183"/>
    </row>
    <row r="15997" spans="1:38">
      <c r="A15997" s="182"/>
      <c r="Q15997" s="183"/>
      <c r="R15997" s="183"/>
      <c r="S15997" s="183"/>
      <c r="AJ15997" s="183"/>
    </row>
    <row r="15998" spans="1:38">
      <c r="A15998" s="182"/>
      <c r="Q15998" s="183"/>
      <c r="R15998" s="183"/>
      <c r="S15998" s="183"/>
    </row>
    <row r="15999" spans="1:38">
      <c r="A15999" s="182"/>
      <c r="Q15999" s="183"/>
      <c r="R15999" s="183"/>
      <c r="S15999" s="183"/>
    </row>
    <row r="16000" spans="1:38">
      <c r="A16000" s="182"/>
      <c r="Q16000" s="183"/>
      <c r="R16000" s="183"/>
      <c r="S16000" s="183"/>
    </row>
    <row r="16001" spans="1:19">
      <c r="A16001" s="182"/>
      <c r="Q16001" s="183"/>
      <c r="R16001" s="183"/>
      <c r="S16001" s="183"/>
    </row>
    <row r="16002" spans="1:19">
      <c r="A16002" s="182"/>
      <c r="Q16002" s="183"/>
      <c r="R16002" s="183"/>
      <c r="S16002" s="183"/>
    </row>
    <row r="16003" spans="1:19">
      <c r="A16003" s="182"/>
      <c r="Q16003" s="183"/>
      <c r="R16003" s="183"/>
      <c r="S16003" s="183"/>
    </row>
    <row r="16004" spans="1:19">
      <c r="A16004" s="182"/>
      <c r="Q16004" s="183"/>
      <c r="R16004" s="183"/>
      <c r="S16004" s="183"/>
    </row>
    <row r="16005" spans="1:19">
      <c r="A16005" s="182"/>
      <c r="Q16005" s="183"/>
      <c r="R16005" s="183"/>
      <c r="S16005" s="183"/>
    </row>
    <row r="16006" spans="1:19">
      <c r="A16006" s="182"/>
      <c r="Q16006" s="183"/>
      <c r="R16006" s="183"/>
      <c r="S16006" s="183"/>
    </row>
    <row r="16007" spans="1:19">
      <c r="A16007" s="182"/>
      <c r="Q16007" s="183"/>
      <c r="R16007" s="183"/>
      <c r="S16007" s="183"/>
    </row>
    <row r="16008" spans="1:19">
      <c r="A16008" s="182"/>
      <c r="Q16008" s="183"/>
      <c r="R16008" s="183"/>
      <c r="S16008" s="183"/>
    </row>
    <row r="16009" spans="1:19">
      <c r="A16009" s="182"/>
      <c r="Q16009" s="183"/>
      <c r="R16009" s="183"/>
      <c r="S16009" s="183"/>
    </row>
    <row r="16010" spans="1:19">
      <c r="A16010" s="182"/>
      <c r="Q16010" s="183"/>
      <c r="R16010" s="183"/>
      <c r="S16010" s="183"/>
    </row>
    <row r="16011" spans="1:19">
      <c r="A16011" s="182"/>
      <c r="Q16011" s="183"/>
      <c r="R16011" s="183"/>
      <c r="S16011" s="183"/>
    </row>
    <row r="16012" spans="1:19">
      <c r="A16012" s="182"/>
      <c r="Q16012" s="183"/>
      <c r="R16012" s="183"/>
      <c r="S16012" s="183"/>
    </row>
    <row r="16013" spans="1:19">
      <c r="A16013" s="182"/>
      <c r="Q16013" s="183"/>
      <c r="R16013" s="183"/>
      <c r="S16013" s="183"/>
    </row>
    <row r="16014" spans="1:19">
      <c r="A16014" s="182"/>
      <c r="Q16014" s="183"/>
      <c r="R16014" s="183"/>
      <c r="S16014" s="183"/>
    </row>
    <row r="16015" spans="1:19">
      <c r="A16015" s="182"/>
      <c r="Q16015" s="183"/>
      <c r="R16015" s="183"/>
      <c r="S16015" s="183"/>
    </row>
    <row r="16016" spans="1:19">
      <c r="A16016" s="182"/>
      <c r="Q16016" s="183"/>
      <c r="R16016" s="183"/>
      <c r="S16016" s="183"/>
    </row>
    <row r="16017" spans="1:38">
      <c r="A16017" s="182"/>
      <c r="Q16017" s="183"/>
      <c r="R16017" s="183"/>
      <c r="S16017" s="183"/>
      <c r="AK16017" s="183"/>
      <c r="AL16017" s="183"/>
    </row>
    <row r="16018" spans="1:38">
      <c r="A16018" s="182"/>
      <c r="Q16018" s="183"/>
      <c r="R16018" s="183"/>
      <c r="S16018" s="183"/>
      <c r="AJ16018" s="183"/>
      <c r="AK16018" s="183"/>
      <c r="AL16018" s="183"/>
    </row>
    <row r="16019" spans="1:38">
      <c r="A16019" s="182"/>
      <c r="Q16019" s="183"/>
      <c r="R16019" s="183"/>
      <c r="S16019" s="183"/>
      <c r="AJ16019" s="183"/>
      <c r="AK16019" s="183"/>
      <c r="AL16019" s="183"/>
    </row>
    <row r="16020" spans="1:38">
      <c r="A16020" s="182"/>
      <c r="Q16020" s="183"/>
      <c r="R16020" s="183"/>
      <c r="S16020" s="183"/>
      <c r="AJ16020" s="183"/>
      <c r="AK16020" s="183"/>
      <c r="AL16020" s="183"/>
    </row>
    <row r="16021" spans="1:38">
      <c r="A16021" s="182"/>
      <c r="Q16021" s="183"/>
      <c r="R16021" s="183"/>
      <c r="S16021" s="183"/>
      <c r="AJ16021" s="183"/>
    </row>
    <row r="16022" spans="1:38">
      <c r="A16022" s="182"/>
      <c r="Q16022" s="183"/>
      <c r="R16022" s="183"/>
      <c r="S16022" s="183"/>
    </row>
    <row r="16023" spans="1:38">
      <c r="A16023" s="182"/>
      <c r="Q16023" s="183"/>
      <c r="R16023" s="183"/>
      <c r="S16023" s="183"/>
    </row>
    <row r="16024" spans="1:38">
      <c r="A16024" s="182"/>
      <c r="Q16024" s="183"/>
      <c r="R16024" s="183"/>
      <c r="S16024" s="183"/>
    </row>
    <row r="16025" spans="1:38">
      <c r="A16025" s="182"/>
      <c r="Q16025" s="183"/>
      <c r="R16025" s="183"/>
      <c r="S16025" s="183"/>
    </row>
    <row r="16026" spans="1:38">
      <c r="A16026" s="182"/>
      <c r="Q16026" s="183"/>
      <c r="R16026" s="183"/>
      <c r="S16026" s="183"/>
    </row>
    <row r="16027" spans="1:38">
      <c r="A16027" s="182"/>
      <c r="Q16027" s="183"/>
      <c r="R16027" s="183"/>
      <c r="S16027" s="183"/>
    </row>
    <row r="16028" spans="1:38">
      <c r="A16028" s="182"/>
      <c r="Q16028" s="183"/>
      <c r="R16028" s="183"/>
      <c r="S16028" s="183"/>
    </row>
    <row r="16029" spans="1:38">
      <c r="A16029" s="182"/>
      <c r="Q16029" s="183"/>
      <c r="R16029" s="183"/>
      <c r="S16029" s="183"/>
      <c r="AK16029" s="183"/>
      <c r="AL16029" s="183"/>
    </row>
    <row r="16030" spans="1:38">
      <c r="A16030" s="182"/>
      <c r="Q16030" s="183"/>
      <c r="R16030" s="183"/>
      <c r="S16030" s="183"/>
      <c r="AJ16030" s="183"/>
      <c r="AK16030" s="183"/>
      <c r="AL16030" s="183"/>
    </row>
    <row r="16031" spans="1:38">
      <c r="A16031" s="182"/>
      <c r="Q16031" s="183"/>
      <c r="R16031" s="183"/>
      <c r="S16031" s="183"/>
      <c r="AJ16031" s="183"/>
      <c r="AK16031" s="183"/>
      <c r="AL16031" s="183"/>
    </row>
    <row r="16032" spans="1:38">
      <c r="A16032" s="182"/>
      <c r="Q16032" s="183"/>
      <c r="R16032" s="183"/>
      <c r="S16032" s="183"/>
      <c r="AJ16032" s="183"/>
      <c r="AK16032" s="183"/>
      <c r="AL16032" s="183"/>
    </row>
    <row r="16033" spans="1:38">
      <c r="A16033" s="182"/>
      <c r="Q16033" s="183"/>
      <c r="R16033" s="183"/>
      <c r="S16033" s="183"/>
      <c r="AJ16033" s="183"/>
      <c r="AK16033" s="183"/>
      <c r="AL16033" s="183"/>
    </row>
    <row r="16034" spans="1:38">
      <c r="A16034" s="182"/>
      <c r="Q16034" s="183"/>
      <c r="R16034" s="183"/>
      <c r="S16034" s="183"/>
      <c r="AJ16034" s="183"/>
      <c r="AK16034" s="183"/>
      <c r="AL16034" s="183"/>
    </row>
    <row r="16035" spans="1:38">
      <c r="A16035" s="182"/>
      <c r="Q16035" s="183"/>
      <c r="R16035" s="183"/>
      <c r="S16035" s="183"/>
      <c r="AJ16035" s="183"/>
      <c r="AK16035" s="183"/>
      <c r="AL16035" s="183"/>
    </row>
    <row r="16036" spans="1:38">
      <c r="A16036" s="182"/>
      <c r="Q16036" s="183"/>
      <c r="R16036" s="183"/>
      <c r="S16036" s="183"/>
      <c r="AJ16036" s="183"/>
      <c r="AK16036" s="183"/>
      <c r="AL16036" s="183"/>
    </row>
    <row r="16037" spans="1:38">
      <c r="A16037" s="182"/>
      <c r="Q16037" s="183"/>
      <c r="R16037" s="183"/>
      <c r="S16037" s="183"/>
      <c r="AJ16037" s="183"/>
    </row>
    <row r="16038" spans="1:38">
      <c r="A16038" s="182"/>
      <c r="Q16038" s="183"/>
      <c r="R16038" s="183"/>
      <c r="S16038" s="183"/>
    </row>
    <row r="16039" spans="1:38">
      <c r="A16039" s="182"/>
      <c r="Q16039" s="183"/>
      <c r="R16039" s="183"/>
      <c r="S16039" s="183"/>
    </row>
    <row r="16040" spans="1:38">
      <c r="A16040" s="182"/>
      <c r="Q16040" s="183"/>
      <c r="R16040" s="183"/>
      <c r="S16040" s="183"/>
    </row>
    <row r="16041" spans="1:38">
      <c r="A16041" s="182"/>
      <c r="Q16041" s="183"/>
      <c r="R16041" s="183"/>
      <c r="S16041" s="183"/>
    </row>
    <row r="16042" spans="1:38">
      <c r="A16042" s="182"/>
      <c r="Q16042" s="183"/>
      <c r="R16042" s="183"/>
      <c r="S16042" s="183"/>
    </row>
    <row r="16043" spans="1:38">
      <c r="A16043" s="182"/>
      <c r="Q16043" s="183"/>
      <c r="R16043" s="183"/>
      <c r="S16043" s="183"/>
    </row>
    <row r="16044" spans="1:38">
      <c r="A16044" s="182"/>
      <c r="Q16044" s="183"/>
      <c r="R16044" s="183"/>
      <c r="S16044" s="183"/>
    </row>
    <row r="16045" spans="1:38">
      <c r="A16045" s="182"/>
      <c r="Q16045" s="183"/>
      <c r="R16045" s="183"/>
      <c r="S16045" s="183"/>
      <c r="AK16045" s="183"/>
      <c r="AL16045" s="183"/>
    </row>
    <row r="16046" spans="1:38">
      <c r="A16046" s="182"/>
      <c r="Q16046" s="183"/>
      <c r="R16046" s="183"/>
      <c r="S16046" s="183"/>
      <c r="AJ16046" s="183"/>
      <c r="AK16046" s="183"/>
      <c r="AL16046" s="183"/>
    </row>
    <row r="16047" spans="1:38">
      <c r="A16047" s="182"/>
      <c r="Q16047" s="183"/>
      <c r="R16047" s="183"/>
      <c r="S16047" s="183"/>
      <c r="AJ16047" s="183"/>
      <c r="AK16047" s="183"/>
      <c r="AL16047" s="183"/>
    </row>
    <row r="16048" spans="1:38">
      <c r="A16048" s="182"/>
      <c r="Q16048" s="183"/>
      <c r="R16048" s="183"/>
      <c r="S16048" s="183"/>
      <c r="AJ16048" s="183"/>
      <c r="AK16048" s="183"/>
      <c r="AL16048" s="183"/>
    </row>
    <row r="16049" spans="1:38">
      <c r="A16049" s="182"/>
      <c r="Q16049" s="183"/>
      <c r="R16049" s="183"/>
      <c r="S16049" s="183"/>
      <c r="AJ16049" s="183"/>
    </row>
    <row r="16050" spans="1:38">
      <c r="A16050" s="182"/>
      <c r="Q16050" s="183"/>
      <c r="R16050" s="183"/>
      <c r="S16050" s="183"/>
    </row>
    <row r="16051" spans="1:38">
      <c r="A16051" s="182"/>
      <c r="Q16051" s="183"/>
      <c r="R16051" s="183"/>
      <c r="S16051" s="183"/>
    </row>
    <row r="16052" spans="1:38">
      <c r="A16052" s="182"/>
      <c r="Q16052" s="183"/>
      <c r="R16052" s="183"/>
      <c r="S16052" s="183"/>
    </row>
    <row r="16053" spans="1:38">
      <c r="A16053" s="182"/>
      <c r="Q16053" s="183"/>
      <c r="R16053" s="183"/>
      <c r="S16053" s="183"/>
      <c r="AK16053" s="183"/>
      <c r="AL16053" s="183"/>
    </row>
    <row r="16054" spans="1:38">
      <c r="A16054" s="182"/>
      <c r="Q16054" s="183"/>
      <c r="R16054" s="183"/>
      <c r="S16054" s="183"/>
      <c r="AJ16054" s="183"/>
      <c r="AK16054" s="183"/>
      <c r="AL16054" s="183"/>
    </row>
    <row r="16055" spans="1:38">
      <c r="A16055" s="182"/>
      <c r="Q16055" s="183"/>
      <c r="R16055" s="183"/>
      <c r="S16055" s="183"/>
      <c r="AJ16055" s="183"/>
      <c r="AK16055" s="183"/>
      <c r="AL16055" s="183"/>
    </row>
    <row r="16056" spans="1:38">
      <c r="A16056" s="182"/>
      <c r="Q16056" s="183"/>
      <c r="R16056" s="183"/>
      <c r="S16056" s="183"/>
      <c r="AJ16056" s="183"/>
      <c r="AK16056" s="183"/>
      <c r="AL16056" s="183"/>
    </row>
    <row r="16057" spans="1:38">
      <c r="A16057" s="182"/>
      <c r="Q16057" s="183"/>
      <c r="R16057" s="183"/>
      <c r="S16057" s="183"/>
      <c r="AJ16057" s="183"/>
    </row>
    <row r="16058" spans="1:38">
      <c r="A16058" s="182"/>
      <c r="Q16058" s="183"/>
      <c r="R16058" s="183"/>
      <c r="S16058" s="183"/>
    </row>
    <row r="16059" spans="1:38">
      <c r="A16059" s="182"/>
      <c r="Q16059" s="183"/>
      <c r="R16059" s="183"/>
      <c r="S16059" s="183"/>
    </row>
    <row r="16060" spans="1:38">
      <c r="A16060" s="182"/>
      <c r="Q16060" s="183"/>
      <c r="R16060" s="183"/>
      <c r="S16060" s="183"/>
    </row>
    <row r="16061" spans="1:38">
      <c r="A16061" s="182"/>
      <c r="Q16061" s="183"/>
      <c r="R16061" s="183"/>
      <c r="S16061" s="183"/>
      <c r="AK16061" s="183"/>
      <c r="AL16061" s="183"/>
    </row>
    <row r="16062" spans="1:38">
      <c r="A16062" s="182"/>
      <c r="Q16062" s="183"/>
      <c r="R16062" s="183"/>
      <c r="S16062" s="183"/>
      <c r="AJ16062" s="183"/>
      <c r="AK16062" s="183"/>
      <c r="AL16062" s="183"/>
    </row>
    <row r="16063" spans="1:38">
      <c r="A16063" s="182"/>
      <c r="Q16063" s="183"/>
      <c r="R16063" s="183"/>
      <c r="S16063" s="183"/>
      <c r="AJ16063" s="183"/>
      <c r="AK16063" s="183"/>
      <c r="AL16063" s="183"/>
    </row>
    <row r="16064" spans="1:38">
      <c r="A16064" s="182"/>
      <c r="Q16064" s="183"/>
      <c r="R16064" s="183"/>
      <c r="S16064" s="183"/>
      <c r="AJ16064" s="183"/>
      <c r="AK16064" s="183"/>
      <c r="AL16064" s="183"/>
    </row>
    <row r="16065" spans="1:38">
      <c r="A16065" s="182"/>
      <c r="Q16065" s="183"/>
      <c r="R16065" s="183"/>
      <c r="S16065" s="183"/>
      <c r="AJ16065" s="183"/>
    </row>
    <row r="16066" spans="1:38">
      <c r="A16066" s="182"/>
      <c r="Q16066" s="183"/>
      <c r="R16066" s="183"/>
      <c r="S16066" s="183"/>
    </row>
    <row r="16067" spans="1:38">
      <c r="A16067" s="182"/>
      <c r="Q16067" s="183"/>
      <c r="R16067" s="183"/>
      <c r="S16067" s="183"/>
    </row>
    <row r="16068" spans="1:38">
      <c r="A16068" s="182"/>
      <c r="Q16068" s="183"/>
      <c r="R16068" s="183"/>
      <c r="S16068" s="183"/>
    </row>
    <row r="16069" spans="1:38">
      <c r="A16069" s="182"/>
      <c r="Q16069" s="183"/>
      <c r="R16069" s="183"/>
      <c r="S16069" s="183"/>
    </row>
    <row r="16070" spans="1:38">
      <c r="A16070" s="182"/>
      <c r="Q16070" s="183"/>
      <c r="R16070" s="183"/>
      <c r="S16070" s="183"/>
    </row>
    <row r="16071" spans="1:38">
      <c r="A16071" s="182"/>
      <c r="Q16071" s="183"/>
      <c r="R16071" s="183"/>
      <c r="S16071" s="183"/>
    </row>
    <row r="16072" spans="1:38">
      <c r="A16072" s="182"/>
      <c r="Q16072" s="183"/>
      <c r="R16072" s="183"/>
      <c r="S16072" s="183"/>
    </row>
    <row r="16073" spans="1:38">
      <c r="A16073" s="182"/>
      <c r="Q16073" s="183"/>
      <c r="R16073" s="183"/>
      <c r="S16073" s="183"/>
      <c r="AK16073" s="183"/>
      <c r="AL16073" s="183"/>
    </row>
    <row r="16074" spans="1:38">
      <c r="A16074" s="182"/>
      <c r="Q16074" s="183"/>
      <c r="R16074" s="183"/>
      <c r="S16074" s="183"/>
      <c r="AJ16074" s="183"/>
      <c r="AK16074" s="183"/>
      <c r="AL16074" s="183"/>
    </row>
    <row r="16075" spans="1:38">
      <c r="A16075" s="182"/>
      <c r="Q16075" s="183"/>
      <c r="R16075" s="183"/>
      <c r="S16075" s="183"/>
      <c r="AJ16075" s="183"/>
      <c r="AK16075" s="183"/>
      <c r="AL16075" s="183"/>
    </row>
    <row r="16076" spans="1:38">
      <c r="A16076" s="182"/>
      <c r="Q16076" s="183"/>
      <c r="R16076" s="183"/>
      <c r="S16076" s="183"/>
      <c r="AJ16076" s="183"/>
      <c r="AK16076" s="183"/>
      <c r="AL16076" s="183"/>
    </row>
    <row r="16077" spans="1:38">
      <c r="A16077" s="182"/>
      <c r="Q16077" s="183"/>
      <c r="R16077" s="183"/>
      <c r="S16077" s="183"/>
      <c r="AJ16077" s="183"/>
      <c r="AK16077" s="183"/>
      <c r="AL16077" s="183"/>
    </row>
    <row r="16078" spans="1:38">
      <c r="A16078" s="182"/>
      <c r="Q16078" s="183"/>
      <c r="R16078" s="183"/>
      <c r="S16078" s="183"/>
      <c r="AJ16078" s="183"/>
      <c r="AK16078" s="183"/>
      <c r="AL16078" s="183"/>
    </row>
    <row r="16079" spans="1:38">
      <c r="A16079" s="182"/>
      <c r="Q16079" s="183"/>
      <c r="R16079" s="183"/>
      <c r="S16079" s="183"/>
      <c r="AJ16079" s="183"/>
      <c r="AK16079" s="183"/>
      <c r="AL16079" s="183"/>
    </row>
    <row r="16080" spans="1:38">
      <c r="A16080" s="182"/>
      <c r="Q16080" s="183"/>
      <c r="R16080" s="183"/>
      <c r="S16080" s="183"/>
      <c r="AJ16080" s="183"/>
      <c r="AK16080" s="183"/>
      <c r="AL16080" s="183"/>
    </row>
    <row r="16081" spans="1:38">
      <c r="A16081" s="182"/>
      <c r="Q16081" s="183"/>
      <c r="R16081" s="183"/>
      <c r="S16081" s="183"/>
      <c r="AJ16081" s="183"/>
      <c r="AK16081" s="183"/>
      <c r="AL16081" s="183"/>
    </row>
    <row r="16082" spans="1:38">
      <c r="A16082" s="182"/>
      <c r="Q16082" s="183"/>
      <c r="R16082" s="183"/>
      <c r="S16082" s="183"/>
      <c r="AJ16082" s="183"/>
      <c r="AK16082" s="183"/>
      <c r="AL16082" s="183"/>
    </row>
    <row r="16083" spans="1:38">
      <c r="A16083" s="182"/>
      <c r="Q16083" s="183"/>
      <c r="R16083" s="183"/>
      <c r="S16083" s="183"/>
      <c r="AJ16083" s="183"/>
      <c r="AK16083" s="183"/>
      <c r="AL16083" s="183"/>
    </row>
    <row r="16084" spans="1:38">
      <c r="A16084" s="182"/>
      <c r="Q16084" s="183"/>
      <c r="R16084" s="183"/>
      <c r="S16084" s="183"/>
      <c r="AJ16084" s="183"/>
      <c r="AK16084" s="183"/>
      <c r="AL16084" s="183"/>
    </row>
    <row r="16085" spans="1:38">
      <c r="A16085" s="182"/>
      <c r="Q16085" s="183"/>
      <c r="R16085" s="183"/>
      <c r="S16085" s="183"/>
      <c r="AJ16085" s="183"/>
    </row>
    <row r="16086" spans="1:38">
      <c r="A16086" s="182"/>
      <c r="Q16086" s="183"/>
      <c r="R16086" s="183"/>
      <c r="S16086" s="183"/>
    </row>
    <row r="16087" spans="1:38">
      <c r="A16087" s="182"/>
      <c r="Q16087" s="183"/>
      <c r="R16087" s="183"/>
      <c r="S16087" s="183"/>
    </row>
    <row r="16088" spans="1:38">
      <c r="A16088" s="182"/>
      <c r="Q16088" s="183"/>
      <c r="R16088" s="183"/>
      <c r="S16088" s="183"/>
    </row>
    <row r="16089" spans="1:38">
      <c r="A16089" s="182"/>
      <c r="Q16089" s="183"/>
      <c r="R16089" s="183"/>
      <c r="S16089" s="183"/>
      <c r="AK16089" s="183"/>
      <c r="AL16089" s="183"/>
    </row>
    <row r="16090" spans="1:38">
      <c r="A16090" s="182"/>
      <c r="Q16090" s="183"/>
      <c r="R16090" s="183"/>
      <c r="S16090" s="183"/>
      <c r="AJ16090" s="183"/>
      <c r="AK16090" s="183"/>
      <c r="AL16090" s="183"/>
    </row>
    <row r="16091" spans="1:38">
      <c r="A16091" s="182"/>
      <c r="Q16091" s="183"/>
      <c r="R16091" s="183"/>
      <c r="S16091" s="183"/>
      <c r="AJ16091" s="183"/>
      <c r="AK16091" s="183"/>
      <c r="AL16091" s="183"/>
    </row>
    <row r="16092" spans="1:38">
      <c r="A16092" s="182"/>
      <c r="Q16092" s="183"/>
      <c r="R16092" s="183"/>
      <c r="S16092" s="183"/>
      <c r="AJ16092" s="183"/>
      <c r="AK16092" s="183"/>
      <c r="AL16092" s="183"/>
    </row>
    <row r="16093" spans="1:38">
      <c r="A16093" s="182"/>
      <c r="Q16093" s="183"/>
      <c r="R16093" s="183"/>
      <c r="S16093" s="183"/>
      <c r="AJ16093" s="183"/>
    </row>
    <row r="16094" spans="1:38">
      <c r="A16094" s="182"/>
      <c r="Q16094" s="183"/>
      <c r="R16094" s="183"/>
      <c r="S16094" s="183"/>
    </row>
    <row r="16095" spans="1:38">
      <c r="A16095" s="182"/>
      <c r="Q16095" s="183"/>
      <c r="R16095" s="183"/>
      <c r="S16095" s="183"/>
    </row>
    <row r="16096" spans="1:38">
      <c r="A16096" s="182"/>
      <c r="Q16096" s="183"/>
      <c r="R16096" s="183"/>
      <c r="S16096" s="183"/>
    </row>
    <row r="16097" spans="1:38">
      <c r="A16097" s="182"/>
      <c r="Q16097" s="183"/>
      <c r="R16097" s="183"/>
      <c r="S16097" s="183"/>
    </row>
    <row r="16098" spans="1:38">
      <c r="A16098" s="182"/>
      <c r="Q16098" s="183"/>
      <c r="R16098" s="183"/>
      <c r="S16098" s="183"/>
    </row>
    <row r="16099" spans="1:38">
      <c r="A16099" s="182"/>
      <c r="Q16099" s="183"/>
      <c r="R16099" s="183"/>
      <c r="S16099" s="183"/>
    </row>
    <row r="16100" spans="1:38">
      <c r="A16100" s="182"/>
      <c r="Q16100" s="183"/>
      <c r="R16100" s="183"/>
      <c r="S16100" s="183"/>
    </row>
    <row r="16101" spans="1:38">
      <c r="A16101" s="182"/>
      <c r="Q16101" s="183"/>
      <c r="R16101" s="183"/>
      <c r="S16101" s="183"/>
      <c r="AK16101" s="183"/>
      <c r="AL16101" s="183"/>
    </row>
    <row r="16102" spans="1:38">
      <c r="A16102" s="182"/>
      <c r="Q16102" s="183"/>
      <c r="R16102" s="183"/>
      <c r="S16102" s="183"/>
      <c r="AJ16102" s="183"/>
      <c r="AK16102" s="183"/>
      <c r="AL16102" s="183"/>
    </row>
    <row r="16103" spans="1:38">
      <c r="A16103" s="182"/>
      <c r="Q16103" s="183"/>
      <c r="R16103" s="183"/>
      <c r="S16103" s="183"/>
      <c r="AJ16103" s="183"/>
      <c r="AK16103" s="183"/>
      <c r="AL16103" s="183"/>
    </row>
    <row r="16104" spans="1:38">
      <c r="A16104" s="182"/>
      <c r="Q16104" s="183"/>
      <c r="R16104" s="183"/>
      <c r="S16104" s="183"/>
      <c r="AJ16104" s="183"/>
      <c r="AK16104" s="183"/>
      <c r="AL16104" s="183"/>
    </row>
    <row r="16105" spans="1:38">
      <c r="A16105" s="182"/>
      <c r="Q16105" s="183"/>
      <c r="R16105" s="183"/>
      <c r="S16105" s="183"/>
      <c r="AJ16105" s="183"/>
    </row>
    <row r="16106" spans="1:38">
      <c r="A16106" s="182"/>
      <c r="Q16106" s="183"/>
      <c r="R16106" s="183"/>
      <c r="S16106" s="183"/>
    </row>
    <row r="16107" spans="1:38">
      <c r="A16107" s="182"/>
      <c r="Q16107" s="183"/>
      <c r="R16107" s="183"/>
      <c r="S16107" s="183"/>
    </row>
    <row r="16108" spans="1:38">
      <c r="A16108" s="182"/>
      <c r="Q16108" s="183"/>
      <c r="R16108" s="183"/>
      <c r="S16108" s="183"/>
    </row>
    <row r="16109" spans="1:38">
      <c r="A16109" s="182"/>
      <c r="Q16109" s="183"/>
      <c r="R16109" s="183"/>
      <c r="S16109" s="183"/>
    </row>
    <row r="16110" spans="1:38">
      <c r="A16110" s="182"/>
      <c r="Q16110" s="183"/>
      <c r="R16110" s="183"/>
      <c r="S16110" s="183"/>
    </row>
    <row r="16111" spans="1:38">
      <c r="A16111" s="182"/>
      <c r="Q16111" s="183"/>
      <c r="R16111" s="183"/>
      <c r="S16111" s="183"/>
    </row>
    <row r="16112" spans="1:38">
      <c r="A16112" s="182"/>
      <c r="Q16112" s="183"/>
      <c r="R16112" s="183"/>
      <c r="S16112" s="183"/>
    </row>
    <row r="16113" spans="1:38">
      <c r="A16113" s="182"/>
      <c r="Q16113" s="183"/>
      <c r="R16113" s="183"/>
      <c r="S16113" s="183"/>
      <c r="AK16113" s="183"/>
      <c r="AL16113" s="183"/>
    </row>
    <row r="16114" spans="1:38">
      <c r="A16114" s="182"/>
      <c r="Q16114" s="183"/>
      <c r="R16114" s="183"/>
      <c r="S16114" s="183"/>
      <c r="AJ16114" s="183"/>
      <c r="AK16114" s="183"/>
      <c r="AL16114" s="183"/>
    </row>
    <row r="16115" spans="1:38">
      <c r="A16115" s="182"/>
      <c r="Q16115" s="183"/>
      <c r="R16115" s="183"/>
      <c r="S16115" s="183"/>
      <c r="AJ16115" s="183"/>
      <c r="AK16115" s="183"/>
      <c r="AL16115" s="183"/>
    </row>
    <row r="16116" spans="1:38">
      <c r="A16116" s="182"/>
      <c r="Q16116" s="183"/>
      <c r="R16116" s="183"/>
      <c r="S16116" s="183"/>
      <c r="AJ16116" s="183"/>
      <c r="AK16116" s="183"/>
      <c r="AL16116" s="183"/>
    </row>
    <row r="16117" spans="1:38">
      <c r="A16117" s="182"/>
      <c r="Q16117" s="183"/>
      <c r="R16117" s="183"/>
      <c r="S16117" s="183"/>
      <c r="AJ16117" s="183"/>
    </row>
    <row r="16118" spans="1:38">
      <c r="A16118" s="182"/>
      <c r="Q16118" s="183"/>
      <c r="R16118" s="183"/>
      <c r="S16118" s="183"/>
    </row>
    <row r="16119" spans="1:38">
      <c r="A16119" s="182"/>
      <c r="Q16119" s="183"/>
      <c r="R16119" s="183"/>
      <c r="S16119" s="183"/>
    </row>
    <row r="16120" spans="1:38">
      <c r="A16120" s="182"/>
      <c r="Q16120" s="183"/>
      <c r="R16120" s="183"/>
      <c r="S16120" s="183"/>
    </row>
    <row r="16121" spans="1:38">
      <c r="A16121" s="182"/>
      <c r="Q16121" s="183"/>
      <c r="R16121" s="183"/>
      <c r="S16121" s="183"/>
      <c r="AK16121" s="183"/>
      <c r="AL16121" s="183"/>
    </row>
    <row r="16122" spans="1:38">
      <c r="A16122" s="182"/>
      <c r="Q16122" s="183"/>
      <c r="R16122" s="183"/>
      <c r="S16122" s="183"/>
      <c r="AJ16122" s="183"/>
      <c r="AK16122" s="183"/>
      <c r="AL16122" s="183"/>
    </row>
    <row r="16123" spans="1:38">
      <c r="A16123" s="182"/>
      <c r="Q16123" s="183"/>
      <c r="R16123" s="183"/>
      <c r="S16123" s="183"/>
      <c r="AJ16123" s="183"/>
      <c r="AK16123" s="183"/>
      <c r="AL16123" s="183"/>
    </row>
    <row r="16124" spans="1:38">
      <c r="A16124" s="182"/>
      <c r="Q16124" s="183"/>
      <c r="R16124" s="183"/>
      <c r="S16124" s="183"/>
      <c r="AJ16124" s="183"/>
      <c r="AK16124" s="183"/>
      <c r="AL16124" s="183"/>
    </row>
    <row r="16125" spans="1:38">
      <c r="A16125" s="182"/>
      <c r="Q16125" s="183"/>
      <c r="R16125" s="183"/>
      <c r="S16125" s="183"/>
      <c r="AJ16125" s="183"/>
      <c r="AK16125" s="183"/>
      <c r="AL16125" s="183"/>
    </row>
    <row r="16126" spans="1:38">
      <c r="A16126" s="182"/>
      <c r="Q16126" s="183"/>
      <c r="R16126" s="183"/>
      <c r="S16126" s="183"/>
      <c r="AJ16126" s="183"/>
      <c r="AK16126" s="183"/>
      <c r="AL16126" s="183"/>
    </row>
    <row r="16127" spans="1:38">
      <c r="A16127" s="182"/>
      <c r="Q16127" s="183"/>
      <c r="R16127" s="183"/>
      <c r="S16127" s="183"/>
      <c r="AJ16127" s="183"/>
      <c r="AK16127" s="183"/>
      <c r="AL16127" s="183"/>
    </row>
    <row r="16128" spans="1:38">
      <c r="A16128" s="182"/>
      <c r="Q16128" s="183"/>
      <c r="R16128" s="183"/>
      <c r="S16128" s="183"/>
      <c r="AJ16128" s="183"/>
      <c r="AK16128" s="183"/>
      <c r="AL16128" s="183"/>
    </row>
    <row r="16129" spans="1:38">
      <c r="A16129" s="182"/>
      <c r="Q16129" s="183"/>
      <c r="R16129" s="183"/>
      <c r="S16129" s="183"/>
      <c r="AJ16129" s="183"/>
    </row>
    <row r="16130" spans="1:38">
      <c r="A16130" s="182"/>
      <c r="Q16130" s="183"/>
      <c r="R16130" s="183"/>
      <c r="S16130" s="183"/>
    </row>
    <row r="16131" spans="1:38">
      <c r="A16131" s="182"/>
      <c r="Q16131" s="183"/>
      <c r="R16131" s="183"/>
      <c r="S16131" s="183"/>
    </row>
    <row r="16132" spans="1:38">
      <c r="A16132" s="182"/>
      <c r="Q16132" s="183"/>
      <c r="R16132" s="183"/>
      <c r="S16132" s="183"/>
    </row>
    <row r="16133" spans="1:38">
      <c r="A16133" s="182"/>
      <c r="Q16133" s="183"/>
      <c r="R16133" s="183"/>
      <c r="S16133" s="183"/>
      <c r="AK16133" s="183"/>
      <c r="AL16133" s="183"/>
    </row>
    <row r="16134" spans="1:38">
      <c r="A16134" s="182"/>
      <c r="Q16134" s="183"/>
      <c r="R16134" s="183"/>
      <c r="S16134" s="183"/>
      <c r="AJ16134" s="183"/>
      <c r="AK16134" s="183"/>
      <c r="AL16134" s="183"/>
    </row>
    <row r="16135" spans="1:38">
      <c r="A16135" s="182"/>
      <c r="Q16135" s="183"/>
      <c r="R16135" s="183"/>
      <c r="S16135" s="183"/>
      <c r="AJ16135" s="183"/>
      <c r="AK16135" s="183"/>
      <c r="AL16135" s="183"/>
    </row>
    <row r="16136" spans="1:38">
      <c r="A16136" s="182"/>
      <c r="Q16136" s="183"/>
      <c r="R16136" s="183"/>
      <c r="S16136" s="183"/>
      <c r="AJ16136" s="183"/>
      <c r="AK16136" s="183"/>
      <c r="AL16136" s="183"/>
    </row>
    <row r="16137" spans="1:38">
      <c r="A16137" s="182"/>
      <c r="Q16137" s="183"/>
      <c r="R16137" s="183"/>
      <c r="S16137" s="183"/>
      <c r="AJ16137" s="183"/>
      <c r="AK16137" s="183"/>
      <c r="AL16137" s="183"/>
    </row>
    <row r="16138" spans="1:38">
      <c r="A16138" s="182"/>
      <c r="Q16138" s="183"/>
      <c r="R16138" s="183"/>
      <c r="S16138" s="183"/>
      <c r="AJ16138" s="183"/>
      <c r="AK16138" s="183"/>
      <c r="AL16138" s="183"/>
    </row>
    <row r="16139" spans="1:38">
      <c r="A16139" s="182"/>
      <c r="Q16139" s="183"/>
      <c r="R16139" s="183"/>
      <c r="S16139" s="183"/>
      <c r="AJ16139" s="183"/>
      <c r="AK16139" s="183"/>
      <c r="AL16139" s="183"/>
    </row>
    <row r="16140" spans="1:38">
      <c r="A16140" s="182"/>
      <c r="Q16140" s="183"/>
      <c r="R16140" s="183"/>
      <c r="S16140" s="183"/>
      <c r="AJ16140" s="183"/>
      <c r="AK16140" s="183"/>
      <c r="AL16140" s="183"/>
    </row>
    <row r="16141" spans="1:38">
      <c r="A16141" s="182"/>
      <c r="Q16141" s="183"/>
      <c r="R16141" s="183"/>
      <c r="S16141" s="183"/>
      <c r="AJ16141" s="183"/>
      <c r="AK16141" s="183"/>
      <c r="AL16141" s="183"/>
    </row>
    <row r="16142" spans="1:38">
      <c r="A16142" s="182"/>
      <c r="Q16142" s="183"/>
      <c r="R16142" s="183"/>
      <c r="S16142" s="183"/>
      <c r="AJ16142" s="183"/>
      <c r="AK16142" s="183"/>
      <c r="AL16142" s="183"/>
    </row>
    <row r="16143" spans="1:38">
      <c r="A16143" s="182"/>
      <c r="Q16143" s="183"/>
      <c r="R16143" s="183"/>
      <c r="S16143" s="183"/>
      <c r="AJ16143" s="183"/>
      <c r="AK16143" s="183"/>
      <c r="AL16143" s="183"/>
    </row>
    <row r="16144" spans="1:38">
      <c r="A16144" s="182"/>
      <c r="Q16144" s="183"/>
      <c r="R16144" s="183"/>
      <c r="S16144" s="183"/>
      <c r="AJ16144" s="183"/>
      <c r="AK16144" s="183"/>
      <c r="AL16144" s="183"/>
    </row>
    <row r="16145" spans="1:36">
      <c r="A16145" s="182"/>
      <c r="Q16145" s="183"/>
      <c r="R16145" s="183"/>
      <c r="S16145" s="183"/>
      <c r="AJ16145" s="183"/>
    </row>
    <row r="16146" spans="1:36">
      <c r="A16146" s="182"/>
      <c r="Q16146" s="183"/>
      <c r="R16146" s="183"/>
      <c r="S16146" s="183"/>
    </row>
    <row r="16147" spans="1:36">
      <c r="A16147" s="182"/>
      <c r="Q16147" s="183"/>
      <c r="R16147" s="183"/>
      <c r="S16147" s="183"/>
    </row>
    <row r="16148" spans="1:36">
      <c r="A16148" s="182"/>
      <c r="Q16148" s="183"/>
      <c r="R16148" s="183"/>
      <c r="S16148" s="183"/>
    </row>
    <row r="16149" spans="1:36">
      <c r="A16149" s="182"/>
      <c r="Q16149" s="183"/>
      <c r="R16149" s="183"/>
      <c r="S16149" s="183"/>
    </row>
    <row r="16150" spans="1:36">
      <c r="A16150" s="182"/>
      <c r="Q16150" s="183"/>
      <c r="R16150" s="183"/>
      <c r="S16150" s="183"/>
    </row>
    <row r="16151" spans="1:36">
      <c r="A16151" s="182"/>
      <c r="Q16151" s="183"/>
      <c r="R16151" s="183"/>
      <c r="S16151" s="183"/>
    </row>
    <row r="16152" spans="1:36">
      <c r="A16152" s="182"/>
      <c r="Q16152" s="183"/>
      <c r="R16152" s="183"/>
      <c r="S16152" s="183"/>
    </row>
    <row r="16153" spans="1:36">
      <c r="A16153" s="182"/>
      <c r="Q16153" s="183"/>
      <c r="R16153" s="183"/>
      <c r="S16153" s="183"/>
    </row>
    <row r="16154" spans="1:36">
      <c r="A16154" s="182"/>
      <c r="Q16154" s="183"/>
      <c r="R16154" s="183"/>
      <c r="S16154" s="183"/>
    </row>
    <row r="16155" spans="1:36">
      <c r="A16155" s="182"/>
      <c r="Q16155" s="183"/>
      <c r="R16155" s="183"/>
      <c r="S16155" s="183"/>
    </row>
    <row r="16156" spans="1:36">
      <c r="A16156" s="182"/>
      <c r="Q16156" s="183"/>
      <c r="R16156" s="183"/>
      <c r="S16156" s="183"/>
    </row>
    <row r="16157" spans="1:36">
      <c r="A16157" s="182"/>
      <c r="Q16157" s="183"/>
      <c r="R16157" s="183"/>
      <c r="S16157" s="183"/>
    </row>
    <row r="16158" spans="1:36">
      <c r="A16158" s="182"/>
      <c r="Q16158" s="183"/>
      <c r="R16158" s="183"/>
      <c r="S16158" s="183"/>
    </row>
    <row r="16159" spans="1:36">
      <c r="A16159" s="182"/>
      <c r="Q16159" s="183"/>
      <c r="R16159" s="183"/>
      <c r="S16159" s="183"/>
    </row>
    <row r="16160" spans="1:36">
      <c r="A16160" s="182"/>
      <c r="Q16160" s="183"/>
      <c r="R16160" s="183"/>
      <c r="S16160" s="183"/>
    </row>
    <row r="16161" spans="1:19">
      <c r="A16161" s="182"/>
      <c r="Q16161" s="183"/>
      <c r="R16161" s="183"/>
      <c r="S16161" s="183"/>
    </row>
    <row r="16162" spans="1:19">
      <c r="A16162" s="182"/>
      <c r="Q16162" s="183"/>
      <c r="R16162" s="183"/>
      <c r="S16162" s="183"/>
    </row>
    <row r="16163" spans="1:19">
      <c r="A16163" s="182"/>
      <c r="Q16163" s="183"/>
      <c r="R16163" s="183"/>
      <c r="S16163" s="183"/>
    </row>
    <row r="16164" spans="1:19">
      <c r="A16164" s="182"/>
      <c r="Q16164" s="183"/>
      <c r="R16164" s="183"/>
      <c r="S16164" s="183"/>
    </row>
    <row r="16165" spans="1:19">
      <c r="A16165" s="182"/>
      <c r="Q16165" s="183"/>
      <c r="R16165" s="183"/>
      <c r="S16165" s="183"/>
    </row>
    <row r="16166" spans="1:19">
      <c r="A16166" s="182"/>
      <c r="Q16166" s="183"/>
      <c r="R16166" s="183"/>
      <c r="S16166" s="183"/>
    </row>
    <row r="16167" spans="1:19">
      <c r="A16167" s="182"/>
      <c r="Q16167" s="183"/>
      <c r="R16167" s="183"/>
      <c r="S16167" s="183"/>
    </row>
    <row r="16168" spans="1:19">
      <c r="A16168" s="182"/>
      <c r="Q16168" s="183"/>
      <c r="R16168" s="183"/>
      <c r="S16168" s="183"/>
    </row>
    <row r="16169" spans="1:19">
      <c r="A16169" s="182"/>
      <c r="Q16169" s="183"/>
      <c r="R16169" s="183"/>
      <c r="S16169" s="183"/>
    </row>
    <row r="16170" spans="1:19">
      <c r="A16170" s="182"/>
      <c r="Q16170" s="183"/>
      <c r="R16170" s="183"/>
      <c r="S16170" s="183"/>
    </row>
    <row r="16171" spans="1:19">
      <c r="A16171" s="182"/>
      <c r="Q16171" s="183"/>
      <c r="R16171" s="183"/>
      <c r="S16171" s="183"/>
    </row>
    <row r="16172" spans="1:19">
      <c r="A16172" s="182"/>
      <c r="Q16172" s="183"/>
      <c r="R16172" s="183"/>
      <c r="S16172" s="183"/>
    </row>
    <row r="16173" spans="1:19">
      <c r="A16173" s="182"/>
      <c r="Q16173" s="183"/>
      <c r="R16173" s="183"/>
      <c r="S16173" s="183"/>
    </row>
    <row r="16174" spans="1:19">
      <c r="A16174" s="182"/>
      <c r="Q16174" s="183"/>
      <c r="R16174" s="183"/>
      <c r="S16174" s="183"/>
    </row>
    <row r="16175" spans="1:19">
      <c r="A16175" s="182"/>
      <c r="Q16175" s="183"/>
      <c r="R16175" s="183"/>
      <c r="S16175" s="183"/>
    </row>
    <row r="16176" spans="1:19">
      <c r="A16176" s="182"/>
      <c r="Q16176" s="183"/>
      <c r="R16176" s="183"/>
      <c r="S16176" s="183"/>
    </row>
    <row r="16177" spans="1:38">
      <c r="A16177" s="182"/>
      <c r="Q16177" s="183"/>
      <c r="R16177" s="183"/>
      <c r="S16177" s="183"/>
    </row>
    <row r="16178" spans="1:38">
      <c r="A16178" s="182"/>
      <c r="Q16178" s="183"/>
      <c r="R16178" s="183"/>
      <c r="S16178" s="183"/>
    </row>
    <row r="16179" spans="1:38">
      <c r="A16179" s="182"/>
      <c r="Q16179" s="183"/>
      <c r="R16179" s="183"/>
      <c r="S16179" s="183"/>
    </row>
    <row r="16180" spans="1:38">
      <c r="A16180" s="182"/>
      <c r="Q16180" s="183"/>
      <c r="R16180" s="183"/>
      <c r="S16180" s="183"/>
    </row>
    <row r="16181" spans="1:38">
      <c r="A16181" s="182"/>
      <c r="Q16181" s="183"/>
      <c r="R16181" s="183"/>
      <c r="S16181" s="183"/>
    </row>
    <row r="16182" spans="1:38">
      <c r="A16182" s="182"/>
      <c r="Q16182" s="183"/>
      <c r="R16182" s="183"/>
      <c r="S16182" s="183"/>
    </row>
    <row r="16183" spans="1:38">
      <c r="A16183" s="182"/>
      <c r="Q16183" s="183"/>
      <c r="R16183" s="183"/>
      <c r="S16183" s="183"/>
    </row>
    <row r="16184" spans="1:38">
      <c r="A16184" s="182"/>
      <c r="Q16184" s="183"/>
      <c r="R16184" s="183"/>
      <c r="S16184" s="183"/>
    </row>
    <row r="16185" spans="1:38">
      <c r="A16185" s="182"/>
      <c r="Q16185" s="183"/>
      <c r="R16185" s="183"/>
      <c r="S16185" s="183"/>
      <c r="AK16185" s="183"/>
      <c r="AL16185" s="183"/>
    </row>
    <row r="16186" spans="1:38">
      <c r="A16186" s="182"/>
      <c r="Q16186" s="183"/>
      <c r="R16186" s="183"/>
      <c r="S16186" s="183"/>
      <c r="AJ16186" s="183"/>
      <c r="AK16186" s="183"/>
      <c r="AL16186" s="183"/>
    </row>
    <row r="16187" spans="1:38">
      <c r="A16187" s="182"/>
      <c r="Q16187" s="183"/>
      <c r="R16187" s="183"/>
      <c r="S16187" s="183"/>
      <c r="AJ16187" s="183"/>
      <c r="AK16187" s="183"/>
      <c r="AL16187" s="183"/>
    </row>
    <row r="16188" spans="1:38">
      <c r="A16188" s="182"/>
      <c r="Q16188" s="183"/>
      <c r="R16188" s="183"/>
      <c r="S16188" s="183"/>
      <c r="AJ16188" s="183"/>
      <c r="AK16188" s="183"/>
      <c r="AL16188" s="183"/>
    </row>
    <row r="16189" spans="1:38">
      <c r="A16189" s="182"/>
      <c r="Q16189" s="183"/>
      <c r="R16189" s="183"/>
      <c r="S16189" s="183"/>
      <c r="AJ16189" s="183"/>
    </row>
    <row r="16190" spans="1:38">
      <c r="A16190" s="182"/>
      <c r="Q16190" s="183"/>
      <c r="R16190" s="183"/>
      <c r="S16190" s="183"/>
    </row>
    <row r="16191" spans="1:38">
      <c r="A16191" s="182"/>
      <c r="Q16191" s="183"/>
      <c r="R16191" s="183"/>
      <c r="S16191" s="183"/>
    </row>
    <row r="16192" spans="1:38">
      <c r="A16192" s="182"/>
      <c r="Q16192" s="183"/>
      <c r="R16192" s="183"/>
      <c r="S16192" s="183"/>
    </row>
    <row r="16193" spans="1:38">
      <c r="A16193" s="182"/>
      <c r="Q16193" s="183"/>
      <c r="R16193" s="183"/>
      <c r="S16193" s="183"/>
    </row>
    <row r="16194" spans="1:38">
      <c r="A16194" s="182"/>
      <c r="Q16194" s="183"/>
      <c r="R16194" s="183"/>
      <c r="S16194" s="183"/>
    </row>
    <row r="16195" spans="1:38">
      <c r="A16195" s="182"/>
      <c r="Q16195" s="183"/>
      <c r="R16195" s="183"/>
      <c r="S16195" s="183"/>
    </row>
    <row r="16196" spans="1:38">
      <c r="A16196" s="182"/>
      <c r="Q16196" s="183"/>
      <c r="R16196" s="183"/>
      <c r="S16196" s="183"/>
    </row>
    <row r="16197" spans="1:38">
      <c r="A16197" s="182"/>
      <c r="Q16197" s="183"/>
      <c r="R16197" s="183"/>
      <c r="S16197" s="183"/>
    </row>
    <row r="16198" spans="1:38">
      <c r="A16198" s="182"/>
      <c r="Q16198" s="183"/>
      <c r="R16198" s="183"/>
      <c r="S16198" s="183"/>
    </row>
    <row r="16199" spans="1:38">
      <c r="A16199" s="182"/>
      <c r="Q16199" s="183"/>
      <c r="R16199" s="183"/>
      <c r="S16199" s="183"/>
    </row>
    <row r="16200" spans="1:38">
      <c r="A16200" s="182"/>
      <c r="Q16200" s="183"/>
      <c r="R16200" s="183"/>
      <c r="S16200" s="183"/>
    </row>
    <row r="16201" spans="1:38">
      <c r="A16201" s="182"/>
      <c r="Q16201" s="183"/>
      <c r="R16201" s="183"/>
      <c r="S16201" s="183"/>
      <c r="AK16201" s="183"/>
      <c r="AL16201" s="183"/>
    </row>
    <row r="16202" spans="1:38">
      <c r="A16202" s="182"/>
      <c r="Q16202" s="183"/>
      <c r="R16202" s="183"/>
      <c r="S16202" s="183"/>
      <c r="AJ16202" s="183"/>
      <c r="AK16202" s="183"/>
      <c r="AL16202" s="183"/>
    </row>
    <row r="16203" spans="1:38">
      <c r="A16203" s="182"/>
      <c r="Q16203" s="183"/>
      <c r="R16203" s="183"/>
      <c r="S16203" s="183"/>
      <c r="AJ16203" s="183"/>
      <c r="AK16203" s="183"/>
      <c r="AL16203" s="183"/>
    </row>
    <row r="16204" spans="1:38">
      <c r="A16204" s="182"/>
      <c r="Q16204" s="183"/>
      <c r="R16204" s="183"/>
      <c r="S16204" s="183"/>
      <c r="AJ16204" s="183"/>
      <c r="AK16204" s="183"/>
      <c r="AL16204" s="183"/>
    </row>
    <row r="16205" spans="1:38">
      <c r="A16205" s="182"/>
      <c r="Q16205" s="183"/>
      <c r="R16205" s="183"/>
      <c r="S16205" s="183"/>
      <c r="AJ16205" s="183"/>
      <c r="AK16205" s="183"/>
      <c r="AL16205" s="183"/>
    </row>
    <row r="16206" spans="1:38">
      <c r="A16206" s="182"/>
      <c r="Q16206" s="183"/>
      <c r="R16206" s="183"/>
      <c r="S16206" s="183"/>
      <c r="AJ16206" s="183"/>
      <c r="AK16206" s="183"/>
      <c r="AL16206" s="183"/>
    </row>
    <row r="16207" spans="1:38">
      <c r="A16207" s="182"/>
      <c r="Q16207" s="183"/>
      <c r="R16207" s="183"/>
      <c r="S16207" s="183"/>
      <c r="AJ16207" s="183"/>
      <c r="AK16207" s="183"/>
      <c r="AL16207" s="183"/>
    </row>
    <row r="16208" spans="1:38">
      <c r="A16208" s="182"/>
      <c r="Q16208" s="183"/>
      <c r="R16208" s="183"/>
      <c r="S16208" s="183"/>
      <c r="AJ16208" s="183"/>
      <c r="AK16208" s="183"/>
      <c r="AL16208" s="183"/>
    </row>
    <row r="16209" spans="1:38">
      <c r="A16209" s="182"/>
      <c r="N16209" s="183"/>
      <c r="O16209" s="183"/>
      <c r="Q16209" s="183"/>
      <c r="R16209" s="183"/>
      <c r="S16209" s="183"/>
      <c r="AJ16209" s="183"/>
      <c r="AK16209" s="183"/>
      <c r="AL16209" s="183"/>
    </row>
    <row r="16210" spans="1:38">
      <c r="A16210" s="182"/>
      <c r="M16210" s="183"/>
      <c r="Q16210" s="183"/>
      <c r="R16210" s="183"/>
      <c r="S16210" s="183"/>
      <c r="AJ16210" s="183"/>
      <c r="AK16210" s="183"/>
      <c r="AL16210" s="183"/>
    </row>
    <row r="16211" spans="1:38">
      <c r="A16211" s="182"/>
      <c r="Q16211" s="183"/>
      <c r="R16211" s="183"/>
      <c r="S16211" s="183"/>
      <c r="AJ16211" s="183"/>
      <c r="AK16211" s="183"/>
      <c r="AL16211" s="183"/>
    </row>
    <row r="16212" spans="1:38">
      <c r="A16212" s="182"/>
      <c r="Q16212" s="183"/>
      <c r="R16212" s="183"/>
      <c r="S16212" s="183"/>
      <c r="AJ16212" s="183"/>
      <c r="AK16212" s="183"/>
      <c r="AL16212" s="183"/>
    </row>
    <row r="16213" spans="1:38">
      <c r="A16213" s="182"/>
      <c r="Q16213" s="183"/>
      <c r="R16213" s="183"/>
      <c r="S16213" s="183"/>
      <c r="AJ16213" s="183"/>
      <c r="AK16213" s="183"/>
      <c r="AL16213" s="183"/>
    </row>
    <row r="16214" spans="1:38">
      <c r="A16214" s="182"/>
      <c r="Q16214" s="183"/>
      <c r="R16214" s="183"/>
      <c r="S16214" s="183"/>
      <c r="AJ16214" s="183"/>
      <c r="AK16214" s="183"/>
      <c r="AL16214" s="183"/>
    </row>
    <row r="16215" spans="1:38">
      <c r="A16215" s="182"/>
      <c r="Q16215" s="183"/>
      <c r="R16215" s="183"/>
      <c r="S16215" s="183"/>
      <c r="AJ16215" s="183"/>
      <c r="AK16215" s="183"/>
      <c r="AL16215" s="183"/>
    </row>
    <row r="16216" spans="1:38">
      <c r="A16216" s="182"/>
      <c r="Q16216" s="183"/>
      <c r="R16216" s="183"/>
      <c r="S16216" s="183"/>
      <c r="AJ16216" s="183"/>
      <c r="AK16216" s="183"/>
      <c r="AL16216" s="183"/>
    </row>
    <row r="16217" spans="1:38">
      <c r="A16217" s="182"/>
      <c r="Q16217" s="183"/>
      <c r="R16217" s="183"/>
      <c r="S16217" s="183"/>
      <c r="AJ16217" s="183"/>
    </row>
    <row r="16218" spans="1:38">
      <c r="A16218" s="182"/>
      <c r="Q16218" s="183"/>
      <c r="R16218" s="183"/>
      <c r="S16218" s="183"/>
    </row>
    <row r="16219" spans="1:38">
      <c r="A16219" s="182"/>
      <c r="Q16219" s="183"/>
      <c r="R16219" s="183"/>
      <c r="S16219" s="183"/>
    </row>
    <row r="16220" spans="1:38">
      <c r="A16220" s="182"/>
      <c r="Q16220" s="183"/>
      <c r="R16220" s="183"/>
      <c r="S16220" s="183"/>
    </row>
    <row r="16221" spans="1:38">
      <c r="A16221" s="182"/>
      <c r="Q16221" s="183"/>
      <c r="R16221" s="183"/>
      <c r="S16221" s="183"/>
      <c r="AK16221" s="183"/>
      <c r="AL16221" s="183"/>
    </row>
    <row r="16222" spans="1:38">
      <c r="A16222" s="182"/>
      <c r="Q16222" s="183"/>
      <c r="R16222" s="183"/>
      <c r="S16222" s="183"/>
      <c r="AJ16222" s="183"/>
      <c r="AK16222" s="183"/>
      <c r="AL16222" s="183"/>
    </row>
    <row r="16223" spans="1:38">
      <c r="A16223" s="182"/>
      <c r="Q16223" s="183"/>
      <c r="R16223" s="183"/>
      <c r="S16223" s="183"/>
      <c r="AJ16223" s="183"/>
      <c r="AK16223" s="183"/>
      <c r="AL16223" s="183"/>
    </row>
    <row r="16224" spans="1:38">
      <c r="A16224" s="182"/>
      <c r="Q16224" s="183"/>
      <c r="R16224" s="183"/>
      <c r="S16224" s="183"/>
      <c r="AJ16224" s="183"/>
      <c r="AK16224" s="183"/>
      <c r="AL16224" s="183"/>
    </row>
    <row r="16225" spans="1:38">
      <c r="A16225" s="182"/>
      <c r="Q16225" s="183"/>
      <c r="R16225" s="183"/>
      <c r="S16225" s="183"/>
      <c r="AJ16225" s="183"/>
    </row>
    <row r="16226" spans="1:38">
      <c r="A16226" s="182"/>
      <c r="Q16226" s="183"/>
      <c r="R16226" s="183"/>
      <c r="S16226" s="183"/>
    </row>
    <row r="16227" spans="1:38">
      <c r="A16227" s="182"/>
      <c r="Q16227" s="183"/>
      <c r="R16227" s="183"/>
      <c r="S16227" s="183"/>
    </row>
    <row r="16228" spans="1:38">
      <c r="A16228" s="182"/>
      <c r="Q16228" s="183"/>
      <c r="R16228" s="183"/>
      <c r="S16228" s="183"/>
    </row>
    <row r="16229" spans="1:38">
      <c r="A16229" s="182"/>
      <c r="Q16229" s="183"/>
      <c r="R16229" s="183"/>
      <c r="S16229" s="183"/>
    </row>
    <row r="16230" spans="1:38">
      <c r="A16230" s="182"/>
      <c r="Q16230" s="183"/>
      <c r="R16230" s="183"/>
      <c r="S16230" s="183"/>
    </row>
    <row r="16231" spans="1:38">
      <c r="A16231" s="182"/>
      <c r="Q16231" s="183"/>
      <c r="R16231" s="183"/>
      <c r="S16231" s="183"/>
    </row>
    <row r="16232" spans="1:38">
      <c r="A16232" s="182"/>
      <c r="Q16232" s="183"/>
      <c r="R16232" s="183"/>
      <c r="S16232" s="183"/>
    </row>
    <row r="16233" spans="1:38">
      <c r="A16233" s="182"/>
      <c r="Q16233" s="183"/>
      <c r="R16233" s="183"/>
      <c r="S16233" s="183"/>
      <c r="AK16233" s="183"/>
      <c r="AL16233" s="183"/>
    </row>
    <row r="16234" spans="1:38">
      <c r="A16234" s="182"/>
      <c r="Q16234" s="183"/>
      <c r="R16234" s="183"/>
      <c r="S16234" s="183"/>
      <c r="AJ16234" s="183"/>
      <c r="AK16234" s="183"/>
      <c r="AL16234" s="183"/>
    </row>
    <row r="16235" spans="1:38">
      <c r="A16235" s="182"/>
      <c r="Q16235" s="183"/>
      <c r="R16235" s="183"/>
      <c r="S16235" s="183"/>
      <c r="AJ16235" s="183"/>
      <c r="AK16235" s="183"/>
      <c r="AL16235" s="183"/>
    </row>
    <row r="16236" spans="1:38">
      <c r="A16236" s="182"/>
      <c r="M16236" s="183"/>
      <c r="N16236" s="183"/>
      <c r="O16236" s="183"/>
      <c r="Q16236" s="183"/>
      <c r="R16236" s="183"/>
      <c r="S16236" s="183"/>
      <c r="AJ16236" s="183"/>
      <c r="AK16236" s="183"/>
      <c r="AL16236" s="183"/>
    </row>
    <row r="16237" spans="1:38">
      <c r="A16237" s="182"/>
      <c r="L16237" s="183"/>
      <c r="M16237" s="183"/>
      <c r="Q16237" s="183"/>
      <c r="R16237" s="183"/>
      <c r="S16237" s="183"/>
      <c r="AJ16237" s="183"/>
    </row>
    <row r="16238" spans="1:38">
      <c r="A16238" s="182"/>
      <c r="Q16238" s="183"/>
      <c r="R16238" s="183"/>
      <c r="S16238" s="183"/>
    </row>
    <row r="16239" spans="1:38">
      <c r="A16239" s="182"/>
      <c r="Q16239" s="183"/>
      <c r="R16239" s="183"/>
      <c r="S16239" s="183"/>
    </row>
    <row r="16240" spans="1:38">
      <c r="A16240" s="182"/>
      <c r="Q16240" s="183"/>
      <c r="R16240" s="183"/>
      <c r="S16240" s="183"/>
    </row>
    <row r="16241" spans="1:19">
      <c r="A16241" s="182"/>
      <c r="Q16241" s="183"/>
      <c r="R16241" s="183"/>
      <c r="S16241" s="183"/>
    </row>
    <row r="16242" spans="1:19">
      <c r="A16242" s="182"/>
      <c r="Q16242" s="183"/>
      <c r="R16242" s="183"/>
      <c r="S16242" s="183"/>
    </row>
    <row r="16243" spans="1:19">
      <c r="A16243" s="182"/>
      <c r="Q16243" s="183"/>
      <c r="R16243" s="183"/>
      <c r="S16243" s="183"/>
    </row>
    <row r="16244" spans="1:19">
      <c r="A16244" s="182"/>
      <c r="Q16244" s="183"/>
      <c r="R16244" s="183"/>
      <c r="S16244" s="183"/>
    </row>
    <row r="16245" spans="1:19">
      <c r="A16245" s="182"/>
      <c r="Q16245" s="183"/>
      <c r="R16245" s="183"/>
      <c r="S16245" s="183"/>
    </row>
    <row r="16246" spans="1:19">
      <c r="A16246" s="182"/>
      <c r="Q16246" s="183"/>
      <c r="R16246" s="183"/>
      <c r="S16246" s="183"/>
    </row>
    <row r="16247" spans="1:19">
      <c r="A16247" s="182"/>
      <c r="Q16247" s="183"/>
      <c r="R16247" s="183"/>
      <c r="S16247" s="183"/>
    </row>
    <row r="16248" spans="1:19">
      <c r="A16248" s="182"/>
      <c r="Q16248" s="183"/>
      <c r="R16248" s="183"/>
      <c r="S16248" s="183"/>
    </row>
    <row r="16249" spans="1:19">
      <c r="A16249" s="182"/>
      <c r="Q16249" s="183"/>
      <c r="R16249" s="183"/>
      <c r="S16249" s="183"/>
    </row>
    <row r="16250" spans="1:19">
      <c r="A16250" s="182"/>
      <c r="Q16250" s="183"/>
      <c r="R16250" s="183"/>
      <c r="S16250" s="183"/>
    </row>
    <row r="16251" spans="1:19">
      <c r="A16251" s="182"/>
      <c r="Q16251" s="183"/>
      <c r="R16251" s="183"/>
      <c r="S16251" s="183"/>
    </row>
    <row r="16252" spans="1:19">
      <c r="A16252" s="182"/>
      <c r="Q16252" s="183"/>
      <c r="R16252" s="183"/>
      <c r="S16252" s="183"/>
    </row>
    <row r="16253" spans="1:19">
      <c r="A16253" s="182"/>
      <c r="Q16253" s="183"/>
      <c r="R16253" s="183"/>
      <c r="S16253" s="183"/>
    </row>
    <row r="16254" spans="1:19">
      <c r="A16254" s="182"/>
      <c r="Q16254" s="183"/>
      <c r="R16254" s="183"/>
      <c r="S16254" s="183"/>
    </row>
    <row r="16255" spans="1:19">
      <c r="A16255" s="182"/>
      <c r="Q16255" s="183"/>
      <c r="R16255" s="183"/>
      <c r="S16255" s="183"/>
    </row>
    <row r="16256" spans="1:19">
      <c r="A16256" s="182"/>
      <c r="Q16256" s="183"/>
      <c r="R16256" s="183"/>
      <c r="S16256" s="183"/>
    </row>
    <row r="16257" spans="1:38">
      <c r="A16257" s="182"/>
      <c r="Q16257" s="183"/>
      <c r="R16257" s="183"/>
      <c r="S16257" s="183"/>
    </row>
    <row r="16258" spans="1:38">
      <c r="A16258" s="182"/>
      <c r="Q16258" s="183"/>
      <c r="R16258" s="183"/>
      <c r="S16258" s="183"/>
    </row>
    <row r="16259" spans="1:38">
      <c r="A16259" s="182"/>
      <c r="Q16259" s="183"/>
      <c r="R16259" s="183"/>
      <c r="S16259" s="183"/>
    </row>
    <row r="16260" spans="1:38">
      <c r="A16260" s="182"/>
      <c r="Q16260" s="183"/>
      <c r="R16260" s="183"/>
      <c r="S16260" s="183"/>
    </row>
    <row r="16261" spans="1:38">
      <c r="A16261" s="182"/>
      <c r="Q16261" s="183"/>
      <c r="R16261" s="183"/>
      <c r="S16261" s="183"/>
      <c r="AK16261" s="183"/>
      <c r="AL16261" s="183"/>
    </row>
    <row r="16262" spans="1:38">
      <c r="A16262" s="182"/>
      <c r="Q16262" s="183"/>
      <c r="R16262" s="183"/>
      <c r="S16262" s="183"/>
      <c r="AJ16262" s="183"/>
      <c r="AK16262" s="183"/>
      <c r="AL16262" s="183"/>
    </row>
    <row r="16263" spans="1:38">
      <c r="A16263" s="182"/>
      <c r="Q16263" s="183"/>
      <c r="R16263" s="183"/>
      <c r="S16263" s="183"/>
      <c r="AJ16263" s="183"/>
      <c r="AK16263" s="183"/>
      <c r="AL16263" s="183"/>
    </row>
    <row r="16264" spans="1:38">
      <c r="A16264" s="182"/>
      <c r="Q16264" s="183"/>
      <c r="R16264" s="183"/>
      <c r="S16264" s="183"/>
      <c r="AJ16264" s="183"/>
      <c r="AK16264" s="183"/>
      <c r="AL16264" s="183"/>
    </row>
    <row r="16265" spans="1:38">
      <c r="A16265" s="182"/>
      <c r="Q16265" s="183"/>
      <c r="R16265" s="183"/>
      <c r="S16265" s="183"/>
      <c r="AJ16265" s="183"/>
      <c r="AK16265" s="183"/>
      <c r="AL16265" s="183"/>
    </row>
    <row r="16266" spans="1:38">
      <c r="A16266" s="182"/>
      <c r="Q16266" s="183"/>
      <c r="R16266" s="183"/>
      <c r="S16266" s="183"/>
      <c r="AJ16266" s="183"/>
      <c r="AK16266" s="183"/>
      <c r="AL16266" s="183"/>
    </row>
    <row r="16267" spans="1:38">
      <c r="A16267" s="182"/>
      <c r="Q16267" s="183"/>
      <c r="R16267" s="183"/>
      <c r="S16267" s="183"/>
      <c r="AJ16267" s="183"/>
      <c r="AK16267" s="183"/>
      <c r="AL16267" s="183"/>
    </row>
    <row r="16268" spans="1:38">
      <c r="A16268" s="182"/>
      <c r="Q16268" s="183"/>
      <c r="R16268" s="183"/>
      <c r="S16268" s="183"/>
      <c r="AJ16268" s="183"/>
      <c r="AK16268" s="183"/>
      <c r="AL16268" s="183"/>
    </row>
    <row r="16269" spans="1:38">
      <c r="A16269" s="182"/>
      <c r="Q16269" s="183"/>
      <c r="R16269" s="183"/>
      <c r="S16269" s="183"/>
      <c r="AJ16269" s="183"/>
    </row>
    <row r="16270" spans="1:38">
      <c r="A16270" s="182"/>
      <c r="Q16270" s="183"/>
      <c r="R16270" s="183"/>
      <c r="S16270" s="183"/>
    </row>
    <row r="16271" spans="1:38">
      <c r="A16271" s="182"/>
      <c r="Q16271" s="183"/>
      <c r="R16271" s="183"/>
      <c r="S16271" s="183"/>
    </row>
    <row r="16272" spans="1:38">
      <c r="A16272" s="182"/>
      <c r="Q16272" s="183"/>
      <c r="R16272" s="183"/>
      <c r="S16272" s="183"/>
    </row>
    <row r="16273" spans="1:38">
      <c r="A16273" s="182"/>
      <c r="Q16273" s="183"/>
      <c r="R16273" s="183"/>
      <c r="S16273" s="183"/>
    </row>
    <row r="16274" spans="1:38">
      <c r="A16274" s="182"/>
      <c r="Q16274" s="183"/>
      <c r="R16274" s="183"/>
      <c r="S16274" s="183"/>
    </row>
    <row r="16275" spans="1:38">
      <c r="A16275" s="182"/>
      <c r="Q16275" s="183"/>
      <c r="R16275" s="183"/>
      <c r="S16275" s="183"/>
    </row>
    <row r="16276" spans="1:38">
      <c r="A16276" s="182"/>
      <c r="Q16276" s="183"/>
      <c r="R16276" s="183"/>
      <c r="S16276" s="183"/>
    </row>
    <row r="16277" spans="1:38">
      <c r="A16277" s="182"/>
      <c r="Q16277" s="183"/>
      <c r="R16277" s="183"/>
      <c r="S16277" s="183"/>
    </row>
    <row r="16278" spans="1:38">
      <c r="A16278" s="182"/>
      <c r="Q16278" s="183"/>
      <c r="R16278" s="183"/>
      <c r="S16278" s="183"/>
    </row>
    <row r="16279" spans="1:38">
      <c r="A16279" s="182"/>
      <c r="Q16279" s="183"/>
      <c r="R16279" s="183"/>
      <c r="S16279" s="183"/>
    </row>
    <row r="16280" spans="1:38">
      <c r="A16280" s="182"/>
      <c r="Q16280" s="183"/>
      <c r="R16280" s="183"/>
      <c r="S16280" s="183"/>
    </row>
    <row r="16281" spans="1:38">
      <c r="A16281" s="182"/>
      <c r="Q16281" s="183"/>
      <c r="R16281" s="183"/>
      <c r="S16281" s="183"/>
    </row>
    <row r="16282" spans="1:38">
      <c r="A16282" s="182"/>
      <c r="Q16282" s="183"/>
      <c r="R16282" s="183"/>
      <c r="S16282" s="183"/>
    </row>
    <row r="16283" spans="1:38">
      <c r="A16283" s="182"/>
      <c r="Q16283" s="183"/>
      <c r="R16283" s="183"/>
      <c r="S16283" s="183"/>
    </row>
    <row r="16284" spans="1:38">
      <c r="A16284" s="182"/>
      <c r="Q16284" s="183"/>
      <c r="R16284" s="183"/>
      <c r="S16284" s="183"/>
    </row>
    <row r="16285" spans="1:38">
      <c r="A16285" s="182"/>
      <c r="Q16285" s="183"/>
      <c r="R16285" s="183"/>
      <c r="S16285" s="183"/>
      <c r="AK16285" s="183"/>
      <c r="AL16285" s="183"/>
    </row>
    <row r="16286" spans="1:38">
      <c r="A16286" s="182"/>
      <c r="Q16286" s="183"/>
      <c r="R16286" s="183"/>
      <c r="S16286" s="183"/>
      <c r="AJ16286" s="183"/>
      <c r="AK16286" s="183"/>
      <c r="AL16286" s="183"/>
    </row>
    <row r="16287" spans="1:38">
      <c r="A16287" s="182"/>
      <c r="Q16287" s="183"/>
      <c r="R16287" s="183"/>
      <c r="S16287" s="183"/>
      <c r="AJ16287" s="183"/>
      <c r="AK16287" s="183"/>
      <c r="AL16287" s="183"/>
    </row>
    <row r="16288" spans="1:38">
      <c r="A16288" s="182"/>
      <c r="Q16288" s="183"/>
      <c r="R16288" s="183"/>
      <c r="S16288" s="183"/>
      <c r="AJ16288" s="183"/>
      <c r="AK16288" s="183"/>
      <c r="AL16288" s="183"/>
    </row>
    <row r="16289" spans="1:38">
      <c r="A16289" s="182"/>
      <c r="Q16289" s="183"/>
      <c r="R16289" s="183"/>
      <c r="S16289" s="183"/>
      <c r="AJ16289" s="183"/>
      <c r="AK16289" s="183"/>
      <c r="AL16289" s="183"/>
    </row>
    <row r="16290" spans="1:38">
      <c r="A16290" s="182"/>
      <c r="Q16290" s="183"/>
      <c r="R16290" s="183"/>
      <c r="S16290" s="183"/>
      <c r="AJ16290" s="183"/>
      <c r="AK16290" s="183"/>
      <c r="AL16290" s="183"/>
    </row>
    <row r="16291" spans="1:38">
      <c r="A16291" s="182"/>
      <c r="Q16291" s="183"/>
      <c r="R16291" s="183"/>
      <c r="S16291" s="183"/>
      <c r="AJ16291" s="183"/>
      <c r="AK16291" s="183"/>
      <c r="AL16291" s="183"/>
    </row>
    <row r="16292" spans="1:38">
      <c r="A16292" s="182"/>
      <c r="Q16292" s="183"/>
      <c r="R16292" s="183"/>
      <c r="S16292" s="183"/>
      <c r="AJ16292" s="183"/>
      <c r="AK16292" s="183"/>
      <c r="AL16292" s="183"/>
    </row>
    <row r="16293" spans="1:38">
      <c r="A16293" s="182"/>
      <c r="Q16293" s="183"/>
      <c r="R16293" s="183"/>
      <c r="S16293" s="183"/>
      <c r="AJ16293" s="183"/>
    </row>
    <row r="16294" spans="1:38">
      <c r="A16294" s="182"/>
      <c r="Q16294" s="183"/>
      <c r="R16294" s="183"/>
      <c r="S16294" s="183"/>
    </row>
    <row r="16295" spans="1:38">
      <c r="A16295" s="182"/>
      <c r="Q16295" s="183"/>
      <c r="R16295" s="183"/>
      <c r="S16295" s="183"/>
    </row>
    <row r="16296" spans="1:38">
      <c r="A16296" s="182"/>
      <c r="Q16296" s="183"/>
      <c r="R16296" s="183"/>
      <c r="S16296" s="183"/>
    </row>
    <row r="16297" spans="1:38">
      <c r="A16297" s="182"/>
      <c r="Q16297" s="183"/>
      <c r="R16297" s="183"/>
      <c r="S16297" s="183"/>
      <c r="AK16297" s="183"/>
      <c r="AL16297" s="183"/>
    </row>
    <row r="16298" spans="1:38">
      <c r="A16298" s="182"/>
      <c r="Q16298" s="183"/>
      <c r="R16298" s="183"/>
      <c r="S16298" s="183"/>
      <c r="AJ16298" s="183"/>
      <c r="AK16298" s="183"/>
      <c r="AL16298" s="183"/>
    </row>
    <row r="16299" spans="1:38">
      <c r="A16299" s="182"/>
      <c r="Q16299" s="183"/>
      <c r="R16299" s="183"/>
      <c r="S16299" s="183"/>
      <c r="AJ16299" s="183"/>
      <c r="AK16299" s="183"/>
      <c r="AL16299" s="183"/>
    </row>
    <row r="16300" spans="1:38">
      <c r="A16300" s="182"/>
      <c r="Q16300" s="183"/>
      <c r="R16300" s="183"/>
      <c r="S16300" s="183"/>
      <c r="AJ16300" s="183"/>
      <c r="AK16300" s="183"/>
      <c r="AL16300" s="183"/>
    </row>
    <row r="16301" spans="1:38">
      <c r="A16301" s="182"/>
      <c r="Q16301" s="183"/>
      <c r="R16301" s="183"/>
      <c r="S16301" s="183"/>
      <c r="AJ16301" s="183"/>
    </row>
    <row r="16302" spans="1:38">
      <c r="A16302" s="182"/>
      <c r="Q16302" s="183"/>
      <c r="R16302" s="183"/>
      <c r="S16302" s="183"/>
    </row>
    <row r="16303" spans="1:38">
      <c r="A16303" s="182"/>
      <c r="Q16303" s="183"/>
      <c r="R16303" s="183"/>
      <c r="S16303" s="183"/>
    </row>
    <row r="16304" spans="1:38">
      <c r="A16304" s="182"/>
      <c r="Q16304" s="183"/>
      <c r="R16304" s="183"/>
      <c r="S16304" s="183"/>
    </row>
    <row r="16305" spans="1:19">
      <c r="A16305" s="182"/>
      <c r="Q16305" s="183"/>
      <c r="R16305" s="183"/>
      <c r="S16305" s="183"/>
    </row>
    <row r="16306" spans="1:19">
      <c r="A16306" s="182"/>
      <c r="Q16306" s="183"/>
      <c r="R16306" s="183"/>
      <c r="S16306" s="183"/>
    </row>
    <row r="16307" spans="1:19">
      <c r="A16307" s="182"/>
      <c r="Q16307" s="183"/>
      <c r="R16307" s="183"/>
      <c r="S16307" s="183"/>
    </row>
    <row r="16308" spans="1:19">
      <c r="A16308" s="182"/>
      <c r="Q16308" s="183"/>
      <c r="R16308" s="183"/>
      <c r="S16308" s="183"/>
    </row>
    <row r="16309" spans="1:19">
      <c r="A16309" s="182"/>
      <c r="Q16309" s="183"/>
      <c r="R16309" s="183"/>
      <c r="S16309" s="183"/>
    </row>
    <row r="16310" spans="1:19">
      <c r="A16310" s="182"/>
      <c r="Q16310" s="183"/>
      <c r="R16310" s="183"/>
      <c r="S16310" s="183"/>
    </row>
    <row r="16311" spans="1:19">
      <c r="A16311" s="182"/>
      <c r="Q16311" s="183"/>
      <c r="R16311" s="183"/>
      <c r="S16311" s="183"/>
    </row>
    <row r="16312" spans="1:19">
      <c r="A16312" s="182"/>
      <c r="Q16312" s="183"/>
      <c r="R16312" s="183"/>
      <c r="S16312" s="183"/>
    </row>
    <row r="16313" spans="1:19">
      <c r="A16313" s="182"/>
      <c r="Q16313" s="183"/>
      <c r="R16313" s="183"/>
      <c r="S16313" s="183"/>
    </row>
    <row r="16314" spans="1:19">
      <c r="A16314" s="182"/>
      <c r="Q16314" s="183"/>
      <c r="R16314" s="183"/>
      <c r="S16314" s="183"/>
    </row>
    <row r="16315" spans="1:19">
      <c r="A16315" s="182"/>
      <c r="Q16315" s="183"/>
      <c r="R16315" s="183"/>
      <c r="S16315" s="183"/>
    </row>
    <row r="16316" spans="1:19">
      <c r="A16316" s="182"/>
      <c r="Q16316" s="183"/>
      <c r="R16316" s="183"/>
      <c r="S16316" s="183"/>
    </row>
    <row r="16317" spans="1:19">
      <c r="A16317" s="182"/>
      <c r="Q16317" s="183"/>
      <c r="R16317" s="183"/>
      <c r="S16317" s="183"/>
    </row>
    <row r="16318" spans="1:19">
      <c r="A16318" s="182"/>
      <c r="Q16318" s="183"/>
      <c r="R16318" s="183"/>
      <c r="S16318" s="183"/>
    </row>
    <row r="16319" spans="1:19">
      <c r="A16319" s="182"/>
      <c r="Q16319" s="183"/>
      <c r="R16319" s="183"/>
      <c r="S16319" s="183"/>
    </row>
    <row r="16320" spans="1:19">
      <c r="A16320" s="182"/>
      <c r="Q16320" s="183"/>
      <c r="R16320" s="183"/>
      <c r="S16320" s="183"/>
    </row>
    <row r="16321" spans="1:19">
      <c r="A16321" s="182"/>
      <c r="Q16321" s="183"/>
      <c r="R16321" s="183"/>
      <c r="S16321" s="183"/>
    </row>
    <row r="16322" spans="1:19">
      <c r="A16322" s="182"/>
      <c r="Q16322" s="183"/>
      <c r="R16322" s="183"/>
      <c r="S16322" s="183"/>
    </row>
    <row r="16323" spans="1:19">
      <c r="A16323" s="182"/>
      <c r="Q16323" s="183"/>
      <c r="R16323" s="183"/>
      <c r="S16323" s="183"/>
    </row>
    <row r="16324" spans="1:19">
      <c r="A16324" s="182"/>
      <c r="Q16324" s="183"/>
      <c r="R16324" s="183"/>
      <c r="S16324" s="183"/>
    </row>
    <row r="16325" spans="1:19">
      <c r="A16325" s="182"/>
      <c r="Q16325" s="183"/>
      <c r="R16325" s="183"/>
      <c r="S16325" s="183"/>
    </row>
    <row r="16326" spans="1:19">
      <c r="A16326" s="182"/>
      <c r="Q16326" s="183"/>
      <c r="R16326" s="183"/>
      <c r="S16326" s="183"/>
    </row>
    <row r="16327" spans="1:19">
      <c r="A16327" s="182"/>
      <c r="Q16327" s="183"/>
      <c r="R16327" s="183"/>
      <c r="S16327" s="183"/>
    </row>
    <row r="16328" spans="1:19">
      <c r="A16328" s="182"/>
      <c r="Q16328" s="183"/>
      <c r="R16328" s="183"/>
      <c r="S16328" s="183"/>
    </row>
    <row r="16329" spans="1:19">
      <c r="A16329" s="182"/>
      <c r="Q16329" s="183"/>
      <c r="R16329" s="183"/>
      <c r="S16329" s="183"/>
    </row>
    <row r="16330" spans="1:19">
      <c r="A16330" s="182"/>
      <c r="Q16330" s="183"/>
      <c r="R16330" s="183"/>
      <c r="S16330" s="183"/>
    </row>
    <row r="16331" spans="1:19">
      <c r="A16331" s="182"/>
      <c r="Q16331" s="183"/>
      <c r="R16331" s="183"/>
      <c r="S16331" s="183"/>
    </row>
    <row r="16332" spans="1:19">
      <c r="A16332" s="182"/>
      <c r="Q16332" s="183"/>
      <c r="R16332" s="183"/>
      <c r="S16332" s="183"/>
    </row>
    <row r="16333" spans="1:19">
      <c r="A16333" s="182"/>
      <c r="Q16333" s="183"/>
      <c r="R16333" s="183"/>
      <c r="S16333" s="183"/>
    </row>
    <row r="16334" spans="1:19">
      <c r="A16334" s="182"/>
      <c r="Q16334" s="183"/>
      <c r="R16334" s="183"/>
      <c r="S16334" s="183"/>
    </row>
    <row r="16335" spans="1:19">
      <c r="A16335" s="182"/>
      <c r="Q16335" s="183"/>
      <c r="R16335" s="183"/>
      <c r="S16335" s="183"/>
    </row>
    <row r="16336" spans="1:19">
      <c r="A16336" s="182"/>
      <c r="Q16336" s="183"/>
      <c r="R16336" s="183"/>
      <c r="S16336" s="183"/>
    </row>
    <row r="16337" spans="1:38">
      <c r="A16337" s="182"/>
      <c r="Q16337" s="183"/>
      <c r="R16337" s="183"/>
      <c r="S16337" s="183"/>
      <c r="AK16337" s="183"/>
      <c r="AL16337" s="183"/>
    </row>
    <row r="16338" spans="1:38">
      <c r="A16338" s="182"/>
      <c r="Q16338" s="183"/>
      <c r="R16338" s="183"/>
      <c r="S16338" s="183"/>
      <c r="AJ16338" s="183"/>
      <c r="AK16338" s="183"/>
      <c r="AL16338" s="183"/>
    </row>
    <row r="16339" spans="1:38">
      <c r="A16339" s="182"/>
      <c r="M16339" s="183"/>
      <c r="N16339" s="183"/>
      <c r="Q16339" s="183"/>
      <c r="R16339" s="183"/>
      <c r="S16339" s="183"/>
      <c r="AJ16339" s="183"/>
      <c r="AK16339" s="183"/>
      <c r="AL16339" s="183"/>
    </row>
    <row r="16340" spans="1:38">
      <c r="A16340" s="182"/>
      <c r="L16340" s="183"/>
      <c r="Q16340" s="183"/>
      <c r="R16340" s="183"/>
      <c r="S16340" s="183"/>
      <c r="AJ16340" s="183"/>
      <c r="AK16340" s="183"/>
      <c r="AL16340" s="183"/>
    </row>
    <row r="16341" spans="1:38">
      <c r="A16341" s="182"/>
      <c r="Q16341" s="183"/>
      <c r="R16341" s="183"/>
      <c r="S16341" s="183"/>
      <c r="AJ16341" s="183"/>
    </row>
    <row r="16342" spans="1:38">
      <c r="A16342" s="182"/>
      <c r="Q16342" s="183"/>
      <c r="R16342" s="183"/>
      <c r="S16342" s="183"/>
    </row>
    <row r="16343" spans="1:38">
      <c r="A16343" s="182"/>
      <c r="Q16343" s="183"/>
      <c r="R16343" s="183"/>
      <c r="S16343" s="183"/>
    </row>
    <row r="16344" spans="1:38">
      <c r="A16344" s="182"/>
      <c r="Q16344" s="183"/>
      <c r="R16344" s="183"/>
      <c r="S16344" s="183"/>
    </row>
    <row r="16345" spans="1:38">
      <c r="A16345" s="182"/>
      <c r="Q16345" s="183"/>
      <c r="R16345" s="183"/>
      <c r="S16345" s="183"/>
    </row>
    <row r="16346" spans="1:38">
      <c r="A16346" s="182"/>
      <c r="Q16346" s="183"/>
      <c r="R16346" s="183"/>
      <c r="S16346" s="183"/>
    </row>
    <row r="16347" spans="1:38">
      <c r="A16347" s="182"/>
      <c r="Q16347" s="183"/>
      <c r="R16347" s="183"/>
      <c r="S16347" s="183"/>
    </row>
    <row r="16348" spans="1:38">
      <c r="A16348" s="182"/>
      <c r="Q16348" s="183"/>
      <c r="R16348" s="183"/>
      <c r="S16348" s="183"/>
    </row>
    <row r="16349" spans="1:38">
      <c r="A16349" s="182"/>
      <c r="Q16349" s="183"/>
      <c r="R16349" s="183"/>
      <c r="S16349" s="183"/>
      <c r="AK16349" s="183"/>
      <c r="AL16349" s="183"/>
    </row>
    <row r="16350" spans="1:38">
      <c r="A16350" s="182"/>
      <c r="Q16350" s="183"/>
      <c r="R16350" s="183"/>
      <c r="S16350" s="183"/>
      <c r="AJ16350" s="183"/>
      <c r="AK16350" s="183"/>
      <c r="AL16350" s="183"/>
    </row>
    <row r="16351" spans="1:38">
      <c r="A16351" s="182"/>
      <c r="Q16351" s="183"/>
      <c r="R16351" s="183"/>
      <c r="S16351" s="183"/>
      <c r="AJ16351" s="183"/>
      <c r="AK16351" s="183"/>
      <c r="AL16351" s="183"/>
    </row>
    <row r="16352" spans="1:38">
      <c r="A16352" s="182"/>
      <c r="Q16352" s="183"/>
      <c r="R16352" s="183"/>
      <c r="S16352" s="183"/>
      <c r="AJ16352" s="183"/>
      <c r="AK16352" s="183"/>
      <c r="AL16352" s="183"/>
    </row>
    <row r="16353" spans="1:38">
      <c r="A16353" s="182"/>
      <c r="Q16353" s="183"/>
      <c r="R16353" s="183"/>
      <c r="S16353" s="183"/>
      <c r="AJ16353" s="183"/>
    </row>
    <row r="16354" spans="1:38">
      <c r="A16354" s="182"/>
      <c r="Q16354" s="183"/>
      <c r="R16354" s="183"/>
      <c r="S16354" s="183"/>
    </row>
    <row r="16355" spans="1:38">
      <c r="A16355" s="182"/>
      <c r="Q16355" s="183"/>
      <c r="R16355" s="183"/>
      <c r="S16355" s="183"/>
    </row>
    <row r="16356" spans="1:38">
      <c r="A16356" s="182"/>
      <c r="Q16356" s="183"/>
      <c r="R16356" s="183"/>
      <c r="S16356" s="183"/>
    </row>
    <row r="16357" spans="1:38">
      <c r="A16357" s="182"/>
      <c r="Q16357" s="183"/>
      <c r="R16357" s="183"/>
      <c r="S16357" s="183"/>
    </row>
    <row r="16358" spans="1:38">
      <c r="A16358" s="182"/>
      <c r="Q16358" s="183"/>
      <c r="R16358" s="183"/>
      <c r="S16358" s="183"/>
    </row>
    <row r="16359" spans="1:38">
      <c r="A16359" s="182"/>
      <c r="Q16359" s="183"/>
      <c r="R16359" s="183"/>
      <c r="S16359" s="183"/>
    </row>
    <row r="16360" spans="1:38">
      <c r="A16360" s="182"/>
      <c r="Q16360" s="183"/>
      <c r="R16360" s="183"/>
      <c r="S16360" s="183"/>
    </row>
    <row r="16361" spans="1:38">
      <c r="A16361" s="182"/>
      <c r="Q16361" s="183"/>
      <c r="R16361" s="183"/>
      <c r="S16361" s="183"/>
    </row>
    <row r="16362" spans="1:38">
      <c r="A16362" s="182"/>
      <c r="Q16362" s="183"/>
      <c r="R16362" s="183"/>
      <c r="S16362" s="183"/>
    </row>
    <row r="16363" spans="1:38">
      <c r="A16363" s="182"/>
      <c r="Q16363" s="183"/>
      <c r="R16363" s="183"/>
      <c r="S16363" s="183"/>
    </row>
    <row r="16364" spans="1:38">
      <c r="A16364" s="182"/>
      <c r="Q16364" s="183"/>
      <c r="R16364" s="183"/>
      <c r="S16364" s="183"/>
    </row>
    <row r="16365" spans="1:38">
      <c r="A16365" s="182"/>
      <c r="Q16365" s="183"/>
      <c r="R16365" s="183"/>
      <c r="S16365" s="183"/>
      <c r="AK16365" s="183"/>
      <c r="AL16365" s="183"/>
    </row>
    <row r="16366" spans="1:38">
      <c r="A16366" s="182"/>
      <c r="Q16366" s="183"/>
      <c r="R16366" s="183"/>
      <c r="S16366" s="183"/>
      <c r="AJ16366" s="183"/>
      <c r="AK16366" s="183"/>
      <c r="AL16366" s="183"/>
    </row>
    <row r="16367" spans="1:38">
      <c r="A16367" s="182"/>
      <c r="Q16367" s="183"/>
      <c r="R16367" s="183"/>
      <c r="S16367" s="183"/>
      <c r="AJ16367" s="183"/>
      <c r="AK16367" s="183"/>
      <c r="AL16367" s="183"/>
    </row>
    <row r="16368" spans="1:38">
      <c r="A16368" s="182"/>
      <c r="Q16368" s="183"/>
      <c r="R16368" s="183"/>
      <c r="S16368" s="183"/>
      <c r="AJ16368" s="183"/>
      <c r="AK16368" s="183"/>
      <c r="AL16368" s="183"/>
    </row>
    <row r="16369" spans="1:38">
      <c r="A16369" s="182"/>
      <c r="Q16369" s="183"/>
      <c r="R16369" s="183"/>
      <c r="S16369" s="183"/>
      <c r="AJ16369" s="183"/>
    </row>
    <row r="16370" spans="1:38">
      <c r="A16370" s="182"/>
      <c r="Q16370" s="183"/>
      <c r="R16370" s="183"/>
      <c r="S16370" s="183"/>
    </row>
    <row r="16371" spans="1:38">
      <c r="A16371" s="182"/>
      <c r="Q16371" s="183"/>
      <c r="R16371" s="183"/>
      <c r="S16371" s="183"/>
    </row>
    <row r="16372" spans="1:38">
      <c r="A16372" s="182"/>
      <c r="Q16372" s="183"/>
      <c r="R16372" s="183"/>
      <c r="S16372" s="183"/>
    </row>
    <row r="16373" spans="1:38">
      <c r="A16373" s="182"/>
      <c r="Q16373" s="183"/>
      <c r="R16373" s="183"/>
      <c r="S16373" s="183"/>
    </row>
    <row r="16374" spans="1:38">
      <c r="A16374" s="182"/>
      <c r="Q16374" s="183"/>
      <c r="R16374" s="183"/>
      <c r="S16374" s="183"/>
    </row>
    <row r="16375" spans="1:38">
      <c r="A16375" s="182"/>
      <c r="Q16375" s="183"/>
      <c r="R16375" s="183"/>
      <c r="S16375" s="183"/>
    </row>
    <row r="16376" spans="1:38">
      <c r="A16376" s="182"/>
      <c r="Q16376" s="183"/>
      <c r="R16376" s="183"/>
      <c r="S16376" s="183"/>
    </row>
    <row r="16377" spans="1:38">
      <c r="A16377" s="182"/>
      <c r="Q16377" s="183"/>
      <c r="R16377" s="183"/>
      <c r="S16377" s="183"/>
      <c r="AK16377" s="183"/>
      <c r="AL16377" s="183"/>
    </row>
    <row r="16378" spans="1:38">
      <c r="A16378" s="182"/>
      <c r="Q16378" s="183"/>
      <c r="R16378" s="183"/>
      <c r="S16378" s="183"/>
      <c r="AJ16378" s="183"/>
      <c r="AK16378" s="183"/>
      <c r="AL16378" s="183"/>
    </row>
    <row r="16379" spans="1:38">
      <c r="A16379" s="182"/>
      <c r="Q16379" s="183"/>
      <c r="R16379" s="183"/>
      <c r="S16379" s="183"/>
      <c r="AJ16379" s="183"/>
      <c r="AK16379" s="183"/>
      <c r="AL16379" s="183"/>
    </row>
    <row r="16380" spans="1:38">
      <c r="A16380" s="182"/>
      <c r="Q16380" s="183"/>
      <c r="R16380" s="183"/>
      <c r="S16380" s="183"/>
      <c r="AJ16380" s="183"/>
      <c r="AK16380" s="183"/>
      <c r="AL16380" s="183"/>
    </row>
    <row r="16381" spans="1:38">
      <c r="A16381" s="182"/>
      <c r="Q16381" s="183"/>
      <c r="R16381" s="183"/>
      <c r="S16381" s="183"/>
      <c r="AJ16381" s="183"/>
    </row>
    <row r="16382" spans="1:38">
      <c r="A16382" s="182"/>
      <c r="Q16382" s="183"/>
      <c r="R16382" s="183"/>
      <c r="S16382" s="183"/>
    </row>
    <row r="16383" spans="1:38">
      <c r="A16383" s="182"/>
      <c r="Q16383" s="183"/>
      <c r="R16383" s="183"/>
      <c r="S16383" s="183"/>
    </row>
    <row r="16384" spans="1:38">
      <c r="A16384" s="182"/>
      <c r="Q16384" s="183"/>
      <c r="R16384" s="183"/>
      <c r="S16384" s="183"/>
    </row>
    <row r="16385" spans="1:19">
      <c r="A16385" s="182"/>
      <c r="Q16385" s="183"/>
      <c r="R16385" s="183"/>
      <c r="S16385" s="183"/>
    </row>
    <row r="16386" spans="1:19">
      <c r="A16386" s="182"/>
      <c r="Q16386" s="183"/>
      <c r="R16386" s="183"/>
      <c r="S16386" s="183"/>
    </row>
    <row r="16387" spans="1:19">
      <c r="A16387" s="182"/>
      <c r="Q16387" s="183"/>
      <c r="R16387" s="183"/>
      <c r="S16387" s="183"/>
    </row>
    <row r="16388" spans="1:19">
      <c r="A16388" s="182"/>
      <c r="Q16388" s="183"/>
      <c r="R16388" s="183"/>
      <c r="S16388" s="183"/>
    </row>
    <row r="16389" spans="1:19">
      <c r="A16389" s="182"/>
      <c r="Q16389" s="183"/>
      <c r="R16389" s="183"/>
      <c r="S16389" s="183"/>
    </row>
    <row r="16390" spans="1:19">
      <c r="A16390" s="182"/>
      <c r="Q16390" s="183"/>
      <c r="R16390" s="183"/>
      <c r="S16390" s="183"/>
    </row>
    <row r="16391" spans="1:19">
      <c r="A16391" s="182"/>
      <c r="Q16391" s="183"/>
      <c r="R16391" s="183"/>
      <c r="S16391" s="183"/>
    </row>
    <row r="16392" spans="1:19">
      <c r="A16392" s="182"/>
      <c r="Q16392" s="183"/>
      <c r="R16392" s="183"/>
      <c r="S16392" s="183"/>
    </row>
    <row r="16393" spans="1:19">
      <c r="A16393" s="182"/>
      <c r="Q16393" s="183"/>
      <c r="R16393" s="183"/>
      <c r="S16393" s="183"/>
    </row>
    <row r="16394" spans="1:19">
      <c r="A16394" s="182"/>
      <c r="Q16394" s="183"/>
      <c r="R16394" s="183"/>
      <c r="S16394" s="183"/>
    </row>
    <row r="16395" spans="1:19">
      <c r="A16395" s="182"/>
      <c r="Q16395" s="183"/>
      <c r="R16395" s="183"/>
      <c r="S16395" s="183"/>
    </row>
    <row r="16396" spans="1:19">
      <c r="A16396" s="182"/>
      <c r="Q16396" s="183"/>
      <c r="R16396" s="183"/>
      <c r="S16396" s="183"/>
    </row>
    <row r="16397" spans="1:19">
      <c r="A16397" s="182"/>
      <c r="Q16397" s="183"/>
      <c r="R16397" s="183"/>
      <c r="S16397" s="183"/>
    </row>
    <row r="16398" spans="1:19">
      <c r="A16398" s="182"/>
      <c r="Q16398" s="183"/>
      <c r="R16398" s="183"/>
      <c r="S16398" s="183"/>
    </row>
    <row r="16399" spans="1:19">
      <c r="A16399" s="182"/>
      <c r="Q16399" s="183"/>
      <c r="R16399" s="183"/>
      <c r="S16399" s="183"/>
    </row>
    <row r="16400" spans="1:19">
      <c r="A16400" s="182"/>
      <c r="Q16400" s="183"/>
      <c r="R16400" s="183"/>
      <c r="S16400" s="183"/>
    </row>
    <row r="16401" spans="1:38">
      <c r="A16401" s="182"/>
      <c r="Q16401" s="183"/>
      <c r="R16401" s="183"/>
      <c r="S16401" s="183"/>
    </row>
    <row r="16402" spans="1:38">
      <c r="A16402" s="182"/>
      <c r="Q16402" s="183"/>
      <c r="R16402" s="183"/>
      <c r="S16402" s="183"/>
    </row>
    <row r="16403" spans="1:38">
      <c r="A16403" s="182"/>
      <c r="Q16403" s="183"/>
      <c r="R16403" s="183"/>
      <c r="S16403" s="183"/>
    </row>
    <row r="16404" spans="1:38">
      <c r="A16404" s="182"/>
      <c r="Q16404" s="183"/>
      <c r="R16404" s="183"/>
      <c r="S16404" s="183"/>
    </row>
    <row r="16405" spans="1:38">
      <c r="A16405" s="182"/>
      <c r="Q16405" s="183"/>
      <c r="R16405" s="183"/>
      <c r="S16405" s="183"/>
      <c r="AK16405" s="183"/>
      <c r="AL16405" s="183"/>
    </row>
    <row r="16406" spans="1:38">
      <c r="A16406" s="182"/>
      <c r="Q16406" s="183"/>
      <c r="R16406" s="183"/>
      <c r="S16406" s="183"/>
      <c r="AJ16406" s="183"/>
      <c r="AK16406" s="183"/>
      <c r="AL16406" s="183"/>
    </row>
    <row r="16407" spans="1:38">
      <c r="A16407" s="182"/>
      <c r="Q16407" s="183"/>
      <c r="R16407" s="183"/>
      <c r="S16407" s="183"/>
      <c r="AJ16407" s="183"/>
      <c r="AK16407" s="183"/>
      <c r="AL16407" s="183"/>
    </row>
    <row r="16408" spans="1:38">
      <c r="A16408" s="182"/>
      <c r="Q16408" s="183"/>
      <c r="R16408" s="183"/>
      <c r="S16408" s="183"/>
      <c r="AJ16408" s="183"/>
      <c r="AK16408" s="183"/>
      <c r="AL16408" s="183"/>
    </row>
    <row r="16409" spans="1:38">
      <c r="A16409" s="182"/>
      <c r="Q16409" s="183"/>
      <c r="R16409" s="183"/>
      <c r="S16409" s="183"/>
      <c r="AJ16409" s="183"/>
    </row>
    <row r="16410" spans="1:38">
      <c r="A16410" s="182"/>
      <c r="Q16410" s="183"/>
      <c r="R16410" s="183"/>
      <c r="S16410" s="183"/>
    </row>
    <row r="16411" spans="1:38">
      <c r="A16411" s="182"/>
      <c r="Q16411" s="183"/>
      <c r="R16411" s="183"/>
      <c r="S16411" s="183"/>
    </row>
    <row r="16412" spans="1:38">
      <c r="A16412" s="182"/>
      <c r="Q16412" s="183"/>
      <c r="R16412" s="183"/>
      <c r="S16412" s="183"/>
    </row>
    <row r="16413" spans="1:38">
      <c r="A16413" s="182"/>
      <c r="Q16413" s="183"/>
      <c r="R16413" s="183"/>
      <c r="S16413" s="183"/>
      <c r="AK16413" s="183"/>
      <c r="AL16413" s="183"/>
    </row>
    <row r="16414" spans="1:38">
      <c r="A16414" s="182"/>
      <c r="Q16414" s="183"/>
      <c r="R16414" s="183"/>
      <c r="S16414" s="183"/>
      <c r="AJ16414" s="183"/>
      <c r="AK16414" s="183"/>
      <c r="AL16414" s="183"/>
    </row>
    <row r="16415" spans="1:38">
      <c r="A16415" s="182"/>
      <c r="Q16415" s="183"/>
      <c r="R16415" s="183"/>
      <c r="S16415" s="183"/>
      <c r="AJ16415" s="183"/>
      <c r="AK16415" s="183"/>
      <c r="AL16415" s="183"/>
    </row>
    <row r="16416" spans="1:38">
      <c r="A16416" s="182"/>
      <c r="Q16416" s="183"/>
      <c r="R16416" s="183"/>
      <c r="S16416" s="183"/>
      <c r="AJ16416" s="183"/>
      <c r="AK16416" s="183"/>
      <c r="AL16416" s="183"/>
    </row>
    <row r="16417" spans="1:38">
      <c r="A16417" s="182"/>
      <c r="Q16417" s="183"/>
      <c r="R16417" s="183"/>
      <c r="S16417" s="183"/>
      <c r="AJ16417" s="183"/>
      <c r="AK16417" s="183"/>
      <c r="AL16417" s="183"/>
    </row>
    <row r="16418" spans="1:38">
      <c r="A16418" s="182"/>
      <c r="Q16418" s="183"/>
      <c r="R16418" s="183"/>
      <c r="S16418" s="183"/>
      <c r="AJ16418" s="183"/>
      <c r="AK16418" s="183"/>
      <c r="AL16418" s="183"/>
    </row>
    <row r="16419" spans="1:38">
      <c r="A16419" s="182"/>
      <c r="Q16419" s="183"/>
      <c r="R16419" s="183"/>
      <c r="S16419" s="183"/>
      <c r="AJ16419" s="183"/>
      <c r="AK16419" s="183"/>
      <c r="AL16419" s="183"/>
    </row>
    <row r="16420" spans="1:38">
      <c r="A16420" s="182"/>
      <c r="Q16420" s="183"/>
      <c r="R16420" s="183"/>
      <c r="S16420" s="183"/>
      <c r="AJ16420" s="183"/>
      <c r="AK16420" s="183"/>
      <c r="AL16420" s="183"/>
    </row>
    <row r="16421" spans="1:38">
      <c r="A16421" s="182"/>
      <c r="Q16421" s="183"/>
      <c r="R16421" s="183"/>
      <c r="S16421" s="183"/>
      <c r="AJ16421" s="183"/>
    </row>
    <row r="16422" spans="1:38">
      <c r="A16422" s="182"/>
      <c r="Q16422" s="183"/>
      <c r="R16422" s="183"/>
      <c r="S16422" s="183"/>
    </row>
    <row r="16423" spans="1:38">
      <c r="A16423" s="182"/>
      <c r="Q16423" s="183"/>
      <c r="R16423" s="183"/>
      <c r="S16423" s="183"/>
    </row>
    <row r="16424" spans="1:38">
      <c r="A16424" s="182"/>
      <c r="Q16424" s="183"/>
      <c r="R16424" s="183"/>
      <c r="S16424" s="183"/>
    </row>
    <row r="16425" spans="1:38">
      <c r="A16425" s="182"/>
      <c r="Q16425" s="183"/>
      <c r="R16425" s="183"/>
      <c r="S16425" s="183"/>
    </row>
    <row r="16426" spans="1:38">
      <c r="A16426" s="182"/>
      <c r="Q16426" s="183"/>
      <c r="R16426" s="183"/>
      <c r="S16426" s="183"/>
    </row>
    <row r="16427" spans="1:38">
      <c r="A16427" s="182"/>
      <c r="Q16427" s="183"/>
      <c r="R16427" s="183"/>
      <c r="S16427" s="183"/>
    </row>
    <row r="16428" spans="1:38">
      <c r="A16428" s="182"/>
      <c r="Q16428" s="183"/>
      <c r="R16428" s="183"/>
      <c r="S16428" s="183"/>
    </row>
    <row r="16429" spans="1:38">
      <c r="A16429" s="182"/>
      <c r="Q16429" s="183"/>
      <c r="R16429" s="183"/>
      <c r="S16429" s="183"/>
      <c r="AK16429" s="183"/>
      <c r="AL16429" s="183"/>
    </row>
    <row r="16430" spans="1:38">
      <c r="A16430" s="182"/>
      <c r="Q16430" s="183"/>
      <c r="R16430" s="183"/>
      <c r="S16430" s="183"/>
      <c r="AJ16430" s="183"/>
      <c r="AK16430" s="183"/>
      <c r="AL16430" s="183"/>
    </row>
    <row r="16431" spans="1:38">
      <c r="A16431" s="182"/>
      <c r="Q16431" s="183"/>
      <c r="R16431" s="183"/>
      <c r="S16431" s="183"/>
      <c r="AJ16431" s="183"/>
      <c r="AK16431" s="183"/>
      <c r="AL16431" s="183"/>
    </row>
    <row r="16432" spans="1:38">
      <c r="A16432" s="182"/>
      <c r="Q16432" s="183"/>
      <c r="R16432" s="183"/>
      <c r="S16432" s="183"/>
      <c r="AJ16432" s="183"/>
      <c r="AK16432" s="183"/>
      <c r="AL16432" s="183"/>
    </row>
    <row r="16433" spans="1:36">
      <c r="A16433" s="182"/>
      <c r="Q16433" s="183"/>
      <c r="R16433" s="183"/>
      <c r="S16433" s="183"/>
      <c r="AJ16433" s="183"/>
    </row>
    <row r="16434" spans="1:36">
      <c r="A16434" s="182"/>
      <c r="Q16434" s="183"/>
      <c r="R16434" s="183"/>
      <c r="S16434" s="183"/>
    </row>
    <row r="16435" spans="1:36">
      <c r="A16435" s="182"/>
      <c r="Q16435" s="183"/>
      <c r="R16435" s="183"/>
      <c r="S16435" s="183"/>
    </row>
    <row r="16436" spans="1:36">
      <c r="A16436" s="182"/>
      <c r="Q16436" s="183"/>
      <c r="R16436" s="183"/>
      <c r="S16436" s="183"/>
    </row>
    <row r="16437" spans="1:36">
      <c r="A16437" s="182"/>
      <c r="Q16437" s="183"/>
      <c r="R16437" s="183"/>
      <c r="S16437" s="183"/>
    </row>
    <row r="16438" spans="1:36">
      <c r="A16438" s="182"/>
      <c r="Q16438" s="183"/>
      <c r="R16438" s="183"/>
      <c r="S16438" s="183"/>
    </row>
    <row r="16439" spans="1:36">
      <c r="A16439" s="182"/>
      <c r="Q16439" s="183"/>
      <c r="R16439" s="183"/>
      <c r="S16439" s="183"/>
    </row>
    <row r="16440" spans="1:36">
      <c r="A16440" s="182"/>
      <c r="Q16440" s="183"/>
      <c r="R16440" s="183"/>
      <c r="S16440" s="183"/>
    </row>
    <row r="16441" spans="1:36">
      <c r="A16441" s="182"/>
      <c r="Q16441" s="183"/>
      <c r="R16441" s="183"/>
      <c r="S16441" s="183"/>
    </row>
    <row r="16442" spans="1:36">
      <c r="A16442" s="182"/>
      <c r="Q16442" s="183"/>
      <c r="R16442" s="183"/>
      <c r="S16442" s="183"/>
    </row>
    <row r="16443" spans="1:36">
      <c r="A16443" s="182"/>
      <c r="Q16443" s="183"/>
      <c r="R16443" s="183"/>
      <c r="S16443" s="183"/>
    </row>
    <row r="16444" spans="1:36">
      <c r="A16444" s="182"/>
      <c r="Q16444" s="183"/>
      <c r="R16444" s="183"/>
      <c r="S16444" s="183"/>
    </row>
    <row r="16445" spans="1:36">
      <c r="A16445" s="182"/>
      <c r="Q16445" s="183"/>
      <c r="R16445" s="183"/>
      <c r="S16445" s="183"/>
    </row>
    <row r="16446" spans="1:36">
      <c r="A16446" s="182"/>
      <c r="Q16446" s="183"/>
      <c r="R16446" s="183"/>
      <c r="S16446" s="183"/>
    </row>
    <row r="16447" spans="1:36">
      <c r="A16447" s="182"/>
      <c r="Q16447" s="183"/>
      <c r="R16447" s="183"/>
      <c r="S16447" s="183"/>
    </row>
    <row r="16448" spans="1:36">
      <c r="A16448" s="182"/>
      <c r="Q16448" s="183"/>
      <c r="R16448" s="183"/>
      <c r="S16448" s="183"/>
    </row>
    <row r="16449" spans="1:38">
      <c r="A16449" s="182"/>
      <c r="Q16449" s="183"/>
      <c r="R16449" s="183"/>
      <c r="S16449" s="183"/>
      <c r="AK16449" s="183"/>
      <c r="AL16449" s="183"/>
    </row>
    <row r="16450" spans="1:38">
      <c r="A16450" s="182"/>
      <c r="Q16450" s="183"/>
      <c r="R16450" s="183"/>
      <c r="S16450" s="183"/>
      <c r="AJ16450" s="183"/>
      <c r="AK16450" s="183"/>
      <c r="AL16450" s="183"/>
    </row>
    <row r="16451" spans="1:38">
      <c r="A16451" s="182"/>
      <c r="Q16451" s="183"/>
      <c r="R16451" s="183"/>
      <c r="S16451" s="183"/>
      <c r="AJ16451" s="183"/>
      <c r="AK16451" s="183"/>
      <c r="AL16451" s="183"/>
    </row>
    <row r="16452" spans="1:38">
      <c r="A16452" s="182"/>
      <c r="Q16452" s="183"/>
      <c r="R16452" s="183"/>
      <c r="S16452" s="183"/>
      <c r="AJ16452" s="183"/>
      <c r="AK16452" s="183"/>
      <c r="AL16452" s="183"/>
    </row>
    <row r="16453" spans="1:38">
      <c r="A16453" s="182"/>
      <c r="Q16453" s="183"/>
      <c r="R16453" s="183"/>
      <c r="S16453" s="183"/>
      <c r="AJ16453" s="183"/>
    </row>
    <row r="16454" spans="1:38">
      <c r="A16454" s="182"/>
      <c r="Q16454" s="183"/>
      <c r="R16454" s="183"/>
      <c r="S16454" s="183"/>
    </row>
    <row r="16455" spans="1:38">
      <c r="A16455" s="182"/>
      <c r="Q16455" s="183"/>
      <c r="R16455" s="183"/>
      <c r="S16455" s="183"/>
    </row>
    <row r="16456" spans="1:38">
      <c r="A16456" s="182"/>
      <c r="Q16456" s="183"/>
      <c r="R16456" s="183"/>
      <c r="S16456" s="183"/>
    </row>
    <row r="16457" spans="1:38">
      <c r="A16457" s="182"/>
      <c r="Q16457" s="183"/>
      <c r="R16457" s="183"/>
      <c r="S16457" s="183"/>
      <c r="AK16457" s="183"/>
      <c r="AL16457" s="183"/>
    </row>
    <row r="16458" spans="1:38">
      <c r="A16458" s="182"/>
      <c r="Q16458" s="183"/>
      <c r="R16458" s="183"/>
      <c r="S16458" s="183"/>
      <c r="AJ16458" s="183"/>
      <c r="AK16458" s="183"/>
      <c r="AL16458" s="183"/>
    </row>
    <row r="16459" spans="1:38">
      <c r="A16459" s="182"/>
      <c r="Q16459" s="183"/>
      <c r="R16459" s="183"/>
      <c r="S16459" s="183"/>
      <c r="AJ16459" s="183"/>
      <c r="AK16459" s="183"/>
      <c r="AL16459" s="183"/>
    </row>
    <row r="16460" spans="1:38">
      <c r="A16460" s="182"/>
      <c r="Q16460" s="183"/>
      <c r="R16460" s="183"/>
      <c r="S16460" s="183"/>
      <c r="AJ16460" s="183"/>
      <c r="AK16460" s="183"/>
      <c r="AL16460" s="183"/>
    </row>
    <row r="16461" spans="1:38">
      <c r="A16461" s="182"/>
      <c r="Q16461" s="183"/>
      <c r="R16461" s="183"/>
      <c r="S16461" s="183"/>
      <c r="AJ16461" s="183"/>
    </row>
    <row r="16462" spans="1:38">
      <c r="A16462" s="182"/>
      <c r="Q16462" s="183"/>
      <c r="R16462" s="183"/>
      <c r="S16462" s="183"/>
    </row>
    <row r="16463" spans="1:38">
      <c r="A16463" s="182"/>
      <c r="Q16463" s="183"/>
      <c r="R16463" s="183"/>
      <c r="S16463" s="183"/>
    </row>
    <row r="16464" spans="1:38">
      <c r="A16464" s="182"/>
      <c r="Q16464" s="183"/>
      <c r="R16464" s="183"/>
      <c r="S16464" s="183"/>
    </row>
    <row r="16465" spans="1:38">
      <c r="A16465" s="182"/>
      <c r="Q16465" s="183"/>
      <c r="R16465" s="183"/>
      <c r="S16465" s="183"/>
    </row>
    <row r="16466" spans="1:38">
      <c r="A16466" s="182"/>
      <c r="Q16466" s="183"/>
      <c r="R16466" s="183"/>
      <c r="S16466" s="183"/>
    </row>
    <row r="16467" spans="1:38">
      <c r="A16467" s="182"/>
      <c r="Q16467" s="183"/>
      <c r="R16467" s="183"/>
      <c r="S16467" s="183"/>
    </row>
    <row r="16468" spans="1:38">
      <c r="A16468" s="182"/>
      <c r="Q16468" s="183"/>
      <c r="R16468" s="183"/>
      <c r="S16468" s="183"/>
    </row>
    <row r="16469" spans="1:38">
      <c r="A16469" s="182"/>
      <c r="Q16469" s="183"/>
      <c r="R16469" s="183"/>
      <c r="S16469" s="183"/>
      <c r="AK16469" s="183"/>
      <c r="AL16469" s="183"/>
    </row>
    <row r="16470" spans="1:38">
      <c r="A16470" s="182"/>
      <c r="Q16470" s="183"/>
      <c r="R16470" s="183"/>
      <c r="S16470" s="183"/>
      <c r="AJ16470" s="183"/>
      <c r="AK16470" s="183"/>
      <c r="AL16470" s="183"/>
    </row>
    <row r="16471" spans="1:38">
      <c r="A16471" s="182"/>
      <c r="Q16471" s="183"/>
      <c r="R16471" s="183"/>
      <c r="S16471" s="183"/>
      <c r="AJ16471" s="183"/>
      <c r="AK16471" s="183"/>
      <c r="AL16471" s="183"/>
    </row>
    <row r="16472" spans="1:38">
      <c r="A16472" s="182"/>
      <c r="Q16472" s="183"/>
      <c r="R16472" s="183"/>
      <c r="S16472" s="183"/>
      <c r="AJ16472" s="183"/>
      <c r="AK16472" s="183"/>
      <c r="AL16472" s="183"/>
    </row>
    <row r="16473" spans="1:38">
      <c r="A16473" s="182"/>
      <c r="Q16473" s="183"/>
      <c r="R16473" s="183"/>
      <c r="S16473" s="183"/>
      <c r="AJ16473" s="183"/>
    </row>
    <row r="16474" spans="1:38">
      <c r="A16474" s="182"/>
      <c r="Q16474" s="183"/>
      <c r="R16474" s="183"/>
      <c r="S16474" s="183"/>
    </row>
    <row r="16475" spans="1:38">
      <c r="A16475" s="182"/>
      <c r="Q16475" s="183"/>
      <c r="R16475" s="183"/>
      <c r="S16475" s="183"/>
    </row>
    <row r="16476" spans="1:38">
      <c r="A16476" s="182"/>
      <c r="Q16476" s="183"/>
      <c r="R16476" s="183"/>
      <c r="S16476" s="183"/>
    </row>
    <row r="16477" spans="1:38">
      <c r="A16477" s="182"/>
      <c r="Q16477" s="183"/>
      <c r="R16477" s="183"/>
      <c r="S16477" s="183"/>
    </row>
    <row r="16478" spans="1:38">
      <c r="A16478" s="182"/>
      <c r="Q16478" s="183"/>
      <c r="R16478" s="183"/>
      <c r="S16478" s="183"/>
    </row>
    <row r="16479" spans="1:38">
      <c r="A16479" s="182"/>
      <c r="Q16479" s="183"/>
      <c r="R16479" s="183"/>
      <c r="S16479" s="183"/>
    </row>
    <row r="16480" spans="1:38">
      <c r="A16480" s="182"/>
      <c r="Q16480" s="183"/>
      <c r="R16480" s="183"/>
      <c r="S16480" s="183"/>
    </row>
    <row r="16481" spans="1:38">
      <c r="A16481" s="182"/>
      <c r="Q16481" s="183"/>
      <c r="R16481" s="183"/>
      <c r="S16481" s="183"/>
      <c r="AK16481" s="183"/>
      <c r="AL16481" s="183"/>
    </row>
    <row r="16482" spans="1:38">
      <c r="A16482" s="182"/>
      <c r="Q16482" s="183"/>
      <c r="R16482" s="183"/>
      <c r="S16482" s="183"/>
      <c r="AJ16482" s="183"/>
      <c r="AK16482" s="183"/>
      <c r="AL16482" s="183"/>
    </row>
    <row r="16483" spans="1:38">
      <c r="A16483" s="182"/>
      <c r="Q16483" s="183"/>
      <c r="R16483" s="183"/>
      <c r="S16483" s="183"/>
      <c r="AJ16483" s="183"/>
      <c r="AK16483" s="183"/>
      <c r="AL16483" s="183"/>
    </row>
    <row r="16484" spans="1:38">
      <c r="A16484" s="182"/>
      <c r="Q16484" s="183"/>
      <c r="R16484" s="183"/>
      <c r="S16484" s="183"/>
      <c r="AJ16484" s="183"/>
      <c r="AK16484" s="183"/>
      <c r="AL16484" s="183"/>
    </row>
    <row r="16485" spans="1:38">
      <c r="A16485" s="182"/>
      <c r="Q16485" s="183"/>
      <c r="R16485" s="183"/>
      <c r="S16485" s="183"/>
      <c r="AJ16485" s="183"/>
      <c r="AK16485" s="183"/>
      <c r="AL16485" s="183"/>
    </row>
    <row r="16486" spans="1:38">
      <c r="A16486" s="182"/>
      <c r="Q16486" s="183"/>
      <c r="R16486" s="183"/>
      <c r="S16486" s="183"/>
      <c r="AJ16486" s="183"/>
      <c r="AK16486" s="183"/>
      <c r="AL16486" s="183"/>
    </row>
    <row r="16487" spans="1:38">
      <c r="A16487" s="182"/>
      <c r="Q16487" s="183"/>
      <c r="R16487" s="183"/>
      <c r="S16487" s="183"/>
      <c r="AJ16487" s="183"/>
      <c r="AK16487" s="183"/>
      <c r="AL16487" s="183"/>
    </row>
    <row r="16488" spans="1:38">
      <c r="A16488" s="182"/>
      <c r="Q16488" s="183"/>
      <c r="R16488" s="183"/>
      <c r="S16488" s="183"/>
      <c r="AJ16488" s="183"/>
      <c r="AK16488" s="183"/>
      <c r="AL16488" s="183"/>
    </row>
    <row r="16489" spans="1:38">
      <c r="A16489" s="182"/>
      <c r="Q16489" s="183"/>
      <c r="R16489" s="183"/>
      <c r="S16489" s="183"/>
      <c r="AJ16489" s="183"/>
    </row>
    <row r="16490" spans="1:38">
      <c r="A16490" s="182"/>
      <c r="Q16490" s="183"/>
      <c r="R16490" s="183"/>
      <c r="S16490" s="183"/>
    </row>
    <row r="16491" spans="1:38">
      <c r="A16491" s="182"/>
      <c r="Q16491" s="183"/>
      <c r="R16491" s="183"/>
      <c r="S16491" s="183"/>
    </row>
    <row r="16492" spans="1:38">
      <c r="A16492" s="182"/>
      <c r="Q16492" s="183"/>
      <c r="R16492" s="183"/>
      <c r="S16492" s="183"/>
    </row>
    <row r="16493" spans="1:38">
      <c r="A16493" s="182"/>
      <c r="Q16493" s="183"/>
      <c r="R16493" s="183"/>
      <c r="S16493" s="183"/>
    </row>
    <row r="16494" spans="1:38">
      <c r="A16494" s="182"/>
      <c r="Q16494" s="183"/>
      <c r="R16494" s="183"/>
      <c r="S16494" s="183"/>
    </row>
    <row r="16495" spans="1:38">
      <c r="A16495" s="182"/>
      <c r="Q16495" s="183"/>
      <c r="R16495" s="183"/>
      <c r="S16495" s="183"/>
    </row>
    <row r="16496" spans="1:38">
      <c r="A16496" s="182"/>
      <c r="Q16496" s="183"/>
      <c r="R16496" s="183"/>
      <c r="S16496" s="183"/>
    </row>
    <row r="16497" spans="1:38">
      <c r="A16497" s="182"/>
      <c r="Q16497" s="183"/>
      <c r="R16497" s="183"/>
      <c r="S16497" s="183"/>
      <c r="AK16497" s="183"/>
      <c r="AL16497" s="183"/>
    </row>
    <row r="16498" spans="1:38">
      <c r="A16498" s="182"/>
      <c r="Q16498" s="183"/>
      <c r="R16498" s="183"/>
      <c r="S16498" s="183"/>
      <c r="AJ16498" s="183"/>
      <c r="AK16498" s="183"/>
      <c r="AL16498" s="183"/>
    </row>
    <row r="16499" spans="1:38">
      <c r="A16499" s="182"/>
      <c r="Q16499" s="183"/>
      <c r="R16499" s="183"/>
      <c r="S16499" s="183"/>
      <c r="AJ16499" s="183"/>
      <c r="AK16499" s="183"/>
      <c r="AL16499" s="183"/>
    </row>
    <row r="16500" spans="1:38">
      <c r="A16500" s="182"/>
      <c r="Q16500" s="183"/>
      <c r="R16500" s="183"/>
      <c r="S16500" s="183"/>
      <c r="AJ16500" s="183"/>
      <c r="AK16500" s="183"/>
      <c r="AL16500" s="183"/>
    </row>
    <row r="16501" spans="1:38">
      <c r="A16501" s="182"/>
      <c r="Q16501" s="183"/>
      <c r="R16501" s="183"/>
      <c r="S16501" s="183"/>
      <c r="AJ16501" s="183"/>
    </row>
    <row r="16502" spans="1:38">
      <c r="A16502" s="182"/>
      <c r="Q16502" s="183"/>
      <c r="R16502" s="183"/>
      <c r="S16502" s="183"/>
    </row>
    <row r="16503" spans="1:38">
      <c r="A16503" s="182"/>
      <c r="Q16503" s="183"/>
      <c r="R16503" s="183"/>
      <c r="S16503" s="183"/>
    </row>
    <row r="16504" spans="1:38">
      <c r="A16504" s="182"/>
      <c r="Q16504" s="183"/>
      <c r="R16504" s="183"/>
      <c r="S16504" s="183"/>
    </row>
    <row r="16505" spans="1:38">
      <c r="A16505" s="182"/>
      <c r="Q16505" s="183"/>
      <c r="R16505" s="183"/>
      <c r="S16505" s="183"/>
      <c r="AK16505" s="183"/>
      <c r="AL16505" s="183"/>
    </row>
    <row r="16506" spans="1:38">
      <c r="A16506" s="182"/>
      <c r="Q16506" s="183"/>
      <c r="R16506" s="183"/>
      <c r="S16506" s="183"/>
      <c r="AJ16506" s="183"/>
      <c r="AK16506" s="183"/>
      <c r="AL16506" s="183"/>
    </row>
    <row r="16507" spans="1:38">
      <c r="A16507" s="182"/>
      <c r="Q16507" s="183"/>
      <c r="R16507" s="183"/>
      <c r="S16507" s="183"/>
      <c r="AJ16507" s="183"/>
      <c r="AK16507" s="183"/>
      <c r="AL16507" s="183"/>
    </row>
    <row r="16508" spans="1:38">
      <c r="A16508" s="182"/>
      <c r="Q16508" s="183"/>
      <c r="R16508" s="183"/>
      <c r="S16508" s="183"/>
      <c r="AJ16508" s="183"/>
      <c r="AK16508" s="183"/>
      <c r="AL16508" s="183"/>
    </row>
    <row r="16509" spans="1:38">
      <c r="A16509" s="182"/>
      <c r="Q16509" s="183"/>
      <c r="R16509" s="183"/>
      <c r="S16509" s="183"/>
      <c r="AJ16509" s="183"/>
      <c r="AK16509" s="183"/>
      <c r="AL16509" s="183"/>
    </row>
    <row r="16510" spans="1:38">
      <c r="A16510" s="182"/>
      <c r="Q16510" s="183"/>
      <c r="R16510" s="183"/>
      <c r="S16510" s="183"/>
      <c r="AJ16510" s="183"/>
      <c r="AK16510" s="183"/>
      <c r="AL16510" s="183"/>
    </row>
    <row r="16511" spans="1:38">
      <c r="A16511" s="182"/>
      <c r="Q16511" s="183"/>
      <c r="R16511" s="183"/>
      <c r="S16511" s="183"/>
      <c r="AJ16511" s="183"/>
      <c r="AK16511" s="183"/>
      <c r="AL16511" s="183"/>
    </row>
    <row r="16512" spans="1:38">
      <c r="A16512" s="182"/>
      <c r="Q16512" s="183"/>
      <c r="R16512" s="183"/>
      <c r="S16512" s="183"/>
      <c r="AJ16512" s="183"/>
      <c r="AK16512" s="183"/>
      <c r="AL16512" s="183"/>
    </row>
    <row r="16513" spans="1:38">
      <c r="A16513" s="182"/>
      <c r="Q16513" s="183"/>
      <c r="R16513" s="183"/>
      <c r="S16513" s="183"/>
      <c r="AJ16513" s="183"/>
      <c r="AK16513" s="183"/>
      <c r="AL16513" s="183"/>
    </row>
    <row r="16514" spans="1:38">
      <c r="A16514" s="182"/>
      <c r="Q16514" s="183"/>
      <c r="R16514" s="183"/>
      <c r="S16514" s="183"/>
      <c r="AJ16514" s="183"/>
      <c r="AK16514" s="183"/>
      <c r="AL16514" s="183"/>
    </row>
    <row r="16515" spans="1:38">
      <c r="A16515" s="182"/>
      <c r="Q16515" s="183"/>
      <c r="R16515" s="183"/>
      <c r="S16515" s="183"/>
      <c r="AJ16515" s="183"/>
      <c r="AK16515" s="183"/>
      <c r="AL16515" s="183"/>
    </row>
    <row r="16516" spans="1:38">
      <c r="A16516" s="182"/>
      <c r="Q16516" s="183"/>
      <c r="R16516" s="183"/>
      <c r="S16516" s="183"/>
      <c r="AJ16516" s="183"/>
      <c r="AK16516" s="183"/>
      <c r="AL16516" s="183"/>
    </row>
    <row r="16517" spans="1:38">
      <c r="A16517" s="182"/>
      <c r="Q16517" s="183"/>
      <c r="R16517" s="183"/>
      <c r="S16517" s="183"/>
      <c r="AJ16517" s="183"/>
    </row>
    <row r="16518" spans="1:38">
      <c r="A16518" s="182"/>
      <c r="Q16518" s="183"/>
      <c r="R16518" s="183"/>
      <c r="S16518" s="183"/>
    </row>
    <row r="16519" spans="1:38">
      <c r="A16519" s="182"/>
      <c r="Q16519" s="183"/>
      <c r="R16519" s="183"/>
      <c r="S16519" s="183"/>
    </row>
    <row r="16520" spans="1:38">
      <c r="A16520" s="182"/>
      <c r="Q16520" s="183"/>
      <c r="R16520" s="183"/>
      <c r="S16520" s="183"/>
    </row>
    <row r="16521" spans="1:38">
      <c r="A16521" s="182"/>
      <c r="Q16521" s="183"/>
      <c r="R16521" s="183"/>
      <c r="S16521" s="183"/>
      <c r="AK16521" s="183"/>
      <c r="AL16521" s="183"/>
    </row>
    <row r="16522" spans="1:38">
      <c r="A16522" s="182"/>
      <c r="Q16522" s="183"/>
      <c r="R16522" s="183"/>
      <c r="S16522" s="183"/>
      <c r="AJ16522" s="183"/>
      <c r="AK16522" s="183"/>
      <c r="AL16522" s="183"/>
    </row>
    <row r="16523" spans="1:38">
      <c r="A16523" s="182"/>
      <c r="Q16523" s="183"/>
      <c r="R16523" s="183"/>
      <c r="S16523" s="183"/>
      <c r="AJ16523" s="183"/>
      <c r="AK16523" s="183"/>
      <c r="AL16523" s="183"/>
    </row>
    <row r="16524" spans="1:38">
      <c r="A16524" s="182"/>
      <c r="Q16524" s="183"/>
      <c r="R16524" s="183"/>
      <c r="S16524" s="183"/>
      <c r="AJ16524" s="183"/>
      <c r="AK16524" s="183"/>
      <c r="AL16524" s="183"/>
    </row>
    <row r="16525" spans="1:38">
      <c r="A16525" s="182"/>
      <c r="Q16525" s="183"/>
      <c r="R16525" s="183"/>
      <c r="S16525" s="183"/>
      <c r="AJ16525" s="183"/>
      <c r="AK16525" s="183"/>
      <c r="AL16525" s="183"/>
    </row>
    <row r="16526" spans="1:38">
      <c r="A16526" s="182"/>
      <c r="Q16526" s="183"/>
      <c r="R16526" s="183"/>
      <c r="S16526" s="183"/>
      <c r="AJ16526" s="183"/>
      <c r="AK16526" s="183"/>
      <c r="AL16526" s="183"/>
    </row>
    <row r="16527" spans="1:38">
      <c r="A16527" s="182"/>
      <c r="Q16527" s="183"/>
      <c r="R16527" s="183"/>
      <c r="S16527" s="183"/>
      <c r="AJ16527" s="183"/>
      <c r="AK16527" s="183"/>
      <c r="AL16527" s="183"/>
    </row>
    <row r="16528" spans="1:38">
      <c r="A16528" s="182"/>
      <c r="Q16528" s="183"/>
      <c r="R16528" s="183"/>
      <c r="S16528" s="183"/>
      <c r="AJ16528" s="183"/>
      <c r="AK16528" s="183"/>
      <c r="AL16528" s="183"/>
    </row>
    <row r="16529" spans="1:36">
      <c r="A16529" s="182"/>
      <c r="Q16529" s="183"/>
      <c r="R16529" s="183"/>
      <c r="S16529" s="183"/>
      <c r="AJ16529" s="183"/>
    </row>
    <row r="16530" spans="1:36">
      <c r="A16530" s="182"/>
      <c r="Q16530" s="183"/>
      <c r="R16530" s="183"/>
      <c r="S16530" s="183"/>
    </row>
    <row r="16531" spans="1:36">
      <c r="A16531" s="182"/>
      <c r="Q16531" s="183"/>
      <c r="R16531" s="183"/>
      <c r="S16531" s="183"/>
    </row>
    <row r="16532" spans="1:36">
      <c r="A16532" s="182"/>
      <c r="Q16532" s="183"/>
      <c r="R16532" s="183"/>
      <c r="S16532" s="183"/>
    </row>
    <row r="16533" spans="1:36">
      <c r="A16533" s="182"/>
      <c r="Q16533" s="183"/>
      <c r="R16533" s="183"/>
      <c r="S16533" s="183"/>
    </row>
    <row r="16534" spans="1:36">
      <c r="A16534" s="182"/>
      <c r="Q16534" s="183"/>
      <c r="R16534" s="183"/>
      <c r="S16534" s="183"/>
    </row>
    <row r="16535" spans="1:36">
      <c r="A16535" s="182"/>
      <c r="Q16535" s="183"/>
      <c r="R16535" s="183"/>
      <c r="S16535" s="183"/>
    </row>
    <row r="16536" spans="1:36">
      <c r="A16536" s="182"/>
      <c r="Q16536" s="183"/>
      <c r="R16536" s="183"/>
      <c r="S16536" s="183"/>
    </row>
    <row r="16537" spans="1:36">
      <c r="A16537" s="182"/>
      <c r="Q16537" s="183"/>
      <c r="R16537" s="183"/>
      <c r="S16537" s="183"/>
    </row>
    <row r="16538" spans="1:36">
      <c r="A16538" s="182"/>
      <c r="Q16538" s="183"/>
      <c r="R16538" s="183"/>
      <c r="S16538" s="183"/>
    </row>
    <row r="16539" spans="1:36">
      <c r="A16539" s="182"/>
      <c r="Q16539" s="183"/>
      <c r="R16539" s="183"/>
      <c r="S16539" s="183"/>
    </row>
    <row r="16540" spans="1:36">
      <c r="A16540" s="182"/>
      <c r="Q16540" s="183"/>
      <c r="R16540" s="183"/>
      <c r="S16540" s="183"/>
    </row>
    <row r="16541" spans="1:36">
      <c r="A16541" s="182"/>
      <c r="Q16541" s="183"/>
      <c r="R16541" s="183"/>
      <c r="S16541" s="183"/>
    </row>
    <row r="16542" spans="1:36">
      <c r="A16542" s="182"/>
      <c r="Q16542" s="183"/>
      <c r="R16542" s="183"/>
      <c r="S16542" s="183"/>
    </row>
    <row r="16543" spans="1:36">
      <c r="A16543" s="182"/>
      <c r="Q16543" s="183"/>
      <c r="R16543" s="183"/>
      <c r="S16543" s="183"/>
    </row>
    <row r="16544" spans="1:36">
      <c r="A16544" s="182"/>
      <c r="Q16544" s="183"/>
      <c r="R16544" s="183"/>
      <c r="S16544" s="183"/>
    </row>
    <row r="16545" spans="1:38">
      <c r="A16545" s="182"/>
      <c r="Q16545" s="183"/>
      <c r="R16545" s="183"/>
      <c r="S16545" s="183"/>
    </row>
    <row r="16546" spans="1:38">
      <c r="A16546" s="182"/>
      <c r="Q16546" s="183"/>
      <c r="R16546" s="183"/>
      <c r="S16546" s="183"/>
    </row>
    <row r="16547" spans="1:38">
      <c r="A16547" s="182"/>
      <c r="Q16547" s="183"/>
      <c r="R16547" s="183"/>
      <c r="S16547" s="183"/>
    </row>
    <row r="16548" spans="1:38">
      <c r="A16548" s="182"/>
      <c r="Q16548" s="183"/>
      <c r="R16548" s="183"/>
      <c r="S16548" s="183"/>
    </row>
    <row r="16549" spans="1:38">
      <c r="A16549" s="182"/>
      <c r="Q16549" s="183"/>
      <c r="R16549" s="183"/>
      <c r="S16549" s="183"/>
    </row>
    <row r="16550" spans="1:38">
      <c r="A16550" s="182"/>
      <c r="Q16550" s="183"/>
      <c r="R16550" s="183"/>
      <c r="S16550" s="183"/>
    </row>
    <row r="16551" spans="1:38">
      <c r="A16551" s="182"/>
      <c r="Q16551" s="183"/>
      <c r="R16551" s="183"/>
      <c r="S16551" s="183"/>
    </row>
    <row r="16552" spans="1:38">
      <c r="A16552" s="182"/>
      <c r="Q16552" s="183"/>
      <c r="R16552" s="183"/>
      <c r="S16552" s="183"/>
    </row>
    <row r="16553" spans="1:38">
      <c r="A16553" s="182"/>
      <c r="Q16553" s="183"/>
      <c r="R16553" s="183"/>
      <c r="S16553" s="183"/>
      <c r="AK16553" s="183"/>
      <c r="AL16553" s="183"/>
    </row>
    <row r="16554" spans="1:38">
      <c r="A16554" s="182"/>
      <c r="Q16554" s="183"/>
      <c r="R16554" s="183"/>
      <c r="S16554" s="183"/>
      <c r="AJ16554" s="183"/>
      <c r="AK16554" s="183"/>
      <c r="AL16554" s="183"/>
    </row>
    <row r="16555" spans="1:38">
      <c r="A16555" s="182"/>
      <c r="Q16555" s="183"/>
      <c r="R16555" s="183"/>
      <c r="S16555" s="183"/>
      <c r="AJ16555" s="183"/>
      <c r="AK16555" s="183"/>
      <c r="AL16555" s="183"/>
    </row>
    <row r="16556" spans="1:38">
      <c r="A16556" s="182"/>
      <c r="Q16556" s="183"/>
      <c r="R16556" s="183"/>
      <c r="S16556" s="183"/>
      <c r="AJ16556" s="183"/>
      <c r="AK16556" s="183"/>
      <c r="AL16556" s="183"/>
    </row>
    <row r="16557" spans="1:38">
      <c r="A16557" s="182"/>
      <c r="Q16557" s="183"/>
      <c r="R16557" s="183"/>
      <c r="S16557" s="183"/>
      <c r="AJ16557" s="183"/>
    </row>
    <row r="16558" spans="1:38">
      <c r="A16558" s="182"/>
      <c r="Q16558" s="183"/>
      <c r="R16558" s="183"/>
      <c r="S16558" s="183"/>
    </row>
    <row r="16559" spans="1:38">
      <c r="A16559" s="182"/>
      <c r="Q16559" s="183"/>
      <c r="R16559" s="183"/>
      <c r="S16559" s="183"/>
    </row>
    <row r="16560" spans="1:38">
      <c r="A16560" s="182"/>
      <c r="Q16560" s="183"/>
      <c r="R16560" s="183"/>
      <c r="S16560" s="183"/>
    </row>
    <row r="16561" spans="1:38">
      <c r="A16561" s="182"/>
      <c r="Q16561" s="183"/>
      <c r="R16561" s="183"/>
      <c r="S16561" s="183"/>
    </row>
    <row r="16562" spans="1:38">
      <c r="A16562" s="182"/>
      <c r="Q16562" s="183"/>
      <c r="R16562" s="183"/>
      <c r="S16562" s="183"/>
    </row>
    <row r="16563" spans="1:38">
      <c r="A16563" s="182"/>
      <c r="Q16563" s="183"/>
      <c r="R16563" s="183"/>
      <c r="S16563" s="183"/>
    </row>
    <row r="16564" spans="1:38">
      <c r="A16564" s="182"/>
      <c r="Q16564" s="183"/>
      <c r="R16564" s="183"/>
      <c r="S16564" s="183"/>
    </row>
    <row r="16565" spans="1:38">
      <c r="A16565" s="182"/>
      <c r="Q16565" s="183"/>
      <c r="R16565" s="183"/>
      <c r="S16565" s="183"/>
    </row>
    <row r="16566" spans="1:38">
      <c r="A16566" s="182"/>
      <c r="Q16566" s="183"/>
      <c r="R16566" s="183"/>
      <c r="S16566" s="183"/>
    </row>
    <row r="16567" spans="1:38">
      <c r="A16567" s="182"/>
      <c r="Q16567" s="183"/>
      <c r="R16567" s="183"/>
      <c r="S16567" s="183"/>
    </row>
    <row r="16568" spans="1:38">
      <c r="A16568" s="182"/>
      <c r="Q16568" s="183"/>
      <c r="R16568" s="183"/>
      <c r="S16568" s="183"/>
    </row>
    <row r="16569" spans="1:38">
      <c r="A16569" s="182"/>
      <c r="Q16569" s="183"/>
      <c r="R16569" s="183"/>
      <c r="S16569" s="183"/>
    </row>
    <row r="16570" spans="1:38">
      <c r="A16570" s="182"/>
      <c r="Q16570" s="183"/>
      <c r="R16570" s="183"/>
      <c r="S16570" s="183"/>
    </row>
    <row r="16571" spans="1:38">
      <c r="A16571" s="182"/>
      <c r="Q16571" s="183"/>
      <c r="R16571" s="183"/>
      <c r="S16571" s="183"/>
    </row>
    <row r="16572" spans="1:38">
      <c r="A16572" s="182"/>
      <c r="Q16572" s="183"/>
      <c r="R16572" s="183"/>
      <c r="S16572" s="183"/>
    </row>
    <row r="16573" spans="1:38">
      <c r="A16573" s="182"/>
      <c r="Q16573" s="183"/>
      <c r="R16573" s="183"/>
      <c r="S16573" s="183"/>
      <c r="AK16573" s="183"/>
      <c r="AL16573" s="183"/>
    </row>
    <row r="16574" spans="1:38">
      <c r="A16574" s="182"/>
      <c r="Q16574" s="183"/>
      <c r="R16574" s="183"/>
      <c r="S16574" s="183"/>
      <c r="AJ16574" s="183"/>
      <c r="AK16574" s="183"/>
      <c r="AL16574" s="183"/>
    </row>
    <row r="16575" spans="1:38">
      <c r="A16575" s="182"/>
      <c r="Q16575" s="183"/>
      <c r="R16575" s="183"/>
      <c r="S16575" s="183"/>
      <c r="AJ16575" s="183"/>
      <c r="AK16575" s="183"/>
      <c r="AL16575" s="183"/>
    </row>
    <row r="16576" spans="1:38">
      <c r="A16576" s="182"/>
      <c r="Q16576" s="183"/>
      <c r="R16576" s="183"/>
      <c r="S16576" s="183"/>
      <c r="AJ16576" s="183"/>
      <c r="AK16576" s="183"/>
      <c r="AL16576" s="183"/>
    </row>
    <row r="16577" spans="1:36">
      <c r="A16577" s="182"/>
      <c r="Q16577" s="183"/>
      <c r="R16577" s="183"/>
      <c r="S16577" s="183"/>
      <c r="AJ16577" s="183"/>
    </row>
    <row r="16578" spans="1:36">
      <c r="A16578" s="182"/>
      <c r="Q16578" s="183"/>
      <c r="R16578" s="183"/>
      <c r="S16578" s="183"/>
    </row>
    <row r="16579" spans="1:36">
      <c r="A16579" s="182"/>
      <c r="Q16579" s="183"/>
      <c r="R16579" s="183"/>
      <c r="S16579" s="183"/>
    </row>
    <row r="16580" spans="1:36">
      <c r="A16580" s="182"/>
      <c r="Q16580" s="183"/>
      <c r="R16580" s="183"/>
      <c r="S16580" s="183"/>
    </row>
    <row r="16581" spans="1:36">
      <c r="A16581" s="182"/>
      <c r="Q16581" s="183"/>
      <c r="R16581" s="183"/>
      <c r="S16581" s="183"/>
    </row>
    <row r="16582" spans="1:36">
      <c r="A16582" s="182"/>
      <c r="Q16582" s="183"/>
      <c r="R16582" s="183"/>
      <c r="S16582" s="183"/>
    </row>
    <row r="16583" spans="1:36">
      <c r="A16583" s="182"/>
      <c r="Q16583" s="183"/>
      <c r="R16583" s="183"/>
      <c r="S16583" s="183"/>
    </row>
    <row r="16584" spans="1:36">
      <c r="A16584" s="182"/>
      <c r="Q16584" s="183"/>
      <c r="R16584" s="183"/>
      <c r="S16584" s="183"/>
    </row>
    <row r="16585" spans="1:36">
      <c r="A16585" s="182"/>
      <c r="Q16585" s="183"/>
      <c r="R16585" s="183"/>
      <c r="S16585" s="183"/>
    </row>
    <row r="16586" spans="1:36">
      <c r="A16586" s="182"/>
      <c r="Q16586" s="183"/>
      <c r="R16586" s="183"/>
      <c r="S16586" s="183"/>
    </row>
    <row r="16587" spans="1:36">
      <c r="A16587" s="182"/>
      <c r="Q16587" s="183"/>
      <c r="R16587" s="183"/>
      <c r="S16587" s="183"/>
    </row>
    <row r="16588" spans="1:36">
      <c r="A16588" s="182"/>
      <c r="Q16588" s="183"/>
      <c r="R16588" s="183"/>
      <c r="S16588" s="183"/>
    </row>
    <row r="16589" spans="1:36">
      <c r="A16589" s="182"/>
      <c r="Q16589" s="183"/>
      <c r="R16589" s="183"/>
      <c r="S16589" s="183"/>
    </row>
    <row r="16590" spans="1:36">
      <c r="A16590" s="182"/>
      <c r="Q16590" s="183"/>
      <c r="R16590" s="183"/>
      <c r="S16590" s="183"/>
    </row>
    <row r="16591" spans="1:36">
      <c r="A16591" s="182"/>
      <c r="Q16591" s="183"/>
      <c r="R16591" s="183"/>
      <c r="S16591" s="183"/>
    </row>
    <row r="16592" spans="1:36">
      <c r="A16592" s="182"/>
      <c r="Q16592" s="183"/>
      <c r="R16592" s="183"/>
      <c r="S16592" s="183"/>
    </row>
    <row r="16593" spans="1:19">
      <c r="A16593" s="182"/>
      <c r="Q16593" s="183"/>
      <c r="R16593" s="183"/>
      <c r="S16593" s="183"/>
    </row>
    <row r="16594" spans="1:19">
      <c r="A16594" s="182"/>
      <c r="Q16594" s="183"/>
      <c r="R16594" s="183"/>
      <c r="S16594" s="183"/>
    </row>
    <row r="16595" spans="1:19">
      <c r="A16595" s="182"/>
      <c r="Q16595" s="183"/>
      <c r="R16595" s="183"/>
      <c r="S16595" s="183"/>
    </row>
    <row r="16596" spans="1:19">
      <c r="A16596" s="182"/>
      <c r="Q16596" s="183"/>
      <c r="R16596" s="183"/>
      <c r="S16596" s="183"/>
    </row>
    <row r="16597" spans="1:19">
      <c r="A16597" s="182"/>
      <c r="Q16597" s="183"/>
      <c r="R16597" s="183"/>
      <c r="S16597" s="183"/>
    </row>
    <row r="16598" spans="1:19">
      <c r="A16598" s="182"/>
      <c r="Q16598" s="183"/>
      <c r="R16598" s="183"/>
      <c r="S16598" s="183"/>
    </row>
    <row r="16599" spans="1:19">
      <c r="A16599" s="182"/>
      <c r="Q16599" s="183"/>
      <c r="R16599" s="183"/>
      <c r="S16599" s="183"/>
    </row>
    <row r="16600" spans="1:19">
      <c r="A16600" s="182"/>
      <c r="Q16600" s="183"/>
      <c r="R16600" s="183"/>
      <c r="S16600" s="183"/>
    </row>
    <row r="16601" spans="1:19">
      <c r="A16601" s="182"/>
      <c r="Q16601" s="183"/>
      <c r="R16601" s="183"/>
      <c r="S16601" s="183"/>
    </row>
    <row r="16602" spans="1:19">
      <c r="A16602" s="182"/>
      <c r="Q16602" s="183"/>
      <c r="R16602" s="183"/>
      <c r="S16602" s="183"/>
    </row>
    <row r="16603" spans="1:19">
      <c r="A16603" s="182"/>
      <c r="Q16603" s="183"/>
      <c r="R16603" s="183"/>
      <c r="S16603" s="183"/>
    </row>
    <row r="16604" spans="1:19">
      <c r="A16604" s="182"/>
      <c r="Q16604" s="183"/>
      <c r="R16604" s="183"/>
      <c r="S16604" s="183"/>
    </row>
    <row r="16605" spans="1:19">
      <c r="A16605" s="182"/>
      <c r="Q16605" s="183"/>
      <c r="R16605" s="183"/>
      <c r="S16605" s="183"/>
    </row>
    <row r="16606" spans="1:19">
      <c r="A16606" s="182"/>
      <c r="Q16606" s="183"/>
      <c r="R16606" s="183"/>
      <c r="S16606" s="183"/>
    </row>
    <row r="16607" spans="1:19">
      <c r="A16607" s="182"/>
      <c r="Q16607" s="183"/>
      <c r="R16607" s="183"/>
      <c r="S16607" s="183"/>
    </row>
    <row r="16608" spans="1:19">
      <c r="A16608" s="182"/>
      <c r="Q16608" s="183"/>
      <c r="R16608" s="183"/>
      <c r="S16608" s="183"/>
    </row>
    <row r="16609" spans="1:38">
      <c r="A16609" s="182"/>
      <c r="Q16609" s="183"/>
      <c r="R16609" s="183"/>
      <c r="S16609" s="183"/>
      <c r="AK16609" s="183"/>
      <c r="AL16609" s="183"/>
    </row>
    <row r="16610" spans="1:38">
      <c r="A16610" s="182"/>
      <c r="Q16610" s="183"/>
      <c r="R16610" s="183"/>
      <c r="S16610" s="183"/>
      <c r="AJ16610" s="183"/>
      <c r="AK16610" s="183"/>
      <c r="AL16610" s="183"/>
    </row>
    <row r="16611" spans="1:38">
      <c r="A16611" s="182"/>
      <c r="Q16611" s="183"/>
      <c r="R16611" s="183"/>
      <c r="S16611" s="183"/>
      <c r="AJ16611" s="183"/>
      <c r="AK16611" s="183"/>
      <c r="AL16611" s="183"/>
    </row>
    <row r="16612" spans="1:38">
      <c r="A16612" s="182"/>
      <c r="Q16612" s="183"/>
      <c r="R16612" s="183"/>
      <c r="S16612" s="183"/>
      <c r="AJ16612" s="183"/>
      <c r="AK16612" s="183"/>
      <c r="AL16612" s="183"/>
    </row>
    <row r="16613" spans="1:38">
      <c r="A16613" s="182"/>
      <c r="Q16613" s="183"/>
      <c r="R16613" s="183"/>
      <c r="S16613" s="183"/>
      <c r="AJ16613" s="183"/>
    </row>
    <row r="16614" spans="1:38">
      <c r="A16614" s="182"/>
      <c r="Q16614" s="183"/>
      <c r="R16614" s="183"/>
      <c r="S16614" s="183"/>
    </row>
    <row r="16615" spans="1:38">
      <c r="A16615" s="182"/>
      <c r="Q16615" s="183"/>
      <c r="R16615" s="183"/>
      <c r="S16615" s="183"/>
    </row>
    <row r="16616" spans="1:38">
      <c r="A16616" s="182"/>
      <c r="Q16616" s="183"/>
      <c r="R16616" s="183"/>
      <c r="S16616" s="183"/>
    </row>
    <row r="16617" spans="1:38">
      <c r="A16617" s="182"/>
      <c r="Q16617" s="183"/>
      <c r="R16617" s="183"/>
      <c r="S16617" s="183"/>
      <c r="AK16617" s="183"/>
      <c r="AL16617" s="183"/>
    </row>
    <row r="16618" spans="1:38">
      <c r="A16618" s="182"/>
      <c r="Q16618" s="183"/>
      <c r="R16618" s="183"/>
      <c r="S16618" s="183"/>
      <c r="AJ16618" s="183"/>
      <c r="AK16618" s="183"/>
      <c r="AL16618" s="183"/>
    </row>
    <row r="16619" spans="1:38">
      <c r="A16619" s="182"/>
      <c r="Q16619" s="183"/>
      <c r="R16619" s="183"/>
      <c r="S16619" s="183"/>
      <c r="AJ16619" s="183"/>
      <c r="AK16619" s="183"/>
      <c r="AL16619" s="183"/>
    </row>
    <row r="16620" spans="1:38">
      <c r="A16620" s="182"/>
      <c r="Q16620" s="183"/>
      <c r="R16620" s="183"/>
      <c r="S16620" s="183"/>
      <c r="AJ16620" s="183"/>
      <c r="AK16620" s="183"/>
      <c r="AL16620" s="183"/>
    </row>
    <row r="16621" spans="1:38">
      <c r="A16621" s="182"/>
      <c r="Q16621" s="183"/>
      <c r="R16621" s="183"/>
      <c r="S16621" s="183"/>
      <c r="AJ16621" s="183"/>
    </row>
    <row r="16622" spans="1:38">
      <c r="A16622" s="182"/>
      <c r="Q16622" s="183"/>
      <c r="R16622" s="183"/>
      <c r="S16622" s="183"/>
    </row>
    <row r="16623" spans="1:38">
      <c r="A16623" s="182"/>
      <c r="Q16623" s="183"/>
      <c r="R16623" s="183"/>
      <c r="S16623" s="183"/>
    </row>
    <row r="16624" spans="1:38">
      <c r="A16624" s="182"/>
      <c r="Q16624" s="183"/>
      <c r="R16624" s="183"/>
      <c r="S16624" s="183"/>
    </row>
    <row r="16625" spans="1:38">
      <c r="A16625" s="182"/>
      <c r="Q16625" s="183"/>
      <c r="R16625" s="183"/>
      <c r="S16625" s="183"/>
    </row>
    <row r="16626" spans="1:38">
      <c r="A16626" s="182"/>
      <c r="Q16626" s="183"/>
      <c r="R16626" s="183"/>
      <c r="S16626" s="183"/>
    </row>
    <row r="16627" spans="1:38">
      <c r="A16627" s="182"/>
      <c r="Q16627" s="183"/>
      <c r="R16627" s="183"/>
      <c r="S16627" s="183"/>
    </row>
    <row r="16628" spans="1:38">
      <c r="A16628" s="182"/>
      <c r="Q16628" s="183"/>
      <c r="R16628" s="183"/>
      <c r="S16628" s="183"/>
    </row>
    <row r="16629" spans="1:38">
      <c r="A16629" s="182"/>
      <c r="Q16629" s="183"/>
      <c r="R16629" s="183"/>
      <c r="S16629" s="183"/>
    </row>
    <row r="16630" spans="1:38">
      <c r="A16630" s="182"/>
      <c r="Q16630" s="183"/>
      <c r="R16630" s="183"/>
      <c r="S16630" s="183"/>
    </row>
    <row r="16631" spans="1:38">
      <c r="A16631" s="182"/>
      <c r="Q16631" s="183"/>
      <c r="R16631" s="183"/>
      <c r="S16631" s="183"/>
    </row>
    <row r="16632" spans="1:38">
      <c r="A16632" s="182"/>
      <c r="Q16632" s="183"/>
      <c r="R16632" s="183"/>
      <c r="S16632" s="183"/>
    </row>
    <row r="16633" spans="1:38">
      <c r="A16633" s="182"/>
      <c r="Q16633" s="183"/>
      <c r="R16633" s="183"/>
      <c r="S16633" s="183"/>
      <c r="AK16633" s="183"/>
      <c r="AL16633" s="183"/>
    </row>
    <row r="16634" spans="1:38">
      <c r="A16634" s="182"/>
      <c r="Q16634" s="183"/>
      <c r="R16634" s="183"/>
      <c r="S16634" s="183"/>
      <c r="AJ16634" s="183"/>
      <c r="AK16634" s="183"/>
      <c r="AL16634" s="183"/>
    </row>
    <row r="16635" spans="1:38">
      <c r="A16635" s="182"/>
      <c r="Q16635" s="183"/>
      <c r="R16635" s="183"/>
      <c r="S16635" s="183"/>
      <c r="AJ16635" s="183"/>
      <c r="AK16635" s="183"/>
      <c r="AL16635" s="183"/>
    </row>
    <row r="16636" spans="1:38">
      <c r="A16636" s="182"/>
      <c r="Q16636" s="183"/>
      <c r="R16636" s="183"/>
      <c r="S16636" s="183"/>
      <c r="AJ16636" s="183"/>
      <c r="AK16636" s="183"/>
      <c r="AL16636" s="183"/>
    </row>
    <row r="16637" spans="1:38">
      <c r="A16637" s="182"/>
      <c r="Q16637" s="183"/>
      <c r="R16637" s="183"/>
      <c r="S16637" s="183"/>
      <c r="AJ16637" s="183"/>
    </row>
    <row r="16638" spans="1:38">
      <c r="A16638" s="182"/>
      <c r="Q16638" s="183"/>
      <c r="R16638" s="183"/>
      <c r="S16638" s="183"/>
    </row>
    <row r="16639" spans="1:38">
      <c r="A16639" s="182"/>
      <c r="Q16639" s="183"/>
      <c r="R16639" s="183"/>
      <c r="S16639" s="183"/>
    </row>
    <row r="16640" spans="1:38">
      <c r="A16640" s="182"/>
      <c r="Q16640" s="183"/>
      <c r="R16640" s="183"/>
      <c r="S16640" s="183"/>
    </row>
    <row r="16641" spans="1:19">
      <c r="A16641" s="182"/>
      <c r="Q16641" s="183"/>
      <c r="R16641" s="183"/>
      <c r="S16641" s="183"/>
    </row>
    <row r="16642" spans="1:19">
      <c r="A16642" s="182"/>
      <c r="Q16642" s="183"/>
      <c r="R16642" s="183"/>
      <c r="S16642" s="183"/>
    </row>
    <row r="16643" spans="1:19">
      <c r="A16643" s="182"/>
      <c r="Q16643" s="183"/>
      <c r="R16643" s="183"/>
      <c r="S16643" s="183"/>
    </row>
    <row r="16644" spans="1:19">
      <c r="A16644" s="182"/>
      <c r="Q16644" s="183"/>
      <c r="R16644" s="183"/>
      <c r="S16644" s="183"/>
    </row>
    <row r="16645" spans="1:19">
      <c r="A16645" s="182"/>
      <c r="Q16645" s="183"/>
      <c r="R16645" s="183"/>
      <c r="S16645" s="183"/>
    </row>
    <row r="16646" spans="1:19">
      <c r="A16646" s="182"/>
      <c r="Q16646" s="183"/>
      <c r="R16646" s="183"/>
      <c r="S16646" s="183"/>
    </row>
    <row r="16647" spans="1:19">
      <c r="A16647" s="182"/>
      <c r="Q16647" s="183"/>
      <c r="R16647" s="183"/>
      <c r="S16647" s="183"/>
    </row>
    <row r="16648" spans="1:19">
      <c r="A16648" s="182"/>
      <c r="Q16648" s="183"/>
      <c r="R16648" s="183"/>
      <c r="S16648" s="183"/>
    </row>
    <row r="16649" spans="1:19">
      <c r="A16649" s="182"/>
      <c r="Q16649" s="183"/>
      <c r="R16649" s="183"/>
      <c r="S16649" s="183"/>
    </row>
    <row r="16650" spans="1:19">
      <c r="A16650" s="182"/>
      <c r="Q16650" s="183"/>
      <c r="R16650" s="183"/>
      <c r="S16650" s="183"/>
    </row>
    <row r="16651" spans="1:19">
      <c r="A16651" s="182"/>
      <c r="Q16651" s="183"/>
      <c r="R16651" s="183"/>
      <c r="S16651" s="183"/>
    </row>
    <row r="16652" spans="1:19">
      <c r="A16652" s="182"/>
      <c r="Q16652" s="183"/>
      <c r="R16652" s="183"/>
      <c r="S16652" s="183"/>
    </row>
    <row r="16653" spans="1:19">
      <c r="A16653" s="182"/>
      <c r="Q16653" s="183"/>
      <c r="R16653" s="183"/>
      <c r="S16653" s="183"/>
    </row>
    <row r="16654" spans="1:19">
      <c r="A16654" s="182"/>
      <c r="Q16654" s="183"/>
      <c r="R16654" s="183"/>
      <c r="S16654" s="183"/>
    </row>
    <row r="16655" spans="1:19">
      <c r="A16655" s="182"/>
      <c r="Q16655" s="183"/>
      <c r="R16655" s="183"/>
      <c r="S16655" s="183"/>
    </row>
    <row r="16656" spans="1:19">
      <c r="A16656" s="182"/>
      <c r="Q16656" s="183"/>
      <c r="R16656" s="183"/>
      <c r="S16656" s="183"/>
    </row>
    <row r="16657" spans="1:38">
      <c r="A16657" s="182"/>
      <c r="Q16657" s="183"/>
      <c r="R16657" s="183"/>
      <c r="S16657" s="183"/>
    </row>
    <row r="16658" spans="1:38">
      <c r="A16658" s="182"/>
      <c r="Q16658" s="183"/>
      <c r="R16658" s="183"/>
      <c r="S16658" s="183"/>
    </row>
    <row r="16659" spans="1:38">
      <c r="A16659" s="182"/>
      <c r="Q16659" s="183"/>
      <c r="R16659" s="183"/>
      <c r="S16659" s="183"/>
    </row>
    <row r="16660" spans="1:38">
      <c r="A16660" s="182"/>
      <c r="Q16660" s="183"/>
      <c r="R16660" s="183"/>
      <c r="S16660" s="183"/>
    </row>
    <row r="16661" spans="1:38">
      <c r="A16661" s="182"/>
      <c r="Q16661" s="183"/>
      <c r="R16661" s="183"/>
      <c r="S16661" s="183"/>
      <c r="AK16661" s="183"/>
      <c r="AL16661" s="183"/>
    </row>
    <row r="16662" spans="1:38">
      <c r="A16662" s="182"/>
      <c r="Q16662" s="183"/>
      <c r="R16662" s="183"/>
      <c r="S16662" s="183"/>
      <c r="AJ16662" s="183"/>
      <c r="AK16662" s="183"/>
      <c r="AL16662" s="183"/>
    </row>
    <row r="16663" spans="1:38">
      <c r="A16663" s="182"/>
      <c r="Q16663" s="183"/>
      <c r="R16663" s="183"/>
      <c r="S16663" s="183"/>
      <c r="AJ16663" s="183"/>
      <c r="AK16663" s="183"/>
      <c r="AL16663" s="183"/>
    </row>
    <row r="16664" spans="1:38">
      <c r="A16664" s="182"/>
      <c r="Q16664" s="183"/>
      <c r="R16664" s="183"/>
      <c r="S16664" s="183"/>
      <c r="AJ16664" s="183"/>
      <c r="AK16664" s="183"/>
      <c r="AL16664" s="183"/>
    </row>
    <row r="16665" spans="1:38">
      <c r="A16665" s="182"/>
      <c r="Q16665" s="183"/>
      <c r="R16665" s="183"/>
      <c r="S16665" s="183"/>
      <c r="AJ16665" s="183"/>
    </row>
    <row r="16666" spans="1:38">
      <c r="A16666" s="182"/>
      <c r="Q16666" s="183"/>
      <c r="R16666" s="183"/>
      <c r="S16666" s="183"/>
    </row>
    <row r="16667" spans="1:38">
      <c r="A16667" s="182"/>
      <c r="Q16667" s="183"/>
      <c r="R16667" s="183"/>
      <c r="S16667" s="183"/>
    </row>
    <row r="16668" spans="1:38">
      <c r="A16668" s="182"/>
      <c r="Q16668" s="183"/>
      <c r="R16668" s="183"/>
      <c r="S16668" s="183"/>
    </row>
    <row r="16669" spans="1:38">
      <c r="A16669" s="182"/>
      <c r="Q16669" s="183"/>
      <c r="R16669" s="183"/>
      <c r="S16669" s="183"/>
    </row>
    <row r="16670" spans="1:38">
      <c r="A16670" s="182"/>
      <c r="Q16670" s="183"/>
      <c r="R16670" s="183"/>
      <c r="S16670" s="183"/>
    </row>
    <row r="16671" spans="1:38">
      <c r="A16671" s="182"/>
      <c r="Q16671" s="183"/>
      <c r="R16671" s="183"/>
      <c r="S16671" s="183"/>
    </row>
    <row r="16672" spans="1:38">
      <c r="A16672" s="182"/>
      <c r="Q16672" s="183"/>
      <c r="R16672" s="183"/>
      <c r="S16672" s="183"/>
    </row>
    <row r="16673" spans="1:19">
      <c r="A16673" s="182"/>
      <c r="Q16673" s="183"/>
      <c r="R16673" s="183"/>
      <c r="S16673" s="183"/>
    </row>
    <row r="16674" spans="1:19">
      <c r="A16674" s="182"/>
      <c r="Q16674" s="183"/>
      <c r="R16674" s="183"/>
      <c r="S16674" s="183"/>
    </row>
    <row r="16675" spans="1:19">
      <c r="A16675" s="182"/>
      <c r="Q16675" s="183"/>
      <c r="R16675" s="183"/>
      <c r="S16675" s="183"/>
    </row>
    <row r="16676" spans="1:19">
      <c r="A16676" s="182"/>
      <c r="Q16676" s="183"/>
      <c r="R16676" s="183"/>
      <c r="S16676" s="183"/>
    </row>
    <row r="16677" spans="1:19">
      <c r="A16677" s="182"/>
      <c r="Q16677" s="183"/>
      <c r="R16677" s="183"/>
      <c r="S16677" s="183"/>
    </row>
    <row r="16678" spans="1:19">
      <c r="A16678" s="182"/>
      <c r="Q16678" s="183"/>
      <c r="R16678" s="183"/>
      <c r="S16678" s="183"/>
    </row>
    <row r="16679" spans="1:19">
      <c r="A16679" s="182"/>
      <c r="Q16679" s="183"/>
      <c r="R16679" s="183"/>
      <c r="S16679" s="183"/>
    </row>
    <row r="16680" spans="1:19">
      <c r="A16680" s="182"/>
      <c r="Q16680" s="183"/>
      <c r="R16680" s="183"/>
      <c r="S16680" s="183"/>
    </row>
    <row r="16681" spans="1:19">
      <c r="A16681" s="182"/>
      <c r="Q16681" s="183"/>
      <c r="R16681" s="183"/>
      <c r="S16681" s="183"/>
    </row>
    <row r="16682" spans="1:19">
      <c r="A16682" s="182"/>
      <c r="Q16682" s="183"/>
      <c r="R16682" s="183"/>
      <c r="S16682" s="183"/>
    </row>
    <row r="16683" spans="1:19">
      <c r="A16683" s="182"/>
      <c r="Q16683" s="183"/>
      <c r="R16683" s="183"/>
      <c r="S16683" s="183"/>
    </row>
    <row r="16684" spans="1:19">
      <c r="A16684" s="182"/>
      <c r="Q16684" s="183"/>
      <c r="R16684" s="183"/>
      <c r="S16684" s="183"/>
    </row>
    <row r="16685" spans="1:19">
      <c r="A16685" s="182"/>
      <c r="Q16685" s="183"/>
      <c r="R16685" s="183"/>
      <c r="S16685" s="183"/>
    </row>
    <row r="16686" spans="1:19">
      <c r="A16686" s="182"/>
      <c r="Q16686" s="183"/>
      <c r="R16686" s="183"/>
      <c r="S16686" s="183"/>
    </row>
    <row r="16687" spans="1:19">
      <c r="A16687" s="182"/>
      <c r="Q16687" s="183"/>
      <c r="R16687" s="183"/>
      <c r="S16687" s="183"/>
    </row>
    <row r="16688" spans="1:19">
      <c r="A16688" s="182"/>
      <c r="Q16688" s="183"/>
      <c r="R16688" s="183"/>
      <c r="S16688" s="183"/>
    </row>
    <row r="16689" spans="1:38">
      <c r="A16689" s="182"/>
      <c r="Q16689" s="183"/>
      <c r="R16689" s="183"/>
      <c r="S16689" s="183"/>
      <c r="AK16689" s="183"/>
      <c r="AL16689" s="183"/>
    </row>
    <row r="16690" spans="1:38">
      <c r="A16690" s="182"/>
      <c r="Q16690" s="183"/>
      <c r="R16690" s="183"/>
      <c r="S16690" s="183"/>
      <c r="AJ16690" s="183"/>
      <c r="AK16690" s="183"/>
      <c r="AL16690" s="183"/>
    </row>
    <row r="16691" spans="1:38">
      <c r="A16691" s="182"/>
      <c r="Q16691" s="183"/>
      <c r="R16691" s="183"/>
      <c r="S16691" s="183"/>
      <c r="AJ16691" s="183"/>
      <c r="AK16691" s="183"/>
      <c r="AL16691" s="183"/>
    </row>
    <row r="16692" spans="1:38">
      <c r="A16692" s="182"/>
      <c r="Q16692" s="183"/>
      <c r="R16692" s="183"/>
      <c r="S16692" s="183"/>
      <c r="AJ16692" s="183"/>
      <c r="AK16692" s="183"/>
      <c r="AL16692" s="183"/>
    </row>
    <row r="16693" spans="1:38">
      <c r="A16693" s="182"/>
      <c r="Q16693" s="183"/>
      <c r="R16693" s="183"/>
      <c r="S16693" s="183"/>
      <c r="AJ16693" s="183"/>
    </row>
    <row r="16694" spans="1:38">
      <c r="A16694" s="182"/>
      <c r="N16694" s="183"/>
      <c r="O16694" s="183"/>
      <c r="Q16694" s="183"/>
      <c r="R16694" s="183"/>
      <c r="S16694" s="183"/>
    </row>
    <row r="16695" spans="1:38">
      <c r="A16695" s="182"/>
      <c r="M16695" s="183"/>
      <c r="Q16695" s="183"/>
      <c r="R16695" s="183"/>
      <c r="S16695" s="183"/>
    </row>
    <row r="16696" spans="1:38">
      <c r="A16696" s="182"/>
      <c r="Q16696" s="183"/>
      <c r="R16696" s="183"/>
      <c r="S16696" s="183"/>
    </row>
    <row r="16697" spans="1:38">
      <c r="A16697" s="182"/>
      <c r="Q16697" s="183"/>
      <c r="R16697" s="183"/>
      <c r="S16697" s="183"/>
    </row>
    <row r="16698" spans="1:38">
      <c r="A16698" s="182"/>
      <c r="Q16698" s="183"/>
      <c r="R16698" s="183"/>
      <c r="S16698" s="183"/>
    </row>
    <row r="16699" spans="1:38">
      <c r="A16699" s="182"/>
      <c r="Q16699" s="183"/>
      <c r="R16699" s="183"/>
      <c r="S16699" s="183"/>
    </row>
    <row r="16700" spans="1:38">
      <c r="A16700" s="182"/>
      <c r="Q16700" s="183"/>
      <c r="R16700" s="183"/>
      <c r="S16700" s="183"/>
    </row>
    <row r="16701" spans="1:38">
      <c r="A16701" s="182"/>
      <c r="Q16701" s="183"/>
      <c r="R16701" s="183"/>
      <c r="S16701" s="183"/>
    </row>
    <row r="16702" spans="1:38">
      <c r="A16702" s="182"/>
      <c r="Q16702" s="183"/>
      <c r="R16702" s="183"/>
      <c r="S16702" s="183"/>
    </row>
    <row r="16703" spans="1:38">
      <c r="A16703" s="182"/>
      <c r="Q16703" s="183"/>
      <c r="R16703" s="183"/>
      <c r="S16703" s="183"/>
    </row>
    <row r="16704" spans="1:38">
      <c r="A16704" s="182"/>
      <c r="Q16704" s="183"/>
      <c r="R16704" s="183"/>
      <c r="S16704" s="183"/>
    </row>
    <row r="16705" spans="1:38">
      <c r="A16705" s="182"/>
      <c r="Q16705" s="183"/>
      <c r="R16705" s="183"/>
      <c r="S16705" s="183"/>
      <c r="AK16705" s="183"/>
      <c r="AL16705" s="183"/>
    </row>
    <row r="16706" spans="1:38">
      <c r="A16706" s="182"/>
      <c r="Q16706" s="183"/>
      <c r="R16706" s="183"/>
      <c r="S16706" s="183"/>
      <c r="AJ16706" s="183"/>
      <c r="AK16706" s="183"/>
      <c r="AL16706" s="183"/>
    </row>
    <row r="16707" spans="1:38">
      <c r="A16707" s="182"/>
      <c r="Q16707" s="183"/>
      <c r="R16707" s="183"/>
      <c r="S16707" s="183"/>
      <c r="AJ16707" s="183"/>
      <c r="AK16707" s="183"/>
      <c r="AL16707" s="183"/>
    </row>
    <row r="16708" spans="1:38">
      <c r="A16708" s="182"/>
      <c r="Q16708" s="183"/>
      <c r="R16708" s="183"/>
      <c r="S16708" s="183"/>
      <c r="AJ16708" s="183"/>
      <c r="AK16708" s="183"/>
      <c r="AL16708" s="183"/>
    </row>
    <row r="16709" spans="1:38">
      <c r="A16709" s="182"/>
      <c r="Q16709" s="183"/>
      <c r="R16709" s="183"/>
      <c r="S16709" s="183"/>
      <c r="AJ16709" s="183"/>
      <c r="AK16709" s="183"/>
      <c r="AL16709" s="183"/>
    </row>
    <row r="16710" spans="1:38">
      <c r="A16710" s="182"/>
      <c r="Q16710" s="183"/>
      <c r="R16710" s="183"/>
      <c r="S16710" s="183"/>
      <c r="AJ16710" s="183"/>
      <c r="AK16710" s="183"/>
      <c r="AL16710" s="183"/>
    </row>
    <row r="16711" spans="1:38">
      <c r="A16711" s="182"/>
      <c r="Q16711" s="183"/>
      <c r="R16711" s="183"/>
      <c r="S16711" s="183"/>
      <c r="AJ16711" s="183"/>
      <c r="AK16711" s="183"/>
      <c r="AL16711" s="183"/>
    </row>
    <row r="16712" spans="1:38">
      <c r="A16712" s="182"/>
      <c r="Q16712" s="183"/>
      <c r="R16712" s="183"/>
      <c r="S16712" s="183"/>
      <c r="AJ16712" s="183"/>
      <c r="AK16712" s="183"/>
      <c r="AL16712" s="183"/>
    </row>
    <row r="16713" spans="1:38">
      <c r="A16713" s="182"/>
      <c r="Q16713" s="183"/>
      <c r="R16713" s="183"/>
      <c r="S16713" s="183"/>
      <c r="AJ16713" s="183"/>
    </row>
    <row r="16714" spans="1:38">
      <c r="A16714" s="182"/>
      <c r="Q16714" s="183"/>
      <c r="R16714" s="183"/>
      <c r="S16714" s="183"/>
    </row>
    <row r="16715" spans="1:38">
      <c r="A16715" s="182"/>
      <c r="Q16715" s="183"/>
      <c r="R16715" s="183"/>
      <c r="S16715" s="183"/>
    </row>
    <row r="16716" spans="1:38">
      <c r="A16716" s="182"/>
      <c r="Q16716" s="183"/>
      <c r="R16716" s="183"/>
      <c r="S16716" s="183"/>
    </row>
    <row r="16717" spans="1:38">
      <c r="A16717" s="182"/>
      <c r="Q16717" s="183"/>
      <c r="R16717" s="183"/>
      <c r="S16717" s="183"/>
    </row>
    <row r="16718" spans="1:38">
      <c r="A16718" s="182"/>
      <c r="Q16718" s="183"/>
      <c r="R16718" s="183"/>
      <c r="S16718" s="183"/>
    </row>
    <row r="16719" spans="1:38">
      <c r="A16719" s="182"/>
      <c r="Q16719" s="183"/>
      <c r="R16719" s="183"/>
      <c r="S16719" s="183"/>
    </row>
    <row r="16720" spans="1:38">
      <c r="A16720" s="182"/>
      <c r="Q16720" s="183"/>
      <c r="R16720" s="183"/>
      <c r="S16720" s="183"/>
    </row>
    <row r="16721" spans="1:38">
      <c r="A16721" s="182"/>
      <c r="Q16721" s="183"/>
      <c r="R16721" s="183"/>
      <c r="S16721" s="183"/>
    </row>
    <row r="16722" spans="1:38">
      <c r="A16722" s="182"/>
      <c r="Q16722" s="183"/>
      <c r="R16722" s="183"/>
      <c r="S16722" s="183"/>
    </row>
    <row r="16723" spans="1:38">
      <c r="A16723" s="182"/>
      <c r="M16723" s="183"/>
      <c r="N16723" s="183"/>
      <c r="O16723" s="183"/>
      <c r="Q16723" s="183"/>
      <c r="R16723" s="183"/>
      <c r="S16723" s="183"/>
    </row>
    <row r="16724" spans="1:38">
      <c r="A16724" s="182"/>
      <c r="L16724" s="183"/>
      <c r="M16724" s="183"/>
      <c r="Q16724" s="183"/>
      <c r="R16724" s="183"/>
      <c r="S16724" s="183"/>
    </row>
    <row r="16725" spans="1:38">
      <c r="A16725" s="182"/>
      <c r="Q16725" s="183"/>
      <c r="R16725" s="183"/>
      <c r="S16725" s="183"/>
    </row>
    <row r="16726" spans="1:38">
      <c r="A16726" s="182"/>
      <c r="Q16726" s="183"/>
      <c r="R16726" s="183"/>
      <c r="S16726" s="183"/>
    </row>
    <row r="16727" spans="1:38">
      <c r="A16727" s="182"/>
      <c r="Q16727" s="183"/>
      <c r="R16727" s="183"/>
      <c r="S16727" s="183"/>
    </row>
    <row r="16728" spans="1:38">
      <c r="A16728" s="182"/>
      <c r="Q16728" s="183"/>
      <c r="R16728" s="183"/>
      <c r="S16728" s="183"/>
    </row>
    <row r="16729" spans="1:38">
      <c r="A16729" s="182"/>
      <c r="Q16729" s="183"/>
      <c r="R16729" s="183"/>
      <c r="S16729" s="183"/>
    </row>
    <row r="16730" spans="1:38">
      <c r="A16730" s="182"/>
      <c r="Q16730" s="183"/>
      <c r="R16730" s="183"/>
      <c r="S16730" s="183"/>
    </row>
    <row r="16731" spans="1:38">
      <c r="A16731" s="182"/>
      <c r="Q16731" s="183"/>
      <c r="R16731" s="183"/>
      <c r="S16731" s="183"/>
    </row>
    <row r="16732" spans="1:38">
      <c r="A16732" s="182"/>
      <c r="Q16732" s="183"/>
      <c r="R16732" s="183"/>
      <c r="S16732" s="183"/>
    </row>
    <row r="16733" spans="1:38">
      <c r="A16733" s="182"/>
      <c r="Q16733" s="183"/>
      <c r="R16733" s="183"/>
      <c r="S16733" s="183"/>
      <c r="AK16733" s="183"/>
      <c r="AL16733" s="183"/>
    </row>
    <row r="16734" spans="1:38">
      <c r="A16734" s="182"/>
      <c r="Q16734" s="183"/>
      <c r="R16734" s="183"/>
      <c r="S16734" s="183"/>
      <c r="AJ16734" s="183"/>
      <c r="AK16734" s="183"/>
      <c r="AL16734" s="183"/>
    </row>
    <row r="16735" spans="1:38">
      <c r="A16735" s="182"/>
      <c r="Q16735" s="183"/>
      <c r="R16735" s="183"/>
      <c r="S16735" s="183"/>
      <c r="AJ16735" s="183"/>
      <c r="AK16735" s="183"/>
      <c r="AL16735" s="183"/>
    </row>
    <row r="16736" spans="1:38">
      <c r="A16736" s="182"/>
      <c r="Q16736" s="183"/>
      <c r="R16736" s="183"/>
      <c r="S16736" s="183"/>
      <c r="AJ16736" s="183"/>
      <c r="AK16736" s="183"/>
      <c r="AL16736" s="183"/>
    </row>
    <row r="16737" spans="1:38">
      <c r="A16737" s="182"/>
      <c r="Q16737" s="183"/>
      <c r="R16737" s="183"/>
      <c r="S16737" s="183"/>
      <c r="AJ16737" s="183"/>
    </row>
    <row r="16738" spans="1:38">
      <c r="A16738" s="182"/>
      <c r="Q16738" s="183"/>
      <c r="R16738" s="183"/>
      <c r="S16738" s="183"/>
    </row>
    <row r="16739" spans="1:38">
      <c r="A16739" s="182"/>
      <c r="Q16739" s="183"/>
      <c r="R16739" s="183"/>
      <c r="S16739" s="183"/>
    </row>
    <row r="16740" spans="1:38">
      <c r="A16740" s="182"/>
      <c r="Q16740" s="183"/>
      <c r="R16740" s="183"/>
      <c r="S16740" s="183"/>
    </row>
    <row r="16741" spans="1:38">
      <c r="A16741" s="182"/>
      <c r="Q16741" s="183"/>
      <c r="R16741" s="183"/>
      <c r="S16741" s="183"/>
    </row>
    <row r="16742" spans="1:38">
      <c r="A16742" s="182"/>
      <c r="Q16742" s="183"/>
      <c r="R16742" s="183"/>
      <c r="S16742" s="183"/>
    </row>
    <row r="16743" spans="1:38">
      <c r="A16743" s="182"/>
      <c r="Q16743" s="183"/>
      <c r="R16743" s="183"/>
      <c r="S16743" s="183"/>
    </row>
    <row r="16744" spans="1:38">
      <c r="A16744" s="182"/>
      <c r="Q16744" s="183"/>
      <c r="R16744" s="183"/>
      <c r="S16744" s="183"/>
    </row>
    <row r="16745" spans="1:38">
      <c r="A16745" s="182"/>
      <c r="Q16745" s="183"/>
      <c r="R16745" s="183"/>
      <c r="S16745" s="183"/>
    </row>
    <row r="16746" spans="1:38">
      <c r="A16746" s="182"/>
      <c r="Q16746" s="183"/>
      <c r="R16746" s="183"/>
      <c r="S16746" s="183"/>
    </row>
    <row r="16747" spans="1:38">
      <c r="A16747" s="182"/>
      <c r="Q16747" s="183"/>
      <c r="R16747" s="183"/>
      <c r="S16747" s="183"/>
    </row>
    <row r="16748" spans="1:38">
      <c r="A16748" s="182"/>
      <c r="Q16748" s="183"/>
      <c r="R16748" s="183"/>
      <c r="S16748" s="183"/>
    </row>
    <row r="16749" spans="1:38">
      <c r="A16749" s="182"/>
      <c r="Q16749" s="183"/>
      <c r="R16749" s="183"/>
      <c r="S16749" s="183"/>
      <c r="AK16749" s="183"/>
      <c r="AL16749" s="183"/>
    </row>
    <row r="16750" spans="1:38">
      <c r="A16750" s="182"/>
      <c r="Q16750" s="183"/>
      <c r="R16750" s="183"/>
      <c r="S16750" s="183"/>
      <c r="AJ16750" s="183"/>
      <c r="AK16750" s="183"/>
      <c r="AL16750" s="183"/>
    </row>
    <row r="16751" spans="1:38">
      <c r="A16751" s="182"/>
      <c r="Q16751" s="183"/>
      <c r="R16751" s="183"/>
      <c r="S16751" s="183"/>
      <c r="AJ16751" s="183"/>
      <c r="AK16751" s="183"/>
      <c r="AL16751" s="183"/>
    </row>
    <row r="16752" spans="1:38">
      <c r="A16752" s="182"/>
      <c r="Q16752" s="183"/>
      <c r="R16752" s="183"/>
      <c r="S16752" s="183"/>
      <c r="AJ16752" s="183"/>
      <c r="AK16752" s="183"/>
      <c r="AL16752" s="183"/>
    </row>
    <row r="16753" spans="1:38">
      <c r="A16753" s="182"/>
      <c r="Q16753" s="183"/>
      <c r="R16753" s="183"/>
      <c r="S16753" s="183"/>
      <c r="AJ16753" s="183"/>
    </row>
    <row r="16754" spans="1:38">
      <c r="A16754" s="182"/>
      <c r="Q16754" s="183"/>
      <c r="R16754" s="183"/>
      <c r="S16754" s="183"/>
    </row>
    <row r="16755" spans="1:38">
      <c r="A16755" s="182"/>
      <c r="Q16755" s="183"/>
      <c r="R16755" s="183"/>
      <c r="S16755" s="183"/>
    </row>
    <row r="16756" spans="1:38">
      <c r="A16756" s="182"/>
      <c r="Q16756" s="183"/>
      <c r="R16756" s="183"/>
      <c r="S16756" s="183"/>
    </row>
    <row r="16757" spans="1:38">
      <c r="A16757" s="182"/>
      <c r="Q16757" s="183"/>
      <c r="R16757" s="183"/>
      <c r="S16757" s="183"/>
    </row>
    <row r="16758" spans="1:38">
      <c r="A16758" s="182"/>
      <c r="Q16758" s="183"/>
      <c r="R16758" s="183"/>
      <c r="S16758" s="183"/>
    </row>
    <row r="16759" spans="1:38">
      <c r="A16759" s="182"/>
      <c r="Q16759" s="183"/>
      <c r="R16759" s="183"/>
      <c r="S16759" s="183"/>
    </row>
    <row r="16760" spans="1:38">
      <c r="A16760" s="182"/>
      <c r="Q16760" s="183"/>
      <c r="R16760" s="183"/>
      <c r="S16760" s="183"/>
    </row>
    <row r="16761" spans="1:38">
      <c r="A16761" s="182"/>
      <c r="Q16761" s="183"/>
      <c r="R16761" s="183"/>
      <c r="S16761" s="183"/>
      <c r="AK16761" s="183"/>
      <c r="AL16761" s="183"/>
    </row>
    <row r="16762" spans="1:38">
      <c r="A16762" s="182"/>
      <c r="Q16762" s="183"/>
      <c r="R16762" s="183"/>
      <c r="S16762" s="183"/>
      <c r="AJ16762" s="183"/>
      <c r="AK16762" s="183"/>
      <c r="AL16762" s="183"/>
    </row>
    <row r="16763" spans="1:38">
      <c r="A16763" s="182"/>
      <c r="Q16763" s="183"/>
      <c r="R16763" s="183"/>
      <c r="S16763" s="183"/>
      <c r="AJ16763" s="183"/>
      <c r="AK16763" s="183"/>
      <c r="AL16763" s="183"/>
    </row>
    <row r="16764" spans="1:38">
      <c r="A16764" s="182"/>
      <c r="Q16764" s="183"/>
      <c r="R16764" s="183"/>
      <c r="S16764" s="183"/>
      <c r="AJ16764" s="183"/>
      <c r="AK16764" s="183"/>
      <c r="AL16764" s="183"/>
    </row>
    <row r="16765" spans="1:38">
      <c r="A16765" s="182"/>
      <c r="Q16765" s="183"/>
      <c r="R16765" s="183"/>
      <c r="S16765" s="183"/>
      <c r="AJ16765" s="183"/>
    </row>
    <row r="16766" spans="1:38">
      <c r="A16766" s="182"/>
      <c r="Q16766" s="183"/>
      <c r="R16766" s="183"/>
      <c r="S16766" s="183"/>
    </row>
    <row r="16767" spans="1:38">
      <c r="A16767" s="182"/>
      <c r="Q16767" s="183"/>
      <c r="R16767" s="183"/>
      <c r="S16767" s="183"/>
    </row>
    <row r="16768" spans="1:38">
      <c r="A16768" s="182"/>
      <c r="Q16768" s="183"/>
      <c r="R16768" s="183"/>
      <c r="S16768" s="183"/>
    </row>
    <row r="16769" spans="1:38">
      <c r="A16769" s="182"/>
      <c r="Q16769" s="183"/>
      <c r="R16769" s="183"/>
      <c r="S16769" s="183"/>
      <c r="AK16769" s="183"/>
      <c r="AL16769" s="183"/>
    </row>
    <row r="16770" spans="1:38">
      <c r="A16770" s="182"/>
      <c r="Q16770" s="183"/>
      <c r="R16770" s="183"/>
      <c r="S16770" s="183"/>
      <c r="AJ16770" s="183"/>
      <c r="AK16770" s="183"/>
      <c r="AL16770" s="183"/>
    </row>
    <row r="16771" spans="1:38">
      <c r="A16771" s="182"/>
      <c r="Q16771" s="183"/>
      <c r="R16771" s="183"/>
      <c r="S16771" s="183"/>
      <c r="AJ16771" s="183"/>
      <c r="AK16771" s="183"/>
      <c r="AL16771" s="183"/>
    </row>
    <row r="16772" spans="1:38">
      <c r="A16772" s="182"/>
      <c r="Q16772" s="183"/>
      <c r="R16772" s="183"/>
      <c r="S16772" s="183"/>
      <c r="AJ16772" s="183"/>
      <c r="AK16772" s="183"/>
      <c r="AL16772" s="183"/>
    </row>
    <row r="16773" spans="1:38">
      <c r="A16773" s="182"/>
      <c r="Q16773" s="183"/>
      <c r="R16773" s="183"/>
      <c r="S16773" s="183"/>
      <c r="AJ16773" s="183"/>
      <c r="AK16773" s="183"/>
      <c r="AL16773" s="183"/>
    </row>
    <row r="16774" spans="1:38">
      <c r="A16774" s="182"/>
      <c r="Q16774" s="183"/>
      <c r="R16774" s="183"/>
      <c r="S16774" s="183"/>
      <c r="AJ16774" s="183"/>
      <c r="AK16774" s="183"/>
      <c r="AL16774" s="183"/>
    </row>
    <row r="16775" spans="1:38">
      <c r="A16775" s="182"/>
      <c r="Q16775" s="183"/>
      <c r="R16775" s="183"/>
      <c r="S16775" s="183"/>
      <c r="AJ16775" s="183"/>
      <c r="AK16775" s="183"/>
      <c r="AL16775" s="183"/>
    </row>
    <row r="16776" spans="1:38">
      <c r="A16776" s="182"/>
      <c r="Q16776" s="183"/>
      <c r="R16776" s="183"/>
      <c r="S16776" s="183"/>
      <c r="AJ16776" s="183"/>
      <c r="AK16776" s="183"/>
      <c r="AL16776" s="183"/>
    </row>
    <row r="16777" spans="1:38">
      <c r="A16777" s="182"/>
      <c r="Q16777" s="183"/>
      <c r="R16777" s="183"/>
      <c r="S16777" s="183"/>
      <c r="AJ16777" s="183"/>
    </row>
    <row r="16778" spans="1:38">
      <c r="A16778" s="182"/>
      <c r="Q16778" s="183"/>
      <c r="R16778" s="183"/>
      <c r="S16778" s="183"/>
    </row>
    <row r="16779" spans="1:38">
      <c r="A16779" s="182"/>
      <c r="Q16779" s="183"/>
      <c r="R16779" s="183"/>
      <c r="S16779" s="183"/>
    </row>
    <row r="16780" spans="1:38">
      <c r="A16780" s="182"/>
      <c r="Q16780" s="183"/>
      <c r="R16780" s="183"/>
      <c r="S16780" s="183"/>
    </row>
    <row r="16781" spans="1:38">
      <c r="A16781" s="182"/>
      <c r="Q16781" s="183"/>
      <c r="R16781" s="183"/>
      <c r="S16781" s="183"/>
    </row>
    <row r="16782" spans="1:38">
      <c r="A16782" s="182"/>
      <c r="Q16782" s="183"/>
      <c r="R16782" s="183"/>
      <c r="S16782" s="183"/>
    </row>
    <row r="16783" spans="1:38">
      <c r="A16783" s="182"/>
      <c r="Q16783" s="183"/>
      <c r="R16783" s="183"/>
      <c r="S16783" s="183"/>
    </row>
    <row r="16784" spans="1:38">
      <c r="A16784" s="182"/>
      <c r="Q16784" s="183"/>
      <c r="R16784" s="183"/>
      <c r="S16784" s="183"/>
    </row>
    <row r="16785" spans="1:38">
      <c r="A16785" s="182"/>
      <c r="Q16785" s="183"/>
      <c r="R16785" s="183"/>
      <c r="S16785" s="183"/>
      <c r="AK16785" s="183"/>
      <c r="AL16785" s="183"/>
    </row>
    <row r="16786" spans="1:38">
      <c r="A16786" s="182"/>
      <c r="Q16786" s="183"/>
      <c r="R16786" s="183"/>
      <c r="S16786" s="183"/>
      <c r="AJ16786" s="183"/>
      <c r="AK16786" s="183"/>
      <c r="AL16786" s="183"/>
    </row>
    <row r="16787" spans="1:38">
      <c r="A16787" s="182"/>
      <c r="Q16787" s="183"/>
      <c r="R16787" s="183"/>
      <c r="S16787" s="183"/>
      <c r="AJ16787" s="183"/>
      <c r="AK16787" s="183"/>
      <c r="AL16787" s="183"/>
    </row>
    <row r="16788" spans="1:38">
      <c r="A16788" s="182"/>
      <c r="Q16788" s="183"/>
      <c r="R16788" s="183"/>
      <c r="S16788" s="183"/>
      <c r="AJ16788" s="183"/>
      <c r="AK16788" s="183"/>
      <c r="AL16788" s="183"/>
    </row>
    <row r="16789" spans="1:38">
      <c r="A16789" s="182"/>
      <c r="Q16789" s="183"/>
      <c r="R16789" s="183"/>
      <c r="S16789" s="183"/>
      <c r="AJ16789" s="183"/>
      <c r="AK16789" s="183"/>
      <c r="AL16789" s="183"/>
    </row>
    <row r="16790" spans="1:38">
      <c r="A16790" s="182"/>
      <c r="Q16790" s="183"/>
      <c r="R16790" s="183"/>
      <c r="S16790" s="183"/>
      <c r="AJ16790" s="183"/>
      <c r="AK16790" s="183"/>
      <c r="AL16790" s="183"/>
    </row>
    <row r="16791" spans="1:38">
      <c r="A16791" s="182"/>
      <c r="Q16791" s="183"/>
      <c r="R16791" s="183"/>
      <c r="S16791" s="183"/>
      <c r="AJ16791" s="183"/>
      <c r="AK16791" s="183"/>
      <c r="AL16791" s="183"/>
    </row>
    <row r="16792" spans="1:38">
      <c r="A16792" s="182"/>
      <c r="Q16792" s="183"/>
      <c r="R16792" s="183"/>
      <c r="S16792" s="183"/>
      <c r="AJ16792" s="183"/>
      <c r="AK16792" s="183"/>
      <c r="AL16792" s="183"/>
    </row>
    <row r="16793" spans="1:38">
      <c r="A16793" s="182"/>
      <c r="Q16793" s="183"/>
      <c r="R16793" s="183"/>
      <c r="S16793" s="183"/>
      <c r="AJ16793" s="183"/>
      <c r="AK16793" s="183"/>
      <c r="AL16793" s="183"/>
    </row>
    <row r="16794" spans="1:38">
      <c r="A16794" s="182"/>
      <c r="Q16794" s="183"/>
      <c r="R16794" s="183"/>
      <c r="S16794" s="183"/>
      <c r="AJ16794" s="183"/>
      <c r="AK16794" s="183"/>
      <c r="AL16794" s="183"/>
    </row>
    <row r="16795" spans="1:38">
      <c r="A16795" s="182"/>
      <c r="Q16795" s="183"/>
      <c r="R16795" s="183"/>
      <c r="S16795" s="183"/>
      <c r="AJ16795" s="183"/>
      <c r="AK16795" s="183"/>
      <c r="AL16795" s="183"/>
    </row>
    <row r="16796" spans="1:38">
      <c r="A16796" s="182"/>
      <c r="Q16796" s="183"/>
      <c r="R16796" s="183"/>
      <c r="S16796" s="183"/>
      <c r="AJ16796" s="183"/>
      <c r="AK16796" s="183"/>
      <c r="AL16796" s="183"/>
    </row>
    <row r="16797" spans="1:38">
      <c r="A16797" s="182"/>
      <c r="Q16797" s="183"/>
      <c r="R16797" s="183"/>
      <c r="S16797" s="183"/>
      <c r="AJ16797" s="183"/>
    </row>
    <row r="16798" spans="1:38">
      <c r="A16798" s="182"/>
      <c r="Q16798" s="183"/>
      <c r="R16798" s="183"/>
      <c r="S16798" s="183"/>
    </row>
    <row r="16799" spans="1:38">
      <c r="A16799" s="182"/>
      <c r="Q16799" s="183"/>
      <c r="R16799" s="183"/>
      <c r="S16799" s="183"/>
    </row>
    <row r="16800" spans="1:38">
      <c r="A16800" s="182"/>
      <c r="Q16800" s="183"/>
      <c r="R16800" s="183"/>
      <c r="S16800" s="183"/>
    </row>
    <row r="16801" spans="1:38">
      <c r="A16801" s="182"/>
      <c r="Q16801" s="183"/>
      <c r="R16801" s="183"/>
      <c r="S16801" s="183"/>
      <c r="AK16801" s="183"/>
      <c r="AL16801" s="183"/>
    </row>
    <row r="16802" spans="1:38">
      <c r="A16802" s="182"/>
      <c r="Q16802" s="183"/>
      <c r="R16802" s="183"/>
      <c r="S16802" s="183"/>
      <c r="AJ16802" s="183"/>
      <c r="AK16802" s="183"/>
      <c r="AL16802" s="183"/>
    </row>
    <row r="16803" spans="1:38">
      <c r="A16803" s="182"/>
      <c r="Q16803" s="183"/>
      <c r="R16803" s="183"/>
      <c r="S16803" s="183"/>
      <c r="AJ16803" s="183"/>
      <c r="AK16803" s="183"/>
      <c r="AL16803" s="183"/>
    </row>
    <row r="16804" spans="1:38">
      <c r="A16804" s="182"/>
      <c r="Q16804" s="183"/>
      <c r="R16804" s="183"/>
      <c r="S16804" s="183"/>
      <c r="AJ16804" s="183"/>
      <c r="AK16804" s="183"/>
      <c r="AL16804" s="183"/>
    </row>
    <row r="16805" spans="1:38">
      <c r="A16805" s="182"/>
      <c r="Q16805" s="183"/>
      <c r="R16805" s="183"/>
      <c r="S16805" s="183"/>
      <c r="AJ16805" s="183"/>
    </row>
    <row r="16806" spans="1:38">
      <c r="A16806" s="182"/>
      <c r="Q16806" s="183"/>
      <c r="R16806" s="183"/>
      <c r="S16806" s="183"/>
    </row>
    <row r="16807" spans="1:38">
      <c r="A16807" s="182"/>
      <c r="Q16807" s="183"/>
      <c r="R16807" s="183"/>
      <c r="S16807" s="183"/>
    </row>
    <row r="16808" spans="1:38">
      <c r="A16808" s="182"/>
      <c r="Q16808" s="183"/>
      <c r="R16808" s="183"/>
      <c r="S16808" s="183"/>
    </row>
    <row r="16809" spans="1:38">
      <c r="A16809" s="182"/>
      <c r="Q16809" s="183"/>
      <c r="R16809" s="183"/>
      <c r="S16809" s="183"/>
      <c r="AK16809" s="183"/>
      <c r="AL16809" s="183"/>
    </row>
    <row r="16810" spans="1:38">
      <c r="A16810" s="182"/>
      <c r="Q16810" s="183"/>
      <c r="R16810" s="183"/>
      <c r="S16810" s="183"/>
      <c r="AJ16810" s="183"/>
      <c r="AK16810" s="183"/>
      <c r="AL16810" s="183"/>
    </row>
    <row r="16811" spans="1:38">
      <c r="A16811" s="182"/>
      <c r="Q16811" s="183"/>
      <c r="R16811" s="183"/>
      <c r="S16811" s="183"/>
      <c r="AJ16811" s="183"/>
      <c r="AK16811" s="183"/>
      <c r="AL16811" s="183"/>
    </row>
    <row r="16812" spans="1:38">
      <c r="A16812" s="182"/>
      <c r="Q16812" s="183"/>
      <c r="R16812" s="183"/>
      <c r="S16812" s="183"/>
      <c r="AJ16812" s="183"/>
      <c r="AK16812" s="183"/>
      <c r="AL16812" s="183"/>
    </row>
    <row r="16813" spans="1:38">
      <c r="A16813" s="182"/>
      <c r="Q16813" s="183"/>
      <c r="R16813" s="183"/>
      <c r="S16813" s="183"/>
      <c r="AJ16813" s="183"/>
    </row>
    <row r="16814" spans="1:38">
      <c r="A16814" s="182"/>
      <c r="Q16814" s="183"/>
      <c r="R16814" s="183"/>
      <c r="S16814" s="183"/>
    </row>
    <row r="16815" spans="1:38">
      <c r="A16815" s="182"/>
      <c r="Q16815" s="183"/>
      <c r="R16815" s="183"/>
      <c r="S16815" s="183"/>
    </row>
    <row r="16816" spans="1:38">
      <c r="A16816" s="182"/>
      <c r="Q16816" s="183"/>
      <c r="R16816" s="183"/>
      <c r="S16816" s="183"/>
    </row>
    <row r="16817" spans="1:38">
      <c r="A16817" s="182"/>
      <c r="Q16817" s="183"/>
      <c r="R16817" s="183"/>
      <c r="S16817" s="183"/>
      <c r="AK16817" s="183"/>
      <c r="AL16817" s="183"/>
    </row>
    <row r="16818" spans="1:38">
      <c r="A16818" s="182"/>
      <c r="Q16818" s="183"/>
      <c r="R16818" s="183"/>
      <c r="S16818" s="183"/>
      <c r="AJ16818" s="183"/>
      <c r="AK16818" s="183"/>
      <c r="AL16818" s="183"/>
    </row>
    <row r="16819" spans="1:38">
      <c r="A16819" s="182"/>
      <c r="Q16819" s="183"/>
      <c r="R16819" s="183"/>
      <c r="S16819" s="183"/>
      <c r="AJ16819" s="183"/>
      <c r="AK16819" s="183"/>
      <c r="AL16819" s="183"/>
    </row>
    <row r="16820" spans="1:38">
      <c r="A16820" s="182"/>
      <c r="Q16820" s="183"/>
      <c r="R16820" s="183"/>
      <c r="S16820" s="183"/>
      <c r="AJ16820" s="183"/>
      <c r="AK16820" s="183"/>
      <c r="AL16820" s="183"/>
    </row>
    <row r="16821" spans="1:38">
      <c r="A16821" s="182"/>
      <c r="Q16821" s="183"/>
      <c r="R16821" s="183"/>
      <c r="S16821" s="183"/>
      <c r="AJ16821" s="183"/>
    </row>
    <row r="16822" spans="1:38">
      <c r="A16822" s="182"/>
      <c r="Q16822" s="183"/>
      <c r="R16822" s="183"/>
      <c r="S16822" s="183"/>
    </row>
    <row r="16823" spans="1:38">
      <c r="A16823" s="182"/>
      <c r="Q16823" s="183"/>
      <c r="R16823" s="183"/>
      <c r="S16823" s="183"/>
    </row>
    <row r="16824" spans="1:38">
      <c r="A16824" s="182"/>
      <c r="Q16824" s="183"/>
      <c r="R16824" s="183"/>
      <c r="S16824" s="183"/>
    </row>
    <row r="16825" spans="1:38">
      <c r="A16825" s="182"/>
      <c r="Q16825" s="183"/>
      <c r="R16825" s="183"/>
      <c r="S16825" s="183"/>
    </row>
    <row r="16826" spans="1:38">
      <c r="A16826" s="182"/>
      <c r="Q16826" s="183"/>
      <c r="R16826" s="183"/>
      <c r="S16826" s="183"/>
    </row>
    <row r="16827" spans="1:38">
      <c r="A16827" s="182"/>
      <c r="Q16827" s="183"/>
      <c r="R16827" s="183"/>
      <c r="S16827" s="183"/>
    </row>
    <row r="16828" spans="1:38">
      <c r="A16828" s="182"/>
      <c r="Q16828" s="183"/>
      <c r="R16828" s="183"/>
      <c r="S16828" s="183"/>
    </row>
    <row r="16829" spans="1:38">
      <c r="A16829" s="182"/>
      <c r="Q16829" s="183"/>
      <c r="R16829" s="183"/>
      <c r="S16829" s="183"/>
      <c r="AK16829" s="183"/>
      <c r="AL16829" s="183"/>
    </row>
    <row r="16830" spans="1:38">
      <c r="A16830" s="182"/>
      <c r="Q16830" s="183"/>
      <c r="R16830" s="183"/>
      <c r="S16830" s="183"/>
      <c r="AJ16830" s="183"/>
      <c r="AK16830" s="183"/>
      <c r="AL16830" s="183"/>
    </row>
    <row r="16831" spans="1:38">
      <c r="A16831" s="182"/>
      <c r="Q16831" s="183"/>
      <c r="R16831" s="183"/>
      <c r="S16831" s="183"/>
      <c r="AJ16831" s="183"/>
      <c r="AK16831" s="183"/>
      <c r="AL16831" s="183"/>
    </row>
    <row r="16832" spans="1:38">
      <c r="A16832" s="182"/>
      <c r="Q16832" s="183"/>
      <c r="R16832" s="183"/>
      <c r="S16832" s="183"/>
      <c r="AJ16832" s="183"/>
      <c r="AK16832" s="183"/>
      <c r="AL16832" s="183"/>
    </row>
    <row r="16833" spans="1:38">
      <c r="A16833" s="182"/>
      <c r="Q16833" s="183"/>
      <c r="R16833" s="183"/>
      <c r="S16833" s="183"/>
      <c r="AJ16833" s="183"/>
    </row>
    <row r="16834" spans="1:38">
      <c r="A16834" s="182"/>
      <c r="Q16834" s="183"/>
      <c r="R16834" s="183"/>
      <c r="S16834" s="183"/>
    </row>
    <row r="16835" spans="1:38">
      <c r="A16835" s="182"/>
      <c r="Q16835" s="183"/>
      <c r="R16835" s="183"/>
      <c r="S16835" s="183"/>
    </row>
    <row r="16836" spans="1:38">
      <c r="A16836" s="182"/>
      <c r="Q16836" s="183"/>
      <c r="R16836" s="183"/>
      <c r="S16836" s="183"/>
    </row>
    <row r="16837" spans="1:38">
      <c r="A16837" s="182"/>
      <c r="Q16837" s="183"/>
      <c r="R16837" s="183"/>
      <c r="S16837" s="183"/>
    </row>
    <row r="16838" spans="1:38">
      <c r="A16838" s="182"/>
      <c r="Q16838" s="183"/>
      <c r="R16838" s="183"/>
      <c r="S16838" s="183"/>
    </row>
    <row r="16839" spans="1:38">
      <c r="A16839" s="182"/>
      <c r="Q16839" s="183"/>
      <c r="R16839" s="183"/>
      <c r="S16839" s="183"/>
    </row>
    <row r="16840" spans="1:38">
      <c r="A16840" s="182"/>
      <c r="Q16840" s="183"/>
      <c r="R16840" s="183"/>
      <c r="S16840" s="183"/>
    </row>
    <row r="16841" spans="1:38">
      <c r="A16841" s="182"/>
      <c r="Q16841" s="183"/>
      <c r="R16841" s="183"/>
      <c r="S16841" s="183"/>
      <c r="AK16841" s="183"/>
      <c r="AL16841" s="183"/>
    </row>
    <row r="16842" spans="1:38">
      <c r="A16842" s="182"/>
      <c r="Q16842" s="183"/>
      <c r="R16842" s="183"/>
      <c r="S16842" s="183"/>
      <c r="AJ16842" s="183"/>
      <c r="AK16842" s="183"/>
      <c r="AL16842" s="183"/>
    </row>
    <row r="16843" spans="1:38">
      <c r="A16843" s="182"/>
      <c r="Q16843" s="183"/>
      <c r="R16843" s="183"/>
      <c r="S16843" s="183"/>
      <c r="AJ16843" s="183"/>
      <c r="AK16843" s="183"/>
      <c r="AL16843" s="183"/>
    </row>
    <row r="16844" spans="1:38">
      <c r="A16844" s="182"/>
      <c r="Q16844" s="183"/>
      <c r="R16844" s="183"/>
      <c r="S16844" s="183"/>
      <c r="AJ16844" s="183"/>
      <c r="AK16844" s="183"/>
      <c r="AL16844" s="183"/>
    </row>
    <row r="16845" spans="1:38">
      <c r="A16845" s="182"/>
      <c r="Q16845" s="183"/>
      <c r="R16845" s="183"/>
      <c r="S16845" s="183"/>
      <c r="AJ16845" s="183"/>
      <c r="AK16845" s="183"/>
      <c r="AL16845" s="183"/>
    </row>
    <row r="16846" spans="1:38">
      <c r="A16846" s="182"/>
      <c r="Q16846" s="183"/>
      <c r="R16846" s="183"/>
      <c r="S16846" s="183"/>
      <c r="AJ16846" s="183"/>
      <c r="AK16846" s="183"/>
      <c r="AL16846" s="183"/>
    </row>
    <row r="16847" spans="1:38">
      <c r="A16847" s="182"/>
      <c r="Q16847" s="183"/>
      <c r="R16847" s="183"/>
      <c r="S16847" s="183"/>
      <c r="AJ16847" s="183"/>
      <c r="AK16847" s="183"/>
      <c r="AL16847" s="183"/>
    </row>
    <row r="16848" spans="1:38">
      <c r="A16848" s="182"/>
      <c r="Q16848" s="183"/>
      <c r="R16848" s="183"/>
      <c r="S16848" s="183"/>
      <c r="AJ16848" s="183"/>
      <c r="AK16848" s="183"/>
      <c r="AL16848" s="183"/>
    </row>
    <row r="16849" spans="1:38">
      <c r="A16849" s="182"/>
      <c r="Q16849" s="183"/>
      <c r="R16849" s="183"/>
      <c r="S16849" s="183"/>
      <c r="AJ16849" s="183"/>
    </row>
    <row r="16850" spans="1:38">
      <c r="A16850" s="182"/>
      <c r="Q16850" s="183"/>
      <c r="R16850" s="183"/>
      <c r="S16850" s="183"/>
    </row>
    <row r="16851" spans="1:38">
      <c r="A16851" s="182"/>
      <c r="Q16851" s="183"/>
      <c r="R16851" s="183"/>
      <c r="S16851" s="183"/>
    </row>
    <row r="16852" spans="1:38">
      <c r="A16852" s="182"/>
      <c r="Q16852" s="183"/>
      <c r="R16852" s="183"/>
      <c r="S16852" s="183"/>
    </row>
    <row r="16853" spans="1:38">
      <c r="A16853" s="182"/>
      <c r="Q16853" s="183"/>
      <c r="R16853" s="183"/>
      <c r="S16853" s="183"/>
      <c r="AK16853" s="183"/>
      <c r="AL16853" s="183"/>
    </row>
    <row r="16854" spans="1:38">
      <c r="A16854" s="182"/>
      <c r="Q16854" s="183"/>
      <c r="R16854" s="183"/>
      <c r="S16854" s="183"/>
      <c r="AJ16854" s="183"/>
      <c r="AK16854" s="183"/>
      <c r="AL16854" s="183"/>
    </row>
    <row r="16855" spans="1:38">
      <c r="A16855" s="182"/>
      <c r="Q16855" s="183"/>
      <c r="R16855" s="183"/>
      <c r="S16855" s="183"/>
      <c r="AJ16855" s="183"/>
      <c r="AK16855" s="183"/>
      <c r="AL16855" s="183"/>
    </row>
    <row r="16856" spans="1:38">
      <c r="A16856" s="182"/>
      <c r="Q16856" s="183"/>
      <c r="R16856" s="183"/>
      <c r="S16856" s="183"/>
      <c r="AJ16856" s="183"/>
      <c r="AK16856" s="183"/>
      <c r="AL16856" s="183"/>
    </row>
    <row r="16857" spans="1:38">
      <c r="A16857" s="182"/>
      <c r="Q16857" s="183"/>
      <c r="R16857" s="183"/>
      <c r="S16857" s="183"/>
      <c r="AJ16857" s="183"/>
    </row>
    <row r="16858" spans="1:38">
      <c r="A16858" s="182"/>
      <c r="Q16858" s="183"/>
      <c r="R16858" s="183"/>
      <c r="S16858" s="183"/>
    </row>
    <row r="16859" spans="1:38">
      <c r="A16859" s="182"/>
      <c r="Q16859" s="183"/>
      <c r="R16859" s="183"/>
      <c r="S16859" s="183"/>
    </row>
    <row r="16860" spans="1:38">
      <c r="A16860" s="182"/>
      <c r="Q16860" s="183"/>
      <c r="R16860" s="183"/>
      <c r="S16860" s="183"/>
    </row>
    <row r="16861" spans="1:38">
      <c r="A16861" s="182"/>
      <c r="Q16861" s="183"/>
      <c r="R16861" s="183"/>
      <c r="S16861" s="183"/>
    </row>
    <row r="16862" spans="1:38">
      <c r="A16862" s="182"/>
      <c r="Q16862" s="183"/>
      <c r="R16862" s="183"/>
      <c r="S16862" s="183"/>
    </row>
    <row r="16863" spans="1:38">
      <c r="A16863" s="182"/>
      <c r="Q16863" s="183"/>
      <c r="R16863" s="183"/>
      <c r="S16863" s="183"/>
    </row>
    <row r="16864" spans="1:38">
      <c r="A16864" s="182"/>
      <c r="Q16864" s="183"/>
      <c r="R16864" s="183"/>
      <c r="S16864" s="183"/>
    </row>
    <row r="16865" spans="1:38">
      <c r="A16865" s="182"/>
      <c r="Q16865" s="183"/>
      <c r="R16865" s="183"/>
      <c r="S16865" s="183"/>
    </row>
    <row r="16866" spans="1:38">
      <c r="A16866" s="182"/>
      <c r="Q16866" s="183"/>
      <c r="R16866" s="183"/>
      <c r="S16866" s="183"/>
    </row>
    <row r="16867" spans="1:38">
      <c r="A16867" s="182"/>
      <c r="Q16867" s="183"/>
      <c r="R16867" s="183"/>
      <c r="S16867" s="183"/>
    </row>
    <row r="16868" spans="1:38">
      <c r="A16868" s="182"/>
      <c r="Q16868" s="183"/>
      <c r="R16868" s="183"/>
      <c r="S16868" s="183"/>
    </row>
    <row r="16869" spans="1:38">
      <c r="A16869" s="182"/>
      <c r="Q16869" s="183"/>
      <c r="R16869" s="183"/>
      <c r="S16869" s="183"/>
    </row>
    <row r="16870" spans="1:38">
      <c r="A16870" s="182"/>
      <c r="Q16870" s="183"/>
      <c r="R16870" s="183"/>
      <c r="S16870" s="183"/>
    </row>
    <row r="16871" spans="1:38">
      <c r="A16871" s="182"/>
      <c r="Q16871" s="183"/>
      <c r="R16871" s="183"/>
      <c r="S16871" s="183"/>
    </row>
    <row r="16872" spans="1:38">
      <c r="A16872" s="182"/>
      <c r="Q16872" s="183"/>
      <c r="R16872" s="183"/>
      <c r="S16872" s="183"/>
    </row>
    <row r="16873" spans="1:38">
      <c r="A16873" s="182"/>
      <c r="Q16873" s="183"/>
      <c r="R16873" s="183"/>
      <c r="S16873" s="183"/>
      <c r="AK16873" s="183"/>
      <c r="AL16873" s="183"/>
    </row>
    <row r="16874" spans="1:38">
      <c r="A16874" s="182"/>
      <c r="Q16874" s="183"/>
      <c r="R16874" s="183"/>
      <c r="S16874" s="183"/>
      <c r="AJ16874" s="183"/>
      <c r="AK16874" s="183"/>
      <c r="AL16874" s="183"/>
    </row>
    <row r="16875" spans="1:38">
      <c r="A16875" s="182"/>
      <c r="Q16875" s="183"/>
      <c r="R16875" s="183"/>
      <c r="S16875" s="183"/>
      <c r="AJ16875" s="183"/>
      <c r="AK16875" s="183"/>
      <c r="AL16875" s="183"/>
    </row>
    <row r="16876" spans="1:38">
      <c r="A16876" s="182"/>
      <c r="Q16876" s="183"/>
      <c r="R16876" s="183"/>
      <c r="S16876" s="183"/>
      <c r="AJ16876" s="183"/>
      <c r="AK16876" s="183"/>
      <c r="AL16876" s="183"/>
    </row>
    <row r="16877" spans="1:38">
      <c r="A16877" s="182"/>
      <c r="Q16877" s="183"/>
      <c r="R16877" s="183"/>
      <c r="S16877" s="183"/>
      <c r="AJ16877" s="183"/>
    </row>
    <row r="16878" spans="1:38">
      <c r="A16878" s="182"/>
      <c r="Q16878" s="183"/>
      <c r="R16878" s="183"/>
      <c r="S16878" s="183"/>
    </row>
    <row r="16879" spans="1:38">
      <c r="A16879" s="182"/>
      <c r="Q16879" s="183"/>
      <c r="R16879" s="183"/>
      <c r="S16879" s="183"/>
    </row>
    <row r="16880" spans="1:38">
      <c r="A16880" s="182"/>
      <c r="Q16880" s="183"/>
      <c r="R16880" s="183"/>
      <c r="S16880" s="183"/>
    </row>
    <row r="16881" spans="1:38">
      <c r="A16881" s="182"/>
      <c r="Q16881" s="183"/>
      <c r="R16881" s="183"/>
      <c r="S16881" s="183"/>
      <c r="AK16881" s="183"/>
      <c r="AL16881" s="183"/>
    </row>
    <row r="16882" spans="1:38">
      <c r="A16882" s="182"/>
      <c r="Q16882" s="183"/>
      <c r="R16882" s="183"/>
      <c r="S16882" s="183"/>
      <c r="AJ16882" s="183"/>
      <c r="AK16882" s="183"/>
      <c r="AL16882" s="183"/>
    </row>
    <row r="16883" spans="1:38">
      <c r="A16883" s="182"/>
      <c r="Q16883" s="183"/>
      <c r="R16883" s="183"/>
      <c r="S16883" s="183"/>
      <c r="AJ16883" s="183"/>
      <c r="AK16883" s="183"/>
      <c r="AL16883" s="183"/>
    </row>
    <row r="16884" spans="1:38">
      <c r="A16884" s="182"/>
      <c r="Q16884" s="183"/>
      <c r="R16884" s="183"/>
      <c r="S16884" s="183"/>
      <c r="AJ16884" s="183"/>
      <c r="AK16884" s="183"/>
      <c r="AL16884" s="183"/>
    </row>
    <row r="16885" spans="1:38">
      <c r="A16885" s="182"/>
      <c r="Q16885" s="183"/>
      <c r="R16885" s="183"/>
      <c r="S16885" s="183"/>
      <c r="AJ16885" s="183"/>
    </row>
    <row r="16886" spans="1:38">
      <c r="A16886" s="182"/>
      <c r="Q16886" s="183"/>
      <c r="R16886" s="183"/>
      <c r="S16886" s="183"/>
    </row>
    <row r="16887" spans="1:38">
      <c r="A16887" s="182"/>
      <c r="Q16887" s="183"/>
      <c r="R16887" s="183"/>
      <c r="S16887" s="183"/>
    </row>
    <row r="16888" spans="1:38">
      <c r="A16888" s="182"/>
      <c r="Q16888" s="183"/>
      <c r="R16888" s="183"/>
      <c r="S16888" s="183"/>
    </row>
    <row r="16889" spans="1:38">
      <c r="A16889" s="182"/>
      <c r="Q16889" s="183"/>
      <c r="R16889" s="183"/>
      <c r="S16889" s="183"/>
      <c r="AK16889" s="183"/>
      <c r="AL16889" s="183"/>
    </row>
    <row r="16890" spans="1:38">
      <c r="A16890" s="182"/>
      <c r="Q16890" s="183"/>
      <c r="R16890" s="183"/>
      <c r="S16890" s="183"/>
      <c r="AJ16890" s="183"/>
      <c r="AK16890" s="183"/>
      <c r="AL16890" s="183"/>
    </row>
    <row r="16891" spans="1:38">
      <c r="A16891" s="182"/>
      <c r="Q16891" s="183"/>
      <c r="R16891" s="183"/>
      <c r="S16891" s="183"/>
      <c r="AJ16891" s="183"/>
      <c r="AK16891" s="183"/>
      <c r="AL16891" s="183"/>
    </row>
    <row r="16892" spans="1:38">
      <c r="A16892" s="182"/>
      <c r="Q16892" s="183"/>
      <c r="R16892" s="183"/>
      <c r="S16892" s="183"/>
      <c r="AJ16892" s="183"/>
      <c r="AK16892" s="183"/>
      <c r="AL16892" s="183"/>
    </row>
    <row r="16893" spans="1:38">
      <c r="A16893" s="182"/>
      <c r="Q16893" s="183"/>
      <c r="R16893" s="183"/>
      <c r="S16893" s="183"/>
      <c r="AJ16893" s="183"/>
      <c r="AK16893" s="183"/>
      <c r="AL16893" s="183"/>
    </row>
    <row r="16894" spans="1:38">
      <c r="A16894" s="182"/>
      <c r="Q16894" s="183"/>
      <c r="R16894" s="183"/>
      <c r="S16894" s="183"/>
      <c r="AJ16894" s="183"/>
      <c r="AK16894" s="183"/>
      <c r="AL16894" s="183"/>
    </row>
    <row r="16895" spans="1:38">
      <c r="A16895" s="182"/>
      <c r="Q16895" s="183"/>
      <c r="R16895" s="183"/>
      <c r="S16895" s="183"/>
      <c r="AJ16895" s="183"/>
      <c r="AK16895" s="183"/>
      <c r="AL16895" s="183"/>
    </row>
    <row r="16896" spans="1:38">
      <c r="A16896" s="182"/>
      <c r="Q16896" s="183"/>
      <c r="R16896" s="183"/>
      <c r="S16896" s="183"/>
      <c r="AJ16896" s="183"/>
      <c r="AK16896" s="183"/>
      <c r="AL16896" s="183"/>
    </row>
    <row r="16897" spans="1:38">
      <c r="A16897" s="182"/>
      <c r="Q16897" s="183"/>
      <c r="R16897" s="183"/>
      <c r="S16897" s="183"/>
      <c r="AJ16897" s="183"/>
      <c r="AK16897" s="183"/>
      <c r="AL16897" s="183"/>
    </row>
    <row r="16898" spans="1:38">
      <c r="A16898" s="182"/>
      <c r="Q16898" s="183"/>
      <c r="R16898" s="183"/>
      <c r="S16898" s="183"/>
      <c r="AJ16898" s="183"/>
      <c r="AK16898" s="183"/>
      <c r="AL16898" s="183"/>
    </row>
    <row r="16899" spans="1:38">
      <c r="A16899" s="182"/>
      <c r="Q16899" s="183"/>
      <c r="R16899" s="183"/>
      <c r="S16899" s="183"/>
      <c r="AJ16899" s="183"/>
      <c r="AK16899" s="183"/>
      <c r="AL16899" s="183"/>
    </row>
    <row r="16900" spans="1:38">
      <c r="A16900" s="182"/>
      <c r="Q16900" s="183"/>
      <c r="R16900" s="183"/>
      <c r="S16900" s="183"/>
      <c r="AJ16900" s="183"/>
      <c r="AK16900" s="183"/>
      <c r="AL16900" s="183"/>
    </row>
    <row r="16901" spans="1:38">
      <c r="A16901" s="182"/>
      <c r="Q16901" s="183"/>
      <c r="R16901" s="183"/>
      <c r="S16901" s="183"/>
      <c r="AJ16901" s="183"/>
    </row>
    <row r="16902" spans="1:38">
      <c r="A16902" s="182"/>
      <c r="Q16902" s="183"/>
      <c r="R16902" s="183"/>
      <c r="S16902" s="183"/>
    </row>
    <row r="16903" spans="1:38">
      <c r="A16903" s="182"/>
      <c r="Q16903" s="183"/>
      <c r="R16903" s="183"/>
      <c r="S16903" s="183"/>
    </row>
    <row r="16904" spans="1:38">
      <c r="A16904" s="182"/>
      <c r="Q16904" s="183"/>
      <c r="R16904" s="183"/>
      <c r="S16904" s="183"/>
    </row>
    <row r="16905" spans="1:38">
      <c r="A16905" s="182"/>
      <c r="Q16905" s="183"/>
      <c r="R16905" s="183"/>
      <c r="S16905" s="183"/>
      <c r="AK16905" s="183"/>
      <c r="AL16905" s="183"/>
    </row>
    <row r="16906" spans="1:38">
      <c r="A16906" s="182"/>
      <c r="Q16906" s="183"/>
      <c r="R16906" s="183"/>
      <c r="S16906" s="183"/>
      <c r="AJ16906" s="183"/>
      <c r="AK16906" s="183"/>
      <c r="AL16906" s="183"/>
    </row>
    <row r="16907" spans="1:38">
      <c r="A16907" s="182"/>
      <c r="Q16907" s="183"/>
      <c r="R16907" s="183"/>
      <c r="S16907" s="183"/>
      <c r="AJ16907" s="183"/>
      <c r="AK16907" s="183"/>
      <c r="AL16907" s="183"/>
    </row>
    <row r="16908" spans="1:38">
      <c r="A16908" s="182"/>
      <c r="Q16908" s="183"/>
      <c r="R16908" s="183"/>
      <c r="S16908" s="183"/>
      <c r="AJ16908" s="183"/>
      <c r="AK16908" s="183"/>
      <c r="AL16908" s="183"/>
    </row>
    <row r="16909" spans="1:38">
      <c r="A16909" s="182"/>
      <c r="Q16909" s="183"/>
      <c r="R16909" s="183"/>
      <c r="S16909" s="183"/>
      <c r="AJ16909" s="183"/>
    </row>
    <row r="16910" spans="1:38">
      <c r="A16910" s="182"/>
      <c r="Q16910" s="183"/>
      <c r="R16910" s="183"/>
      <c r="S16910" s="183"/>
    </row>
    <row r="16911" spans="1:38">
      <c r="A16911" s="182"/>
      <c r="Q16911" s="183"/>
      <c r="R16911" s="183"/>
      <c r="S16911" s="183"/>
    </row>
    <row r="16912" spans="1:38">
      <c r="A16912" s="182"/>
      <c r="Q16912" s="183"/>
      <c r="R16912" s="183"/>
      <c r="S16912" s="183"/>
    </row>
    <row r="16913" spans="1:38">
      <c r="A16913" s="182"/>
      <c r="Q16913" s="183"/>
      <c r="R16913" s="183"/>
      <c r="S16913" s="183"/>
      <c r="AK16913" s="183"/>
      <c r="AL16913" s="183"/>
    </row>
    <row r="16914" spans="1:38">
      <c r="A16914" s="182"/>
      <c r="Q16914" s="183"/>
      <c r="R16914" s="183"/>
      <c r="S16914" s="183"/>
      <c r="AJ16914" s="183"/>
      <c r="AK16914" s="183"/>
      <c r="AL16914" s="183"/>
    </row>
    <row r="16915" spans="1:38">
      <c r="A16915" s="182"/>
      <c r="N16915" s="183"/>
      <c r="O16915" s="183"/>
      <c r="Q16915" s="183"/>
      <c r="R16915" s="183"/>
      <c r="S16915" s="183"/>
      <c r="AJ16915" s="183"/>
      <c r="AK16915" s="183"/>
      <c r="AL16915" s="183"/>
    </row>
    <row r="16916" spans="1:38">
      <c r="A16916" s="182"/>
      <c r="M16916" s="183"/>
      <c r="Q16916" s="183"/>
      <c r="R16916" s="183"/>
      <c r="S16916" s="183"/>
      <c r="AJ16916" s="183"/>
      <c r="AK16916" s="183"/>
      <c r="AL16916" s="183"/>
    </row>
    <row r="16917" spans="1:38">
      <c r="A16917" s="182"/>
      <c r="Q16917" s="183"/>
      <c r="R16917" s="183"/>
      <c r="S16917" s="183"/>
      <c r="AJ16917" s="183"/>
    </row>
    <row r="16918" spans="1:38">
      <c r="A16918" s="182"/>
      <c r="Q16918" s="183"/>
      <c r="R16918" s="183"/>
      <c r="S16918" s="183"/>
    </row>
    <row r="16919" spans="1:38">
      <c r="A16919" s="182"/>
      <c r="Q16919" s="183"/>
      <c r="R16919" s="183"/>
      <c r="S16919" s="183"/>
    </row>
    <row r="16920" spans="1:38">
      <c r="A16920" s="182"/>
      <c r="Q16920" s="183"/>
      <c r="R16920" s="183"/>
      <c r="S16920" s="183"/>
    </row>
    <row r="16921" spans="1:38">
      <c r="A16921" s="182"/>
      <c r="Q16921" s="183"/>
      <c r="R16921" s="183"/>
      <c r="S16921" s="183"/>
    </row>
    <row r="16922" spans="1:38">
      <c r="A16922" s="182"/>
      <c r="Q16922" s="183"/>
      <c r="R16922" s="183"/>
      <c r="S16922" s="183"/>
    </row>
    <row r="16923" spans="1:38">
      <c r="A16923" s="182"/>
      <c r="Q16923" s="183"/>
      <c r="R16923" s="183"/>
      <c r="S16923" s="183"/>
    </row>
    <row r="16924" spans="1:38">
      <c r="A16924" s="182"/>
      <c r="Q16924" s="183"/>
      <c r="R16924" s="183"/>
      <c r="S16924" s="183"/>
    </row>
    <row r="16925" spans="1:38">
      <c r="A16925" s="182"/>
      <c r="Q16925" s="183"/>
      <c r="R16925" s="183"/>
      <c r="S16925" s="183"/>
      <c r="AK16925" s="183"/>
      <c r="AL16925" s="183"/>
    </row>
    <row r="16926" spans="1:38">
      <c r="A16926" s="182"/>
      <c r="Q16926" s="183"/>
      <c r="R16926" s="183"/>
      <c r="S16926" s="183"/>
      <c r="AJ16926" s="183"/>
      <c r="AK16926" s="183"/>
      <c r="AL16926" s="183"/>
    </row>
    <row r="16927" spans="1:38">
      <c r="A16927" s="182"/>
      <c r="Q16927" s="183"/>
      <c r="R16927" s="183"/>
      <c r="S16927" s="183"/>
      <c r="AJ16927" s="183"/>
      <c r="AK16927" s="183"/>
      <c r="AL16927" s="183"/>
    </row>
    <row r="16928" spans="1:38">
      <c r="A16928" s="182"/>
      <c r="Q16928" s="183"/>
      <c r="R16928" s="183"/>
      <c r="S16928" s="183"/>
      <c r="AJ16928" s="183"/>
      <c r="AK16928" s="183"/>
      <c r="AL16928" s="183"/>
    </row>
    <row r="16929" spans="1:38">
      <c r="A16929" s="182"/>
      <c r="Q16929" s="183"/>
      <c r="R16929" s="183"/>
      <c r="S16929" s="183"/>
      <c r="AJ16929" s="183"/>
    </row>
    <row r="16930" spans="1:38">
      <c r="A16930" s="182"/>
      <c r="Q16930" s="183"/>
      <c r="R16930" s="183"/>
      <c r="S16930" s="183"/>
    </row>
    <row r="16931" spans="1:38">
      <c r="A16931" s="182"/>
      <c r="Q16931" s="183"/>
      <c r="R16931" s="183"/>
      <c r="S16931" s="183"/>
    </row>
    <row r="16932" spans="1:38">
      <c r="A16932" s="182"/>
      <c r="Q16932" s="183"/>
      <c r="R16932" s="183"/>
      <c r="S16932" s="183"/>
    </row>
    <row r="16933" spans="1:38">
      <c r="A16933" s="182"/>
      <c r="Q16933" s="183"/>
      <c r="R16933" s="183"/>
      <c r="S16933" s="183"/>
    </row>
    <row r="16934" spans="1:38">
      <c r="A16934" s="182"/>
      <c r="Q16934" s="183"/>
      <c r="R16934" s="183"/>
      <c r="S16934" s="183"/>
    </row>
    <row r="16935" spans="1:38">
      <c r="A16935" s="182"/>
      <c r="Q16935" s="183"/>
      <c r="R16935" s="183"/>
      <c r="S16935" s="183"/>
    </row>
    <row r="16936" spans="1:38">
      <c r="A16936" s="182"/>
      <c r="Q16936" s="183"/>
      <c r="R16936" s="183"/>
      <c r="S16936" s="183"/>
    </row>
    <row r="16937" spans="1:38">
      <c r="A16937" s="182"/>
      <c r="Q16937" s="183"/>
      <c r="R16937" s="183"/>
      <c r="S16937" s="183"/>
      <c r="AK16937" s="183"/>
      <c r="AL16937" s="183"/>
    </row>
    <row r="16938" spans="1:38">
      <c r="A16938" s="182"/>
      <c r="Q16938" s="183"/>
      <c r="R16938" s="183"/>
      <c r="S16938" s="183"/>
      <c r="AJ16938" s="183"/>
      <c r="AK16938" s="183"/>
      <c r="AL16938" s="183"/>
    </row>
    <row r="16939" spans="1:38">
      <c r="A16939" s="182"/>
      <c r="Q16939" s="183"/>
      <c r="R16939" s="183"/>
      <c r="S16939" s="183"/>
      <c r="AJ16939" s="183"/>
      <c r="AK16939" s="183"/>
      <c r="AL16939" s="183"/>
    </row>
    <row r="16940" spans="1:38">
      <c r="A16940" s="182"/>
      <c r="Q16940" s="183"/>
      <c r="R16940" s="183"/>
      <c r="S16940" s="183"/>
      <c r="AJ16940" s="183"/>
      <c r="AK16940" s="183"/>
      <c r="AL16940" s="183"/>
    </row>
    <row r="16941" spans="1:38">
      <c r="A16941" s="182"/>
      <c r="Q16941" s="183"/>
      <c r="R16941" s="183"/>
      <c r="S16941" s="183"/>
      <c r="AJ16941" s="183"/>
    </row>
    <row r="16942" spans="1:38">
      <c r="A16942" s="182"/>
      <c r="Q16942" s="183"/>
      <c r="R16942" s="183"/>
      <c r="S16942" s="183"/>
    </row>
    <row r="16943" spans="1:38">
      <c r="A16943" s="182"/>
      <c r="Q16943" s="183"/>
      <c r="R16943" s="183"/>
      <c r="S16943" s="183"/>
    </row>
    <row r="16944" spans="1:38">
      <c r="A16944" s="182"/>
      <c r="Q16944" s="183"/>
      <c r="R16944" s="183"/>
      <c r="S16944" s="183"/>
    </row>
    <row r="16945" spans="1:38">
      <c r="A16945" s="182"/>
      <c r="Q16945" s="183"/>
      <c r="R16945" s="183"/>
      <c r="S16945" s="183"/>
    </row>
    <row r="16946" spans="1:38">
      <c r="A16946" s="182"/>
      <c r="Q16946" s="183"/>
      <c r="R16946" s="183"/>
      <c r="S16946" s="183"/>
    </row>
    <row r="16947" spans="1:38">
      <c r="A16947" s="182"/>
      <c r="Q16947" s="183"/>
      <c r="R16947" s="183"/>
      <c r="S16947" s="183"/>
    </row>
    <row r="16948" spans="1:38">
      <c r="A16948" s="182"/>
      <c r="Q16948" s="183"/>
      <c r="R16948" s="183"/>
      <c r="S16948" s="183"/>
    </row>
    <row r="16949" spans="1:38">
      <c r="A16949" s="182"/>
      <c r="Q16949" s="183"/>
      <c r="R16949" s="183"/>
      <c r="S16949" s="183"/>
    </row>
    <row r="16950" spans="1:38">
      <c r="A16950" s="182"/>
      <c r="Q16950" s="183"/>
      <c r="R16950" s="183"/>
      <c r="S16950" s="183"/>
    </row>
    <row r="16951" spans="1:38">
      <c r="A16951" s="182"/>
      <c r="Q16951" s="183"/>
      <c r="R16951" s="183"/>
      <c r="S16951" s="183"/>
    </row>
    <row r="16952" spans="1:38">
      <c r="A16952" s="182"/>
      <c r="Q16952" s="183"/>
      <c r="R16952" s="183"/>
      <c r="S16952" s="183"/>
    </row>
    <row r="16953" spans="1:38">
      <c r="A16953" s="182"/>
      <c r="Q16953" s="183"/>
      <c r="R16953" s="183"/>
      <c r="S16953" s="183"/>
      <c r="AK16953" s="183"/>
      <c r="AL16953" s="183"/>
    </row>
    <row r="16954" spans="1:38">
      <c r="A16954" s="182"/>
      <c r="Q16954" s="183"/>
      <c r="R16954" s="183"/>
      <c r="S16954" s="183"/>
      <c r="AJ16954" s="183"/>
      <c r="AK16954" s="183"/>
      <c r="AL16954" s="183"/>
    </row>
    <row r="16955" spans="1:38">
      <c r="A16955" s="182"/>
      <c r="Q16955" s="183"/>
      <c r="R16955" s="183"/>
      <c r="S16955" s="183"/>
      <c r="AJ16955" s="183"/>
      <c r="AK16955" s="183"/>
      <c r="AL16955" s="183"/>
    </row>
    <row r="16956" spans="1:38">
      <c r="A16956" s="182"/>
      <c r="Q16956" s="183"/>
      <c r="R16956" s="183"/>
      <c r="S16956" s="183"/>
      <c r="AJ16956" s="183"/>
      <c r="AK16956" s="183"/>
      <c r="AL16956" s="183"/>
    </row>
    <row r="16957" spans="1:38">
      <c r="A16957" s="182"/>
      <c r="Q16957" s="183"/>
      <c r="R16957" s="183"/>
      <c r="S16957" s="183"/>
      <c r="AJ16957" s="183"/>
    </row>
    <row r="16958" spans="1:38">
      <c r="A16958" s="182"/>
      <c r="Q16958" s="183"/>
      <c r="R16958" s="183"/>
      <c r="S16958" s="183"/>
    </row>
    <row r="16959" spans="1:38">
      <c r="A16959" s="182"/>
      <c r="Q16959" s="183"/>
      <c r="R16959" s="183"/>
      <c r="S16959" s="183"/>
    </row>
    <row r="16960" spans="1:38">
      <c r="A16960" s="182"/>
      <c r="Q16960" s="183"/>
      <c r="R16960" s="183"/>
      <c r="S16960" s="183"/>
    </row>
    <row r="16961" spans="1:38">
      <c r="A16961" s="182"/>
      <c r="Q16961" s="183"/>
      <c r="R16961" s="183"/>
      <c r="S16961" s="183"/>
    </row>
    <row r="16962" spans="1:38">
      <c r="A16962" s="182"/>
      <c r="Q16962" s="183"/>
      <c r="R16962" s="183"/>
      <c r="S16962" s="183"/>
    </row>
    <row r="16963" spans="1:38">
      <c r="A16963" s="182"/>
      <c r="Q16963" s="183"/>
      <c r="R16963" s="183"/>
      <c r="S16963" s="183"/>
    </row>
    <row r="16964" spans="1:38">
      <c r="A16964" s="182"/>
      <c r="Q16964" s="183"/>
      <c r="R16964" s="183"/>
      <c r="S16964" s="183"/>
    </row>
    <row r="16965" spans="1:38">
      <c r="A16965" s="182"/>
      <c r="Q16965" s="183"/>
      <c r="R16965" s="183"/>
      <c r="S16965" s="183"/>
      <c r="AK16965" s="183"/>
      <c r="AL16965" s="183"/>
    </row>
    <row r="16966" spans="1:38">
      <c r="A16966" s="182"/>
      <c r="Q16966" s="183"/>
      <c r="R16966" s="183"/>
      <c r="S16966" s="183"/>
      <c r="AJ16966" s="183"/>
      <c r="AK16966" s="183"/>
      <c r="AL16966" s="183"/>
    </row>
    <row r="16967" spans="1:38">
      <c r="A16967" s="182"/>
      <c r="Q16967" s="183"/>
      <c r="R16967" s="183"/>
      <c r="S16967" s="183"/>
      <c r="AJ16967" s="183"/>
      <c r="AK16967" s="183"/>
      <c r="AL16967" s="183"/>
    </row>
    <row r="16968" spans="1:38">
      <c r="A16968" s="182"/>
      <c r="Q16968" s="183"/>
      <c r="R16968" s="183"/>
      <c r="S16968" s="183"/>
      <c r="AJ16968" s="183"/>
      <c r="AK16968" s="183"/>
      <c r="AL16968" s="183"/>
    </row>
    <row r="16969" spans="1:38">
      <c r="A16969" s="182"/>
      <c r="Q16969" s="183"/>
      <c r="R16969" s="183"/>
      <c r="S16969" s="183"/>
      <c r="AJ16969" s="183"/>
      <c r="AK16969" s="183"/>
      <c r="AL16969" s="183"/>
    </row>
    <row r="16970" spans="1:38">
      <c r="A16970" s="182"/>
      <c r="Q16970" s="183"/>
      <c r="R16970" s="183"/>
      <c r="S16970" s="183"/>
      <c r="AJ16970" s="183"/>
      <c r="AK16970" s="183"/>
      <c r="AL16970" s="183"/>
    </row>
    <row r="16971" spans="1:38">
      <c r="A16971" s="182"/>
      <c r="Q16971" s="183"/>
      <c r="R16971" s="183"/>
      <c r="S16971" s="183"/>
      <c r="AJ16971" s="183"/>
      <c r="AK16971" s="183"/>
      <c r="AL16971" s="183"/>
    </row>
    <row r="16972" spans="1:38">
      <c r="A16972" s="182"/>
      <c r="Q16972" s="183"/>
      <c r="R16972" s="183"/>
      <c r="S16972" s="183"/>
      <c r="AJ16972" s="183"/>
      <c r="AK16972" s="183"/>
      <c r="AL16972" s="183"/>
    </row>
    <row r="16973" spans="1:38">
      <c r="A16973" s="182"/>
      <c r="Q16973" s="183"/>
      <c r="R16973" s="183"/>
      <c r="S16973" s="183"/>
      <c r="AJ16973" s="183"/>
    </row>
    <row r="16974" spans="1:38">
      <c r="A16974" s="182"/>
      <c r="Q16974" s="183"/>
      <c r="R16974" s="183"/>
      <c r="S16974" s="183"/>
    </row>
    <row r="16975" spans="1:38">
      <c r="A16975" s="182"/>
      <c r="Q16975" s="183"/>
      <c r="R16975" s="183"/>
      <c r="S16975" s="183"/>
    </row>
    <row r="16976" spans="1:38">
      <c r="A16976" s="182"/>
      <c r="Q16976" s="183"/>
      <c r="R16976" s="183"/>
      <c r="S16976" s="183"/>
    </row>
    <row r="16977" spans="1:38">
      <c r="A16977" s="182"/>
      <c r="Q16977" s="183"/>
      <c r="R16977" s="183"/>
      <c r="S16977" s="183"/>
    </row>
    <row r="16978" spans="1:38">
      <c r="A16978" s="182"/>
      <c r="Q16978" s="183"/>
      <c r="R16978" s="183"/>
      <c r="S16978" s="183"/>
    </row>
    <row r="16979" spans="1:38">
      <c r="A16979" s="182"/>
      <c r="Q16979" s="183"/>
      <c r="R16979" s="183"/>
      <c r="S16979" s="183"/>
    </row>
    <row r="16980" spans="1:38">
      <c r="A16980" s="182"/>
      <c r="Q16980" s="183"/>
      <c r="R16980" s="183"/>
      <c r="S16980" s="183"/>
    </row>
    <row r="16981" spans="1:38">
      <c r="A16981" s="182"/>
      <c r="Q16981" s="183"/>
      <c r="R16981" s="183"/>
      <c r="S16981" s="183"/>
      <c r="AK16981" s="183"/>
      <c r="AL16981" s="183"/>
    </row>
    <row r="16982" spans="1:38">
      <c r="A16982" s="182"/>
      <c r="Q16982" s="183"/>
      <c r="R16982" s="183"/>
      <c r="S16982" s="183"/>
      <c r="AJ16982" s="183"/>
      <c r="AK16982" s="183"/>
      <c r="AL16982" s="183"/>
    </row>
    <row r="16983" spans="1:38">
      <c r="A16983" s="182"/>
      <c r="Q16983" s="183"/>
      <c r="R16983" s="183"/>
      <c r="S16983" s="183"/>
      <c r="AJ16983" s="183"/>
      <c r="AK16983" s="183"/>
      <c r="AL16983" s="183"/>
    </row>
    <row r="16984" spans="1:38">
      <c r="A16984" s="182"/>
      <c r="Q16984" s="183"/>
      <c r="R16984" s="183"/>
      <c r="S16984" s="183"/>
      <c r="AJ16984" s="183"/>
      <c r="AK16984" s="183"/>
      <c r="AL16984" s="183"/>
    </row>
    <row r="16985" spans="1:38">
      <c r="A16985" s="182"/>
      <c r="Q16985" s="183"/>
      <c r="R16985" s="183"/>
      <c r="S16985" s="183"/>
      <c r="AJ16985" s="183"/>
      <c r="AK16985" s="183"/>
      <c r="AL16985" s="183"/>
    </row>
    <row r="16986" spans="1:38">
      <c r="A16986" s="182"/>
      <c r="Q16986" s="183"/>
      <c r="R16986" s="183"/>
      <c r="S16986" s="183"/>
      <c r="AJ16986" s="183"/>
      <c r="AK16986" s="183"/>
      <c r="AL16986" s="183"/>
    </row>
    <row r="16987" spans="1:38">
      <c r="A16987" s="182"/>
      <c r="Q16987" s="183"/>
      <c r="R16987" s="183"/>
      <c r="S16987" s="183"/>
      <c r="AJ16987" s="183"/>
      <c r="AK16987" s="183"/>
      <c r="AL16987" s="183"/>
    </row>
    <row r="16988" spans="1:38">
      <c r="A16988" s="182"/>
      <c r="Q16988" s="183"/>
      <c r="R16988" s="183"/>
      <c r="S16988" s="183"/>
      <c r="AJ16988" s="183"/>
      <c r="AK16988" s="183"/>
      <c r="AL16988" s="183"/>
    </row>
    <row r="16989" spans="1:38">
      <c r="A16989" s="182"/>
      <c r="Q16989" s="183"/>
      <c r="R16989" s="183"/>
      <c r="S16989" s="183"/>
      <c r="AJ16989" s="183"/>
    </row>
    <row r="16990" spans="1:38">
      <c r="A16990" s="182"/>
      <c r="Q16990" s="183"/>
      <c r="R16990" s="183"/>
      <c r="S16990" s="183"/>
    </row>
    <row r="16991" spans="1:38">
      <c r="A16991" s="182"/>
      <c r="Q16991" s="183"/>
      <c r="R16991" s="183"/>
      <c r="S16991" s="183"/>
    </row>
    <row r="16992" spans="1:38">
      <c r="A16992" s="182"/>
      <c r="Q16992" s="183"/>
      <c r="R16992" s="183"/>
      <c r="S16992" s="183"/>
    </row>
    <row r="16993" spans="1:38">
      <c r="A16993" s="182"/>
      <c r="Q16993" s="183"/>
      <c r="R16993" s="183"/>
      <c r="S16993" s="183"/>
      <c r="AK16993" s="183"/>
      <c r="AL16993" s="183"/>
    </row>
    <row r="16994" spans="1:38">
      <c r="A16994" s="182"/>
      <c r="Q16994" s="183"/>
      <c r="R16994" s="183"/>
      <c r="S16994" s="183"/>
      <c r="AJ16994" s="183"/>
      <c r="AK16994" s="183"/>
      <c r="AL16994" s="183"/>
    </row>
    <row r="16995" spans="1:38">
      <c r="A16995" s="182"/>
      <c r="Q16995" s="183"/>
      <c r="R16995" s="183"/>
      <c r="S16995" s="183"/>
      <c r="AJ16995" s="183"/>
      <c r="AK16995" s="183"/>
      <c r="AL16995" s="183"/>
    </row>
    <row r="16996" spans="1:38">
      <c r="A16996" s="182"/>
      <c r="Q16996" s="183"/>
      <c r="R16996" s="183"/>
      <c r="S16996" s="183"/>
      <c r="AJ16996" s="183"/>
      <c r="AK16996" s="183"/>
      <c r="AL16996" s="183"/>
    </row>
    <row r="16997" spans="1:38">
      <c r="A16997" s="182"/>
      <c r="Q16997" s="183"/>
      <c r="R16997" s="183"/>
      <c r="S16997" s="183"/>
      <c r="AJ16997" s="183"/>
    </row>
    <row r="16998" spans="1:38">
      <c r="A16998" s="182"/>
      <c r="Q16998" s="183"/>
      <c r="R16998" s="183"/>
      <c r="S16998" s="183"/>
    </row>
    <row r="16999" spans="1:38">
      <c r="A16999" s="182"/>
      <c r="Q16999" s="183"/>
      <c r="R16999" s="183"/>
      <c r="S16999" s="183"/>
    </row>
    <row r="17000" spans="1:38">
      <c r="A17000" s="182"/>
      <c r="Q17000" s="183"/>
      <c r="R17000" s="183"/>
      <c r="S17000" s="183"/>
    </row>
    <row r="17001" spans="1:38">
      <c r="A17001" s="182"/>
      <c r="Q17001" s="183"/>
      <c r="R17001" s="183"/>
      <c r="S17001" s="183"/>
      <c r="AK17001" s="183"/>
      <c r="AL17001" s="183"/>
    </row>
    <row r="17002" spans="1:38">
      <c r="A17002" s="182"/>
      <c r="Q17002" s="183"/>
      <c r="R17002" s="183"/>
      <c r="S17002" s="183"/>
      <c r="AJ17002" s="183"/>
      <c r="AK17002" s="183"/>
      <c r="AL17002" s="183"/>
    </row>
    <row r="17003" spans="1:38">
      <c r="A17003" s="182"/>
      <c r="Q17003" s="183"/>
      <c r="R17003" s="183"/>
      <c r="S17003" s="183"/>
      <c r="AJ17003" s="183"/>
      <c r="AK17003" s="183"/>
      <c r="AL17003" s="183"/>
    </row>
    <row r="17004" spans="1:38">
      <c r="A17004" s="182"/>
      <c r="Q17004" s="183"/>
      <c r="R17004" s="183"/>
      <c r="S17004" s="183"/>
      <c r="AJ17004" s="183"/>
      <c r="AK17004" s="183"/>
      <c r="AL17004" s="183"/>
    </row>
    <row r="17005" spans="1:38">
      <c r="A17005" s="182"/>
      <c r="Q17005" s="183"/>
      <c r="R17005" s="183"/>
      <c r="S17005" s="183"/>
      <c r="AJ17005" s="183"/>
    </row>
    <row r="17006" spans="1:38">
      <c r="A17006" s="182"/>
      <c r="Q17006" s="183"/>
      <c r="R17006" s="183"/>
      <c r="S17006" s="183"/>
    </row>
    <row r="17007" spans="1:38">
      <c r="A17007" s="182"/>
      <c r="Q17007" s="183"/>
      <c r="R17007" s="183"/>
      <c r="S17007" s="183"/>
    </row>
    <row r="17008" spans="1:38">
      <c r="A17008" s="182"/>
      <c r="Q17008" s="183"/>
      <c r="R17008" s="183"/>
      <c r="S17008" s="183"/>
    </row>
    <row r="17009" spans="1:19">
      <c r="A17009" s="182"/>
      <c r="Q17009" s="183"/>
      <c r="R17009" s="183"/>
      <c r="S17009" s="183"/>
    </row>
    <row r="17010" spans="1:19">
      <c r="A17010" s="182"/>
      <c r="Q17010" s="183"/>
      <c r="R17010" s="183"/>
      <c r="S17010" s="183"/>
    </row>
    <row r="17011" spans="1:19">
      <c r="A17011" s="182"/>
      <c r="Q17011" s="183"/>
      <c r="R17011" s="183"/>
      <c r="S17011" s="183"/>
    </row>
    <row r="17012" spans="1:19">
      <c r="A17012" s="182"/>
      <c r="Q17012" s="183"/>
      <c r="R17012" s="183"/>
      <c r="S17012" s="183"/>
    </row>
    <row r="17013" spans="1:19">
      <c r="A17013" s="182"/>
      <c r="Q17013" s="183"/>
      <c r="R17013" s="183"/>
      <c r="S17013" s="183"/>
    </row>
    <row r="17014" spans="1:19">
      <c r="A17014" s="182"/>
      <c r="Q17014" s="183"/>
      <c r="R17014" s="183"/>
      <c r="S17014" s="183"/>
    </row>
    <row r="17015" spans="1:19">
      <c r="A17015" s="182"/>
      <c r="Q17015" s="183"/>
      <c r="R17015" s="183"/>
      <c r="S17015" s="183"/>
    </row>
    <row r="17016" spans="1:19">
      <c r="A17016" s="182"/>
      <c r="Q17016" s="183"/>
      <c r="R17016" s="183"/>
      <c r="S17016" s="183"/>
    </row>
    <row r="17017" spans="1:19">
      <c r="A17017" s="182"/>
      <c r="Q17017" s="183"/>
      <c r="R17017" s="183"/>
      <c r="S17017" s="183"/>
    </row>
    <row r="17018" spans="1:19">
      <c r="A17018" s="182"/>
      <c r="Q17018" s="183"/>
      <c r="R17018" s="183"/>
      <c r="S17018" s="183"/>
    </row>
    <row r="17019" spans="1:19">
      <c r="A17019" s="182"/>
      <c r="Q17019" s="183"/>
      <c r="R17019" s="183"/>
      <c r="S17019" s="183"/>
    </row>
    <row r="17020" spans="1:19">
      <c r="A17020" s="182"/>
      <c r="Q17020" s="183"/>
      <c r="R17020" s="183"/>
      <c r="S17020" s="183"/>
    </row>
    <row r="17021" spans="1:19">
      <c r="A17021" s="182"/>
      <c r="Q17021" s="183"/>
      <c r="R17021" s="183"/>
      <c r="S17021" s="183"/>
    </row>
    <row r="17022" spans="1:19">
      <c r="A17022" s="182"/>
      <c r="Q17022" s="183"/>
      <c r="R17022" s="183"/>
      <c r="S17022" s="183"/>
    </row>
    <row r="17023" spans="1:19">
      <c r="A17023" s="182"/>
      <c r="Q17023" s="183"/>
      <c r="R17023" s="183"/>
      <c r="S17023" s="183"/>
    </row>
    <row r="17024" spans="1:19">
      <c r="A17024" s="182"/>
      <c r="Q17024" s="183"/>
      <c r="R17024" s="183"/>
      <c r="S17024" s="183"/>
    </row>
    <row r="17025" spans="1:38">
      <c r="A17025" s="182"/>
      <c r="Q17025" s="183"/>
      <c r="R17025" s="183"/>
      <c r="S17025" s="183"/>
    </row>
    <row r="17026" spans="1:38">
      <c r="A17026" s="182"/>
      <c r="Q17026" s="183"/>
      <c r="R17026" s="183"/>
      <c r="S17026" s="183"/>
    </row>
    <row r="17027" spans="1:38">
      <c r="A17027" s="182"/>
      <c r="Q17027" s="183"/>
      <c r="R17027" s="183"/>
      <c r="S17027" s="183"/>
    </row>
    <row r="17028" spans="1:38">
      <c r="A17028" s="182"/>
      <c r="Q17028" s="183"/>
      <c r="R17028" s="183"/>
      <c r="S17028" s="183"/>
    </row>
    <row r="17029" spans="1:38">
      <c r="A17029" s="182"/>
      <c r="Q17029" s="183"/>
      <c r="R17029" s="183"/>
      <c r="S17029" s="183"/>
      <c r="AK17029" s="183"/>
      <c r="AL17029" s="183"/>
    </row>
    <row r="17030" spans="1:38">
      <c r="A17030" s="182"/>
      <c r="Q17030" s="183"/>
      <c r="R17030" s="183"/>
      <c r="S17030" s="183"/>
      <c r="AJ17030" s="183"/>
      <c r="AK17030" s="183"/>
      <c r="AL17030" s="183"/>
    </row>
    <row r="17031" spans="1:38">
      <c r="A17031" s="182"/>
      <c r="Q17031" s="183"/>
      <c r="R17031" s="183"/>
      <c r="S17031" s="183"/>
      <c r="AJ17031" s="183"/>
      <c r="AK17031" s="183"/>
      <c r="AL17031" s="183"/>
    </row>
    <row r="17032" spans="1:38">
      <c r="A17032" s="182"/>
      <c r="Q17032" s="183"/>
      <c r="R17032" s="183"/>
      <c r="S17032" s="183"/>
      <c r="AJ17032" s="183"/>
      <c r="AK17032" s="183"/>
      <c r="AL17032" s="183"/>
    </row>
    <row r="17033" spans="1:38">
      <c r="A17033" s="182"/>
      <c r="Q17033" s="183"/>
      <c r="R17033" s="183"/>
      <c r="S17033" s="183"/>
      <c r="AJ17033" s="183"/>
    </row>
    <row r="17034" spans="1:38">
      <c r="A17034" s="182"/>
      <c r="Q17034" s="183"/>
      <c r="R17034" s="183"/>
      <c r="S17034" s="183"/>
    </row>
    <row r="17035" spans="1:38">
      <c r="A17035" s="182"/>
      <c r="Q17035" s="183"/>
      <c r="R17035" s="183"/>
      <c r="S17035" s="183"/>
    </row>
    <row r="17036" spans="1:38">
      <c r="A17036" s="182"/>
      <c r="Q17036" s="183"/>
      <c r="R17036" s="183"/>
      <c r="S17036" s="183"/>
    </row>
    <row r="17037" spans="1:38">
      <c r="A17037" s="182"/>
      <c r="Q17037" s="183"/>
      <c r="R17037" s="183"/>
      <c r="S17037" s="183"/>
      <c r="AK17037" s="183"/>
      <c r="AL17037" s="183"/>
    </row>
    <row r="17038" spans="1:38">
      <c r="A17038" s="182"/>
      <c r="Q17038" s="183"/>
      <c r="R17038" s="183"/>
      <c r="S17038" s="183"/>
      <c r="AJ17038" s="183"/>
      <c r="AK17038" s="183"/>
      <c r="AL17038" s="183"/>
    </row>
    <row r="17039" spans="1:38">
      <c r="A17039" s="182"/>
      <c r="Q17039" s="183"/>
      <c r="R17039" s="183"/>
      <c r="S17039" s="183"/>
      <c r="AJ17039" s="183"/>
      <c r="AK17039" s="183"/>
      <c r="AL17039" s="183"/>
    </row>
    <row r="17040" spans="1:38">
      <c r="A17040" s="182"/>
      <c r="Q17040" s="183"/>
      <c r="R17040" s="183"/>
      <c r="S17040" s="183"/>
      <c r="AJ17040" s="183"/>
      <c r="AK17040" s="183"/>
      <c r="AL17040" s="183"/>
    </row>
    <row r="17041" spans="1:38">
      <c r="A17041" s="182"/>
      <c r="Q17041" s="183"/>
      <c r="R17041" s="183"/>
      <c r="S17041" s="183"/>
      <c r="AJ17041" s="183"/>
    </row>
    <row r="17042" spans="1:38">
      <c r="A17042" s="182"/>
      <c r="Q17042" s="183"/>
      <c r="R17042" s="183"/>
      <c r="S17042" s="183"/>
    </row>
    <row r="17043" spans="1:38">
      <c r="A17043" s="182"/>
      <c r="Q17043" s="183"/>
      <c r="R17043" s="183"/>
      <c r="S17043" s="183"/>
    </row>
    <row r="17044" spans="1:38">
      <c r="A17044" s="182"/>
      <c r="Q17044" s="183"/>
      <c r="R17044" s="183"/>
      <c r="S17044" s="183"/>
    </row>
    <row r="17045" spans="1:38">
      <c r="A17045" s="182"/>
      <c r="Q17045" s="183"/>
      <c r="R17045" s="183"/>
      <c r="S17045" s="183"/>
      <c r="AK17045" s="183"/>
      <c r="AL17045" s="183"/>
    </row>
    <row r="17046" spans="1:38">
      <c r="A17046" s="182"/>
      <c r="Q17046" s="183"/>
      <c r="R17046" s="183"/>
      <c r="S17046" s="183"/>
      <c r="AJ17046" s="183"/>
      <c r="AK17046" s="183"/>
      <c r="AL17046" s="183"/>
    </row>
    <row r="17047" spans="1:38">
      <c r="A17047" s="182"/>
      <c r="Q17047" s="183"/>
      <c r="R17047" s="183"/>
      <c r="S17047" s="183"/>
      <c r="AJ17047" s="183"/>
      <c r="AK17047" s="183"/>
      <c r="AL17047" s="183"/>
    </row>
    <row r="17048" spans="1:38">
      <c r="A17048" s="182"/>
      <c r="Q17048" s="183"/>
      <c r="R17048" s="183"/>
      <c r="S17048" s="183"/>
      <c r="AJ17048" s="183"/>
      <c r="AK17048" s="183"/>
      <c r="AL17048" s="183"/>
    </row>
    <row r="17049" spans="1:38">
      <c r="A17049" s="182"/>
      <c r="Q17049" s="183"/>
      <c r="R17049" s="183"/>
      <c r="S17049" s="183"/>
      <c r="AJ17049" s="183"/>
    </row>
    <row r="17050" spans="1:38">
      <c r="A17050" s="182"/>
      <c r="Q17050" s="183"/>
      <c r="R17050" s="183"/>
      <c r="S17050" s="183"/>
    </row>
    <row r="17051" spans="1:38">
      <c r="A17051" s="182"/>
      <c r="Q17051" s="183"/>
      <c r="R17051" s="183"/>
      <c r="S17051" s="183"/>
    </row>
    <row r="17052" spans="1:38">
      <c r="A17052" s="182"/>
      <c r="Q17052" s="183"/>
      <c r="R17052" s="183"/>
      <c r="S17052" s="183"/>
    </row>
    <row r="17053" spans="1:38">
      <c r="A17053" s="182"/>
      <c r="Q17053" s="183"/>
      <c r="R17053" s="183"/>
      <c r="S17053" s="183"/>
    </row>
    <row r="17054" spans="1:38">
      <c r="A17054" s="182"/>
      <c r="Q17054" s="183"/>
      <c r="R17054" s="183"/>
      <c r="S17054" s="183"/>
    </row>
    <row r="17055" spans="1:38">
      <c r="A17055" s="182"/>
      <c r="Q17055" s="183"/>
      <c r="R17055" s="183"/>
      <c r="S17055" s="183"/>
    </row>
    <row r="17056" spans="1:38">
      <c r="A17056" s="182"/>
      <c r="Q17056" s="183"/>
      <c r="R17056" s="183"/>
      <c r="S17056" s="183"/>
    </row>
    <row r="17057" spans="1:38">
      <c r="A17057" s="182"/>
      <c r="Q17057" s="183"/>
      <c r="R17057" s="183"/>
      <c r="S17057" s="183"/>
    </row>
    <row r="17058" spans="1:38">
      <c r="A17058" s="182"/>
      <c r="Q17058" s="183"/>
      <c r="R17058" s="183"/>
      <c r="S17058" s="183"/>
    </row>
    <row r="17059" spans="1:38">
      <c r="A17059" s="182"/>
      <c r="Q17059" s="183"/>
      <c r="R17059" s="183"/>
      <c r="S17059" s="183"/>
    </row>
    <row r="17060" spans="1:38">
      <c r="A17060" s="182"/>
      <c r="Q17060" s="183"/>
      <c r="R17060" s="183"/>
      <c r="S17060" s="183"/>
    </row>
    <row r="17061" spans="1:38">
      <c r="A17061" s="182"/>
      <c r="Q17061" s="183"/>
      <c r="R17061" s="183"/>
      <c r="S17061" s="183"/>
      <c r="AK17061" s="183"/>
      <c r="AL17061" s="183"/>
    </row>
    <row r="17062" spans="1:38">
      <c r="A17062" s="182"/>
      <c r="Q17062" s="183"/>
      <c r="R17062" s="183"/>
      <c r="S17062" s="183"/>
      <c r="AJ17062" s="183"/>
      <c r="AK17062" s="183"/>
      <c r="AL17062" s="183"/>
    </row>
    <row r="17063" spans="1:38">
      <c r="A17063" s="182"/>
      <c r="Q17063" s="183"/>
      <c r="R17063" s="183"/>
      <c r="S17063" s="183"/>
      <c r="AJ17063" s="183"/>
      <c r="AK17063" s="183"/>
      <c r="AL17063" s="183"/>
    </row>
    <row r="17064" spans="1:38">
      <c r="A17064" s="182"/>
      <c r="Q17064" s="183"/>
      <c r="R17064" s="183"/>
      <c r="S17064" s="183"/>
      <c r="AJ17064" s="183"/>
      <c r="AK17064" s="183"/>
      <c r="AL17064" s="183"/>
    </row>
    <row r="17065" spans="1:38">
      <c r="A17065" s="182"/>
      <c r="Q17065" s="183"/>
      <c r="R17065" s="183"/>
      <c r="S17065" s="183"/>
      <c r="AJ17065" s="183"/>
      <c r="AK17065" s="183"/>
      <c r="AL17065" s="183"/>
    </row>
    <row r="17066" spans="1:38">
      <c r="A17066" s="182"/>
      <c r="Q17066" s="183"/>
      <c r="R17066" s="183"/>
      <c r="S17066" s="183"/>
      <c r="AJ17066" s="183"/>
      <c r="AK17066" s="183"/>
      <c r="AL17066" s="183"/>
    </row>
    <row r="17067" spans="1:38">
      <c r="A17067" s="182"/>
      <c r="Q17067" s="183"/>
      <c r="R17067" s="183"/>
      <c r="S17067" s="183"/>
      <c r="AJ17067" s="183"/>
      <c r="AK17067" s="183"/>
      <c r="AL17067" s="183"/>
    </row>
    <row r="17068" spans="1:38">
      <c r="A17068" s="182"/>
      <c r="Q17068" s="183"/>
      <c r="R17068" s="183"/>
      <c r="S17068" s="183"/>
      <c r="AJ17068" s="183"/>
      <c r="AK17068" s="183"/>
      <c r="AL17068" s="183"/>
    </row>
    <row r="17069" spans="1:38">
      <c r="A17069" s="182"/>
      <c r="Q17069" s="183"/>
      <c r="R17069" s="183"/>
      <c r="S17069" s="183"/>
      <c r="AJ17069" s="183"/>
      <c r="AK17069" s="183"/>
      <c r="AL17069" s="183"/>
    </row>
    <row r="17070" spans="1:38">
      <c r="A17070" s="182"/>
      <c r="Q17070" s="183"/>
      <c r="R17070" s="183"/>
      <c r="S17070" s="183"/>
      <c r="AJ17070" s="183"/>
      <c r="AK17070" s="183"/>
      <c r="AL17070" s="183"/>
    </row>
    <row r="17071" spans="1:38">
      <c r="A17071" s="182"/>
      <c r="Q17071" s="183"/>
      <c r="R17071" s="183"/>
      <c r="S17071" s="183"/>
      <c r="AJ17071" s="183"/>
      <c r="AK17071" s="183"/>
      <c r="AL17071" s="183"/>
    </row>
    <row r="17072" spans="1:38">
      <c r="A17072" s="182"/>
      <c r="Q17072" s="183"/>
      <c r="R17072" s="183"/>
      <c r="S17072" s="183"/>
      <c r="AJ17072" s="183"/>
      <c r="AK17072" s="183"/>
      <c r="AL17072" s="183"/>
    </row>
    <row r="17073" spans="1:38">
      <c r="A17073" s="182"/>
      <c r="Q17073" s="183"/>
      <c r="R17073" s="183"/>
      <c r="S17073" s="183"/>
      <c r="AJ17073" s="183"/>
      <c r="AK17073" s="183"/>
      <c r="AL17073" s="183"/>
    </row>
    <row r="17074" spans="1:38">
      <c r="A17074" s="182"/>
      <c r="Q17074" s="183"/>
      <c r="R17074" s="183"/>
      <c r="S17074" s="183"/>
      <c r="AJ17074" s="183"/>
      <c r="AK17074" s="183"/>
      <c r="AL17074" s="183"/>
    </row>
    <row r="17075" spans="1:38">
      <c r="A17075" s="182"/>
      <c r="Q17075" s="183"/>
      <c r="R17075" s="183"/>
      <c r="S17075" s="183"/>
      <c r="AJ17075" s="183"/>
      <c r="AK17075" s="183"/>
      <c r="AL17075" s="183"/>
    </row>
    <row r="17076" spans="1:38">
      <c r="A17076" s="182"/>
      <c r="Q17076" s="183"/>
      <c r="R17076" s="183"/>
      <c r="S17076" s="183"/>
      <c r="AJ17076" s="183"/>
      <c r="AK17076" s="183"/>
      <c r="AL17076" s="183"/>
    </row>
    <row r="17077" spans="1:38">
      <c r="A17077" s="182"/>
      <c r="Q17077" s="183"/>
      <c r="R17077" s="183"/>
      <c r="S17077" s="183"/>
      <c r="AJ17077" s="183"/>
    </row>
    <row r="17078" spans="1:38">
      <c r="A17078" s="182"/>
      <c r="Q17078" s="183"/>
      <c r="R17078" s="183"/>
      <c r="S17078" s="183"/>
    </row>
    <row r="17079" spans="1:38">
      <c r="A17079" s="182"/>
      <c r="Q17079" s="183"/>
      <c r="R17079" s="183"/>
      <c r="S17079" s="183"/>
    </row>
    <row r="17080" spans="1:38">
      <c r="A17080" s="182"/>
      <c r="Q17080" s="183"/>
      <c r="R17080" s="183"/>
      <c r="S17080" s="183"/>
    </row>
    <row r="17081" spans="1:38">
      <c r="A17081" s="182"/>
      <c r="Q17081" s="183"/>
      <c r="R17081" s="183"/>
      <c r="S17081" s="183"/>
    </row>
    <row r="17082" spans="1:38">
      <c r="A17082" s="182"/>
      <c r="Q17082" s="183"/>
      <c r="R17082" s="183"/>
      <c r="S17082" s="183"/>
    </row>
    <row r="17083" spans="1:38">
      <c r="A17083" s="182"/>
      <c r="Q17083" s="183"/>
      <c r="R17083" s="183"/>
      <c r="S17083" s="183"/>
    </row>
    <row r="17084" spans="1:38">
      <c r="A17084" s="182"/>
      <c r="Q17084" s="183"/>
      <c r="R17084" s="183"/>
      <c r="S17084" s="183"/>
    </row>
    <row r="17085" spans="1:38">
      <c r="A17085" s="182"/>
      <c r="Q17085" s="183"/>
      <c r="R17085" s="183"/>
      <c r="S17085" s="183"/>
      <c r="AK17085" s="183"/>
      <c r="AL17085" s="183"/>
    </row>
    <row r="17086" spans="1:38">
      <c r="A17086" s="182"/>
      <c r="M17086" s="183"/>
      <c r="N17086" s="183"/>
      <c r="Q17086" s="183"/>
      <c r="R17086" s="183"/>
      <c r="S17086" s="183"/>
      <c r="AJ17086" s="183"/>
      <c r="AK17086" s="183"/>
      <c r="AL17086" s="183"/>
    </row>
    <row r="17087" spans="1:38">
      <c r="A17087" s="182"/>
      <c r="L17087" s="183"/>
      <c r="Q17087" s="183"/>
      <c r="R17087" s="183"/>
      <c r="S17087" s="183"/>
      <c r="AJ17087" s="183"/>
      <c r="AK17087" s="183"/>
      <c r="AL17087" s="183"/>
    </row>
    <row r="17088" spans="1:38">
      <c r="A17088" s="182"/>
      <c r="Q17088" s="183"/>
      <c r="R17088" s="183"/>
      <c r="S17088" s="183"/>
      <c r="AJ17088" s="183"/>
      <c r="AK17088" s="183"/>
      <c r="AL17088" s="183"/>
    </row>
    <row r="17089" spans="1:38">
      <c r="A17089" s="182"/>
      <c r="Q17089" s="183"/>
      <c r="R17089" s="183"/>
      <c r="S17089" s="183"/>
      <c r="AJ17089" s="183"/>
      <c r="AK17089" s="183"/>
      <c r="AL17089" s="183"/>
    </row>
    <row r="17090" spans="1:38">
      <c r="A17090" s="182"/>
      <c r="Q17090" s="183"/>
      <c r="R17090" s="183"/>
      <c r="S17090" s="183"/>
      <c r="AJ17090" s="183"/>
      <c r="AK17090" s="183"/>
      <c r="AL17090" s="183"/>
    </row>
    <row r="17091" spans="1:38">
      <c r="A17091" s="182"/>
      <c r="M17091" s="183"/>
      <c r="N17091" s="183"/>
      <c r="Q17091" s="183"/>
      <c r="R17091" s="183"/>
      <c r="S17091" s="183"/>
      <c r="AJ17091" s="183"/>
      <c r="AK17091" s="183"/>
      <c r="AL17091" s="183"/>
    </row>
    <row r="17092" spans="1:38">
      <c r="A17092" s="182"/>
      <c r="L17092" s="183"/>
      <c r="Q17092" s="183"/>
      <c r="R17092" s="183"/>
      <c r="S17092" s="183"/>
      <c r="AJ17092" s="183"/>
      <c r="AK17092" s="183"/>
      <c r="AL17092" s="183"/>
    </row>
    <row r="17093" spans="1:38">
      <c r="A17093" s="182"/>
      <c r="Q17093" s="183"/>
      <c r="R17093" s="183"/>
      <c r="S17093" s="183"/>
      <c r="AJ17093" s="183"/>
    </row>
    <row r="17094" spans="1:38">
      <c r="A17094" s="182"/>
      <c r="Q17094" s="183"/>
      <c r="R17094" s="183"/>
      <c r="S17094" s="183"/>
    </row>
    <row r="17095" spans="1:38">
      <c r="A17095" s="182"/>
      <c r="Q17095" s="183"/>
      <c r="R17095" s="183"/>
      <c r="S17095" s="183"/>
    </row>
    <row r="17096" spans="1:38">
      <c r="A17096" s="182"/>
      <c r="Q17096" s="183"/>
      <c r="R17096" s="183"/>
      <c r="S17096" s="183"/>
    </row>
    <row r="17097" spans="1:38">
      <c r="A17097" s="182"/>
      <c r="Q17097" s="183"/>
      <c r="R17097" s="183"/>
      <c r="S17097" s="183"/>
    </row>
    <row r="17098" spans="1:38">
      <c r="A17098" s="182"/>
      <c r="Q17098" s="183"/>
      <c r="R17098" s="183"/>
      <c r="S17098" s="183"/>
    </row>
    <row r="17099" spans="1:38">
      <c r="A17099" s="182"/>
      <c r="Q17099" s="183"/>
      <c r="R17099" s="183"/>
      <c r="S17099" s="183"/>
    </row>
    <row r="17100" spans="1:38">
      <c r="A17100" s="182"/>
      <c r="Q17100" s="183"/>
      <c r="R17100" s="183"/>
      <c r="S17100" s="183"/>
    </row>
    <row r="17101" spans="1:38">
      <c r="A17101" s="182"/>
      <c r="Q17101" s="183"/>
      <c r="R17101" s="183"/>
      <c r="S17101" s="183"/>
      <c r="AK17101" s="183"/>
      <c r="AL17101" s="183"/>
    </row>
    <row r="17102" spans="1:38">
      <c r="A17102" s="182"/>
      <c r="Q17102" s="183"/>
      <c r="R17102" s="183"/>
      <c r="S17102" s="183"/>
      <c r="AJ17102" s="183"/>
      <c r="AK17102" s="183"/>
      <c r="AL17102" s="183"/>
    </row>
    <row r="17103" spans="1:38">
      <c r="A17103" s="182"/>
      <c r="Q17103" s="183"/>
      <c r="R17103" s="183"/>
      <c r="S17103" s="183"/>
      <c r="AJ17103" s="183"/>
      <c r="AK17103" s="183"/>
      <c r="AL17103" s="183"/>
    </row>
    <row r="17104" spans="1:38">
      <c r="A17104" s="182"/>
      <c r="Q17104" s="183"/>
      <c r="R17104" s="183"/>
      <c r="S17104" s="183"/>
      <c r="AJ17104" s="183"/>
      <c r="AK17104" s="183"/>
      <c r="AL17104" s="183"/>
    </row>
    <row r="17105" spans="1:38">
      <c r="A17105" s="182"/>
      <c r="Q17105" s="183"/>
      <c r="R17105" s="183"/>
      <c r="S17105" s="183"/>
      <c r="AJ17105" s="183"/>
    </row>
    <row r="17106" spans="1:38">
      <c r="A17106" s="182"/>
      <c r="Q17106" s="183"/>
      <c r="R17106" s="183"/>
      <c r="S17106" s="183"/>
    </row>
    <row r="17107" spans="1:38">
      <c r="A17107" s="182"/>
      <c r="Q17107" s="183"/>
      <c r="R17107" s="183"/>
      <c r="S17107" s="183"/>
    </row>
    <row r="17108" spans="1:38">
      <c r="A17108" s="182"/>
      <c r="Q17108" s="183"/>
      <c r="R17108" s="183"/>
      <c r="S17108" s="183"/>
    </row>
    <row r="17109" spans="1:38">
      <c r="A17109" s="182"/>
      <c r="Q17109" s="183"/>
      <c r="R17109" s="183"/>
      <c r="S17109" s="183"/>
      <c r="AK17109" s="183"/>
      <c r="AL17109" s="183"/>
    </row>
    <row r="17110" spans="1:38">
      <c r="A17110" s="182"/>
      <c r="Q17110" s="183"/>
      <c r="R17110" s="183"/>
      <c r="S17110" s="183"/>
      <c r="AJ17110" s="183"/>
      <c r="AK17110" s="183"/>
      <c r="AL17110" s="183"/>
    </row>
    <row r="17111" spans="1:38">
      <c r="A17111" s="182"/>
      <c r="Q17111" s="183"/>
      <c r="R17111" s="183"/>
      <c r="S17111" s="183"/>
      <c r="AJ17111" s="183"/>
      <c r="AK17111" s="183"/>
      <c r="AL17111" s="183"/>
    </row>
    <row r="17112" spans="1:38">
      <c r="A17112" s="182"/>
      <c r="Q17112" s="183"/>
      <c r="R17112" s="183"/>
      <c r="S17112" s="183"/>
      <c r="AJ17112" s="183"/>
      <c r="AK17112" s="183"/>
      <c r="AL17112" s="183"/>
    </row>
    <row r="17113" spans="1:38">
      <c r="A17113" s="182"/>
      <c r="Q17113" s="183"/>
      <c r="R17113" s="183"/>
      <c r="S17113" s="183"/>
      <c r="AJ17113" s="183"/>
    </row>
    <row r="17114" spans="1:38">
      <c r="A17114" s="182"/>
      <c r="Q17114" s="183"/>
      <c r="R17114" s="183"/>
      <c r="S17114" s="183"/>
    </row>
    <row r="17115" spans="1:38">
      <c r="A17115" s="182"/>
      <c r="Q17115" s="183"/>
      <c r="R17115" s="183"/>
      <c r="S17115" s="183"/>
    </row>
    <row r="17116" spans="1:38">
      <c r="A17116" s="182"/>
      <c r="Q17116" s="183"/>
      <c r="R17116" s="183"/>
      <c r="S17116" s="183"/>
    </row>
    <row r="17117" spans="1:38">
      <c r="A17117" s="182"/>
      <c r="Q17117" s="183"/>
      <c r="R17117" s="183"/>
      <c r="S17117" s="183"/>
    </row>
    <row r="17118" spans="1:38">
      <c r="A17118" s="182"/>
      <c r="Q17118" s="183"/>
      <c r="R17118" s="183"/>
      <c r="S17118" s="183"/>
    </row>
    <row r="17119" spans="1:38">
      <c r="A17119" s="182"/>
      <c r="Q17119" s="183"/>
      <c r="R17119" s="183"/>
      <c r="S17119" s="183"/>
    </row>
    <row r="17120" spans="1:38">
      <c r="A17120" s="182"/>
      <c r="Q17120" s="183"/>
      <c r="R17120" s="183"/>
      <c r="S17120" s="183"/>
    </row>
    <row r="17121" spans="1:19">
      <c r="A17121" s="182"/>
      <c r="Q17121" s="183"/>
      <c r="R17121" s="183"/>
      <c r="S17121" s="183"/>
    </row>
    <row r="17122" spans="1:19">
      <c r="A17122" s="182"/>
      <c r="Q17122" s="183"/>
      <c r="R17122" s="183"/>
      <c r="S17122" s="183"/>
    </row>
    <row r="17123" spans="1:19">
      <c r="A17123" s="182"/>
      <c r="Q17123" s="183"/>
      <c r="R17123" s="183"/>
      <c r="S17123" s="183"/>
    </row>
    <row r="17124" spans="1:19">
      <c r="A17124" s="182"/>
      <c r="Q17124" s="183"/>
      <c r="R17124" s="183"/>
      <c r="S17124" s="183"/>
    </row>
    <row r="17125" spans="1:19">
      <c r="A17125" s="182"/>
      <c r="Q17125" s="183"/>
      <c r="R17125" s="183"/>
      <c r="S17125" s="183"/>
    </row>
    <row r="17126" spans="1:19">
      <c r="A17126" s="182"/>
      <c r="Q17126" s="183"/>
      <c r="R17126" s="183"/>
      <c r="S17126" s="183"/>
    </row>
    <row r="17127" spans="1:19">
      <c r="A17127" s="182"/>
      <c r="Q17127" s="183"/>
      <c r="R17127" s="183"/>
      <c r="S17127" s="183"/>
    </row>
    <row r="17128" spans="1:19">
      <c r="A17128" s="182"/>
      <c r="Q17128" s="183"/>
      <c r="R17128" s="183"/>
      <c r="S17128" s="183"/>
    </row>
    <row r="17129" spans="1:19">
      <c r="A17129" s="182"/>
      <c r="Q17129" s="183"/>
      <c r="R17129" s="183"/>
      <c r="S17129" s="183"/>
    </row>
    <row r="17130" spans="1:19">
      <c r="A17130" s="182"/>
      <c r="Q17130" s="183"/>
      <c r="R17130" s="183"/>
      <c r="S17130" s="183"/>
    </row>
    <row r="17131" spans="1:19">
      <c r="A17131" s="182"/>
      <c r="Q17131" s="183"/>
      <c r="R17131" s="183"/>
      <c r="S17131" s="183"/>
    </row>
    <row r="17132" spans="1:19">
      <c r="A17132" s="182"/>
      <c r="Q17132" s="183"/>
      <c r="R17132" s="183"/>
      <c r="S17132" s="183"/>
    </row>
    <row r="17133" spans="1:19">
      <c r="A17133" s="182"/>
      <c r="Q17133" s="183"/>
      <c r="R17133" s="183"/>
      <c r="S17133" s="183"/>
    </row>
    <row r="17134" spans="1:19">
      <c r="A17134" s="182"/>
      <c r="Q17134" s="183"/>
      <c r="R17134" s="183"/>
      <c r="S17134" s="183"/>
    </row>
    <row r="17135" spans="1:19">
      <c r="A17135" s="182"/>
      <c r="Q17135" s="183"/>
      <c r="R17135" s="183"/>
      <c r="S17135" s="183"/>
    </row>
    <row r="17136" spans="1:19">
      <c r="A17136" s="182"/>
      <c r="Q17136" s="183"/>
      <c r="R17136" s="183"/>
      <c r="S17136" s="183"/>
    </row>
    <row r="17137" spans="1:38">
      <c r="A17137" s="182"/>
      <c r="Q17137" s="183"/>
      <c r="R17137" s="183"/>
      <c r="S17137" s="183"/>
    </row>
    <row r="17138" spans="1:38">
      <c r="A17138" s="182"/>
      <c r="Q17138" s="183"/>
      <c r="R17138" s="183"/>
      <c r="S17138" s="183"/>
    </row>
    <row r="17139" spans="1:38">
      <c r="A17139" s="182"/>
      <c r="Q17139" s="183"/>
      <c r="R17139" s="183"/>
      <c r="S17139" s="183"/>
    </row>
    <row r="17140" spans="1:38">
      <c r="A17140" s="182"/>
      <c r="Q17140" s="183"/>
      <c r="R17140" s="183"/>
      <c r="S17140" s="183"/>
    </row>
    <row r="17141" spans="1:38">
      <c r="A17141" s="182"/>
      <c r="Q17141" s="183"/>
      <c r="R17141" s="183"/>
      <c r="S17141" s="183"/>
    </row>
    <row r="17142" spans="1:38">
      <c r="A17142" s="182"/>
      <c r="Q17142" s="183"/>
      <c r="R17142" s="183"/>
      <c r="S17142" s="183"/>
    </row>
    <row r="17143" spans="1:38">
      <c r="A17143" s="182"/>
      <c r="Q17143" s="183"/>
      <c r="R17143" s="183"/>
      <c r="S17143" s="183"/>
    </row>
    <row r="17144" spans="1:38">
      <c r="A17144" s="182"/>
      <c r="Q17144" s="183"/>
      <c r="R17144" s="183"/>
      <c r="S17144" s="183"/>
    </row>
    <row r="17145" spans="1:38">
      <c r="A17145" s="182"/>
      <c r="Q17145" s="183"/>
      <c r="R17145" s="183"/>
      <c r="S17145" s="183"/>
    </row>
    <row r="17146" spans="1:38">
      <c r="A17146" s="182"/>
      <c r="Q17146" s="183"/>
      <c r="R17146" s="183"/>
      <c r="S17146" s="183"/>
    </row>
    <row r="17147" spans="1:38">
      <c r="A17147" s="182"/>
      <c r="Q17147" s="183"/>
      <c r="R17147" s="183"/>
      <c r="S17147" s="183"/>
    </row>
    <row r="17148" spans="1:38">
      <c r="A17148" s="182"/>
      <c r="Q17148" s="183"/>
      <c r="R17148" s="183"/>
      <c r="S17148" s="183"/>
    </row>
    <row r="17149" spans="1:38">
      <c r="A17149" s="182"/>
      <c r="Q17149" s="183"/>
      <c r="R17149" s="183"/>
      <c r="S17149" s="183"/>
      <c r="AK17149" s="183"/>
      <c r="AL17149" s="183"/>
    </row>
    <row r="17150" spans="1:38">
      <c r="A17150" s="182"/>
      <c r="Q17150" s="183"/>
      <c r="R17150" s="183"/>
      <c r="S17150" s="183"/>
      <c r="AJ17150" s="183"/>
      <c r="AK17150" s="183"/>
      <c r="AL17150" s="183"/>
    </row>
    <row r="17151" spans="1:38">
      <c r="A17151" s="182"/>
      <c r="Q17151" s="183"/>
      <c r="R17151" s="183"/>
      <c r="S17151" s="183"/>
      <c r="AJ17151" s="183"/>
      <c r="AK17151" s="183"/>
      <c r="AL17151" s="183"/>
    </row>
    <row r="17152" spans="1:38">
      <c r="A17152" s="182"/>
      <c r="Q17152" s="183"/>
      <c r="R17152" s="183"/>
      <c r="S17152" s="183"/>
      <c r="AJ17152" s="183"/>
      <c r="AK17152" s="183"/>
      <c r="AL17152" s="183"/>
    </row>
    <row r="17153" spans="1:38">
      <c r="A17153" s="182"/>
      <c r="Q17153" s="183"/>
      <c r="R17153" s="183"/>
      <c r="S17153" s="183"/>
      <c r="AJ17153" s="183"/>
      <c r="AK17153" s="183"/>
      <c r="AL17153" s="183"/>
    </row>
    <row r="17154" spans="1:38">
      <c r="A17154" s="182"/>
      <c r="Q17154" s="183"/>
      <c r="R17154" s="183"/>
      <c r="S17154" s="183"/>
      <c r="AJ17154" s="183"/>
      <c r="AK17154" s="183"/>
      <c r="AL17154" s="183"/>
    </row>
    <row r="17155" spans="1:38">
      <c r="A17155" s="182"/>
      <c r="Q17155" s="183"/>
      <c r="R17155" s="183"/>
      <c r="S17155" s="183"/>
      <c r="AJ17155" s="183"/>
      <c r="AK17155" s="183"/>
      <c r="AL17155" s="183"/>
    </row>
    <row r="17156" spans="1:38">
      <c r="A17156" s="182"/>
      <c r="Q17156" s="183"/>
      <c r="R17156" s="183"/>
      <c r="S17156" s="183"/>
      <c r="AJ17156" s="183"/>
      <c r="AK17156" s="183"/>
      <c r="AL17156" s="183"/>
    </row>
    <row r="17157" spans="1:38">
      <c r="A17157" s="182"/>
      <c r="Q17157" s="183"/>
      <c r="R17157" s="183"/>
      <c r="S17157" s="183"/>
      <c r="AJ17157" s="183"/>
    </row>
    <row r="17158" spans="1:38">
      <c r="A17158" s="182"/>
      <c r="Q17158" s="183"/>
      <c r="R17158" s="183"/>
      <c r="S17158" s="183"/>
    </row>
    <row r="17159" spans="1:38">
      <c r="A17159" s="182"/>
      <c r="Q17159" s="183"/>
      <c r="R17159" s="183"/>
      <c r="S17159" s="183"/>
    </row>
    <row r="17160" spans="1:38">
      <c r="A17160" s="182"/>
      <c r="Q17160" s="183"/>
      <c r="R17160" s="183"/>
      <c r="S17160" s="183"/>
    </row>
    <row r="17161" spans="1:38">
      <c r="A17161" s="182"/>
      <c r="Q17161" s="183"/>
      <c r="R17161" s="183"/>
      <c r="S17161" s="183"/>
      <c r="AK17161" s="183"/>
      <c r="AL17161" s="183"/>
    </row>
    <row r="17162" spans="1:38">
      <c r="A17162" s="182"/>
      <c r="Q17162" s="183"/>
      <c r="R17162" s="183"/>
      <c r="S17162" s="183"/>
      <c r="AJ17162" s="183"/>
      <c r="AK17162" s="183"/>
      <c r="AL17162" s="183"/>
    </row>
    <row r="17163" spans="1:38">
      <c r="A17163" s="182"/>
      <c r="Q17163" s="183"/>
      <c r="R17163" s="183"/>
      <c r="S17163" s="183"/>
      <c r="AJ17163" s="183"/>
      <c r="AK17163" s="183"/>
      <c r="AL17163" s="183"/>
    </row>
    <row r="17164" spans="1:38">
      <c r="A17164" s="182"/>
      <c r="Q17164" s="183"/>
      <c r="R17164" s="183"/>
      <c r="S17164" s="183"/>
      <c r="AJ17164" s="183"/>
      <c r="AK17164" s="183"/>
      <c r="AL17164" s="183"/>
    </row>
    <row r="17165" spans="1:38">
      <c r="A17165" s="182"/>
      <c r="Q17165" s="183"/>
      <c r="R17165" s="183"/>
      <c r="S17165" s="183"/>
      <c r="AJ17165" s="183"/>
    </row>
    <row r="17166" spans="1:38">
      <c r="A17166" s="182"/>
      <c r="Q17166" s="183"/>
      <c r="R17166" s="183"/>
      <c r="S17166" s="183"/>
    </row>
    <row r="17167" spans="1:38">
      <c r="A17167" s="182"/>
      <c r="Q17167" s="183"/>
      <c r="R17167" s="183"/>
      <c r="S17167" s="183"/>
    </row>
    <row r="17168" spans="1:38">
      <c r="A17168" s="182"/>
      <c r="Q17168" s="183"/>
      <c r="R17168" s="183"/>
      <c r="S17168" s="183"/>
    </row>
    <row r="17169" spans="1:38">
      <c r="A17169" s="182"/>
      <c r="Q17169" s="183"/>
      <c r="R17169" s="183"/>
      <c r="S17169" s="183"/>
    </row>
    <row r="17170" spans="1:38">
      <c r="A17170" s="182"/>
      <c r="Q17170" s="183"/>
      <c r="R17170" s="183"/>
      <c r="S17170" s="183"/>
    </row>
    <row r="17171" spans="1:38">
      <c r="A17171" s="182"/>
      <c r="Q17171" s="183"/>
      <c r="R17171" s="183"/>
      <c r="S17171" s="183"/>
    </row>
    <row r="17172" spans="1:38">
      <c r="A17172" s="182"/>
      <c r="Q17172" s="183"/>
      <c r="R17172" s="183"/>
      <c r="S17172" s="183"/>
    </row>
    <row r="17173" spans="1:38">
      <c r="A17173" s="182"/>
      <c r="Q17173" s="183"/>
      <c r="R17173" s="183"/>
      <c r="S17173" s="183"/>
    </row>
    <row r="17174" spans="1:38">
      <c r="A17174" s="182"/>
      <c r="Q17174" s="183"/>
      <c r="R17174" s="183"/>
      <c r="S17174" s="183"/>
    </row>
    <row r="17175" spans="1:38">
      <c r="A17175" s="182"/>
      <c r="Q17175" s="183"/>
      <c r="R17175" s="183"/>
      <c r="S17175" s="183"/>
    </row>
    <row r="17176" spans="1:38">
      <c r="A17176" s="182"/>
      <c r="Q17176" s="183"/>
      <c r="R17176" s="183"/>
      <c r="S17176" s="183"/>
    </row>
    <row r="17177" spans="1:38">
      <c r="A17177" s="182"/>
      <c r="Q17177" s="183"/>
      <c r="R17177" s="183"/>
      <c r="S17177" s="183"/>
    </row>
    <row r="17178" spans="1:38">
      <c r="A17178" s="182"/>
      <c r="Q17178" s="183"/>
      <c r="R17178" s="183"/>
      <c r="S17178" s="183"/>
    </row>
    <row r="17179" spans="1:38">
      <c r="A17179" s="182"/>
      <c r="Q17179" s="183"/>
      <c r="R17179" s="183"/>
      <c r="S17179" s="183"/>
    </row>
    <row r="17180" spans="1:38">
      <c r="A17180" s="182"/>
      <c r="Q17180" s="183"/>
      <c r="R17180" s="183"/>
      <c r="S17180" s="183"/>
    </row>
    <row r="17181" spans="1:38">
      <c r="A17181" s="182"/>
      <c r="Q17181" s="183"/>
      <c r="R17181" s="183"/>
      <c r="S17181" s="183"/>
      <c r="AK17181" s="183"/>
      <c r="AL17181" s="183"/>
    </row>
    <row r="17182" spans="1:38">
      <c r="A17182" s="182"/>
      <c r="Q17182" s="183"/>
      <c r="R17182" s="183"/>
      <c r="S17182" s="183"/>
      <c r="AJ17182" s="183"/>
      <c r="AK17182" s="183"/>
      <c r="AL17182" s="183"/>
    </row>
    <row r="17183" spans="1:38">
      <c r="A17183" s="182"/>
      <c r="Q17183" s="183"/>
      <c r="R17183" s="183"/>
      <c r="S17183" s="183"/>
      <c r="AJ17183" s="183"/>
      <c r="AK17183" s="183"/>
      <c r="AL17183" s="183"/>
    </row>
    <row r="17184" spans="1:38">
      <c r="A17184" s="182"/>
      <c r="Q17184" s="183"/>
      <c r="R17184" s="183"/>
      <c r="S17184" s="183"/>
      <c r="AJ17184" s="183"/>
      <c r="AK17184" s="183"/>
      <c r="AL17184" s="183"/>
    </row>
    <row r="17185" spans="1:38">
      <c r="A17185" s="182"/>
      <c r="Q17185" s="183"/>
      <c r="R17185" s="183"/>
      <c r="S17185" s="183"/>
      <c r="AJ17185" s="183"/>
      <c r="AK17185" s="183"/>
      <c r="AL17185" s="183"/>
    </row>
    <row r="17186" spans="1:38">
      <c r="A17186" s="182"/>
      <c r="Q17186" s="183"/>
      <c r="R17186" s="183"/>
      <c r="S17186" s="183"/>
      <c r="AJ17186" s="183"/>
      <c r="AK17186" s="183"/>
      <c r="AL17186" s="183"/>
    </row>
    <row r="17187" spans="1:38">
      <c r="A17187" s="182"/>
      <c r="Q17187" s="183"/>
      <c r="R17187" s="183"/>
      <c r="S17187" s="183"/>
      <c r="AJ17187" s="183"/>
      <c r="AK17187" s="183"/>
      <c r="AL17187" s="183"/>
    </row>
    <row r="17188" spans="1:38">
      <c r="A17188" s="182"/>
      <c r="Q17188" s="183"/>
      <c r="R17188" s="183"/>
      <c r="S17188" s="183"/>
      <c r="AJ17188" s="183"/>
      <c r="AK17188" s="183"/>
      <c r="AL17188" s="183"/>
    </row>
    <row r="17189" spans="1:38">
      <c r="A17189" s="182"/>
      <c r="Q17189" s="183"/>
      <c r="R17189" s="183"/>
      <c r="S17189" s="183"/>
      <c r="AJ17189" s="183"/>
      <c r="AK17189" s="183"/>
      <c r="AL17189" s="183"/>
    </row>
    <row r="17190" spans="1:38">
      <c r="A17190" s="182"/>
      <c r="Q17190" s="183"/>
      <c r="R17190" s="183"/>
      <c r="S17190" s="183"/>
      <c r="AJ17190" s="183"/>
      <c r="AK17190" s="183"/>
      <c r="AL17190" s="183"/>
    </row>
    <row r="17191" spans="1:38">
      <c r="A17191" s="182"/>
      <c r="Q17191" s="183"/>
      <c r="R17191" s="183"/>
      <c r="S17191" s="183"/>
      <c r="AJ17191" s="183"/>
      <c r="AK17191" s="183"/>
      <c r="AL17191" s="183"/>
    </row>
    <row r="17192" spans="1:38">
      <c r="A17192" s="182"/>
      <c r="Q17192" s="183"/>
      <c r="R17192" s="183"/>
      <c r="S17192" s="183"/>
      <c r="AJ17192" s="183"/>
      <c r="AK17192" s="183"/>
      <c r="AL17192" s="183"/>
    </row>
    <row r="17193" spans="1:38">
      <c r="A17193" s="182"/>
      <c r="Q17193" s="183"/>
      <c r="R17193" s="183"/>
      <c r="S17193" s="183"/>
      <c r="AJ17193" s="183"/>
      <c r="AK17193" s="183"/>
      <c r="AL17193" s="183"/>
    </row>
    <row r="17194" spans="1:38">
      <c r="A17194" s="182"/>
      <c r="Q17194" s="183"/>
      <c r="R17194" s="183"/>
      <c r="S17194" s="183"/>
      <c r="AJ17194" s="183"/>
      <c r="AK17194" s="183"/>
      <c r="AL17194" s="183"/>
    </row>
    <row r="17195" spans="1:38">
      <c r="A17195" s="182"/>
      <c r="Q17195" s="183"/>
      <c r="R17195" s="183"/>
      <c r="S17195" s="183"/>
      <c r="AJ17195" s="183"/>
      <c r="AK17195" s="183"/>
      <c r="AL17195" s="183"/>
    </row>
    <row r="17196" spans="1:38">
      <c r="A17196" s="182"/>
      <c r="Q17196" s="183"/>
      <c r="R17196" s="183"/>
      <c r="S17196" s="183"/>
      <c r="AJ17196" s="183"/>
      <c r="AK17196" s="183"/>
      <c r="AL17196" s="183"/>
    </row>
    <row r="17197" spans="1:38">
      <c r="A17197" s="182"/>
      <c r="Q17197" s="183"/>
      <c r="R17197" s="183"/>
      <c r="S17197" s="183"/>
      <c r="AJ17197" s="183"/>
    </row>
    <row r="17198" spans="1:38">
      <c r="A17198" s="182"/>
      <c r="Q17198" s="183"/>
      <c r="R17198" s="183"/>
      <c r="S17198" s="183"/>
    </row>
    <row r="17199" spans="1:38">
      <c r="A17199" s="182"/>
      <c r="Q17199" s="183"/>
      <c r="R17199" s="183"/>
      <c r="S17199" s="183"/>
    </row>
    <row r="17200" spans="1:38">
      <c r="A17200" s="182"/>
      <c r="Q17200" s="183"/>
      <c r="R17200" s="183"/>
      <c r="S17200" s="183"/>
    </row>
    <row r="17201" spans="1:19">
      <c r="A17201" s="182"/>
      <c r="Q17201" s="183"/>
      <c r="R17201" s="183"/>
      <c r="S17201" s="183"/>
    </row>
    <row r="17202" spans="1:19">
      <c r="A17202" s="182"/>
      <c r="Q17202" s="183"/>
      <c r="R17202" s="183"/>
      <c r="S17202" s="183"/>
    </row>
    <row r="17203" spans="1:19">
      <c r="A17203" s="182"/>
      <c r="Q17203" s="183"/>
      <c r="R17203" s="183"/>
      <c r="S17203" s="183"/>
    </row>
    <row r="17204" spans="1:19">
      <c r="A17204" s="182"/>
      <c r="Q17204" s="183"/>
      <c r="R17204" s="183"/>
      <c r="S17204" s="183"/>
    </row>
    <row r="17205" spans="1:19">
      <c r="A17205" s="182"/>
      <c r="Q17205" s="183"/>
      <c r="R17205" s="183"/>
      <c r="S17205" s="183"/>
    </row>
    <row r="17206" spans="1:19">
      <c r="A17206" s="182"/>
      <c r="Q17206" s="183"/>
      <c r="R17206" s="183"/>
      <c r="S17206" s="183"/>
    </row>
    <row r="17207" spans="1:19">
      <c r="A17207" s="182"/>
      <c r="Q17207" s="183"/>
      <c r="R17207" s="183"/>
      <c r="S17207" s="183"/>
    </row>
    <row r="17208" spans="1:19">
      <c r="A17208" s="182"/>
      <c r="Q17208" s="183"/>
      <c r="R17208" s="183"/>
      <c r="S17208" s="183"/>
    </row>
    <row r="17209" spans="1:19">
      <c r="A17209" s="182"/>
      <c r="Q17209" s="183"/>
      <c r="R17209" s="183"/>
      <c r="S17209" s="183"/>
    </row>
    <row r="17210" spans="1:19">
      <c r="A17210" s="182"/>
      <c r="Q17210" s="183"/>
      <c r="R17210" s="183"/>
      <c r="S17210" s="183"/>
    </row>
    <row r="17211" spans="1:19">
      <c r="A17211" s="182"/>
      <c r="Q17211" s="183"/>
      <c r="R17211" s="183"/>
      <c r="S17211" s="183"/>
    </row>
    <row r="17212" spans="1:19">
      <c r="A17212" s="182"/>
      <c r="Q17212" s="183"/>
      <c r="R17212" s="183"/>
      <c r="S17212" s="183"/>
    </row>
    <row r="17213" spans="1:19">
      <c r="A17213" s="182"/>
      <c r="Q17213" s="183"/>
      <c r="R17213" s="183"/>
      <c r="S17213" s="183"/>
    </row>
    <row r="17214" spans="1:19">
      <c r="A17214" s="182"/>
      <c r="Q17214" s="183"/>
      <c r="R17214" s="183"/>
      <c r="S17214" s="183"/>
    </row>
    <row r="17215" spans="1:19">
      <c r="A17215" s="182"/>
      <c r="Q17215" s="183"/>
      <c r="R17215" s="183"/>
      <c r="S17215" s="183"/>
    </row>
    <row r="17216" spans="1:19">
      <c r="A17216" s="182"/>
      <c r="Q17216" s="183"/>
      <c r="R17216" s="183"/>
      <c r="S17216" s="183"/>
    </row>
    <row r="17217" spans="1:38">
      <c r="A17217" s="182"/>
      <c r="Q17217" s="183"/>
      <c r="R17217" s="183"/>
      <c r="S17217" s="183"/>
    </row>
    <row r="17218" spans="1:38">
      <c r="A17218" s="182"/>
      <c r="Q17218" s="183"/>
      <c r="R17218" s="183"/>
      <c r="S17218" s="183"/>
    </row>
    <row r="17219" spans="1:38">
      <c r="A17219" s="182"/>
      <c r="Q17219" s="183"/>
      <c r="R17219" s="183"/>
      <c r="S17219" s="183"/>
    </row>
    <row r="17220" spans="1:38">
      <c r="A17220" s="182"/>
      <c r="Q17220" s="183"/>
      <c r="R17220" s="183"/>
      <c r="S17220" s="183"/>
    </row>
    <row r="17221" spans="1:38">
      <c r="A17221" s="182"/>
      <c r="Q17221" s="183"/>
      <c r="R17221" s="183"/>
      <c r="S17221" s="183"/>
    </row>
    <row r="17222" spans="1:38">
      <c r="A17222" s="182"/>
      <c r="Q17222" s="183"/>
      <c r="R17222" s="183"/>
      <c r="S17222" s="183"/>
    </row>
    <row r="17223" spans="1:38">
      <c r="A17223" s="182"/>
      <c r="Q17223" s="183"/>
      <c r="R17223" s="183"/>
      <c r="S17223" s="183"/>
    </row>
    <row r="17224" spans="1:38">
      <c r="A17224" s="182"/>
      <c r="Q17224" s="183"/>
      <c r="R17224" s="183"/>
      <c r="S17224" s="183"/>
    </row>
    <row r="17225" spans="1:38">
      <c r="A17225" s="182"/>
      <c r="Q17225" s="183"/>
      <c r="R17225" s="183"/>
      <c r="S17225" s="183"/>
    </row>
    <row r="17226" spans="1:38">
      <c r="A17226" s="182"/>
      <c r="Q17226" s="183"/>
      <c r="R17226" s="183"/>
      <c r="S17226" s="183"/>
    </row>
    <row r="17227" spans="1:38">
      <c r="A17227" s="182"/>
      <c r="Q17227" s="183"/>
      <c r="R17227" s="183"/>
      <c r="S17227" s="183"/>
    </row>
    <row r="17228" spans="1:38">
      <c r="A17228" s="182"/>
      <c r="Q17228" s="183"/>
      <c r="R17228" s="183"/>
      <c r="S17228" s="183"/>
    </row>
    <row r="17229" spans="1:38">
      <c r="A17229" s="182"/>
      <c r="Q17229" s="183"/>
      <c r="R17229" s="183"/>
      <c r="S17229" s="183"/>
      <c r="AK17229" s="183"/>
      <c r="AL17229" s="183"/>
    </row>
    <row r="17230" spans="1:38">
      <c r="A17230" s="182"/>
      <c r="Q17230" s="183"/>
      <c r="R17230" s="183"/>
      <c r="S17230" s="183"/>
      <c r="AJ17230" s="183"/>
      <c r="AK17230" s="183"/>
      <c r="AL17230" s="183"/>
    </row>
    <row r="17231" spans="1:38">
      <c r="A17231" s="182"/>
      <c r="Q17231" s="183"/>
      <c r="R17231" s="183"/>
      <c r="S17231" s="183"/>
      <c r="AJ17231" s="183"/>
      <c r="AK17231" s="183"/>
      <c r="AL17231" s="183"/>
    </row>
    <row r="17232" spans="1:38">
      <c r="A17232" s="182"/>
      <c r="Q17232" s="183"/>
      <c r="R17232" s="183"/>
      <c r="S17232" s="183"/>
      <c r="AJ17232" s="183"/>
      <c r="AK17232" s="183"/>
      <c r="AL17232" s="183"/>
    </row>
    <row r="17233" spans="1:38">
      <c r="A17233" s="182"/>
      <c r="Q17233" s="183"/>
      <c r="R17233" s="183"/>
      <c r="S17233" s="183"/>
      <c r="AJ17233" s="183"/>
    </row>
    <row r="17234" spans="1:38">
      <c r="A17234" s="182"/>
      <c r="Q17234" s="183"/>
      <c r="R17234" s="183"/>
      <c r="S17234" s="183"/>
    </row>
    <row r="17235" spans="1:38">
      <c r="A17235" s="182"/>
      <c r="Q17235" s="183"/>
      <c r="R17235" s="183"/>
      <c r="S17235" s="183"/>
    </row>
    <row r="17236" spans="1:38">
      <c r="A17236" s="182"/>
      <c r="Q17236" s="183"/>
      <c r="R17236" s="183"/>
      <c r="S17236" s="183"/>
    </row>
    <row r="17237" spans="1:38">
      <c r="A17237" s="182"/>
      <c r="Q17237" s="183"/>
      <c r="R17237" s="183"/>
      <c r="S17237" s="183"/>
      <c r="AK17237" s="183"/>
      <c r="AL17237" s="183"/>
    </row>
    <row r="17238" spans="1:38">
      <c r="A17238" s="182"/>
      <c r="Q17238" s="183"/>
      <c r="R17238" s="183"/>
      <c r="S17238" s="183"/>
      <c r="AJ17238" s="183"/>
      <c r="AK17238" s="183"/>
      <c r="AL17238" s="183"/>
    </row>
    <row r="17239" spans="1:38">
      <c r="A17239" s="182"/>
      <c r="Q17239" s="183"/>
      <c r="R17239" s="183"/>
      <c r="S17239" s="183"/>
      <c r="AJ17239" s="183"/>
      <c r="AK17239" s="183"/>
      <c r="AL17239" s="183"/>
    </row>
    <row r="17240" spans="1:38">
      <c r="A17240" s="182"/>
      <c r="Q17240" s="183"/>
      <c r="R17240" s="183"/>
      <c r="S17240" s="183"/>
      <c r="AJ17240" s="183"/>
      <c r="AK17240" s="183"/>
      <c r="AL17240" s="183"/>
    </row>
    <row r="17241" spans="1:38">
      <c r="A17241" s="182"/>
      <c r="Q17241" s="183"/>
      <c r="R17241" s="183"/>
      <c r="S17241" s="183"/>
      <c r="AJ17241" s="183"/>
      <c r="AK17241" s="183"/>
      <c r="AL17241" s="183"/>
    </row>
    <row r="17242" spans="1:38">
      <c r="A17242" s="182"/>
      <c r="Q17242" s="183"/>
      <c r="R17242" s="183"/>
      <c r="S17242" s="183"/>
      <c r="AJ17242" s="183"/>
      <c r="AK17242" s="183"/>
      <c r="AL17242" s="183"/>
    </row>
    <row r="17243" spans="1:38">
      <c r="A17243" s="182"/>
      <c r="Q17243" s="183"/>
      <c r="R17243" s="183"/>
      <c r="S17243" s="183"/>
      <c r="AJ17243" s="183"/>
      <c r="AK17243" s="183"/>
      <c r="AL17243" s="183"/>
    </row>
    <row r="17244" spans="1:38">
      <c r="A17244" s="182"/>
      <c r="Q17244" s="183"/>
      <c r="R17244" s="183"/>
      <c r="S17244" s="183"/>
      <c r="AJ17244" s="183"/>
      <c r="AK17244" s="183"/>
      <c r="AL17244" s="183"/>
    </row>
    <row r="17245" spans="1:38">
      <c r="A17245" s="182"/>
      <c r="Q17245" s="183"/>
      <c r="R17245" s="183"/>
      <c r="S17245" s="183"/>
      <c r="AJ17245" s="183"/>
    </row>
    <row r="17246" spans="1:38">
      <c r="A17246" s="182"/>
      <c r="Q17246" s="183"/>
      <c r="R17246" s="183"/>
      <c r="S17246" s="183"/>
    </row>
    <row r="17247" spans="1:38">
      <c r="A17247" s="182"/>
      <c r="Q17247" s="183"/>
      <c r="R17247" s="183"/>
      <c r="S17247" s="183"/>
    </row>
    <row r="17248" spans="1:38">
      <c r="A17248" s="182"/>
      <c r="Q17248" s="183"/>
      <c r="R17248" s="183"/>
      <c r="S17248" s="183"/>
    </row>
    <row r="17249" spans="1:19">
      <c r="A17249" s="182"/>
      <c r="Q17249" s="183"/>
      <c r="R17249" s="183"/>
      <c r="S17249" s="183"/>
    </row>
    <row r="17250" spans="1:19">
      <c r="A17250" s="182"/>
      <c r="Q17250" s="183"/>
      <c r="R17250" s="183"/>
      <c r="S17250" s="183"/>
    </row>
    <row r="17251" spans="1:19">
      <c r="A17251" s="182"/>
      <c r="Q17251" s="183"/>
      <c r="R17251" s="183"/>
      <c r="S17251" s="183"/>
    </row>
    <row r="17252" spans="1:19">
      <c r="A17252" s="182"/>
      <c r="Q17252" s="183"/>
      <c r="R17252" s="183"/>
      <c r="S17252" s="183"/>
    </row>
    <row r="17253" spans="1:19">
      <c r="A17253" s="182"/>
      <c r="Q17253" s="183"/>
      <c r="R17253" s="183"/>
      <c r="S17253" s="183"/>
    </row>
    <row r="17254" spans="1:19">
      <c r="A17254" s="182"/>
      <c r="Q17254" s="183"/>
      <c r="R17254" s="183"/>
      <c r="S17254" s="183"/>
    </row>
    <row r="17255" spans="1:19">
      <c r="A17255" s="182"/>
      <c r="Q17255" s="183"/>
      <c r="R17255" s="183"/>
      <c r="S17255" s="183"/>
    </row>
    <row r="17256" spans="1:19">
      <c r="A17256" s="182"/>
      <c r="Q17256" s="183"/>
      <c r="R17256" s="183"/>
      <c r="S17256" s="183"/>
    </row>
    <row r="17257" spans="1:19">
      <c r="A17257" s="182"/>
      <c r="Q17257" s="183"/>
      <c r="R17257" s="183"/>
      <c r="S17257" s="183"/>
    </row>
    <row r="17258" spans="1:19">
      <c r="A17258" s="182"/>
      <c r="Q17258" s="183"/>
      <c r="R17258" s="183"/>
      <c r="S17258" s="183"/>
    </row>
    <row r="17259" spans="1:19">
      <c r="A17259" s="182"/>
      <c r="Q17259" s="183"/>
      <c r="R17259" s="183"/>
      <c r="S17259" s="183"/>
    </row>
    <row r="17260" spans="1:19">
      <c r="A17260" s="182"/>
      <c r="Q17260" s="183"/>
      <c r="R17260" s="183"/>
      <c r="S17260" s="183"/>
    </row>
    <row r="17261" spans="1:19">
      <c r="A17261" s="182"/>
      <c r="Q17261" s="183"/>
      <c r="R17261" s="183"/>
      <c r="S17261" s="183"/>
    </row>
    <row r="17262" spans="1:19">
      <c r="A17262" s="182"/>
      <c r="Q17262" s="183"/>
      <c r="R17262" s="183"/>
      <c r="S17262" s="183"/>
    </row>
    <row r="17263" spans="1:19">
      <c r="A17263" s="182"/>
      <c r="Q17263" s="183"/>
      <c r="R17263" s="183"/>
      <c r="S17263" s="183"/>
    </row>
    <row r="17264" spans="1:19">
      <c r="A17264" s="182"/>
      <c r="Q17264" s="183"/>
      <c r="R17264" s="183"/>
      <c r="S17264" s="183"/>
    </row>
    <row r="17265" spans="1:38">
      <c r="A17265" s="182"/>
      <c r="Q17265" s="183"/>
      <c r="R17265" s="183"/>
      <c r="S17265" s="183"/>
      <c r="AK17265" s="183"/>
      <c r="AL17265" s="183"/>
    </row>
    <row r="17266" spans="1:38">
      <c r="A17266" s="182"/>
      <c r="Q17266" s="183"/>
      <c r="R17266" s="183"/>
      <c r="S17266" s="183"/>
      <c r="AJ17266" s="183"/>
      <c r="AK17266" s="183"/>
      <c r="AL17266" s="183"/>
    </row>
    <row r="17267" spans="1:38">
      <c r="A17267" s="182"/>
      <c r="Q17267" s="183"/>
      <c r="R17267" s="183"/>
      <c r="S17267" s="183"/>
      <c r="AJ17267" s="183"/>
      <c r="AK17267" s="183"/>
      <c r="AL17267" s="183"/>
    </row>
    <row r="17268" spans="1:38">
      <c r="A17268" s="182"/>
      <c r="Q17268" s="183"/>
      <c r="R17268" s="183"/>
      <c r="S17268" s="183"/>
      <c r="AJ17268" s="183"/>
      <c r="AK17268" s="183"/>
      <c r="AL17268" s="183"/>
    </row>
    <row r="17269" spans="1:38">
      <c r="A17269" s="182"/>
      <c r="Q17269" s="183"/>
      <c r="R17269" s="183"/>
      <c r="S17269" s="183"/>
      <c r="AJ17269" s="183"/>
    </row>
    <row r="17270" spans="1:38">
      <c r="A17270" s="182"/>
      <c r="Q17270" s="183"/>
      <c r="R17270" s="183"/>
      <c r="S17270" s="183"/>
    </row>
    <row r="17271" spans="1:38">
      <c r="A17271" s="182"/>
      <c r="Q17271" s="183"/>
      <c r="R17271" s="183"/>
      <c r="S17271" s="183"/>
    </row>
    <row r="17272" spans="1:38">
      <c r="A17272" s="182"/>
      <c r="Q17272" s="183"/>
      <c r="R17272" s="183"/>
      <c r="S17272" s="183"/>
    </row>
    <row r="17273" spans="1:38">
      <c r="A17273" s="182"/>
      <c r="Q17273" s="183"/>
      <c r="R17273" s="183"/>
      <c r="S17273" s="183"/>
      <c r="AK17273" s="183"/>
      <c r="AL17273" s="183"/>
    </row>
    <row r="17274" spans="1:38">
      <c r="A17274" s="182"/>
      <c r="Q17274" s="183"/>
      <c r="R17274" s="183"/>
      <c r="S17274" s="183"/>
      <c r="AJ17274" s="183"/>
      <c r="AK17274" s="183"/>
      <c r="AL17274" s="183"/>
    </row>
    <row r="17275" spans="1:38">
      <c r="A17275" s="182"/>
      <c r="Q17275" s="183"/>
      <c r="R17275" s="183"/>
      <c r="S17275" s="183"/>
      <c r="AJ17275" s="183"/>
      <c r="AK17275" s="183"/>
      <c r="AL17275" s="183"/>
    </row>
    <row r="17276" spans="1:38">
      <c r="A17276" s="182"/>
      <c r="Q17276" s="183"/>
      <c r="R17276" s="183"/>
      <c r="S17276" s="183"/>
      <c r="AJ17276" s="183"/>
      <c r="AK17276" s="183"/>
      <c r="AL17276" s="183"/>
    </row>
    <row r="17277" spans="1:38">
      <c r="A17277" s="182"/>
      <c r="Q17277" s="183"/>
      <c r="R17277" s="183"/>
      <c r="S17277" s="183"/>
      <c r="AJ17277" s="183"/>
      <c r="AK17277" s="183"/>
      <c r="AL17277" s="183"/>
    </row>
    <row r="17278" spans="1:38">
      <c r="A17278" s="182"/>
      <c r="Q17278" s="183"/>
      <c r="R17278" s="183"/>
      <c r="S17278" s="183"/>
      <c r="AJ17278" s="183"/>
      <c r="AK17278" s="183"/>
      <c r="AL17278" s="183"/>
    </row>
    <row r="17279" spans="1:38">
      <c r="A17279" s="182"/>
      <c r="Q17279" s="183"/>
      <c r="R17279" s="183"/>
      <c r="S17279" s="183"/>
      <c r="AJ17279" s="183"/>
      <c r="AK17279" s="183"/>
      <c r="AL17279" s="183"/>
    </row>
    <row r="17280" spans="1:38">
      <c r="A17280" s="182"/>
      <c r="Q17280" s="183"/>
      <c r="R17280" s="183"/>
      <c r="S17280" s="183"/>
      <c r="AJ17280" s="183"/>
      <c r="AK17280" s="183"/>
      <c r="AL17280" s="183"/>
    </row>
    <row r="17281" spans="1:38">
      <c r="A17281" s="182"/>
      <c r="Q17281" s="183"/>
      <c r="R17281" s="183"/>
      <c r="S17281" s="183"/>
      <c r="AJ17281" s="183"/>
      <c r="AK17281" s="183"/>
      <c r="AL17281" s="183"/>
    </row>
    <row r="17282" spans="1:38">
      <c r="A17282" s="182"/>
      <c r="Q17282" s="183"/>
      <c r="R17282" s="183"/>
      <c r="S17282" s="183"/>
      <c r="AJ17282" s="183"/>
      <c r="AK17282" s="183"/>
      <c r="AL17282" s="183"/>
    </row>
    <row r="17283" spans="1:38">
      <c r="A17283" s="182"/>
      <c r="Q17283" s="183"/>
      <c r="R17283" s="183"/>
      <c r="S17283" s="183"/>
      <c r="AJ17283" s="183"/>
      <c r="AK17283" s="183"/>
      <c r="AL17283" s="183"/>
    </row>
    <row r="17284" spans="1:38">
      <c r="A17284" s="182"/>
      <c r="Q17284" s="183"/>
      <c r="R17284" s="183"/>
      <c r="S17284" s="183"/>
      <c r="AJ17284" s="183"/>
      <c r="AK17284" s="183"/>
      <c r="AL17284" s="183"/>
    </row>
    <row r="17285" spans="1:38">
      <c r="A17285" s="182"/>
      <c r="Q17285" s="183"/>
      <c r="R17285" s="183"/>
      <c r="S17285" s="183"/>
      <c r="AJ17285" s="183"/>
      <c r="AK17285" s="183"/>
      <c r="AL17285" s="183"/>
    </row>
    <row r="17286" spans="1:38">
      <c r="A17286" s="182"/>
      <c r="Q17286" s="183"/>
      <c r="R17286" s="183"/>
      <c r="S17286" s="183"/>
      <c r="AJ17286" s="183"/>
      <c r="AK17286" s="183"/>
      <c r="AL17286" s="183"/>
    </row>
    <row r="17287" spans="1:38">
      <c r="A17287" s="182"/>
      <c r="Q17287" s="183"/>
      <c r="R17287" s="183"/>
      <c r="S17287" s="183"/>
      <c r="AJ17287" s="183"/>
      <c r="AK17287" s="183"/>
      <c r="AL17287" s="183"/>
    </row>
    <row r="17288" spans="1:38">
      <c r="A17288" s="182"/>
      <c r="Q17288" s="183"/>
      <c r="R17288" s="183"/>
      <c r="S17288" s="183"/>
      <c r="AJ17288" s="183"/>
      <c r="AK17288" s="183"/>
      <c r="AL17288" s="183"/>
    </row>
    <row r="17289" spans="1:38">
      <c r="A17289" s="182"/>
      <c r="Q17289" s="183"/>
      <c r="R17289" s="183"/>
      <c r="S17289" s="183"/>
      <c r="AJ17289" s="183"/>
      <c r="AK17289" s="183"/>
      <c r="AL17289" s="183"/>
    </row>
    <row r="17290" spans="1:38">
      <c r="A17290" s="182"/>
      <c r="Q17290" s="183"/>
      <c r="R17290" s="183"/>
      <c r="S17290" s="183"/>
      <c r="AJ17290" s="183"/>
      <c r="AK17290" s="183"/>
      <c r="AL17290" s="183"/>
    </row>
    <row r="17291" spans="1:38">
      <c r="A17291" s="182"/>
      <c r="Q17291" s="183"/>
      <c r="R17291" s="183"/>
      <c r="S17291" s="183"/>
      <c r="AJ17291" s="183"/>
      <c r="AK17291" s="183"/>
      <c r="AL17291" s="183"/>
    </row>
    <row r="17292" spans="1:38">
      <c r="A17292" s="182"/>
      <c r="Q17292" s="183"/>
      <c r="R17292" s="183"/>
      <c r="S17292" s="183"/>
      <c r="AJ17292" s="183"/>
      <c r="AK17292" s="183"/>
      <c r="AL17292" s="183"/>
    </row>
    <row r="17293" spans="1:38">
      <c r="A17293" s="182"/>
      <c r="Q17293" s="183"/>
      <c r="R17293" s="183"/>
      <c r="S17293" s="183"/>
      <c r="AJ17293" s="183"/>
    </row>
    <row r="17294" spans="1:38">
      <c r="A17294" s="182"/>
      <c r="Q17294" s="183"/>
      <c r="R17294" s="183"/>
      <c r="S17294" s="183"/>
    </row>
    <row r="17295" spans="1:38">
      <c r="A17295" s="182"/>
      <c r="Q17295" s="183"/>
      <c r="R17295" s="183"/>
      <c r="S17295" s="183"/>
    </row>
    <row r="17296" spans="1:38">
      <c r="A17296" s="182"/>
      <c r="Q17296" s="183"/>
      <c r="R17296" s="183"/>
      <c r="S17296" s="183"/>
    </row>
    <row r="17297" spans="1:38">
      <c r="A17297" s="182"/>
      <c r="Q17297" s="183"/>
      <c r="R17297" s="183"/>
      <c r="S17297" s="183"/>
      <c r="AK17297" s="183"/>
      <c r="AL17297" s="183"/>
    </row>
    <row r="17298" spans="1:38">
      <c r="A17298" s="182"/>
      <c r="Q17298" s="183"/>
      <c r="R17298" s="183"/>
      <c r="S17298" s="183"/>
      <c r="AJ17298" s="183"/>
      <c r="AK17298" s="183"/>
      <c r="AL17298" s="183"/>
    </row>
    <row r="17299" spans="1:38">
      <c r="A17299" s="182"/>
      <c r="Q17299" s="183"/>
      <c r="R17299" s="183"/>
      <c r="S17299" s="183"/>
      <c r="AJ17299" s="183"/>
      <c r="AK17299" s="183"/>
      <c r="AL17299" s="183"/>
    </row>
    <row r="17300" spans="1:38">
      <c r="A17300" s="182"/>
      <c r="Q17300" s="183"/>
      <c r="R17300" s="183"/>
      <c r="S17300" s="183"/>
      <c r="AJ17300" s="183"/>
      <c r="AK17300" s="183"/>
      <c r="AL17300" s="183"/>
    </row>
    <row r="17301" spans="1:38">
      <c r="A17301" s="182"/>
      <c r="Q17301" s="183"/>
      <c r="R17301" s="183"/>
      <c r="S17301" s="183"/>
      <c r="AJ17301" s="183"/>
      <c r="AK17301" s="183"/>
      <c r="AL17301" s="183"/>
    </row>
    <row r="17302" spans="1:38">
      <c r="A17302" s="182"/>
      <c r="Q17302" s="183"/>
      <c r="R17302" s="183"/>
      <c r="S17302" s="183"/>
      <c r="AJ17302" s="183"/>
      <c r="AK17302" s="183"/>
      <c r="AL17302" s="183"/>
    </row>
    <row r="17303" spans="1:38">
      <c r="A17303" s="182"/>
      <c r="Q17303" s="183"/>
      <c r="R17303" s="183"/>
      <c r="S17303" s="183"/>
      <c r="AJ17303" s="183"/>
      <c r="AK17303" s="183"/>
      <c r="AL17303" s="183"/>
    </row>
    <row r="17304" spans="1:38">
      <c r="A17304" s="182"/>
      <c r="Q17304" s="183"/>
      <c r="R17304" s="183"/>
      <c r="S17304" s="183"/>
      <c r="AJ17304" s="183"/>
      <c r="AK17304" s="183"/>
      <c r="AL17304" s="183"/>
    </row>
    <row r="17305" spans="1:38">
      <c r="A17305" s="182"/>
      <c r="Q17305" s="183"/>
      <c r="R17305" s="183"/>
      <c r="S17305" s="183"/>
      <c r="AJ17305" s="183"/>
    </row>
    <row r="17306" spans="1:38">
      <c r="A17306" s="182"/>
      <c r="Q17306" s="183"/>
      <c r="R17306" s="183"/>
      <c r="S17306" s="183"/>
    </row>
    <row r="17307" spans="1:38">
      <c r="A17307" s="182"/>
      <c r="Q17307" s="183"/>
      <c r="R17307" s="183"/>
      <c r="S17307" s="183"/>
    </row>
    <row r="17308" spans="1:38">
      <c r="A17308" s="182"/>
      <c r="Q17308" s="183"/>
      <c r="R17308" s="183"/>
      <c r="S17308" s="183"/>
    </row>
    <row r="17309" spans="1:38">
      <c r="A17309" s="182"/>
      <c r="Q17309" s="183"/>
      <c r="R17309" s="183"/>
      <c r="S17309" s="183"/>
    </row>
    <row r="17310" spans="1:38">
      <c r="A17310" s="182"/>
      <c r="Q17310" s="183"/>
      <c r="R17310" s="183"/>
      <c r="S17310" s="183"/>
    </row>
    <row r="17311" spans="1:38">
      <c r="A17311" s="182"/>
      <c r="Q17311" s="183"/>
      <c r="R17311" s="183"/>
      <c r="S17311" s="183"/>
    </row>
    <row r="17312" spans="1:38">
      <c r="A17312" s="182"/>
      <c r="Q17312" s="183"/>
      <c r="R17312" s="183"/>
      <c r="S17312" s="183"/>
    </row>
    <row r="17313" spans="1:38">
      <c r="A17313" s="182"/>
      <c r="Q17313" s="183"/>
      <c r="R17313" s="183"/>
      <c r="S17313" s="183"/>
    </row>
    <row r="17314" spans="1:38">
      <c r="A17314" s="182"/>
      <c r="Q17314" s="183"/>
      <c r="R17314" s="183"/>
      <c r="S17314" s="183"/>
    </row>
    <row r="17315" spans="1:38">
      <c r="A17315" s="182"/>
      <c r="Q17315" s="183"/>
      <c r="R17315" s="183"/>
      <c r="S17315" s="183"/>
    </row>
    <row r="17316" spans="1:38">
      <c r="A17316" s="182"/>
      <c r="Q17316" s="183"/>
      <c r="R17316" s="183"/>
      <c r="S17316" s="183"/>
    </row>
    <row r="17317" spans="1:38">
      <c r="A17317" s="182"/>
      <c r="Q17317" s="183"/>
      <c r="R17317" s="183"/>
      <c r="S17317" s="183"/>
      <c r="AK17317" s="183"/>
      <c r="AL17317" s="183"/>
    </row>
    <row r="17318" spans="1:38">
      <c r="A17318" s="182"/>
      <c r="Q17318" s="183"/>
      <c r="R17318" s="183"/>
      <c r="S17318" s="183"/>
      <c r="AJ17318" s="183"/>
      <c r="AK17318" s="183"/>
      <c r="AL17318" s="183"/>
    </row>
    <row r="17319" spans="1:38">
      <c r="A17319" s="182"/>
      <c r="Q17319" s="183"/>
      <c r="R17319" s="183"/>
      <c r="S17319" s="183"/>
      <c r="AJ17319" s="183"/>
      <c r="AK17319" s="183"/>
      <c r="AL17319" s="183"/>
    </row>
    <row r="17320" spans="1:38">
      <c r="A17320" s="182"/>
      <c r="Q17320" s="183"/>
      <c r="R17320" s="183"/>
      <c r="S17320" s="183"/>
      <c r="AJ17320" s="183"/>
      <c r="AK17320" s="183"/>
      <c r="AL17320" s="183"/>
    </row>
    <row r="17321" spans="1:38">
      <c r="A17321" s="182"/>
      <c r="Q17321" s="183"/>
      <c r="R17321" s="183"/>
      <c r="S17321" s="183"/>
      <c r="AJ17321" s="183"/>
    </row>
    <row r="17322" spans="1:38">
      <c r="A17322" s="182"/>
      <c r="Q17322" s="183"/>
      <c r="R17322" s="183"/>
      <c r="S17322" s="183"/>
    </row>
    <row r="17323" spans="1:38">
      <c r="A17323" s="182"/>
      <c r="Q17323" s="183"/>
      <c r="R17323" s="183"/>
      <c r="S17323" s="183"/>
    </row>
    <row r="17324" spans="1:38">
      <c r="A17324" s="182"/>
      <c r="Q17324" s="183"/>
      <c r="R17324" s="183"/>
      <c r="S17324" s="183"/>
    </row>
    <row r="17325" spans="1:38">
      <c r="A17325" s="182"/>
      <c r="Q17325" s="183"/>
      <c r="R17325" s="183"/>
      <c r="S17325" s="183"/>
      <c r="AK17325" s="183"/>
      <c r="AL17325" s="183"/>
    </row>
    <row r="17326" spans="1:38">
      <c r="A17326" s="182"/>
      <c r="Q17326" s="183"/>
      <c r="R17326" s="183"/>
      <c r="S17326" s="183"/>
      <c r="AJ17326" s="183"/>
      <c r="AK17326" s="183"/>
      <c r="AL17326" s="183"/>
    </row>
    <row r="17327" spans="1:38">
      <c r="A17327" s="182"/>
      <c r="Q17327" s="183"/>
      <c r="R17327" s="183"/>
      <c r="S17327" s="183"/>
      <c r="AJ17327" s="183"/>
      <c r="AK17327" s="183"/>
      <c r="AL17327" s="183"/>
    </row>
    <row r="17328" spans="1:38">
      <c r="A17328" s="182"/>
      <c r="Q17328" s="183"/>
      <c r="R17328" s="183"/>
      <c r="S17328" s="183"/>
      <c r="AJ17328" s="183"/>
      <c r="AK17328" s="183"/>
      <c r="AL17328" s="183"/>
    </row>
    <row r="17329" spans="1:38">
      <c r="A17329" s="182"/>
      <c r="Q17329" s="183"/>
      <c r="R17329" s="183"/>
      <c r="S17329" s="183"/>
      <c r="AJ17329" s="183"/>
    </row>
    <row r="17330" spans="1:38">
      <c r="A17330" s="182"/>
      <c r="Q17330" s="183"/>
      <c r="R17330" s="183"/>
      <c r="S17330" s="183"/>
    </row>
    <row r="17331" spans="1:38">
      <c r="A17331" s="182"/>
      <c r="Q17331" s="183"/>
      <c r="R17331" s="183"/>
      <c r="S17331" s="183"/>
    </row>
    <row r="17332" spans="1:38">
      <c r="A17332" s="182"/>
      <c r="Q17332" s="183"/>
      <c r="R17332" s="183"/>
      <c r="S17332" s="183"/>
    </row>
    <row r="17333" spans="1:38">
      <c r="A17333" s="182"/>
      <c r="Q17333" s="183"/>
      <c r="R17333" s="183"/>
      <c r="S17333" s="183"/>
      <c r="AK17333" s="183"/>
      <c r="AL17333" s="183"/>
    </row>
    <row r="17334" spans="1:38">
      <c r="A17334" s="182"/>
      <c r="Q17334" s="183"/>
      <c r="R17334" s="183"/>
      <c r="S17334" s="183"/>
      <c r="AJ17334" s="183"/>
      <c r="AK17334" s="183"/>
      <c r="AL17334" s="183"/>
    </row>
    <row r="17335" spans="1:38">
      <c r="A17335" s="182"/>
      <c r="Q17335" s="183"/>
      <c r="R17335" s="183"/>
      <c r="S17335" s="183"/>
      <c r="AJ17335" s="183"/>
      <c r="AK17335" s="183"/>
      <c r="AL17335" s="183"/>
    </row>
    <row r="17336" spans="1:38">
      <c r="A17336" s="182"/>
      <c r="Q17336" s="183"/>
      <c r="R17336" s="183"/>
      <c r="S17336" s="183"/>
      <c r="AJ17336" s="183"/>
      <c r="AK17336" s="183"/>
      <c r="AL17336" s="183"/>
    </row>
    <row r="17337" spans="1:38">
      <c r="A17337" s="182"/>
      <c r="Q17337" s="183"/>
      <c r="R17337" s="183"/>
      <c r="S17337" s="183"/>
      <c r="AJ17337" s="183"/>
    </row>
    <row r="17338" spans="1:38">
      <c r="A17338" s="182"/>
      <c r="Q17338" s="183"/>
      <c r="R17338" s="183"/>
      <c r="S17338" s="183"/>
    </row>
    <row r="17339" spans="1:38">
      <c r="A17339" s="182"/>
      <c r="Q17339" s="183"/>
      <c r="R17339" s="183"/>
      <c r="S17339" s="183"/>
    </row>
    <row r="17340" spans="1:38">
      <c r="A17340" s="182"/>
      <c r="Q17340" s="183"/>
      <c r="R17340" s="183"/>
      <c r="S17340" s="183"/>
    </row>
    <row r="17341" spans="1:38">
      <c r="A17341" s="182"/>
      <c r="Q17341" s="183"/>
      <c r="R17341" s="183"/>
      <c r="S17341" s="183"/>
    </row>
    <row r="17342" spans="1:38">
      <c r="A17342" s="182"/>
      <c r="Q17342" s="183"/>
      <c r="R17342" s="183"/>
      <c r="S17342" s="183"/>
    </row>
    <row r="17343" spans="1:38">
      <c r="A17343" s="182"/>
      <c r="Q17343" s="183"/>
      <c r="R17343" s="183"/>
      <c r="S17343" s="183"/>
    </row>
    <row r="17344" spans="1:38">
      <c r="A17344" s="182"/>
      <c r="Q17344" s="183"/>
      <c r="R17344" s="183"/>
      <c r="S17344" s="183"/>
    </row>
    <row r="17345" spans="1:38">
      <c r="A17345" s="182"/>
      <c r="Q17345" s="183"/>
      <c r="R17345" s="183"/>
      <c r="S17345" s="183"/>
      <c r="AK17345" s="183"/>
      <c r="AL17345" s="183"/>
    </row>
    <row r="17346" spans="1:38">
      <c r="A17346" s="182"/>
      <c r="Q17346" s="183"/>
      <c r="R17346" s="183"/>
      <c r="S17346" s="183"/>
      <c r="AJ17346" s="183"/>
      <c r="AK17346" s="183"/>
      <c r="AL17346" s="183"/>
    </row>
    <row r="17347" spans="1:38">
      <c r="A17347" s="182"/>
      <c r="Q17347" s="183"/>
      <c r="R17347" s="183"/>
      <c r="S17347" s="183"/>
      <c r="AJ17347" s="183"/>
      <c r="AK17347" s="183"/>
      <c r="AL17347" s="183"/>
    </row>
    <row r="17348" spans="1:38">
      <c r="A17348" s="182"/>
      <c r="Q17348" s="183"/>
      <c r="R17348" s="183"/>
      <c r="S17348" s="183"/>
      <c r="AJ17348" s="183"/>
      <c r="AK17348" s="183"/>
      <c r="AL17348" s="183"/>
    </row>
    <row r="17349" spans="1:38">
      <c r="A17349" s="182"/>
      <c r="Q17349" s="183"/>
      <c r="R17349" s="183"/>
      <c r="S17349" s="183"/>
      <c r="AJ17349" s="183"/>
      <c r="AK17349" s="183"/>
      <c r="AL17349" s="183"/>
    </row>
    <row r="17350" spans="1:38">
      <c r="A17350" s="182"/>
      <c r="Q17350" s="183"/>
      <c r="R17350" s="183"/>
      <c r="S17350" s="183"/>
      <c r="AJ17350" s="183"/>
      <c r="AK17350" s="183"/>
      <c r="AL17350" s="183"/>
    </row>
    <row r="17351" spans="1:38">
      <c r="A17351" s="182"/>
      <c r="Q17351" s="183"/>
      <c r="R17351" s="183"/>
      <c r="S17351" s="183"/>
      <c r="AJ17351" s="183"/>
      <c r="AK17351" s="183"/>
      <c r="AL17351" s="183"/>
    </row>
    <row r="17352" spans="1:38">
      <c r="A17352" s="182"/>
      <c r="Q17352" s="183"/>
      <c r="R17352" s="183"/>
      <c r="S17352" s="183"/>
      <c r="AJ17352" s="183"/>
      <c r="AK17352" s="183"/>
      <c r="AL17352" s="183"/>
    </row>
    <row r="17353" spans="1:38">
      <c r="A17353" s="182"/>
      <c r="Q17353" s="183"/>
      <c r="R17353" s="183"/>
      <c r="S17353" s="183"/>
      <c r="AJ17353" s="183"/>
    </row>
    <row r="17354" spans="1:38">
      <c r="A17354" s="182"/>
      <c r="Q17354" s="183"/>
      <c r="R17354" s="183"/>
      <c r="S17354" s="183"/>
    </row>
    <row r="17355" spans="1:38">
      <c r="A17355" s="182"/>
      <c r="Q17355" s="183"/>
      <c r="R17355" s="183"/>
      <c r="S17355" s="183"/>
    </row>
    <row r="17356" spans="1:38">
      <c r="A17356" s="182"/>
      <c r="Q17356" s="183"/>
      <c r="R17356" s="183"/>
      <c r="S17356" s="183"/>
    </row>
    <row r="17357" spans="1:38">
      <c r="A17357" s="182"/>
      <c r="Q17357" s="183"/>
      <c r="R17357" s="183"/>
      <c r="S17357" s="183"/>
    </row>
    <row r="17358" spans="1:38">
      <c r="A17358" s="182"/>
      <c r="Q17358" s="183"/>
      <c r="R17358" s="183"/>
      <c r="S17358" s="183"/>
    </row>
    <row r="17359" spans="1:38">
      <c r="A17359" s="182"/>
      <c r="Q17359" s="183"/>
      <c r="R17359" s="183"/>
      <c r="S17359" s="183"/>
    </row>
    <row r="17360" spans="1:38">
      <c r="A17360" s="182"/>
      <c r="Q17360" s="183"/>
      <c r="R17360" s="183"/>
      <c r="S17360" s="183"/>
    </row>
    <row r="17361" spans="1:38">
      <c r="A17361" s="182"/>
      <c r="Q17361" s="183"/>
      <c r="R17361" s="183"/>
      <c r="S17361" s="183"/>
    </row>
    <row r="17362" spans="1:38">
      <c r="A17362" s="182"/>
      <c r="Q17362" s="183"/>
      <c r="R17362" s="183"/>
      <c r="S17362" s="183"/>
    </row>
    <row r="17363" spans="1:38">
      <c r="A17363" s="182"/>
      <c r="Q17363" s="183"/>
      <c r="R17363" s="183"/>
      <c r="S17363" s="183"/>
    </row>
    <row r="17364" spans="1:38">
      <c r="A17364" s="182"/>
      <c r="Q17364" s="183"/>
      <c r="R17364" s="183"/>
      <c r="S17364" s="183"/>
    </row>
    <row r="17365" spans="1:38">
      <c r="A17365" s="182"/>
      <c r="Q17365" s="183"/>
      <c r="R17365" s="183"/>
      <c r="S17365" s="183"/>
    </row>
    <row r="17366" spans="1:38">
      <c r="A17366" s="182"/>
      <c r="Q17366" s="183"/>
      <c r="R17366" s="183"/>
      <c r="S17366" s="183"/>
    </row>
    <row r="17367" spans="1:38">
      <c r="A17367" s="182"/>
      <c r="Q17367" s="183"/>
      <c r="R17367" s="183"/>
      <c r="S17367" s="183"/>
    </row>
    <row r="17368" spans="1:38">
      <c r="A17368" s="182"/>
      <c r="Q17368" s="183"/>
      <c r="R17368" s="183"/>
      <c r="S17368" s="183"/>
    </row>
    <row r="17369" spans="1:38">
      <c r="A17369" s="182"/>
      <c r="Q17369" s="183"/>
      <c r="R17369" s="183"/>
      <c r="S17369" s="183"/>
      <c r="AK17369" s="183"/>
      <c r="AL17369" s="183"/>
    </row>
    <row r="17370" spans="1:38">
      <c r="A17370" s="182"/>
      <c r="Q17370" s="183"/>
      <c r="R17370" s="183"/>
      <c r="S17370" s="183"/>
      <c r="AJ17370" s="183"/>
      <c r="AK17370" s="183"/>
      <c r="AL17370" s="183"/>
    </row>
    <row r="17371" spans="1:38">
      <c r="A17371" s="182"/>
      <c r="Q17371" s="183"/>
      <c r="R17371" s="183"/>
      <c r="S17371" s="183"/>
      <c r="AJ17371" s="183"/>
      <c r="AK17371" s="183"/>
      <c r="AL17371" s="183"/>
    </row>
    <row r="17372" spans="1:38">
      <c r="A17372" s="182"/>
      <c r="Q17372" s="183"/>
      <c r="R17372" s="183"/>
      <c r="S17372" s="183"/>
      <c r="AJ17372" s="183"/>
      <c r="AK17372" s="183"/>
      <c r="AL17372" s="183"/>
    </row>
    <row r="17373" spans="1:38">
      <c r="A17373" s="182"/>
      <c r="Q17373" s="183"/>
      <c r="R17373" s="183"/>
      <c r="S17373" s="183"/>
      <c r="AJ17373" s="183"/>
    </row>
    <row r="17374" spans="1:38">
      <c r="A17374" s="182"/>
      <c r="Q17374" s="183"/>
      <c r="R17374" s="183"/>
      <c r="S17374" s="183"/>
    </row>
    <row r="17375" spans="1:38">
      <c r="A17375" s="182"/>
      <c r="Q17375" s="183"/>
      <c r="R17375" s="183"/>
      <c r="S17375" s="183"/>
    </row>
    <row r="17376" spans="1:38">
      <c r="A17376" s="182"/>
      <c r="Q17376" s="183"/>
      <c r="R17376" s="183"/>
      <c r="S17376" s="183"/>
    </row>
    <row r="17377" spans="1:38">
      <c r="A17377" s="182"/>
      <c r="Q17377" s="183"/>
      <c r="R17377" s="183"/>
      <c r="S17377" s="183"/>
      <c r="AK17377" s="183"/>
      <c r="AL17377" s="183"/>
    </row>
    <row r="17378" spans="1:38">
      <c r="A17378" s="182"/>
      <c r="Q17378" s="183"/>
      <c r="R17378" s="183"/>
      <c r="S17378" s="183"/>
      <c r="AJ17378" s="183"/>
      <c r="AK17378" s="183"/>
      <c r="AL17378" s="183"/>
    </row>
    <row r="17379" spans="1:38">
      <c r="A17379" s="182"/>
      <c r="Q17379" s="183"/>
      <c r="R17379" s="183"/>
      <c r="S17379" s="183"/>
      <c r="AJ17379" s="183"/>
      <c r="AK17379" s="183"/>
      <c r="AL17379" s="183"/>
    </row>
    <row r="17380" spans="1:38">
      <c r="A17380" s="182"/>
      <c r="Q17380" s="183"/>
      <c r="R17380" s="183"/>
      <c r="S17380" s="183"/>
      <c r="AJ17380" s="183"/>
      <c r="AK17380" s="183"/>
      <c r="AL17380" s="183"/>
    </row>
    <row r="17381" spans="1:38">
      <c r="A17381" s="182"/>
      <c r="Q17381" s="183"/>
      <c r="R17381" s="183"/>
      <c r="S17381" s="183"/>
      <c r="AJ17381" s="183"/>
      <c r="AK17381" s="183"/>
      <c r="AL17381" s="183"/>
    </row>
    <row r="17382" spans="1:38">
      <c r="A17382" s="182"/>
      <c r="Q17382" s="183"/>
      <c r="R17382" s="183"/>
      <c r="S17382" s="183"/>
      <c r="AJ17382" s="183"/>
      <c r="AK17382" s="183"/>
      <c r="AL17382" s="183"/>
    </row>
    <row r="17383" spans="1:38">
      <c r="A17383" s="182"/>
      <c r="Q17383" s="183"/>
      <c r="R17383" s="183"/>
      <c r="S17383" s="183"/>
      <c r="AJ17383" s="183"/>
      <c r="AK17383" s="183"/>
      <c r="AL17383" s="183"/>
    </row>
    <row r="17384" spans="1:38">
      <c r="A17384" s="182"/>
      <c r="Q17384" s="183"/>
      <c r="R17384" s="183"/>
      <c r="S17384" s="183"/>
      <c r="AJ17384" s="183"/>
      <c r="AK17384" s="183"/>
      <c r="AL17384" s="183"/>
    </row>
    <row r="17385" spans="1:38">
      <c r="A17385" s="182"/>
      <c r="Q17385" s="183"/>
      <c r="R17385" s="183"/>
      <c r="S17385" s="183"/>
      <c r="AJ17385" s="183"/>
      <c r="AK17385" s="183"/>
      <c r="AL17385" s="183"/>
    </row>
    <row r="17386" spans="1:38">
      <c r="A17386" s="182"/>
      <c r="Q17386" s="183"/>
      <c r="R17386" s="183"/>
      <c r="S17386" s="183"/>
      <c r="AJ17386" s="183"/>
      <c r="AK17386" s="183"/>
      <c r="AL17386" s="183"/>
    </row>
    <row r="17387" spans="1:38">
      <c r="A17387" s="182"/>
      <c r="Q17387" s="183"/>
      <c r="R17387" s="183"/>
      <c r="S17387" s="183"/>
      <c r="AJ17387" s="183"/>
      <c r="AK17387" s="183"/>
      <c r="AL17387" s="183"/>
    </row>
    <row r="17388" spans="1:38">
      <c r="A17388" s="182"/>
      <c r="Q17388" s="183"/>
      <c r="R17388" s="183"/>
      <c r="S17388" s="183"/>
      <c r="AJ17388" s="183"/>
      <c r="AK17388" s="183"/>
      <c r="AL17388" s="183"/>
    </row>
    <row r="17389" spans="1:38">
      <c r="A17389" s="182"/>
      <c r="Q17389" s="183"/>
      <c r="R17389" s="183"/>
      <c r="S17389" s="183"/>
      <c r="AJ17389" s="183"/>
      <c r="AK17389" s="183"/>
      <c r="AL17389" s="183"/>
    </row>
    <row r="17390" spans="1:38">
      <c r="A17390" s="182"/>
      <c r="Q17390" s="183"/>
      <c r="R17390" s="183"/>
      <c r="S17390" s="183"/>
      <c r="AJ17390" s="183"/>
      <c r="AK17390" s="183"/>
      <c r="AL17390" s="183"/>
    </row>
    <row r="17391" spans="1:38">
      <c r="A17391" s="182"/>
      <c r="Q17391" s="183"/>
      <c r="R17391" s="183"/>
      <c r="S17391" s="183"/>
      <c r="AJ17391" s="183"/>
      <c r="AK17391" s="183"/>
      <c r="AL17391" s="183"/>
    </row>
    <row r="17392" spans="1:38">
      <c r="A17392" s="182"/>
      <c r="Q17392" s="183"/>
      <c r="R17392" s="183"/>
      <c r="S17392" s="183"/>
      <c r="AJ17392" s="183"/>
      <c r="AK17392" s="183"/>
      <c r="AL17392" s="183"/>
    </row>
    <row r="17393" spans="1:38">
      <c r="A17393" s="182"/>
      <c r="Q17393" s="183"/>
      <c r="R17393" s="183"/>
      <c r="S17393" s="183"/>
      <c r="AJ17393" s="183"/>
    </row>
    <row r="17394" spans="1:38">
      <c r="A17394" s="182"/>
      <c r="Q17394" s="183"/>
      <c r="R17394" s="183"/>
      <c r="S17394" s="183"/>
    </row>
    <row r="17395" spans="1:38">
      <c r="A17395" s="182"/>
      <c r="Q17395" s="183"/>
      <c r="R17395" s="183"/>
      <c r="S17395" s="183"/>
    </row>
    <row r="17396" spans="1:38">
      <c r="A17396" s="182"/>
      <c r="Q17396" s="183"/>
      <c r="R17396" s="183"/>
      <c r="S17396" s="183"/>
    </row>
    <row r="17397" spans="1:38">
      <c r="A17397" s="182"/>
      <c r="Q17397" s="183"/>
      <c r="R17397" s="183"/>
      <c r="S17397" s="183"/>
    </row>
    <row r="17398" spans="1:38">
      <c r="A17398" s="182"/>
      <c r="Q17398" s="183"/>
      <c r="R17398" s="183"/>
      <c r="S17398" s="183"/>
    </row>
    <row r="17399" spans="1:38">
      <c r="A17399" s="182"/>
      <c r="Q17399" s="183"/>
      <c r="R17399" s="183"/>
      <c r="S17399" s="183"/>
    </row>
    <row r="17400" spans="1:38">
      <c r="A17400" s="182"/>
      <c r="Q17400" s="183"/>
      <c r="R17400" s="183"/>
      <c r="S17400" s="183"/>
    </row>
    <row r="17401" spans="1:38">
      <c r="A17401" s="182"/>
      <c r="Q17401" s="183"/>
      <c r="R17401" s="183"/>
      <c r="S17401" s="183"/>
      <c r="AK17401" s="183"/>
      <c r="AL17401" s="183"/>
    </row>
    <row r="17402" spans="1:38">
      <c r="A17402" s="182"/>
      <c r="Q17402" s="183"/>
      <c r="R17402" s="183"/>
      <c r="S17402" s="183"/>
      <c r="AJ17402" s="183"/>
      <c r="AK17402" s="183"/>
      <c r="AL17402" s="183"/>
    </row>
    <row r="17403" spans="1:38">
      <c r="A17403" s="182"/>
      <c r="Q17403" s="183"/>
      <c r="R17403" s="183"/>
      <c r="S17403" s="183"/>
      <c r="AJ17403" s="183"/>
      <c r="AK17403" s="183"/>
      <c r="AL17403" s="183"/>
    </row>
    <row r="17404" spans="1:38">
      <c r="A17404" s="182"/>
      <c r="Q17404" s="183"/>
      <c r="R17404" s="183"/>
      <c r="S17404" s="183"/>
      <c r="AJ17404" s="183"/>
      <c r="AK17404" s="183"/>
      <c r="AL17404" s="183"/>
    </row>
    <row r="17405" spans="1:38">
      <c r="A17405" s="182"/>
      <c r="Q17405" s="183"/>
      <c r="R17405" s="183"/>
      <c r="S17405" s="183"/>
      <c r="AJ17405" s="183"/>
      <c r="AK17405" s="183"/>
      <c r="AL17405" s="183"/>
    </row>
    <row r="17406" spans="1:38">
      <c r="A17406" s="182"/>
      <c r="Q17406" s="183"/>
      <c r="R17406" s="183"/>
      <c r="S17406" s="183"/>
      <c r="AJ17406" s="183"/>
      <c r="AK17406" s="183"/>
      <c r="AL17406" s="183"/>
    </row>
    <row r="17407" spans="1:38">
      <c r="A17407" s="182"/>
      <c r="Q17407" s="183"/>
      <c r="R17407" s="183"/>
      <c r="S17407" s="183"/>
      <c r="AJ17407" s="183"/>
      <c r="AK17407" s="183"/>
      <c r="AL17407" s="183"/>
    </row>
    <row r="17408" spans="1:38">
      <c r="A17408" s="182"/>
      <c r="Q17408" s="183"/>
      <c r="R17408" s="183"/>
      <c r="S17408" s="183"/>
      <c r="AJ17408" s="183"/>
      <c r="AK17408" s="183"/>
      <c r="AL17408" s="183"/>
    </row>
    <row r="17409" spans="1:38">
      <c r="A17409" s="182"/>
      <c r="Q17409" s="183"/>
      <c r="R17409" s="183"/>
      <c r="S17409" s="183"/>
      <c r="AJ17409" s="183"/>
    </row>
    <row r="17410" spans="1:38">
      <c r="A17410" s="182"/>
      <c r="Q17410" s="183"/>
      <c r="R17410" s="183"/>
      <c r="S17410" s="183"/>
    </row>
    <row r="17411" spans="1:38">
      <c r="A17411" s="182"/>
      <c r="Q17411" s="183"/>
      <c r="R17411" s="183"/>
      <c r="S17411" s="183"/>
    </row>
    <row r="17412" spans="1:38">
      <c r="A17412" s="182"/>
      <c r="Q17412" s="183"/>
      <c r="R17412" s="183"/>
      <c r="S17412" s="183"/>
    </row>
    <row r="17413" spans="1:38">
      <c r="A17413" s="182"/>
      <c r="Q17413" s="183"/>
      <c r="R17413" s="183"/>
      <c r="S17413" s="183"/>
      <c r="AK17413" s="183"/>
      <c r="AL17413" s="183"/>
    </row>
    <row r="17414" spans="1:38">
      <c r="A17414" s="182"/>
      <c r="Q17414" s="183"/>
      <c r="R17414" s="183"/>
      <c r="S17414" s="183"/>
      <c r="AJ17414" s="183"/>
      <c r="AK17414" s="183"/>
      <c r="AL17414" s="183"/>
    </row>
    <row r="17415" spans="1:38">
      <c r="A17415" s="182"/>
      <c r="Q17415" s="183"/>
      <c r="R17415" s="183"/>
      <c r="S17415" s="183"/>
      <c r="AJ17415" s="183"/>
      <c r="AK17415" s="183"/>
      <c r="AL17415" s="183"/>
    </row>
    <row r="17416" spans="1:38">
      <c r="A17416" s="182"/>
      <c r="Q17416" s="183"/>
      <c r="R17416" s="183"/>
      <c r="S17416" s="183"/>
      <c r="AJ17416" s="183"/>
      <c r="AK17416" s="183"/>
      <c r="AL17416" s="183"/>
    </row>
    <row r="17417" spans="1:38">
      <c r="A17417" s="182"/>
      <c r="Q17417" s="183"/>
      <c r="R17417" s="183"/>
      <c r="S17417" s="183"/>
      <c r="AJ17417" s="183"/>
      <c r="AK17417" s="183"/>
      <c r="AL17417" s="183"/>
    </row>
    <row r="17418" spans="1:38">
      <c r="A17418" s="182"/>
      <c r="Q17418" s="183"/>
      <c r="R17418" s="183"/>
      <c r="S17418" s="183"/>
      <c r="AJ17418" s="183"/>
      <c r="AK17418" s="183"/>
      <c r="AL17418" s="183"/>
    </row>
    <row r="17419" spans="1:38">
      <c r="A17419" s="182"/>
      <c r="Q17419" s="183"/>
      <c r="R17419" s="183"/>
      <c r="S17419" s="183"/>
      <c r="AJ17419" s="183"/>
      <c r="AK17419" s="183"/>
      <c r="AL17419" s="183"/>
    </row>
    <row r="17420" spans="1:38">
      <c r="A17420" s="182"/>
      <c r="Q17420" s="183"/>
      <c r="R17420" s="183"/>
      <c r="S17420" s="183"/>
      <c r="AJ17420" s="183"/>
      <c r="AK17420" s="183"/>
      <c r="AL17420" s="183"/>
    </row>
    <row r="17421" spans="1:38">
      <c r="A17421" s="182"/>
      <c r="Q17421" s="183"/>
      <c r="R17421" s="183"/>
      <c r="S17421" s="183"/>
      <c r="AJ17421" s="183"/>
    </row>
    <row r="17422" spans="1:38">
      <c r="A17422" s="182"/>
      <c r="Q17422" s="183"/>
      <c r="R17422" s="183"/>
      <c r="S17422" s="183"/>
    </row>
    <row r="17423" spans="1:38">
      <c r="A17423" s="182"/>
      <c r="Q17423" s="183"/>
      <c r="R17423" s="183"/>
      <c r="S17423" s="183"/>
    </row>
    <row r="17424" spans="1:38">
      <c r="A17424" s="182"/>
      <c r="Q17424" s="183"/>
      <c r="R17424" s="183"/>
      <c r="S17424" s="183"/>
    </row>
    <row r="17425" spans="1:38">
      <c r="A17425" s="182"/>
      <c r="Q17425" s="183"/>
      <c r="R17425" s="183"/>
      <c r="S17425" s="183"/>
    </row>
    <row r="17426" spans="1:38">
      <c r="A17426" s="182"/>
      <c r="Q17426" s="183"/>
      <c r="R17426" s="183"/>
      <c r="S17426" s="183"/>
    </row>
    <row r="17427" spans="1:38">
      <c r="A17427" s="182"/>
      <c r="Q17427" s="183"/>
      <c r="R17427" s="183"/>
      <c r="S17427" s="183"/>
    </row>
    <row r="17428" spans="1:38">
      <c r="A17428" s="182"/>
      <c r="Q17428" s="183"/>
      <c r="R17428" s="183"/>
      <c r="S17428" s="183"/>
    </row>
    <row r="17429" spans="1:38">
      <c r="A17429" s="182"/>
      <c r="Q17429" s="183"/>
      <c r="R17429" s="183"/>
      <c r="S17429" s="183"/>
      <c r="AK17429" s="183"/>
      <c r="AL17429" s="183"/>
    </row>
    <row r="17430" spans="1:38">
      <c r="A17430" s="182"/>
      <c r="Q17430" s="183"/>
      <c r="R17430" s="183"/>
      <c r="S17430" s="183"/>
      <c r="AJ17430" s="183"/>
      <c r="AK17430" s="183"/>
      <c r="AL17430" s="183"/>
    </row>
    <row r="17431" spans="1:38">
      <c r="A17431" s="182"/>
      <c r="Q17431" s="183"/>
      <c r="R17431" s="183"/>
      <c r="S17431" s="183"/>
      <c r="AJ17431" s="183"/>
      <c r="AK17431" s="183"/>
      <c r="AL17431" s="183"/>
    </row>
    <row r="17432" spans="1:38">
      <c r="A17432" s="182"/>
      <c r="Q17432" s="183"/>
      <c r="R17432" s="183"/>
      <c r="S17432" s="183"/>
      <c r="AJ17432" s="183"/>
      <c r="AK17432" s="183"/>
      <c r="AL17432" s="183"/>
    </row>
    <row r="17433" spans="1:38">
      <c r="A17433" s="182"/>
      <c r="Q17433" s="183"/>
      <c r="R17433" s="183"/>
      <c r="S17433" s="183"/>
      <c r="AJ17433" s="183"/>
    </row>
    <row r="17434" spans="1:38">
      <c r="A17434" s="182"/>
      <c r="Q17434" s="183"/>
      <c r="R17434" s="183"/>
      <c r="S17434" s="183"/>
    </row>
    <row r="17435" spans="1:38">
      <c r="A17435" s="182"/>
      <c r="Q17435" s="183"/>
      <c r="R17435" s="183"/>
      <c r="S17435" s="183"/>
    </row>
    <row r="17436" spans="1:38">
      <c r="A17436" s="182"/>
      <c r="Q17436" s="183"/>
      <c r="R17436" s="183"/>
      <c r="S17436" s="183"/>
    </row>
    <row r="17437" spans="1:38">
      <c r="A17437" s="182"/>
      <c r="Q17437" s="183"/>
      <c r="R17437" s="183"/>
      <c r="S17437" s="183"/>
    </row>
    <row r="17438" spans="1:38">
      <c r="A17438" s="182"/>
      <c r="Q17438" s="183"/>
      <c r="R17438" s="183"/>
      <c r="S17438" s="183"/>
    </row>
    <row r="17439" spans="1:38">
      <c r="A17439" s="182"/>
      <c r="Q17439" s="183"/>
      <c r="R17439" s="183"/>
      <c r="S17439" s="183"/>
    </row>
    <row r="17440" spans="1:38">
      <c r="A17440" s="182"/>
      <c r="Q17440" s="183"/>
      <c r="R17440" s="183"/>
      <c r="S17440" s="183"/>
    </row>
    <row r="17441" spans="1:38">
      <c r="A17441" s="182"/>
      <c r="Q17441" s="183"/>
      <c r="R17441" s="183"/>
      <c r="S17441" s="183"/>
    </row>
    <row r="17442" spans="1:38">
      <c r="A17442" s="182"/>
      <c r="Q17442" s="183"/>
      <c r="R17442" s="183"/>
      <c r="S17442" s="183"/>
    </row>
    <row r="17443" spans="1:38">
      <c r="A17443" s="182"/>
      <c r="Q17443" s="183"/>
      <c r="R17443" s="183"/>
      <c r="S17443" s="183"/>
    </row>
    <row r="17444" spans="1:38">
      <c r="A17444" s="182"/>
      <c r="Q17444" s="183"/>
      <c r="R17444" s="183"/>
      <c r="S17444" s="183"/>
    </row>
    <row r="17445" spans="1:38">
      <c r="A17445" s="182"/>
      <c r="Q17445" s="183"/>
      <c r="R17445" s="183"/>
      <c r="S17445" s="183"/>
      <c r="AK17445" s="183"/>
      <c r="AL17445" s="183"/>
    </row>
    <row r="17446" spans="1:38">
      <c r="A17446" s="182"/>
      <c r="Q17446" s="183"/>
      <c r="R17446" s="183"/>
      <c r="S17446" s="183"/>
      <c r="AJ17446" s="183"/>
      <c r="AK17446" s="183"/>
      <c r="AL17446" s="183"/>
    </row>
    <row r="17447" spans="1:38">
      <c r="A17447" s="182"/>
      <c r="Q17447" s="183"/>
      <c r="R17447" s="183"/>
      <c r="S17447" s="183"/>
      <c r="AJ17447" s="183"/>
      <c r="AK17447" s="183"/>
      <c r="AL17447" s="183"/>
    </row>
    <row r="17448" spans="1:38">
      <c r="A17448" s="182"/>
      <c r="Q17448" s="183"/>
      <c r="R17448" s="183"/>
      <c r="S17448" s="183"/>
      <c r="AJ17448" s="183"/>
      <c r="AK17448" s="183"/>
      <c r="AL17448" s="183"/>
    </row>
    <row r="17449" spans="1:38">
      <c r="A17449" s="182"/>
      <c r="Q17449" s="183"/>
      <c r="R17449" s="183"/>
      <c r="S17449" s="183"/>
      <c r="AJ17449" s="183"/>
    </row>
    <row r="17450" spans="1:38">
      <c r="A17450" s="182"/>
      <c r="Q17450" s="183"/>
      <c r="R17450" s="183"/>
      <c r="S17450" s="183"/>
    </row>
    <row r="17451" spans="1:38">
      <c r="A17451" s="182"/>
      <c r="Q17451" s="183"/>
      <c r="R17451" s="183"/>
      <c r="S17451" s="183"/>
    </row>
    <row r="17452" spans="1:38">
      <c r="A17452" s="182"/>
      <c r="Q17452" s="183"/>
      <c r="R17452" s="183"/>
      <c r="S17452" s="183"/>
    </row>
    <row r="17453" spans="1:38">
      <c r="A17453" s="182"/>
      <c r="Q17453" s="183"/>
      <c r="R17453" s="183"/>
      <c r="S17453" s="183"/>
    </row>
    <row r="17454" spans="1:38">
      <c r="A17454" s="182"/>
      <c r="Q17454" s="183"/>
      <c r="R17454" s="183"/>
      <c r="S17454" s="183"/>
    </row>
    <row r="17455" spans="1:38">
      <c r="A17455" s="182"/>
      <c r="Q17455" s="183"/>
      <c r="R17455" s="183"/>
      <c r="S17455" s="183"/>
    </row>
    <row r="17456" spans="1:38">
      <c r="A17456" s="182"/>
      <c r="Q17456" s="183"/>
      <c r="R17456" s="183"/>
      <c r="S17456" s="183"/>
    </row>
    <row r="17457" spans="1:38">
      <c r="A17457" s="182"/>
      <c r="Q17457" s="183"/>
      <c r="R17457" s="183"/>
      <c r="S17457" s="183"/>
    </row>
    <row r="17458" spans="1:38">
      <c r="A17458" s="182"/>
      <c r="Q17458" s="183"/>
      <c r="R17458" s="183"/>
      <c r="S17458" s="183"/>
    </row>
    <row r="17459" spans="1:38">
      <c r="A17459" s="182"/>
      <c r="Q17459" s="183"/>
      <c r="R17459" s="183"/>
      <c r="S17459" s="183"/>
    </row>
    <row r="17460" spans="1:38">
      <c r="A17460" s="182"/>
      <c r="Q17460" s="183"/>
      <c r="R17460" s="183"/>
      <c r="S17460" s="183"/>
    </row>
    <row r="17461" spans="1:38">
      <c r="A17461" s="182"/>
      <c r="Q17461" s="183"/>
      <c r="R17461" s="183"/>
      <c r="S17461" s="183"/>
    </row>
    <row r="17462" spans="1:38">
      <c r="A17462" s="182"/>
      <c r="Q17462" s="183"/>
      <c r="R17462" s="183"/>
      <c r="S17462" s="183"/>
    </row>
    <row r="17463" spans="1:38">
      <c r="A17463" s="182"/>
      <c r="Q17463" s="183"/>
      <c r="R17463" s="183"/>
      <c r="S17463" s="183"/>
    </row>
    <row r="17464" spans="1:38">
      <c r="A17464" s="182"/>
      <c r="Q17464" s="183"/>
      <c r="R17464" s="183"/>
      <c r="S17464" s="183"/>
    </row>
    <row r="17465" spans="1:38">
      <c r="A17465" s="182"/>
      <c r="Q17465" s="183"/>
      <c r="R17465" s="183"/>
      <c r="S17465" s="183"/>
    </row>
    <row r="17466" spans="1:38">
      <c r="A17466" s="182"/>
      <c r="Q17466" s="183"/>
      <c r="R17466" s="183"/>
      <c r="S17466" s="183"/>
    </row>
    <row r="17467" spans="1:38">
      <c r="A17467" s="182"/>
      <c r="Q17467" s="183"/>
      <c r="R17467" s="183"/>
      <c r="S17467" s="183"/>
    </row>
    <row r="17468" spans="1:38">
      <c r="A17468" s="182"/>
      <c r="Q17468" s="183"/>
      <c r="R17468" s="183"/>
      <c r="S17468" s="183"/>
    </row>
    <row r="17469" spans="1:38">
      <c r="A17469" s="182"/>
      <c r="Q17469" s="183"/>
      <c r="R17469" s="183"/>
      <c r="S17469" s="183"/>
      <c r="AK17469" s="183"/>
      <c r="AL17469" s="183"/>
    </row>
    <row r="17470" spans="1:38">
      <c r="A17470" s="182"/>
      <c r="Q17470" s="183"/>
      <c r="R17470" s="183"/>
      <c r="S17470" s="183"/>
      <c r="AJ17470" s="183"/>
      <c r="AK17470" s="183"/>
      <c r="AL17470" s="183"/>
    </row>
    <row r="17471" spans="1:38">
      <c r="A17471" s="182"/>
      <c r="Q17471" s="183"/>
      <c r="R17471" s="183"/>
      <c r="S17471" s="183"/>
      <c r="AJ17471" s="183"/>
      <c r="AK17471" s="183"/>
      <c r="AL17471" s="183"/>
    </row>
    <row r="17472" spans="1:38">
      <c r="A17472" s="182"/>
      <c r="Q17472" s="183"/>
      <c r="R17472" s="183"/>
      <c r="S17472" s="183"/>
      <c r="AJ17472" s="183"/>
      <c r="AK17472" s="183"/>
      <c r="AL17472" s="183"/>
    </row>
    <row r="17473" spans="1:38">
      <c r="A17473" s="182"/>
      <c r="Q17473" s="183"/>
      <c r="R17473" s="183"/>
      <c r="S17473" s="183"/>
      <c r="AJ17473" s="183"/>
    </row>
    <row r="17474" spans="1:38">
      <c r="A17474" s="182"/>
      <c r="Q17474" s="183"/>
      <c r="R17474" s="183"/>
      <c r="S17474" s="183"/>
    </row>
    <row r="17475" spans="1:38">
      <c r="A17475" s="182"/>
      <c r="Q17475" s="183"/>
      <c r="R17475" s="183"/>
      <c r="S17475" s="183"/>
    </row>
    <row r="17476" spans="1:38">
      <c r="A17476" s="182"/>
      <c r="Q17476" s="183"/>
      <c r="R17476" s="183"/>
      <c r="S17476" s="183"/>
    </row>
    <row r="17477" spans="1:38">
      <c r="A17477" s="182"/>
      <c r="Q17477" s="183"/>
      <c r="R17477" s="183"/>
      <c r="S17477" s="183"/>
    </row>
    <row r="17478" spans="1:38">
      <c r="A17478" s="182"/>
      <c r="Q17478" s="183"/>
      <c r="R17478" s="183"/>
      <c r="S17478" s="183"/>
    </row>
    <row r="17479" spans="1:38">
      <c r="A17479" s="182"/>
      <c r="Q17479" s="183"/>
      <c r="R17479" s="183"/>
      <c r="S17479" s="183"/>
    </row>
    <row r="17480" spans="1:38">
      <c r="A17480" s="182"/>
      <c r="Q17480" s="183"/>
      <c r="R17480" s="183"/>
      <c r="S17480" s="183"/>
    </row>
    <row r="17481" spans="1:38">
      <c r="A17481" s="182"/>
      <c r="Q17481" s="183"/>
      <c r="R17481" s="183"/>
      <c r="S17481" s="183"/>
      <c r="AK17481" s="183"/>
      <c r="AL17481" s="183"/>
    </row>
    <row r="17482" spans="1:38">
      <c r="A17482" s="182"/>
      <c r="Q17482" s="183"/>
      <c r="R17482" s="183"/>
      <c r="S17482" s="183"/>
      <c r="AJ17482" s="183"/>
      <c r="AK17482" s="183"/>
      <c r="AL17482" s="183"/>
    </row>
    <row r="17483" spans="1:38">
      <c r="A17483" s="182"/>
      <c r="Q17483" s="183"/>
      <c r="R17483" s="183"/>
      <c r="S17483" s="183"/>
      <c r="AJ17483" s="183"/>
      <c r="AK17483" s="183"/>
      <c r="AL17483" s="183"/>
    </row>
    <row r="17484" spans="1:38">
      <c r="A17484" s="182"/>
      <c r="Q17484" s="183"/>
      <c r="R17484" s="183"/>
      <c r="S17484" s="183"/>
      <c r="AJ17484" s="183"/>
      <c r="AK17484" s="183"/>
      <c r="AL17484" s="183"/>
    </row>
    <row r="17485" spans="1:38">
      <c r="A17485" s="182"/>
      <c r="Q17485" s="183"/>
      <c r="R17485" s="183"/>
      <c r="S17485" s="183"/>
      <c r="AJ17485" s="183"/>
    </row>
    <row r="17486" spans="1:38">
      <c r="A17486" s="182"/>
      <c r="Q17486" s="183"/>
      <c r="R17486" s="183"/>
      <c r="S17486" s="183"/>
    </row>
    <row r="17487" spans="1:38">
      <c r="A17487" s="182"/>
      <c r="Q17487" s="183"/>
      <c r="R17487" s="183"/>
      <c r="S17487" s="183"/>
    </row>
    <row r="17488" spans="1:38">
      <c r="A17488" s="182"/>
      <c r="Q17488" s="183"/>
      <c r="R17488" s="183"/>
      <c r="S17488" s="183"/>
    </row>
    <row r="17489" spans="1:38">
      <c r="A17489" s="182"/>
      <c r="Q17489" s="183"/>
      <c r="R17489" s="183"/>
      <c r="S17489" s="183"/>
      <c r="AK17489" s="183"/>
      <c r="AL17489" s="183"/>
    </row>
    <row r="17490" spans="1:38">
      <c r="A17490" s="182"/>
      <c r="Q17490" s="183"/>
      <c r="R17490" s="183"/>
      <c r="S17490" s="183"/>
      <c r="AJ17490" s="183"/>
      <c r="AK17490" s="183"/>
      <c r="AL17490" s="183"/>
    </row>
    <row r="17491" spans="1:38">
      <c r="A17491" s="182"/>
      <c r="Q17491" s="183"/>
      <c r="R17491" s="183"/>
      <c r="S17491" s="183"/>
      <c r="AJ17491" s="183"/>
      <c r="AK17491" s="183"/>
      <c r="AL17491" s="183"/>
    </row>
    <row r="17492" spans="1:38">
      <c r="A17492" s="182"/>
      <c r="Q17492" s="183"/>
      <c r="R17492" s="183"/>
      <c r="S17492" s="183"/>
      <c r="AJ17492" s="183"/>
      <c r="AK17492" s="183"/>
      <c r="AL17492" s="183"/>
    </row>
    <row r="17493" spans="1:38">
      <c r="A17493" s="182"/>
      <c r="Q17493" s="183"/>
      <c r="R17493" s="183"/>
      <c r="S17493" s="183"/>
      <c r="AJ17493" s="183"/>
    </row>
    <row r="17494" spans="1:38">
      <c r="A17494" s="182"/>
      <c r="Q17494" s="183"/>
      <c r="R17494" s="183"/>
      <c r="S17494" s="183"/>
    </row>
    <row r="17495" spans="1:38">
      <c r="A17495" s="182"/>
      <c r="Q17495" s="183"/>
      <c r="R17495" s="183"/>
      <c r="S17495" s="183"/>
    </row>
    <row r="17496" spans="1:38">
      <c r="A17496" s="182"/>
      <c r="Q17496" s="183"/>
      <c r="R17496" s="183"/>
      <c r="S17496" s="183"/>
    </row>
    <row r="17497" spans="1:38">
      <c r="A17497" s="182"/>
      <c r="Q17497" s="183"/>
      <c r="R17497" s="183"/>
      <c r="S17497" s="183"/>
    </row>
    <row r="17498" spans="1:38">
      <c r="A17498" s="182"/>
      <c r="Q17498" s="183"/>
      <c r="R17498" s="183"/>
      <c r="S17498" s="183"/>
    </row>
    <row r="17499" spans="1:38">
      <c r="A17499" s="182"/>
      <c r="Q17499" s="183"/>
      <c r="R17499" s="183"/>
      <c r="S17499" s="183"/>
    </row>
    <row r="17500" spans="1:38">
      <c r="A17500" s="182"/>
      <c r="Q17500" s="183"/>
      <c r="R17500" s="183"/>
      <c r="S17500" s="183"/>
    </row>
    <row r="17501" spans="1:38">
      <c r="A17501" s="182"/>
      <c r="Q17501" s="183"/>
      <c r="R17501" s="183"/>
      <c r="S17501" s="183"/>
      <c r="AK17501" s="183"/>
      <c r="AL17501" s="183"/>
    </row>
    <row r="17502" spans="1:38">
      <c r="A17502" s="182"/>
      <c r="Q17502" s="183"/>
      <c r="R17502" s="183"/>
      <c r="S17502" s="183"/>
      <c r="AJ17502" s="183"/>
      <c r="AK17502" s="183"/>
      <c r="AL17502" s="183"/>
    </row>
    <row r="17503" spans="1:38">
      <c r="A17503" s="182"/>
      <c r="Q17503" s="183"/>
      <c r="R17503" s="183"/>
      <c r="S17503" s="183"/>
      <c r="AJ17503" s="183"/>
      <c r="AK17503" s="183"/>
      <c r="AL17503" s="183"/>
    </row>
    <row r="17504" spans="1:38">
      <c r="A17504" s="182"/>
      <c r="Q17504" s="183"/>
      <c r="R17504" s="183"/>
      <c r="S17504" s="183"/>
      <c r="AJ17504" s="183"/>
      <c r="AK17504" s="183"/>
      <c r="AL17504" s="183"/>
    </row>
    <row r="17505" spans="1:38">
      <c r="A17505" s="182"/>
      <c r="Q17505" s="183"/>
      <c r="R17505" s="183"/>
      <c r="S17505" s="183"/>
      <c r="AJ17505" s="183"/>
    </row>
    <row r="17506" spans="1:38">
      <c r="A17506" s="182"/>
      <c r="Q17506" s="183"/>
      <c r="R17506" s="183"/>
      <c r="S17506" s="183"/>
    </row>
    <row r="17507" spans="1:38">
      <c r="A17507" s="182"/>
      <c r="Q17507" s="183"/>
      <c r="R17507" s="183"/>
      <c r="S17507" s="183"/>
    </row>
    <row r="17508" spans="1:38">
      <c r="A17508" s="182"/>
      <c r="Q17508" s="183"/>
      <c r="R17508" s="183"/>
      <c r="S17508" s="183"/>
    </row>
    <row r="17509" spans="1:38">
      <c r="A17509" s="182"/>
      <c r="Q17509" s="183"/>
      <c r="R17509" s="183"/>
      <c r="S17509" s="183"/>
    </row>
    <row r="17510" spans="1:38">
      <c r="A17510" s="182"/>
      <c r="Q17510" s="183"/>
      <c r="R17510" s="183"/>
      <c r="S17510" s="183"/>
    </row>
    <row r="17511" spans="1:38">
      <c r="A17511" s="182"/>
      <c r="Q17511" s="183"/>
      <c r="R17511" s="183"/>
      <c r="S17511" s="183"/>
    </row>
    <row r="17512" spans="1:38">
      <c r="A17512" s="182"/>
      <c r="Q17512" s="183"/>
      <c r="R17512" s="183"/>
      <c r="S17512" s="183"/>
    </row>
    <row r="17513" spans="1:38">
      <c r="A17513" s="182"/>
      <c r="Q17513" s="183"/>
      <c r="R17513" s="183"/>
      <c r="S17513" s="183"/>
      <c r="AK17513" s="183"/>
      <c r="AL17513" s="183"/>
    </row>
    <row r="17514" spans="1:38">
      <c r="A17514" s="182"/>
      <c r="Q17514" s="183"/>
      <c r="R17514" s="183"/>
      <c r="S17514" s="183"/>
      <c r="AJ17514" s="183"/>
      <c r="AK17514" s="183"/>
      <c r="AL17514" s="183"/>
    </row>
    <row r="17515" spans="1:38">
      <c r="A17515" s="182"/>
      <c r="Q17515" s="183"/>
      <c r="R17515" s="183"/>
      <c r="S17515" s="183"/>
      <c r="AJ17515" s="183"/>
      <c r="AK17515" s="183"/>
      <c r="AL17515" s="183"/>
    </row>
    <row r="17516" spans="1:38">
      <c r="A17516" s="182"/>
      <c r="Q17516" s="183"/>
      <c r="R17516" s="183"/>
      <c r="S17516" s="183"/>
      <c r="AJ17516" s="183"/>
      <c r="AK17516" s="183"/>
      <c r="AL17516" s="183"/>
    </row>
    <row r="17517" spans="1:38">
      <c r="A17517" s="182"/>
      <c r="Q17517" s="183"/>
      <c r="R17517" s="183"/>
      <c r="S17517" s="183"/>
      <c r="AJ17517" s="183"/>
      <c r="AK17517" s="183"/>
      <c r="AL17517" s="183"/>
    </row>
    <row r="17518" spans="1:38">
      <c r="A17518" s="182"/>
      <c r="Q17518" s="183"/>
      <c r="R17518" s="183"/>
      <c r="S17518" s="183"/>
      <c r="AJ17518" s="183"/>
      <c r="AK17518" s="183"/>
      <c r="AL17518" s="183"/>
    </row>
    <row r="17519" spans="1:38">
      <c r="A17519" s="182"/>
      <c r="Q17519" s="183"/>
      <c r="R17519" s="183"/>
      <c r="S17519" s="183"/>
      <c r="AJ17519" s="183"/>
      <c r="AK17519" s="183"/>
      <c r="AL17519" s="183"/>
    </row>
    <row r="17520" spans="1:38">
      <c r="A17520" s="182"/>
      <c r="Q17520" s="183"/>
      <c r="R17520" s="183"/>
      <c r="S17520" s="183"/>
      <c r="AJ17520" s="183"/>
      <c r="AK17520" s="183"/>
      <c r="AL17520" s="183"/>
    </row>
    <row r="17521" spans="1:38">
      <c r="A17521" s="182"/>
      <c r="Q17521" s="183"/>
      <c r="R17521" s="183"/>
      <c r="S17521" s="183"/>
      <c r="AJ17521" s="183"/>
    </row>
    <row r="17522" spans="1:38">
      <c r="A17522" s="182"/>
      <c r="Q17522" s="183"/>
      <c r="R17522" s="183"/>
      <c r="S17522" s="183"/>
    </row>
    <row r="17523" spans="1:38">
      <c r="A17523" s="182"/>
      <c r="Q17523" s="183"/>
      <c r="R17523" s="183"/>
      <c r="S17523" s="183"/>
    </row>
    <row r="17524" spans="1:38">
      <c r="A17524" s="182"/>
      <c r="Q17524" s="183"/>
      <c r="R17524" s="183"/>
      <c r="S17524" s="183"/>
    </row>
    <row r="17525" spans="1:38">
      <c r="A17525" s="182"/>
      <c r="Q17525" s="183"/>
      <c r="R17525" s="183"/>
      <c r="S17525" s="183"/>
    </row>
    <row r="17526" spans="1:38">
      <c r="A17526" s="182"/>
      <c r="Q17526" s="183"/>
      <c r="R17526" s="183"/>
      <c r="S17526" s="183"/>
    </row>
    <row r="17527" spans="1:38">
      <c r="A17527" s="182"/>
      <c r="Q17527" s="183"/>
      <c r="R17527" s="183"/>
      <c r="S17527" s="183"/>
    </row>
    <row r="17528" spans="1:38">
      <c r="A17528" s="182"/>
      <c r="Q17528" s="183"/>
      <c r="R17528" s="183"/>
      <c r="S17528" s="183"/>
    </row>
    <row r="17529" spans="1:38">
      <c r="A17529" s="182"/>
      <c r="Q17529" s="183"/>
      <c r="R17529" s="183"/>
      <c r="S17529" s="183"/>
      <c r="AK17529" s="183"/>
      <c r="AL17529" s="183"/>
    </row>
    <row r="17530" spans="1:38">
      <c r="A17530" s="182"/>
      <c r="Q17530" s="183"/>
      <c r="R17530" s="183"/>
      <c r="S17530" s="183"/>
      <c r="AJ17530" s="183"/>
      <c r="AK17530" s="183"/>
      <c r="AL17530" s="183"/>
    </row>
    <row r="17531" spans="1:38">
      <c r="A17531" s="182"/>
      <c r="Q17531" s="183"/>
      <c r="R17531" s="183"/>
      <c r="S17531" s="183"/>
      <c r="AJ17531" s="183"/>
      <c r="AK17531" s="183"/>
      <c r="AL17531" s="183"/>
    </row>
    <row r="17532" spans="1:38">
      <c r="A17532" s="182"/>
      <c r="Q17532" s="183"/>
      <c r="R17532" s="183"/>
      <c r="S17532" s="183"/>
      <c r="AJ17532" s="183"/>
      <c r="AK17532" s="183"/>
      <c r="AL17532" s="183"/>
    </row>
    <row r="17533" spans="1:38">
      <c r="A17533" s="182"/>
      <c r="Q17533" s="183"/>
      <c r="R17533" s="183"/>
      <c r="S17533" s="183"/>
      <c r="AJ17533" s="183"/>
    </row>
    <row r="17534" spans="1:38">
      <c r="A17534" s="182"/>
      <c r="Q17534" s="183"/>
      <c r="R17534" s="183"/>
      <c r="S17534" s="183"/>
    </row>
    <row r="17535" spans="1:38">
      <c r="A17535" s="182"/>
      <c r="Q17535" s="183"/>
      <c r="R17535" s="183"/>
      <c r="S17535" s="183"/>
    </row>
    <row r="17536" spans="1:38">
      <c r="A17536" s="182"/>
      <c r="Q17536" s="183"/>
      <c r="R17536" s="183"/>
      <c r="S17536" s="183"/>
    </row>
    <row r="17537" spans="1:38">
      <c r="A17537" s="182"/>
      <c r="Q17537" s="183"/>
      <c r="R17537" s="183"/>
      <c r="S17537" s="183"/>
      <c r="AK17537" s="183"/>
      <c r="AL17537" s="183"/>
    </row>
    <row r="17538" spans="1:38">
      <c r="A17538" s="182"/>
      <c r="Q17538" s="183"/>
      <c r="R17538" s="183"/>
      <c r="S17538" s="183"/>
      <c r="AJ17538" s="183"/>
      <c r="AK17538" s="183"/>
      <c r="AL17538" s="183"/>
    </row>
    <row r="17539" spans="1:38">
      <c r="A17539" s="182"/>
      <c r="Q17539" s="183"/>
      <c r="R17539" s="183"/>
      <c r="S17539" s="183"/>
      <c r="AJ17539" s="183"/>
      <c r="AK17539" s="183"/>
      <c r="AL17539" s="183"/>
    </row>
    <row r="17540" spans="1:38">
      <c r="A17540" s="182"/>
      <c r="Q17540" s="183"/>
      <c r="R17540" s="183"/>
      <c r="S17540" s="183"/>
      <c r="AJ17540" s="183"/>
      <c r="AK17540" s="183"/>
      <c r="AL17540" s="183"/>
    </row>
    <row r="17541" spans="1:38">
      <c r="A17541" s="182"/>
      <c r="Q17541" s="183"/>
      <c r="R17541" s="183"/>
      <c r="S17541" s="183"/>
      <c r="AJ17541" s="183"/>
      <c r="AK17541" s="183"/>
      <c r="AL17541" s="183"/>
    </row>
    <row r="17542" spans="1:38">
      <c r="A17542" s="182"/>
      <c r="Q17542" s="183"/>
      <c r="R17542" s="183"/>
      <c r="S17542" s="183"/>
      <c r="AJ17542" s="183"/>
      <c r="AK17542" s="183"/>
      <c r="AL17542" s="183"/>
    </row>
    <row r="17543" spans="1:38">
      <c r="A17543" s="182"/>
      <c r="Q17543" s="183"/>
      <c r="R17543" s="183"/>
      <c r="S17543" s="183"/>
      <c r="AJ17543" s="183"/>
      <c r="AK17543" s="183"/>
      <c r="AL17543" s="183"/>
    </row>
    <row r="17544" spans="1:38">
      <c r="A17544" s="182"/>
      <c r="Q17544" s="183"/>
      <c r="R17544" s="183"/>
      <c r="S17544" s="183"/>
      <c r="AJ17544" s="183"/>
      <c r="AK17544" s="183"/>
      <c r="AL17544" s="183"/>
    </row>
    <row r="17545" spans="1:38">
      <c r="A17545" s="182"/>
      <c r="Q17545" s="183"/>
      <c r="R17545" s="183"/>
      <c r="S17545" s="183"/>
      <c r="AJ17545" s="183"/>
      <c r="AK17545" s="183"/>
      <c r="AL17545" s="183"/>
    </row>
    <row r="17546" spans="1:38">
      <c r="A17546" s="182"/>
      <c r="Q17546" s="183"/>
      <c r="R17546" s="183"/>
      <c r="S17546" s="183"/>
      <c r="AJ17546" s="183"/>
      <c r="AK17546" s="183"/>
      <c r="AL17546" s="183"/>
    </row>
    <row r="17547" spans="1:38">
      <c r="A17547" s="182"/>
      <c r="Q17547" s="183"/>
      <c r="R17547" s="183"/>
      <c r="S17547" s="183"/>
      <c r="AJ17547" s="183"/>
      <c r="AK17547" s="183"/>
      <c r="AL17547" s="183"/>
    </row>
    <row r="17548" spans="1:38">
      <c r="A17548" s="182"/>
      <c r="Q17548" s="183"/>
      <c r="R17548" s="183"/>
      <c r="S17548" s="183"/>
      <c r="AJ17548" s="183"/>
      <c r="AK17548" s="183"/>
      <c r="AL17548" s="183"/>
    </row>
    <row r="17549" spans="1:38">
      <c r="A17549" s="182"/>
      <c r="Q17549" s="183"/>
      <c r="R17549" s="183"/>
      <c r="S17549" s="183"/>
      <c r="AJ17549" s="183"/>
      <c r="AK17549" s="183"/>
      <c r="AL17549" s="183"/>
    </row>
    <row r="17550" spans="1:38">
      <c r="A17550" s="182"/>
      <c r="Q17550" s="183"/>
      <c r="R17550" s="183"/>
      <c r="S17550" s="183"/>
      <c r="AJ17550" s="183"/>
      <c r="AK17550" s="183"/>
      <c r="AL17550" s="183"/>
    </row>
    <row r="17551" spans="1:38">
      <c r="A17551" s="182"/>
      <c r="Q17551" s="183"/>
      <c r="R17551" s="183"/>
      <c r="S17551" s="183"/>
      <c r="AJ17551" s="183"/>
      <c r="AK17551" s="183"/>
      <c r="AL17551" s="183"/>
    </row>
    <row r="17552" spans="1:38">
      <c r="A17552" s="182"/>
      <c r="Q17552" s="183"/>
      <c r="R17552" s="183"/>
      <c r="S17552" s="183"/>
      <c r="AJ17552" s="183"/>
      <c r="AK17552" s="183"/>
      <c r="AL17552" s="183"/>
    </row>
    <row r="17553" spans="1:38">
      <c r="A17553" s="182"/>
      <c r="Q17553" s="183"/>
      <c r="R17553" s="183"/>
      <c r="S17553" s="183"/>
      <c r="AJ17553" s="183"/>
      <c r="AK17553" s="183"/>
      <c r="AL17553" s="183"/>
    </row>
    <row r="17554" spans="1:38">
      <c r="A17554" s="182"/>
      <c r="Q17554" s="183"/>
      <c r="R17554" s="183"/>
      <c r="S17554" s="183"/>
      <c r="AJ17554" s="183"/>
      <c r="AK17554" s="183"/>
      <c r="AL17554" s="183"/>
    </row>
    <row r="17555" spans="1:38">
      <c r="A17555" s="182"/>
      <c r="Q17555" s="183"/>
      <c r="R17555" s="183"/>
      <c r="S17555" s="183"/>
      <c r="AJ17555" s="183"/>
      <c r="AK17555" s="183"/>
      <c r="AL17555" s="183"/>
    </row>
    <row r="17556" spans="1:38">
      <c r="A17556" s="182"/>
      <c r="Q17556" s="183"/>
      <c r="R17556" s="183"/>
      <c r="S17556" s="183"/>
      <c r="AJ17556" s="183"/>
      <c r="AK17556" s="183"/>
      <c r="AL17556" s="183"/>
    </row>
    <row r="17557" spans="1:38">
      <c r="A17557" s="182"/>
      <c r="Q17557" s="183"/>
      <c r="R17557" s="183"/>
      <c r="S17557" s="183"/>
      <c r="AJ17557" s="183"/>
      <c r="AK17557" s="183"/>
      <c r="AL17557" s="183"/>
    </row>
    <row r="17558" spans="1:38">
      <c r="A17558" s="182"/>
      <c r="Q17558" s="183"/>
      <c r="R17558" s="183"/>
      <c r="S17558" s="183"/>
      <c r="AJ17558" s="183"/>
      <c r="AK17558" s="183"/>
      <c r="AL17558" s="183"/>
    </row>
    <row r="17559" spans="1:38">
      <c r="A17559" s="182"/>
      <c r="Q17559" s="183"/>
      <c r="R17559" s="183"/>
      <c r="S17559" s="183"/>
      <c r="AJ17559" s="183"/>
      <c r="AK17559" s="183"/>
      <c r="AL17559" s="183"/>
    </row>
    <row r="17560" spans="1:38">
      <c r="A17560" s="182"/>
      <c r="Q17560" s="183"/>
      <c r="R17560" s="183"/>
      <c r="S17560" s="183"/>
      <c r="AJ17560" s="183"/>
      <c r="AK17560" s="183"/>
      <c r="AL17560" s="183"/>
    </row>
    <row r="17561" spans="1:38">
      <c r="A17561" s="182"/>
      <c r="Q17561" s="183"/>
      <c r="R17561" s="183"/>
      <c r="S17561" s="183"/>
      <c r="AJ17561" s="183"/>
    </row>
    <row r="17562" spans="1:38">
      <c r="A17562" s="182"/>
      <c r="M17562" s="183"/>
      <c r="N17562" s="183"/>
      <c r="Q17562" s="183"/>
      <c r="R17562" s="183"/>
      <c r="S17562" s="183"/>
    </row>
    <row r="17563" spans="1:38">
      <c r="A17563" s="182"/>
      <c r="L17563" s="183"/>
      <c r="Q17563" s="183"/>
      <c r="R17563" s="183"/>
      <c r="S17563" s="183"/>
    </row>
    <row r="17564" spans="1:38">
      <c r="A17564" s="182"/>
      <c r="Q17564" s="183"/>
      <c r="R17564" s="183"/>
      <c r="S17564" s="183"/>
    </row>
    <row r="17565" spans="1:38">
      <c r="A17565" s="182"/>
      <c r="Q17565" s="183"/>
      <c r="R17565" s="183"/>
      <c r="S17565" s="183"/>
      <c r="AK17565" s="183"/>
      <c r="AL17565" s="183"/>
    </row>
    <row r="17566" spans="1:38">
      <c r="A17566" s="182"/>
      <c r="Q17566" s="183"/>
      <c r="R17566" s="183"/>
      <c r="S17566" s="183"/>
      <c r="AJ17566" s="183"/>
      <c r="AK17566" s="183"/>
      <c r="AL17566" s="183"/>
    </row>
    <row r="17567" spans="1:38">
      <c r="A17567" s="182"/>
      <c r="Q17567" s="183"/>
      <c r="R17567" s="183"/>
      <c r="S17567" s="183"/>
      <c r="AJ17567" s="183"/>
      <c r="AK17567" s="183"/>
      <c r="AL17567" s="183"/>
    </row>
    <row r="17568" spans="1:38">
      <c r="A17568" s="182"/>
      <c r="Q17568" s="183"/>
      <c r="R17568" s="183"/>
      <c r="S17568" s="183"/>
      <c r="AJ17568" s="183"/>
      <c r="AK17568" s="183"/>
      <c r="AL17568" s="183"/>
    </row>
    <row r="17569" spans="1:38">
      <c r="A17569" s="182"/>
      <c r="Q17569" s="183"/>
      <c r="R17569" s="183"/>
      <c r="S17569" s="183"/>
      <c r="AJ17569" s="183"/>
      <c r="AK17569" s="183"/>
      <c r="AL17569" s="183"/>
    </row>
    <row r="17570" spans="1:38">
      <c r="A17570" s="182"/>
      <c r="Q17570" s="183"/>
      <c r="R17570" s="183"/>
      <c r="S17570" s="183"/>
      <c r="AJ17570" s="183"/>
      <c r="AK17570" s="183"/>
      <c r="AL17570" s="183"/>
    </row>
    <row r="17571" spans="1:38">
      <c r="A17571" s="182"/>
      <c r="Q17571" s="183"/>
      <c r="R17571" s="183"/>
      <c r="S17571" s="183"/>
      <c r="AJ17571" s="183"/>
      <c r="AK17571" s="183"/>
      <c r="AL17571" s="183"/>
    </row>
    <row r="17572" spans="1:38">
      <c r="A17572" s="182"/>
      <c r="Q17572" s="183"/>
      <c r="R17572" s="183"/>
      <c r="S17572" s="183"/>
      <c r="AJ17572" s="183"/>
      <c r="AK17572" s="183"/>
      <c r="AL17572" s="183"/>
    </row>
    <row r="17573" spans="1:38">
      <c r="A17573" s="182"/>
      <c r="Q17573" s="183"/>
      <c r="R17573" s="183"/>
      <c r="S17573" s="183"/>
      <c r="AJ17573" s="183"/>
      <c r="AK17573" s="183"/>
      <c r="AL17573" s="183"/>
    </row>
    <row r="17574" spans="1:38">
      <c r="A17574" s="182"/>
      <c r="Q17574" s="183"/>
      <c r="R17574" s="183"/>
      <c r="S17574" s="183"/>
      <c r="AJ17574" s="183"/>
      <c r="AK17574" s="183"/>
      <c r="AL17574" s="183"/>
    </row>
    <row r="17575" spans="1:38">
      <c r="A17575" s="182"/>
      <c r="Q17575" s="183"/>
      <c r="R17575" s="183"/>
      <c r="S17575" s="183"/>
      <c r="AJ17575" s="183"/>
      <c r="AK17575" s="183"/>
      <c r="AL17575" s="183"/>
    </row>
    <row r="17576" spans="1:38">
      <c r="A17576" s="182"/>
      <c r="Q17576" s="183"/>
      <c r="R17576" s="183"/>
      <c r="S17576" s="183"/>
      <c r="AJ17576" s="183"/>
      <c r="AK17576" s="183"/>
      <c r="AL17576" s="183"/>
    </row>
    <row r="17577" spans="1:38">
      <c r="A17577" s="182"/>
      <c r="Q17577" s="183"/>
      <c r="R17577" s="183"/>
      <c r="S17577" s="183"/>
      <c r="AJ17577" s="183"/>
      <c r="AK17577" s="183"/>
      <c r="AL17577" s="183"/>
    </row>
    <row r="17578" spans="1:38">
      <c r="A17578" s="182"/>
      <c r="Q17578" s="183"/>
      <c r="R17578" s="183"/>
      <c r="S17578" s="183"/>
      <c r="AJ17578" s="183"/>
      <c r="AK17578" s="183"/>
      <c r="AL17578" s="183"/>
    </row>
    <row r="17579" spans="1:38">
      <c r="A17579" s="182"/>
      <c r="Q17579" s="183"/>
      <c r="R17579" s="183"/>
      <c r="S17579" s="183"/>
      <c r="AJ17579" s="183"/>
      <c r="AK17579" s="183"/>
      <c r="AL17579" s="183"/>
    </row>
    <row r="17580" spans="1:38">
      <c r="A17580" s="182"/>
      <c r="Q17580" s="183"/>
      <c r="R17580" s="183"/>
      <c r="S17580" s="183"/>
      <c r="AJ17580" s="183"/>
      <c r="AK17580" s="183"/>
      <c r="AL17580" s="183"/>
    </row>
    <row r="17581" spans="1:38">
      <c r="A17581" s="182"/>
      <c r="Q17581" s="183"/>
      <c r="R17581" s="183"/>
      <c r="S17581" s="183"/>
      <c r="AJ17581" s="183"/>
      <c r="AK17581" s="183"/>
      <c r="AL17581" s="183"/>
    </row>
    <row r="17582" spans="1:38">
      <c r="A17582" s="182"/>
      <c r="Q17582" s="183"/>
      <c r="R17582" s="183"/>
      <c r="S17582" s="183"/>
      <c r="AJ17582" s="183"/>
      <c r="AK17582" s="183"/>
      <c r="AL17582" s="183"/>
    </row>
    <row r="17583" spans="1:38">
      <c r="A17583" s="182"/>
      <c r="Q17583" s="183"/>
      <c r="R17583" s="183"/>
      <c r="S17583" s="183"/>
      <c r="AJ17583" s="183"/>
      <c r="AK17583" s="183"/>
      <c r="AL17583" s="183"/>
    </row>
    <row r="17584" spans="1:38">
      <c r="A17584" s="182"/>
      <c r="Q17584" s="183"/>
      <c r="R17584" s="183"/>
      <c r="S17584" s="183"/>
      <c r="AJ17584" s="183"/>
      <c r="AK17584" s="183"/>
      <c r="AL17584" s="183"/>
    </row>
    <row r="17585" spans="1:38">
      <c r="A17585" s="182"/>
      <c r="Q17585" s="183"/>
      <c r="R17585" s="183"/>
      <c r="S17585" s="183"/>
      <c r="AJ17585" s="183"/>
      <c r="AK17585" s="183"/>
      <c r="AL17585" s="183"/>
    </row>
    <row r="17586" spans="1:38">
      <c r="A17586" s="182"/>
      <c r="Q17586" s="183"/>
      <c r="R17586" s="183"/>
      <c r="S17586" s="183"/>
      <c r="AJ17586" s="183"/>
      <c r="AK17586" s="183"/>
      <c r="AL17586" s="183"/>
    </row>
    <row r="17587" spans="1:38">
      <c r="A17587" s="182"/>
      <c r="Q17587" s="183"/>
      <c r="R17587" s="183"/>
      <c r="S17587" s="183"/>
      <c r="AJ17587" s="183"/>
      <c r="AK17587" s="183"/>
      <c r="AL17587" s="183"/>
    </row>
    <row r="17588" spans="1:38">
      <c r="A17588" s="182"/>
      <c r="Q17588" s="183"/>
      <c r="R17588" s="183"/>
      <c r="S17588" s="183"/>
      <c r="AJ17588" s="183"/>
      <c r="AK17588" s="183"/>
      <c r="AL17588" s="183"/>
    </row>
    <row r="17589" spans="1:38">
      <c r="A17589" s="182"/>
      <c r="Q17589" s="183"/>
      <c r="R17589" s="183"/>
      <c r="S17589" s="183"/>
      <c r="AJ17589" s="183"/>
      <c r="AK17589" s="183"/>
      <c r="AL17589" s="183"/>
    </row>
    <row r="17590" spans="1:38">
      <c r="A17590" s="182"/>
      <c r="Q17590" s="183"/>
      <c r="R17590" s="183"/>
      <c r="S17590" s="183"/>
      <c r="AJ17590" s="183"/>
      <c r="AK17590" s="183"/>
      <c r="AL17590" s="183"/>
    </row>
    <row r="17591" spans="1:38">
      <c r="A17591" s="182"/>
      <c r="Q17591" s="183"/>
      <c r="R17591" s="183"/>
      <c r="S17591" s="183"/>
      <c r="AJ17591" s="183"/>
      <c r="AK17591" s="183"/>
      <c r="AL17591" s="183"/>
    </row>
    <row r="17592" spans="1:38">
      <c r="A17592" s="182"/>
      <c r="Q17592" s="183"/>
      <c r="R17592" s="183"/>
      <c r="S17592" s="183"/>
      <c r="AJ17592" s="183"/>
      <c r="AK17592" s="183"/>
      <c r="AL17592" s="183"/>
    </row>
    <row r="17593" spans="1:38">
      <c r="A17593" s="182"/>
      <c r="Q17593" s="183"/>
      <c r="R17593" s="183"/>
      <c r="S17593" s="183"/>
      <c r="AJ17593" s="183"/>
    </row>
    <row r="17594" spans="1:38">
      <c r="A17594" s="182"/>
      <c r="Q17594" s="183"/>
      <c r="R17594" s="183"/>
      <c r="S17594" s="183"/>
    </row>
    <row r="17595" spans="1:38">
      <c r="A17595" s="182"/>
      <c r="Q17595" s="183"/>
      <c r="R17595" s="183"/>
      <c r="S17595" s="183"/>
    </row>
    <row r="17596" spans="1:38">
      <c r="A17596" s="182"/>
      <c r="Q17596" s="183"/>
      <c r="R17596" s="183"/>
      <c r="S17596" s="183"/>
    </row>
    <row r="17597" spans="1:38">
      <c r="A17597" s="182"/>
      <c r="Q17597" s="183"/>
      <c r="R17597" s="183"/>
      <c r="S17597" s="183"/>
    </row>
    <row r="17598" spans="1:38">
      <c r="A17598" s="182"/>
      <c r="Q17598" s="183"/>
      <c r="R17598" s="183"/>
      <c r="S17598" s="183"/>
    </row>
    <row r="17599" spans="1:38">
      <c r="A17599" s="182"/>
      <c r="Q17599" s="183"/>
      <c r="R17599" s="183"/>
      <c r="S17599" s="183"/>
    </row>
    <row r="17600" spans="1:38">
      <c r="A17600" s="182"/>
      <c r="Q17600" s="183"/>
      <c r="R17600" s="183"/>
      <c r="S17600" s="183"/>
    </row>
    <row r="17601" spans="1:38">
      <c r="A17601" s="182"/>
      <c r="Q17601" s="183"/>
      <c r="R17601" s="183"/>
      <c r="S17601" s="183"/>
    </row>
    <row r="17602" spans="1:38">
      <c r="A17602" s="182"/>
      <c r="Q17602" s="183"/>
      <c r="R17602" s="183"/>
      <c r="S17602" s="183"/>
    </row>
    <row r="17603" spans="1:38">
      <c r="A17603" s="182"/>
      <c r="Q17603" s="183"/>
      <c r="R17603" s="183"/>
      <c r="S17603" s="183"/>
    </row>
    <row r="17604" spans="1:38">
      <c r="A17604" s="182"/>
      <c r="Q17604" s="183"/>
      <c r="R17604" s="183"/>
      <c r="S17604" s="183"/>
    </row>
    <row r="17605" spans="1:38">
      <c r="A17605" s="182"/>
      <c r="Q17605" s="183"/>
      <c r="R17605" s="183"/>
      <c r="S17605" s="183"/>
      <c r="AK17605" s="183"/>
      <c r="AL17605" s="183"/>
    </row>
    <row r="17606" spans="1:38">
      <c r="A17606" s="182"/>
      <c r="Q17606" s="183"/>
      <c r="R17606" s="183"/>
      <c r="S17606" s="183"/>
      <c r="AJ17606" s="183"/>
      <c r="AK17606" s="183"/>
      <c r="AL17606" s="183"/>
    </row>
    <row r="17607" spans="1:38">
      <c r="A17607" s="182"/>
      <c r="Q17607" s="183"/>
      <c r="R17607" s="183"/>
      <c r="S17607" s="183"/>
      <c r="AJ17607" s="183"/>
      <c r="AK17607" s="183"/>
      <c r="AL17607" s="183"/>
    </row>
    <row r="17608" spans="1:38">
      <c r="A17608" s="182"/>
      <c r="Q17608" s="183"/>
      <c r="R17608" s="183"/>
      <c r="S17608" s="183"/>
      <c r="AJ17608" s="183"/>
      <c r="AK17608" s="183"/>
      <c r="AL17608" s="183"/>
    </row>
    <row r="17609" spans="1:38">
      <c r="A17609" s="182"/>
      <c r="Q17609" s="183"/>
      <c r="R17609" s="183"/>
      <c r="S17609" s="183"/>
      <c r="AJ17609" s="183"/>
      <c r="AK17609" s="183"/>
      <c r="AL17609" s="183"/>
    </row>
    <row r="17610" spans="1:38">
      <c r="A17610" s="182"/>
      <c r="Q17610" s="183"/>
      <c r="R17610" s="183"/>
      <c r="S17610" s="183"/>
      <c r="AJ17610" s="183"/>
      <c r="AK17610" s="183"/>
      <c r="AL17610" s="183"/>
    </row>
    <row r="17611" spans="1:38">
      <c r="A17611" s="182"/>
      <c r="Q17611" s="183"/>
      <c r="R17611" s="183"/>
      <c r="S17611" s="183"/>
      <c r="AJ17611" s="183"/>
      <c r="AK17611" s="183"/>
      <c r="AL17611" s="183"/>
    </row>
    <row r="17612" spans="1:38">
      <c r="A17612" s="182"/>
      <c r="Q17612" s="183"/>
      <c r="R17612" s="183"/>
      <c r="S17612" s="183"/>
      <c r="AJ17612" s="183"/>
      <c r="AK17612" s="183"/>
      <c r="AL17612" s="183"/>
    </row>
    <row r="17613" spans="1:38">
      <c r="A17613" s="182"/>
      <c r="Q17613" s="183"/>
      <c r="R17613" s="183"/>
      <c r="S17613" s="183"/>
      <c r="AJ17613" s="183"/>
      <c r="AK17613" s="183"/>
      <c r="AL17613" s="183"/>
    </row>
    <row r="17614" spans="1:38">
      <c r="A17614" s="182"/>
      <c r="Q17614" s="183"/>
      <c r="R17614" s="183"/>
      <c r="S17614" s="183"/>
      <c r="AJ17614" s="183"/>
      <c r="AK17614" s="183"/>
      <c r="AL17614" s="183"/>
    </row>
    <row r="17615" spans="1:38">
      <c r="A17615" s="182"/>
      <c r="Q17615" s="183"/>
      <c r="R17615" s="183"/>
      <c r="S17615" s="183"/>
      <c r="AJ17615" s="183"/>
      <c r="AK17615" s="183"/>
      <c r="AL17615" s="183"/>
    </row>
    <row r="17616" spans="1:38">
      <c r="A17616" s="182"/>
      <c r="Q17616" s="183"/>
      <c r="R17616" s="183"/>
      <c r="S17616" s="183"/>
      <c r="AJ17616" s="183"/>
      <c r="AK17616" s="183"/>
      <c r="AL17616" s="183"/>
    </row>
    <row r="17617" spans="1:38">
      <c r="A17617" s="182"/>
      <c r="Q17617" s="183"/>
      <c r="R17617" s="183"/>
      <c r="S17617" s="183"/>
      <c r="AJ17617" s="183"/>
    </row>
    <row r="17618" spans="1:38">
      <c r="A17618" s="182"/>
      <c r="Q17618" s="183"/>
      <c r="R17618" s="183"/>
      <c r="S17618" s="183"/>
    </row>
    <row r="17619" spans="1:38">
      <c r="A17619" s="182"/>
      <c r="Q17619" s="183"/>
      <c r="R17619" s="183"/>
      <c r="S17619" s="183"/>
    </row>
    <row r="17620" spans="1:38">
      <c r="A17620" s="182"/>
      <c r="Q17620" s="183"/>
      <c r="R17620" s="183"/>
      <c r="S17620" s="183"/>
    </row>
    <row r="17621" spans="1:38">
      <c r="A17621" s="182"/>
      <c r="Q17621" s="183"/>
      <c r="R17621" s="183"/>
      <c r="S17621" s="183"/>
      <c r="AK17621" s="183"/>
      <c r="AL17621" s="183"/>
    </row>
    <row r="17622" spans="1:38">
      <c r="A17622" s="182"/>
      <c r="Q17622" s="183"/>
      <c r="R17622" s="183"/>
      <c r="S17622" s="183"/>
      <c r="AJ17622" s="183"/>
      <c r="AK17622" s="183"/>
      <c r="AL17622" s="183"/>
    </row>
    <row r="17623" spans="1:38">
      <c r="A17623" s="182"/>
      <c r="Q17623" s="183"/>
      <c r="R17623" s="183"/>
      <c r="S17623" s="183"/>
      <c r="AJ17623" s="183"/>
      <c r="AK17623" s="183"/>
      <c r="AL17623" s="183"/>
    </row>
    <row r="17624" spans="1:38">
      <c r="A17624" s="182"/>
      <c r="Q17624" s="183"/>
      <c r="R17624" s="183"/>
      <c r="S17624" s="183"/>
      <c r="AJ17624" s="183"/>
      <c r="AK17624" s="183"/>
      <c r="AL17624" s="183"/>
    </row>
    <row r="17625" spans="1:38">
      <c r="A17625" s="182"/>
      <c r="Q17625" s="183"/>
      <c r="R17625" s="183"/>
      <c r="S17625" s="183"/>
      <c r="AJ17625" s="183"/>
      <c r="AK17625" s="183"/>
      <c r="AL17625" s="183"/>
    </row>
    <row r="17626" spans="1:38">
      <c r="A17626" s="182"/>
      <c r="Q17626" s="183"/>
      <c r="R17626" s="183"/>
      <c r="S17626" s="183"/>
      <c r="AJ17626" s="183"/>
      <c r="AK17626" s="183"/>
      <c r="AL17626" s="183"/>
    </row>
    <row r="17627" spans="1:38">
      <c r="A17627" s="182"/>
      <c r="Q17627" s="183"/>
      <c r="R17627" s="183"/>
      <c r="S17627" s="183"/>
      <c r="AJ17627" s="183"/>
      <c r="AK17627" s="183"/>
      <c r="AL17627" s="183"/>
    </row>
    <row r="17628" spans="1:38">
      <c r="A17628" s="182"/>
      <c r="Q17628" s="183"/>
      <c r="R17628" s="183"/>
      <c r="S17628" s="183"/>
      <c r="AJ17628" s="183"/>
      <c r="AK17628" s="183"/>
      <c r="AL17628" s="183"/>
    </row>
    <row r="17629" spans="1:38">
      <c r="A17629" s="182"/>
      <c r="Q17629" s="183"/>
      <c r="R17629" s="183"/>
      <c r="S17629" s="183"/>
      <c r="AJ17629" s="183"/>
    </row>
    <row r="17630" spans="1:38">
      <c r="A17630" s="182"/>
      <c r="Q17630" s="183"/>
      <c r="R17630" s="183"/>
      <c r="S17630" s="183"/>
    </row>
    <row r="17631" spans="1:38">
      <c r="A17631" s="182"/>
      <c r="Q17631" s="183"/>
      <c r="R17631" s="183"/>
      <c r="S17631" s="183"/>
    </row>
    <row r="17632" spans="1:38">
      <c r="A17632" s="182"/>
      <c r="Q17632" s="183"/>
      <c r="R17632" s="183"/>
      <c r="S17632" s="183"/>
    </row>
    <row r="17633" spans="1:38">
      <c r="A17633" s="182"/>
      <c r="Q17633" s="183"/>
      <c r="R17633" s="183"/>
      <c r="S17633" s="183"/>
      <c r="AK17633" s="183"/>
      <c r="AL17633" s="183"/>
    </row>
    <row r="17634" spans="1:38">
      <c r="A17634" s="182"/>
      <c r="Q17634" s="183"/>
      <c r="R17634" s="183"/>
      <c r="S17634" s="183"/>
      <c r="AJ17634" s="183"/>
      <c r="AK17634" s="183"/>
      <c r="AL17634" s="183"/>
    </row>
    <row r="17635" spans="1:38">
      <c r="A17635" s="182"/>
      <c r="Q17635" s="183"/>
      <c r="R17635" s="183"/>
      <c r="S17635" s="183"/>
      <c r="AJ17635" s="183"/>
      <c r="AK17635" s="183"/>
      <c r="AL17635" s="183"/>
    </row>
    <row r="17636" spans="1:38">
      <c r="A17636" s="182"/>
      <c r="Q17636" s="183"/>
      <c r="R17636" s="183"/>
      <c r="S17636" s="183"/>
      <c r="AJ17636" s="183"/>
      <c r="AK17636" s="183"/>
      <c r="AL17636" s="183"/>
    </row>
    <row r="17637" spans="1:38">
      <c r="A17637" s="182"/>
      <c r="Q17637" s="183"/>
      <c r="R17637" s="183"/>
      <c r="S17637" s="183"/>
      <c r="AJ17637" s="183"/>
    </row>
    <row r="17638" spans="1:38">
      <c r="A17638" s="182"/>
      <c r="Q17638" s="183"/>
      <c r="R17638" s="183"/>
      <c r="S17638" s="183"/>
    </row>
    <row r="17639" spans="1:38">
      <c r="A17639" s="182"/>
      <c r="Q17639" s="183"/>
      <c r="R17639" s="183"/>
      <c r="S17639" s="183"/>
    </row>
    <row r="17640" spans="1:38">
      <c r="A17640" s="182"/>
      <c r="Q17640" s="183"/>
      <c r="R17640" s="183"/>
      <c r="S17640" s="183"/>
    </row>
    <row r="17641" spans="1:38">
      <c r="A17641" s="182"/>
      <c r="Q17641" s="183"/>
      <c r="R17641" s="183"/>
      <c r="S17641" s="183"/>
    </row>
    <row r="17642" spans="1:38">
      <c r="A17642" s="182"/>
      <c r="Q17642" s="183"/>
      <c r="R17642" s="183"/>
      <c r="S17642" s="183"/>
    </row>
    <row r="17643" spans="1:38">
      <c r="A17643" s="182"/>
      <c r="Q17643" s="183"/>
      <c r="R17643" s="183"/>
      <c r="S17643" s="183"/>
    </row>
    <row r="17644" spans="1:38">
      <c r="A17644" s="182"/>
      <c r="Q17644" s="183"/>
      <c r="R17644" s="183"/>
      <c r="S17644" s="183"/>
    </row>
    <row r="17645" spans="1:38">
      <c r="A17645" s="182"/>
      <c r="Q17645" s="183"/>
      <c r="R17645" s="183"/>
      <c r="S17645" s="183"/>
    </row>
    <row r="17646" spans="1:38">
      <c r="A17646" s="182"/>
      <c r="Q17646" s="183"/>
      <c r="R17646" s="183"/>
      <c r="S17646" s="183"/>
    </row>
    <row r="17647" spans="1:38">
      <c r="A17647" s="182"/>
      <c r="Q17647" s="183"/>
      <c r="R17647" s="183"/>
      <c r="S17647" s="183"/>
    </row>
    <row r="17648" spans="1:38">
      <c r="A17648" s="182"/>
      <c r="Q17648" s="183"/>
      <c r="R17648" s="183"/>
      <c r="S17648" s="183"/>
    </row>
    <row r="17649" spans="1:38">
      <c r="A17649" s="182"/>
      <c r="Q17649" s="183"/>
      <c r="R17649" s="183"/>
      <c r="S17649" s="183"/>
    </row>
    <row r="17650" spans="1:38">
      <c r="A17650" s="182"/>
      <c r="Q17650" s="183"/>
      <c r="R17650" s="183"/>
      <c r="S17650" s="183"/>
    </row>
    <row r="17651" spans="1:38">
      <c r="A17651" s="182"/>
      <c r="Q17651" s="183"/>
      <c r="R17651" s="183"/>
      <c r="S17651" s="183"/>
    </row>
    <row r="17652" spans="1:38">
      <c r="A17652" s="182"/>
      <c r="Q17652" s="183"/>
      <c r="R17652" s="183"/>
      <c r="S17652" s="183"/>
    </row>
    <row r="17653" spans="1:38">
      <c r="A17653" s="182"/>
      <c r="Q17653" s="183"/>
      <c r="R17653" s="183"/>
      <c r="S17653" s="183"/>
      <c r="AK17653" s="183"/>
      <c r="AL17653" s="183"/>
    </row>
    <row r="17654" spans="1:38">
      <c r="A17654" s="182"/>
      <c r="Q17654" s="183"/>
      <c r="R17654" s="183"/>
      <c r="S17654" s="183"/>
      <c r="AJ17654" s="183"/>
      <c r="AK17654" s="183"/>
      <c r="AL17654" s="183"/>
    </row>
    <row r="17655" spans="1:38">
      <c r="A17655" s="182"/>
      <c r="Q17655" s="183"/>
      <c r="R17655" s="183"/>
      <c r="S17655" s="183"/>
      <c r="AJ17655" s="183"/>
      <c r="AK17655" s="183"/>
      <c r="AL17655" s="183"/>
    </row>
    <row r="17656" spans="1:38">
      <c r="A17656" s="182"/>
      <c r="Q17656" s="183"/>
      <c r="R17656" s="183"/>
      <c r="S17656" s="183"/>
      <c r="AJ17656" s="183"/>
      <c r="AK17656" s="183"/>
      <c r="AL17656" s="183"/>
    </row>
    <row r="17657" spans="1:38">
      <c r="A17657" s="182"/>
      <c r="Q17657" s="183"/>
      <c r="R17657" s="183"/>
      <c r="S17657" s="183"/>
      <c r="AJ17657" s="183"/>
    </row>
    <row r="17658" spans="1:38">
      <c r="A17658" s="182"/>
      <c r="Q17658" s="183"/>
      <c r="R17658" s="183"/>
      <c r="S17658" s="183"/>
    </row>
    <row r="17659" spans="1:38">
      <c r="A17659" s="182"/>
      <c r="Q17659" s="183"/>
      <c r="R17659" s="183"/>
      <c r="S17659" s="183"/>
    </row>
    <row r="17660" spans="1:38">
      <c r="A17660" s="182"/>
      <c r="Q17660" s="183"/>
      <c r="R17660" s="183"/>
      <c r="S17660" s="183"/>
    </row>
    <row r="17661" spans="1:38">
      <c r="A17661" s="182"/>
      <c r="Q17661" s="183"/>
      <c r="R17661" s="183"/>
      <c r="S17661" s="183"/>
      <c r="AK17661" s="183"/>
      <c r="AL17661" s="183"/>
    </row>
    <row r="17662" spans="1:38">
      <c r="A17662" s="182"/>
      <c r="Q17662" s="183"/>
      <c r="R17662" s="183"/>
      <c r="S17662" s="183"/>
      <c r="AJ17662" s="183"/>
      <c r="AK17662" s="183"/>
      <c r="AL17662" s="183"/>
    </row>
    <row r="17663" spans="1:38">
      <c r="A17663" s="182"/>
      <c r="Q17663" s="183"/>
      <c r="R17663" s="183"/>
      <c r="S17663" s="183"/>
      <c r="AJ17663" s="183"/>
      <c r="AK17663" s="183"/>
      <c r="AL17663" s="183"/>
    </row>
    <row r="17664" spans="1:38">
      <c r="A17664" s="182"/>
      <c r="Q17664" s="183"/>
      <c r="R17664" s="183"/>
      <c r="S17664" s="183"/>
      <c r="AJ17664" s="183"/>
      <c r="AK17664" s="183"/>
      <c r="AL17664" s="183"/>
    </row>
    <row r="17665" spans="1:36">
      <c r="A17665" s="182"/>
      <c r="Q17665" s="183"/>
      <c r="R17665" s="183"/>
      <c r="S17665" s="183"/>
      <c r="AJ17665" s="183"/>
    </row>
    <row r="17666" spans="1:36">
      <c r="A17666" s="182"/>
      <c r="Q17666" s="183"/>
      <c r="R17666" s="183"/>
      <c r="S17666" s="183"/>
    </row>
    <row r="17667" spans="1:36">
      <c r="A17667" s="182"/>
      <c r="Q17667" s="183"/>
      <c r="R17667" s="183"/>
      <c r="S17667" s="183"/>
    </row>
    <row r="17668" spans="1:36">
      <c r="A17668" s="182"/>
      <c r="Q17668" s="183"/>
      <c r="R17668" s="183"/>
      <c r="S17668" s="183"/>
    </row>
    <row r="17669" spans="1:36">
      <c r="A17669" s="182"/>
      <c r="Q17669" s="183"/>
      <c r="R17669" s="183"/>
      <c r="S17669" s="183"/>
    </row>
    <row r="17670" spans="1:36">
      <c r="A17670" s="182"/>
      <c r="Q17670" s="183"/>
      <c r="R17670" s="183"/>
      <c r="S17670" s="183"/>
    </row>
    <row r="17671" spans="1:36">
      <c r="A17671" s="182"/>
      <c r="Q17671" s="183"/>
      <c r="R17671" s="183"/>
      <c r="S17671" s="183"/>
    </row>
    <row r="17672" spans="1:36">
      <c r="A17672" s="182"/>
      <c r="Q17672" s="183"/>
      <c r="R17672" s="183"/>
      <c r="S17672" s="183"/>
    </row>
    <row r="17673" spans="1:36">
      <c r="A17673" s="182"/>
      <c r="Q17673" s="183"/>
      <c r="R17673" s="183"/>
      <c r="S17673" s="183"/>
    </row>
    <row r="17674" spans="1:36">
      <c r="A17674" s="182"/>
      <c r="Q17674" s="183"/>
      <c r="R17674" s="183"/>
      <c r="S17674" s="183"/>
    </row>
    <row r="17675" spans="1:36">
      <c r="A17675" s="182"/>
      <c r="Q17675" s="183"/>
      <c r="R17675" s="183"/>
      <c r="S17675" s="183"/>
    </row>
    <row r="17676" spans="1:36">
      <c r="A17676" s="182"/>
      <c r="Q17676" s="183"/>
      <c r="R17676" s="183"/>
      <c r="S17676" s="183"/>
    </row>
    <row r="17677" spans="1:36">
      <c r="A17677" s="182"/>
      <c r="Q17677" s="183"/>
      <c r="R17677" s="183"/>
      <c r="S17677" s="183"/>
    </row>
    <row r="17678" spans="1:36">
      <c r="A17678" s="182"/>
      <c r="Q17678" s="183"/>
      <c r="R17678" s="183"/>
      <c r="S17678" s="183"/>
    </row>
    <row r="17679" spans="1:36">
      <c r="A17679" s="182"/>
      <c r="Q17679" s="183"/>
      <c r="R17679" s="183"/>
      <c r="S17679" s="183"/>
    </row>
    <row r="17680" spans="1:36">
      <c r="A17680" s="182"/>
      <c r="Q17680" s="183"/>
      <c r="R17680" s="183"/>
      <c r="S17680" s="183"/>
    </row>
    <row r="17681" spans="1:38">
      <c r="A17681" s="182"/>
      <c r="Q17681" s="183"/>
      <c r="R17681" s="183"/>
      <c r="S17681" s="183"/>
    </row>
    <row r="17682" spans="1:38">
      <c r="A17682" s="182"/>
      <c r="Q17682" s="183"/>
      <c r="R17682" s="183"/>
      <c r="S17682" s="183"/>
    </row>
    <row r="17683" spans="1:38">
      <c r="A17683" s="182"/>
      <c r="Q17683" s="183"/>
      <c r="R17683" s="183"/>
      <c r="S17683" s="183"/>
    </row>
    <row r="17684" spans="1:38">
      <c r="A17684" s="182"/>
      <c r="Q17684" s="183"/>
      <c r="R17684" s="183"/>
      <c r="S17684" s="183"/>
    </row>
    <row r="17685" spans="1:38">
      <c r="A17685" s="182"/>
      <c r="Q17685" s="183"/>
      <c r="R17685" s="183"/>
      <c r="S17685" s="183"/>
      <c r="AK17685" s="183"/>
      <c r="AL17685" s="183"/>
    </row>
    <row r="17686" spans="1:38">
      <c r="A17686" s="182"/>
      <c r="Q17686" s="183"/>
      <c r="R17686" s="183"/>
      <c r="S17686" s="183"/>
      <c r="AJ17686" s="183"/>
      <c r="AK17686" s="183"/>
      <c r="AL17686" s="183"/>
    </row>
    <row r="17687" spans="1:38">
      <c r="A17687" s="182"/>
      <c r="Q17687" s="183"/>
      <c r="R17687" s="183"/>
      <c r="S17687" s="183"/>
      <c r="AJ17687" s="183"/>
      <c r="AK17687" s="183"/>
      <c r="AL17687" s="183"/>
    </row>
    <row r="17688" spans="1:38">
      <c r="A17688" s="182"/>
      <c r="Q17688" s="183"/>
      <c r="R17688" s="183"/>
      <c r="S17688" s="183"/>
      <c r="AJ17688" s="183"/>
      <c r="AK17688" s="183"/>
      <c r="AL17688" s="183"/>
    </row>
    <row r="17689" spans="1:38">
      <c r="A17689" s="182"/>
      <c r="Q17689" s="183"/>
      <c r="R17689" s="183"/>
      <c r="S17689" s="183"/>
      <c r="AJ17689" s="183"/>
    </row>
    <row r="17690" spans="1:38">
      <c r="A17690" s="182"/>
      <c r="Q17690" s="183"/>
      <c r="R17690" s="183"/>
      <c r="S17690" s="183"/>
    </row>
    <row r="17691" spans="1:38">
      <c r="A17691" s="182"/>
      <c r="Q17691" s="183"/>
      <c r="R17691" s="183"/>
      <c r="S17691" s="183"/>
    </row>
    <row r="17692" spans="1:38">
      <c r="A17692" s="182"/>
      <c r="Q17692" s="183"/>
      <c r="R17692" s="183"/>
      <c r="S17692" s="183"/>
    </row>
    <row r="17693" spans="1:38">
      <c r="A17693" s="182"/>
      <c r="Q17693" s="183"/>
      <c r="R17693" s="183"/>
      <c r="S17693" s="183"/>
      <c r="AK17693" s="183"/>
      <c r="AL17693" s="183"/>
    </row>
    <row r="17694" spans="1:38">
      <c r="A17694" s="182"/>
      <c r="Q17694" s="183"/>
      <c r="R17694" s="183"/>
      <c r="S17694" s="183"/>
      <c r="AJ17694" s="183"/>
      <c r="AK17694" s="183"/>
      <c r="AL17694" s="183"/>
    </row>
    <row r="17695" spans="1:38">
      <c r="A17695" s="182"/>
      <c r="Q17695" s="183"/>
      <c r="R17695" s="183"/>
      <c r="S17695" s="183"/>
      <c r="AJ17695" s="183"/>
      <c r="AK17695" s="183"/>
      <c r="AL17695" s="183"/>
    </row>
    <row r="17696" spans="1:38">
      <c r="A17696" s="182"/>
      <c r="Q17696" s="183"/>
      <c r="R17696" s="183"/>
      <c r="S17696" s="183"/>
      <c r="AJ17696" s="183"/>
      <c r="AK17696" s="183"/>
      <c r="AL17696" s="183"/>
    </row>
    <row r="17697" spans="1:38">
      <c r="A17697" s="182"/>
      <c r="Q17697" s="183"/>
      <c r="R17697" s="183"/>
      <c r="S17697" s="183"/>
      <c r="AJ17697" s="183"/>
    </row>
    <row r="17698" spans="1:38">
      <c r="A17698" s="182"/>
      <c r="Q17698" s="183"/>
      <c r="R17698" s="183"/>
      <c r="S17698" s="183"/>
    </row>
    <row r="17699" spans="1:38">
      <c r="A17699" s="182"/>
      <c r="Q17699" s="183"/>
      <c r="R17699" s="183"/>
      <c r="S17699" s="183"/>
    </row>
    <row r="17700" spans="1:38">
      <c r="A17700" s="182"/>
      <c r="Q17700" s="183"/>
      <c r="R17700" s="183"/>
      <c r="S17700" s="183"/>
    </row>
    <row r="17701" spans="1:38">
      <c r="A17701" s="182"/>
      <c r="Q17701" s="183"/>
      <c r="R17701" s="183"/>
      <c r="S17701" s="183"/>
    </row>
    <row r="17702" spans="1:38">
      <c r="A17702" s="182"/>
      <c r="Q17702" s="183"/>
      <c r="R17702" s="183"/>
      <c r="S17702" s="183"/>
    </row>
    <row r="17703" spans="1:38">
      <c r="A17703" s="182"/>
      <c r="Q17703" s="183"/>
      <c r="R17703" s="183"/>
      <c r="S17703" s="183"/>
    </row>
    <row r="17704" spans="1:38">
      <c r="A17704" s="182"/>
      <c r="Q17704" s="183"/>
      <c r="R17704" s="183"/>
      <c r="S17704" s="183"/>
    </row>
    <row r="17705" spans="1:38">
      <c r="A17705" s="182"/>
      <c r="Q17705" s="183"/>
      <c r="R17705" s="183"/>
      <c r="S17705" s="183"/>
      <c r="AK17705" s="183"/>
      <c r="AL17705" s="183"/>
    </row>
    <row r="17706" spans="1:38">
      <c r="A17706" s="182"/>
      <c r="Q17706" s="183"/>
      <c r="R17706" s="183"/>
      <c r="S17706" s="183"/>
      <c r="AJ17706" s="183"/>
      <c r="AK17706" s="183"/>
      <c r="AL17706" s="183"/>
    </row>
    <row r="17707" spans="1:38">
      <c r="A17707" s="182"/>
      <c r="Q17707" s="183"/>
      <c r="R17707" s="183"/>
      <c r="S17707" s="183"/>
      <c r="AJ17707" s="183"/>
      <c r="AK17707" s="183"/>
      <c r="AL17707" s="183"/>
    </row>
    <row r="17708" spans="1:38">
      <c r="A17708" s="182"/>
      <c r="Q17708" s="183"/>
      <c r="R17708" s="183"/>
      <c r="S17708" s="183"/>
      <c r="AJ17708" s="183"/>
      <c r="AK17708" s="183"/>
      <c r="AL17708" s="183"/>
    </row>
    <row r="17709" spans="1:38">
      <c r="A17709" s="182"/>
      <c r="Q17709" s="183"/>
      <c r="R17709" s="183"/>
      <c r="S17709" s="183"/>
      <c r="AJ17709" s="183"/>
    </row>
    <row r="17710" spans="1:38">
      <c r="A17710" s="182"/>
      <c r="Q17710" s="183"/>
      <c r="R17710" s="183"/>
      <c r="S17710" s="183"/>
    </row>
    <row r="17711" spans="1:38">
      <c r="A17711" s="182"/>
      <c r="Q17711" s="183"/>
      <c r="R17711" s="183"/>
      <c r="S17711" s="183"/>
    </row>
    <row r="17712" spans="1:38">
      <c r="A17712" s="182"/>
      <c r="Q17712" s="183"/>
      <c r="R17712" s="183"/>
      <c r="S17712" s="183"/>
    </row>
    <row r="17713" spans="1:38">
      <c r="A17713" s="182"/>
      <c r="Q17713" s="183"/>
      <c r="R17713" s="183"/>
      <c r="S17713" s="183"/>
    </row>
    <row r="17714" spans="1:38">
      <c r="A17714" s="182"/>
      <c r="Q17714" s="183"/>
      <c r="R17714" s="183"/>
      <c r="S17714" s="183"/>
    </row>
    <row r="17715" spans="1:38">
      <c r="A17715" s="182"/>
      <c r="Q17715" s="183"/>
      <c r="R17715" s="183"/>
      <c r="S17715" s="183"/>
    </row>
    <row r="17716" spans="1:38">
      <c r="A17716" s="182"/>
      <c r="Q17716" s="183"/>
      <c r="R17716" s="183"/>
      <c r="S17716" s="183"/>
    </row>
    <row r="17717" spans="1:38">
      <c r="A17717" s="182"/>
      <c r="Q17717" s="183"/>
      <c r="R17717" s="183"/>
      <c r="S17717" s="183"/>
      <c r="AK17717" s="183"/>
      <c r="AL17717" s="183"/>
    </row>
    <row r="17718" spans="1:38">
      <c r="A17718" s="182"/>
      <c r="Q17718" s="183"/>
      <c r="R17718" s="183"/>
      <c r="S17718" s="183"/>
      <c r="AJ17718" s="183"/>
      <c r="AK17718" s="183"/>
      <c r="AL17718" s="183"/>
    </row>
    <row r="17719" spans="1:38">
      <c r="A17719" s="182"/>
      <c r="Q17719" s="183"/>
      <c r="R17719" s="183"/>
      <c r="S17719" s="183"/>
      <c r="AJ17719" s="183"/>
      <c r="AK17719" s="183"/>
      <c r="AL17719" s="183"/>
    </row>
    <row r="17720" spans="1:38">
      <c r="A17720" s="182"/>
      <c r="Q17720" s="183"/>
      <c r="R17720" s="183"/>
      <c r="S17720" s="183"/>
      <c r="AJ17720" s="183"/>
      <c r="AK17720" s="183"/>
      <c r="AL17720" s="183"/>
    </row>
    <row r="17721" spans="1:38">
      <c r="A17721" s="182"/>
      <c r="Q17721" s="183"/>
      <c r="R17721" s="183"/>
      <c r="S17721" s="183"/>
      <c r="AJ17721" s="183"/>
      <c r="AK17721" s="183"/>
      <c r="AL17721" s="183"/>
    </row>
    <row r="17722" spans="1:38">
      <c r="A17722" s="182"/>
      <c r="Q17722" s="183"/>
      <c r="R17722" s="183"/>
      <c r="S17722" s="183"/>
      <c r="AJ17722" s="183"/>
      <c r="AK17722" s="183"/>
      <c r="AL17722" s="183"/>
    </row>
    <row r="17723" spans="1:38">
      <c r="A17723" s="182"/>
      <c r="Q17723" s="183"/>
      <c r="R17723" s="183"/>
      <c r="S17723" s="183"/>
      <c r="AJ17723" s="183"/>
      <c r="AK17723" s="183"/>
      <c r="AL17723" s="183"/>
    </row>
    <row r="17724" spans="1:38">
      <c r="A17724" s="182"/>
      <c r="Q17724" s="183"/>
      <c r="R17724" s="183"/>
      <c r="S17724" s="183"/>
      <c r="AJ17724" s="183"/>
      <c r="AK17724" s="183"/>
      <c r="AL17724" s="183"/>
    </row>
    <row r="17725" spans="1:38">
      <c r="A17725" s="182"/>
      <c r="Q17725" s="183"/>
      <c r="R17725" s="183"/>
      <c r="S17725" s="183"/>
      <c r="AJ17725" s="183"/>
      <c r="AK17725" s="183"/>
      <c r="AL17725" s="183"/>
    </row>
    <row r="17726" spans="1:38">
      <c r="A17726" s="182"/>
      <c r="Q17726" s="183"/>
      <c r="R17726" s="183"/>
      <c r="S17726" s="183"/>
      <c r="AJ17726" s="183"/>
      <c r="AK17726" s="183"/>
      <c r="AL17726" s="183"/>
    </row>
    <row r="17727" spans="1:38">
      <c r="A17727" s="182"/>
      <c r="Q17727" s="183"/>
      <c r="R17727" s="183"/>
      <c r="S17727" s="183"/>
      <c r="AJ17727" s="183"/>
      <c r="AK17727" s="183"/>
      <c r="AL17727" s="183"/>
    </row>
    <row r="17728" spans="1:38">
      <c r="A17728" s="182"/>
      <c r="Q17728" s="183"/>
      <c r="R17728" s="183"/>
      <c r="S17728" s="183"/>
      <c r="AJ17728" s="183"/>
      <c r="AK17728" s="183"/>
      <c r="AL17728" s="183"/>
    </row>
    <row r="17729" spans="1:38">
      <c r="A17729" s="182"/>
      <c r="Q17729" s="183"/>
      <c r="R17729" s="183"/>
      <c r="S17729" s="183"/>
      <c r="AJ17729" s="183"/>
      <c r="AK17729" s="183"/>
      <c r="AL17729" s="183"/>
    </row>
    <row r="17730" spans="1:38">
      <c r="A17730" s="182"/>
      <c r="Q17730" s="183"/>
      <c r="R17730" s="183"/>
      <c r="S17730" s="183"/>
      <c r="AJ17730" s="183"/>
      <c r="AK17730" s="183"/>
      <c r="AL17730" s="183"/>
    </row>
    <row r="17731" spans="1:38">
      <c r="A17731" s="182"/>
      <c r="Q17731" s="183"/>
      <c r="R17731" s="183"/>
      <c r="S17731" s="183"/>
      <c r="AJ17731" s="183"/>
      <c r="AK17731" s="183"/>
      <c r="AL17731" s="183"/>
    </row>
    <row r="17732" spans="1:38">
      <c r="A17732" s="182"/>
      <c r="Q17732" s="183"/>
      <c r="R17732" s="183"/>
      <c r="S17732" s="183"/>
      <c r="AJ17732" s="183"/>
      <c r="AK17732" s="183"/>
      <c r="AL17732" s="183"/>
    </row>
    <row r="17733" spans="1:38">
      <c r="A17733" s="182"/>
      <c r="Q17733" s="183"/>
      <c r="R17733" s="183"/>
      <c r="S17733" s="183"/>
      <c r="AJ17733" s="183"/>
      <c r="AK17733" s="183"/>
      <c r="AL17733" s="183"/>
    </row>
    <row r="17734" spans="1:38">
      <c r="A17734" s="182"/>
      <c r="Q17734" s="183"/>
      <c r="R17734" s="183"/>
      <c r="S17734" s="183"/>
      <c r="AJ17734" s="183"/>
      <c r="AK17734" s="183"/>
      <c r="AL17734" s="183"/>
    </row>
    <row r="17735" spans="1:38">
      <c r="A17735" s="182"/>
      <c r="Q17735" s="183"/>
      <c r="R17735" s="183"/>
      <c r="S17735" s="183"/>
      <c r="AJ17735" s="183"/>
      <c r="AK17735" s="183"/>
      <c r="AL17735" s="183"/>
    </row>
    <row r="17736" spans="1:38">
      <c r="A17736" s="182"/>
      <c r="Q17736" s="183"/>
      <c r="R17736" s="183"/>
      <c r="S17736" s="183"/>
      <c r="AJ17736" s="183"/>
      <c r="AK17736" s="183"/>
      <c r="AL17736" s="183"/>
    </row>
    <row r="17737" spans="1:38">
      <c r="A17737" s="182"/>
      <c r="Q17737" s="183"/>
      <c r="R17737" s="183"/>
      <c r="S17737" s="183"/>
      <c r="AJ17737" s="183"/>
    </row>
    <row r="17738" spans="1:38">
      <c r="A17738" s="182"/>
      <c r="Q17738" s="183"/>
      <c r="R17738" s="183"/>
      <c r="S17738" s="183"/>
    </row>
    <row r="17739" spans="1:38">
      <c r="A17739" s="182"/>
      <c r="Q17739" s="183"/>
      <c r="R17739" s="183"/>
      <c r="S17739" s="183"/>
    </row>
    <row r="17740" spans="1:38">
      <c r="A17740" s="182"/>
      <c r="Q17740" s="183"/>
      <c r="R17740" s="183"/>
      <c r="S17740" s="183"/>
    </row>
    <row r="17741" spans="1:38">
      <c r="A17741" s="182"/>
      <c r="Q17741" s="183"/>
      <c r="R17741" s="183"/>
      <c r="S17741" s="183"/>
    </row>
    <row r="17742" spans="1:38">
      <c r="A17742" s="182"/>
      <c r="Q17742" s="183"/>
      <c r="R17742" s="183"/>
      <c r="S17742" s="183"/>
    </row>
    <row r="17743" spans="1:38">
      <c r="A17743" s="182"/>
      <c r="Q17743" s="183"/>
      <c r="R17743" s="183"/>
      <c r="S17743" s="183"/>
    </row>
    <row r="17744" spans="1:38">
      <c r="A17744" s="182"/>
      <c r="Q17744" s="183"/>
      <c r="R17744" s="183"/>
      <c r="S17744" s="183"/>
    </row>
    <row r="17745" spans="1:38">
      <c r="A17745" s="182"/>
      <c r="Q17745" s="183"/>
      <c r="R17745" s="183"/>
      <c r="S17745" s="183"/>
    </row>
    <row r="17746" spans="1:38">
      <c r="A17746" s="182"/>
      <c r="Q17746" s="183"/>
      <c r="R17746" s="183"/>
      <c r="S17746" s="183"/>
    </row>
    <row r="17747" spans="1:38">
      <c r="A17747" s="182"/>
      <c r="Q17747" s="183"/>
      <c r="R17747" s="183"/>
      <c r="S17747" s="183"/>
    </row>
    <row r="17748" spans="1:38">
      <c r="A17748" s="182"/>
      <c r="Q17748" s="183"/>
      <c r="R17748" s="183"/>
      <c r="S17748" s="183"/>
    </row>
    <row r="17749" spans="1:38">
      <c r="A17749" s="182"/>
      <c r="Q17749" s="183"/>
      <c r="R17749" s="183"/>
      <c r="S17749" s="183"/>
      <c r="AK17749" s="183"/>
      <c r="AL17749" s="183"/>
    </row>
    <row r="17750" spans="1:38">
      <c r="A17750" s="182"/>
      <c r="Q17750" s="183"/>
      <c r="R17750" s="183"/>
      <c r="S17750" s="183"/>
      <c r="AJ17750" s="183"/>
      <c r="AK17750" s="183"/>
      <c r="AL17750" s="183"/>
    </row>
    <row r="17751" spans="1:38">
      <c r="A17751" s="182"/>
      <c r="Q17751" s="183"/>
      <c r="R17751" s="183"/>
      <c r="S17751" s="183"/>
      <c r="AJ17751" s="183"/>
      <c r="AK17751" s="183"/>
      <c r="AL17751" s="183"/>
    </row>
    <row r="17752" spans="1:38">
      <c r="A17752" s="182"/>
      <c r="Q17752" s="183"/>
      <c r="R17752" s="183"/>
      <c r="S17752" s="183"/>
      <c r="AJ17752" s="183"/>
      <c r="AK17752" s="183"/>
      <c r="AL17752" s="183"/>
    </row>
    <row r="17753" spans="1:38">
      <c r="A17753" s="182"/>
      <c r="Q17753" s="183"/>
      <c r="R17753" s="183"/>
      <c r="S17753" s="183"/>
      <c r="AJ17753" s="183"/>
      <c r="AK17753" s="183"/>
      <c r="AL17753" s="183"/>
    </row>
    <row r="17754" spans="1:38">
      <c r="A17754" s="182"/>
      <c r="Q17754" s="183"/>
      <c r="R17754" s="183"/>
      <c r="S17754" s="183"/>
      <c r="AJ17754" s="183"/>
      <c r="AK17754" s="183"/>
      <c r="AL17754" s="183"/>
    </row>
    <row r="17755" spans="1:38">
      <c r="A17755" s="182"/>
      <c r="Q17755" s="183"/>
      <c r="R17755" s="183"/>
      <c r="S17755" s="183"/>
      <c r="AJ17755" s="183"/>
      <c r="AK17755" s="183"/>
      <c r="AL17755" s="183"/>
    </row>
    <row r="17756" spans="1:38">
      <c r="A17756" s="182"/>
      <c r="N17756" s="183"/>
      <c r="O17756" s="183"/>
      <c r="Q17756" s="183"/>
      <c r="R17756" s="183"/>
      <c r="S17756" s="183"/>
      <c r="AJ17756" s="183"/>
      <c r="AK17756" s="183"/>
      <c r="AL17756" s="183"/>
    </row>
    <row r="17757" spans="1:38">
      <c r="A17757" s="182"/>
      <c r="M17757" s="183"/>
      <c r="Q17757" s="183"/>
      <c r="R17757" s="183"/>
      <c r="S17757" s="183"/>
      <c r="AJ17757" s="183"/>
      <c r="AK17757" s="183"/>
      <c r="AL17757" s="183"/>
    </row>
    <row r="17758" spans="1:38">
      <c r="A17758" s="182"/>
      <c r="Q17758" s="183"/>
      <c r="R17758" s="183"/>
      <c r="S17758" s="183"/>
      <c r="AJ17758" s="183"/>
      <c r="AK17758" s="183"/>
      <c r="AL17758" s="183"/>
    </row>
    <row r="17759" spans="1:38">
      <c r="A17759" s="182"/>
      <c r="Q17759" s="183"/>
      <c r="R17759" s="183"/>
      <c r="S17759" s="183"/>
      <c r="AJ17759" s="183"/>
      <c r="AK17759" s="183"/>
      <c r="AL17759" s="183"/>
    </row>
    <row r="17760" spans="1:38">
      <c r="A17760" s="182"/>
      <c r="Q17760" s="183"/>
      <c r="R17760" s="183"/>
      <c r="S17760" s="183"/>
      <c r="AJ17760" s="183"/>
      <c r="AK17760" s="183"/>
      <c r="AL17760" s="183"/>
    </row>
    <row r="17761" spans="1:38">
      <c r="A17761" s="182"/>
      <c r="Q17761" s="183"/>
      <c r="R17761" s="183"/>
      <c r="S17761" s="183"/>
      <c r="AJ17761" s="183"/>
      <c r="AK17761" s="183"/>
      <c r="AL17761" s="183"/>
    </row>
    <row r="17762" spans="1:38">
      <c r="A17762" s="182"/>
      <c r="Q17762" s="183"/>
      <c r="R17762" s="183"/>
      <c r="S17762" s="183"/>
      <c r="AJ17762" s="183"/>
      <c r="AK17762" s="183"/>
      <c r="AL17762" s="183"/>
    </row>
    <row r="17763" spans="1:38">
      <c r="A17763" s="182"/>
      <c r="Q17763" s="183"/>
      <c r="R17763" s="183"/>
      <c r="S17763" s="183"/>
      <c r="AJ17763" s="183"/>
      <c r="AK17763" s="183"/>
      <c r="AL17763" s="183"/>
    </row>
    <row r="17764" spans="1:38">
      <c r="A17764" s="182"/>
      <c r="Q17764" s="183"/>
      <c r="R17764" s="183"/>
      <c r="S17764" s="183"/>
      <c r="AJ17764" s="183"/>
      <c r="AK17764" s="183"/>
      <c r="AL17764" s="183"/>
    </row>
    <row r="17765" spans="1:38">
      <c r="A17765" s="182"/>
      <c r="Q17765" s="183"/>
      <c r="R17765" s="183"/>
      <c r="S17765" s="183"/>
      <c r="AJ17765" s="183"/>
    </row>
    <row r="17766" spans="1:38">
      <c r="A17766" s="182"/>
      <c r="Q17766" s="183"/>
      <c r="R17766" s="183"/>
      <c r="S17766" s="183"/>
    </row>
    <row r="17767" spans="1:38">
      <c r="A17767" s="182"/>
      <c r="Q17767" s="183"/>
      <c r="R17767" s="183"/>
      <c r="S17767" s="183"/>
    </row>
    <row r="17768" spans="1:38">
      <c r="A17768" s="182"/>
      <c r="Q17768" s="183"/>
      <c r="R17768" s="183"/>
      <c r="S17768" s="183"/>
    </row>
    <row r="17769" spans="1:38">
      <c r="A17769" s="182"/>
      <c r="Q17769" s="183"/>
      <c r="R17769" s="183"/>
      <c r="S17769" s="183"/>
      <c r="AK17769" s="183"/>
      <c r="AL17769" s="183"/>
    </row>
    <row r="17770" spans="1:38">
      <c r="A17770" s="182"/>
      <c r="Q17770" s="183"/>
      <c r="R17770" s="183"/>
      <c r="S17770" s="183"/>
      <c r="AJ17770" s="183"/>
      <c r="AK17770" s="183"/>
      <c r="AL17770" s="183"/>
    </row>
    <row r="17771" spans="1:38">
      <c r="A17771" s="182"/>
      <c r="Q17771" s="183"/>
      <c r="R17771" s="183"/>
      <c r="S17771" s="183"/>
      <c r="AJ17771" s="183"/>
      <c r="AK17771" s="183"/>
      <c r="AL17771" s="183"/>
    </row>
    <row r="17772" spans="1:38">
      <c r="A17772" s="182"/>
      <c r="Q17772" s="183"/>
      <c r="R17772" s="183"/>
      <c r="S17772" s="183"/>
      <c r="AJ17772" s="183"/>
      <c r="AK17772" s="183"/>
      <c r="AL17772" s="183"/>
    </row>
    <row r="17773" spans="1:38">
      <c r="A17773" s="182"/>
      <c r="Q17773" s="183"/>
      <c r="R17773" s="183"/>
      <c r="S17773" s="183"/>
      <c r="AJ17773" s="183"/>
    </row>
    <row r="17774" spans="1:38">
      <c r="A17774" s="182"/>
      <c r="Q17774" s="183"/>
      <c r="R17774" s="183"/>
      <c r="S17774" s="183"/>
    </row>
    <row r="17775" spans="1:38">
      <c r="A17775" s="182"/>
      <c r="Q17775" s="183"/>
      <c r="R17775" s="183"/>
      <c r="S17775" s="183"/>
    </row>
    <row r="17776" spans="1:38">
      <c r="A17776" s="182"/>
      <c r="Q17776" s="183"/>
      <c r="R17776" s="183"/>
      <c r="S17776" s="183"/>
    </row>
    <row r="17777" spans="1:38">
      <c r="A17777" s="182"/>
      <c r="Q17777" s="183"/>
      <c r="R17777" s="183"/>
      <c r="S17777" s="183"/>
      <c r="AK17777" s="183"/>
      <c r="AL17777" s="183"/>
    </row>
    <row r="17778" spans="1:38">
      <c r="A17778" s="182"/>
      <c r="Q17778" s="183"/>
      <c r="R17778" s="183"/>
      <c r="S17778" s="183"/>
      <c r="AJ17778" s="183"/>
      <c r="AK17778" s="183"/>
      <c r="AL17778" s="183"/>
    </row>
    <row r="17779" spans="1:38">
      <c r="A17779" s="182"/>
      <c r="Q17779" s="183"/>
      <c r="R17779" s="183"/>
      <c r="S17779" s="183"/>
      <c r="AJ17779" s="183"/>
      <c r="AK17779" s="183"/>
      <c r="AL17779" s="183"/>
    </row>
    <row r="17780" spans="1:38">
      <c r="A17780" s="182"/>
      <c r="Q17780" s="183"/>
      <c r="R17780" s="183"/>
      <c r="S17780" s="183"/>
      <c r="AJ17780" s="183"/>
      <c r="AK17780" s="183"/>
      <c r="AL17780" s="183"/>
    </row>
    <row r="17781" spans="1:38">
      <c r="A17781" s="182"/>
      <c r="Q17781" s="183"/>
      <c r="R17781" s="183"/>
      <c r="S17781" s="183"/>
      <c r="AJ17781" s="183"/>
      <c r="AK17781" s="183"/>
      <c r="AL17781" s="183"/>
    </row>
    <row r="17782" spans="1:38">
      <c r="A17782" s="182"/>
      <c r="Q17782" s="183"/>
      <c r="R17782" s="183"/>
      <c r="S17782" s="183"/>
      <c r="AJ17782" s="183"/>
      <c r="AK17782" s="183"/>
      <c r="AL17782" s="183"/>
    </row>
    <row r="17783" spans="1:38">
      <c r="A17783" s="182"/>
      <c r="Q17783" s="183"/>
      <c r="R17783" s="183"/>
      <c r="S17783" s="183"/>
      <c r="AJ17783" s="183"/>
      <c r="AK17783" s="183"/>
      <c r="AL17783" s="183"/>
    </row>
    <row r="17784" spans="1:38">
      <c r="A17784" s="182"/>
      <c r="Q17784" s="183"/>
      <c r="R17784" s="183"/>
      <c r="S17784" s="183"/>
      <c r="AJ17784" s="183"/>
      <c r="AK17784" s="183"/>
      <c r="AL17784" s="183"/>
    </row>
    <row r="17785" spans="1:38">
      <c r="A17785" s="182"/>
      <c r="Q17785" s="183"/>
      <c r="R17785" s="183"/>
      <c r="S17785" s="183"/>
      <c r="AJ17785" s="183"/>
    </row>
    <row r="17786" spans="1:38">
      <c r="A17786" s="182"/>
      <c r="Q17786" s="183"/>
      <c r="R17786" s="183"/>
      <c r="S17786" s="183"/>
    </row>
    <row r="17787" spans="1:38">
      <c r="A17787" s="182"/>
      <c r="Q17787" s="183"/>
      <c r="R17787" s="183"/>
      <c r="S17787" s="183"/>
    </row>
    <row r="17788" spans="1:38">
      <c r="A17788" s="182"/>
      <c r="Q17788" s="183"/>
      <c r="R17788" s="183"/>
      <c r="S17788" s="183"/>
    </row>
    <row r="17789" spans="1:38">
      <c r="A17789" s="182"/>
      <c r="Q17789" s="183"/>
      <c r="R17789" s="183"/>
      <c r="S17789" s="183"/>
      <c r="AK17789" s="183"/>
      <c r="AL17789" s="183"/>
    </row>
    <row r="17790" spans="1:38">
      <c r="A17790" s="182"/>
      <c r="Q17790" s="183"/>
      <c r="R17790" s="183"/>
      <c r="S17790" s="183"/>
      <c r="AJ17790" s="183"/>
      <c r="AK17790" s="183"/>
      <c r="AL17790" s="183"/>
    </row>
    <row r="17791" spans="1:38">
      <c r="A17791" s="182"/>
      <c r="Q17791" s="183"/>
      <c r="R17791" s="183"/>
      <c r="S17791" s="183"/>
      <c r="AJ17791" s="183"/>
      <c r="AK17791" s="183"/>
      <c r="AL17791" s="183"/>
    </row>
    <row r="17792" spans="1:38">
      <c r="A17792" s="182"/>
      <c r="Q17792" s="183"/>
      <c r="R17792" s="183"/>
      <c r="S17792" s="183"/>
      <c r="AJ17792" s="183"/>
      <c r="AK17792" s="183"/>
      <c r="AL17792" s="183"/>
    </row>
    <row r="17793" spans="1:38">
      <c r="A17793" s="182"/>
      <c r="Q17793" s="183"/>
      <c r="R17793" s="183"/>
      <c r="S17793" s="183"/>
      <c r="AJ17793" s="183"/>
    </row>
    <row r="17794" spans="1:38">
      <c r="A17794" s="182"/>
      <c r="Q17794" s="183"/>
      <c r="R17794" s="183"/>
      <c r="S17794" s="183"/>
    </row>
    <row r="17795" spans="1:38">
      <c r="A17795" s="182"/>
      <c r="Q17795" s="183"/>
      <c r="R17795" s="183"/>
      <c r="S17795" s="183"/>
    </row>
    <row r="17796" spans="1:38">
      <c r="A17796" s="182"/>
      <c r="Q17796" s="183"/>
      <c r="R17796" s="183"/>
      <c r="S17796" s="183"/>
    </row>
    <row r="17797" spans="1:38">
      <c r="A17797" s="182"/>
      <c r="Q17797" s="183"/>
      <c r="R17797" s="183"/>
      <c r="S17797" s="183"/>
    </row>
    <row r="17798" spans="1:38">
      <c r="A17798" s="182"/>
      <c r="Q17798" s="183"/>
      <c r="R17798" s="183"/>
      <c r="S17798" s="183"/>
    </row>
    <row r="17799" spans="1:38">
      <c r="A17799" s="182"/>
      <c r="Q17799" s="183"/>
      <c r="R17799" s="183"/>
      <c r="S17799" s="183"/>
    </row>
    <row r="17800" spans="1:38">
      <c r="A17800" s="182"/>
      <c r="Q17800" s="183"/>
      <c r="R17800" s="183"/>
      <c r="S17800" s="183"/>
    </row>
    <row r="17801" spans="1:38">
      <c r="A17801" s="182"/>
      <c r="Q17801" s="183"/>
      <c r="R17801" s="183"/>
      <c r="S17801" s="183"/>
    </row>
    <row r="17802" spans="1:38">
      <c r="A17802" s="182"/>
      <c r="Q17802" s="183"/>
      <c r="R17802" s="183"/>
      <c r="S17802" s="183"/>
    </row>
    <row r="17803" spans="1:38">
      <c r="A17803" s="182"/>
      <c r="Q17803" s="183"/>
      <c r="R17803" s="183"/>
      <c r="S17803" s="183"/>
    </row>
    <row r="17804" spans="1:38">
      <c r="A17804" s="182"/>
      <c r="Q17804" s="183"/>
      <c r="R17804" s="183"/>
      <c r="S17804" s="183"/>
    </row>
    <row r="17805" spans="1:38">
      <c r="A17805" s="182"/>
      <c r="Q17805" s="183"/>
      <c r="R17805" s="183"/>
      <c r="S17805" s="183"/>
      <c r="AK17805" s="183"/>
      <c r="AL17805" s="183"/>
    </row>
    <row r="17806" spans="1:38">
      <c r="A17806" s="182"/>
      <c r="Q17806" s="183"/>
      <c r="R17806" s="183"/>
      <c r="S17806" s="183"/>
      <c r="AJ17806" s="183"/>
      <c r="AK17806" s="183"/>
      <c r="AL17806" s="183"/>
    </row>
    <row r="17807" spans="1:38">
      <c r="A17807" s="182"/>
      <c r="Q17807" s="183"/>
      <c r="R17807" s="183"/>
      <c r="S17807" s="183"/>
      <c r="AJ17807" s="183"/>
      <c r="AK17807" s="183"/>
      <c r="AL17807" s="183"/>
    </row>
    <row r="17808" spans="1:38">
      <c r="A17808" s="182"/>
      <c r="Q17808" s="183"/>
      <c r="R17808" s="183"/>
      <c r="S17808" s="183"/>
      <c r="AJ17808" s="183"/>
      <c r="AK17808" s="183"/>
      <c r="AL17808" s="183"/>
    </row>
    <row r="17809" spans="1:38">
      <c r="A17809" s="182"/>
      <c r="Q17809" s="183"/>
      <c r="R17809" s="183"/>
      <c r="S17809" s="183"/>
      <c r="AJ17809" s="183"/>
    </row>
    <row r="17810" spans="1:38">
      <c r="A17810" s="182"/>
      <c r="Q17810" s="183"/>
      <c r="R17810" s="183"/>
      <c r="S17810" s="183"/>
    </row>
    <row r="17811" spans="1:38">
      <c r="A17811" s="182"/>
      <c r="Q17811" s="183"/>
      <c r="R17811" s="183"/>
      <c r="S17811" s="183"/>
    </row>
    <row r="17812" spans="1:38">
      <c r="A17812" s="182"/>
      <c r="Q17812" s="183"/>
      <c r="R17812" s="183"/>
      <c r="S17812" s="183"/>
    </row>
    <row r="17813" spans="1:38">
      <c r="A17813" s="182"/>
      <c r="Q17813" s="183"/>
      <c r="R17813" s="183"/>
      <c r="S17813" s="183"/>
    </row>
    <row r="17814" spans="1:38">
      <c r="A17814" s="182"/>
      <c r="Q17814" s="183"/>
      <c r="R17814" s="183"/>
      <c r="S17814" s="183"/>
    </row>
    <row r="17815" spans="1:38">
      <c r="A17815" s="182"/>
      <c r="Q17815" s="183"/>
      <c r="R17815" s="183"/>
      <c r="S17815" s="183"/>
    </row>
    <row r="17816" spans="1:38">
      <c r="A17816" s="182"/>
      <c r="Q17816" s="183"/>
      <c r="R17816" s="183"/>
      <c r="S17816" s="183"/>
    </row>
    <row r="17817" spans="1:38">
      <c r="A17817" s="182"/>
      <c r="Q17817" s="183"/>
      <c r="R17817" s="183"/>
      <c r="S17817" s="183"/>
    </row>
    <row r="17818" spans="1:38">
      <c r="A17818" s="182"/>
      <c r="Q17818" s="183"/>
      <c r="R17818" s="183"/>
      <c r="S17818" s="183"/>
    </row>
    <row r="17819" spans="1:38">
      <c r="A17819" s="182"/>
      <c r="Q17819" s="183"/>
      <c r="R17819" s="183"/>
      <c r="S17819" s="183"/>
    </row>
    <row r="17820" spans="1:38">
      <c r="A17820" s="182"/>
      <c r="Q17820" s="183"/>
      <c r="R17820" s="183"/>
      <c r="S17820" s="183"/>
    </row>
    <row r="17821" spans="1:38">
      <c r="A17821" s="182"/>
      <c r="Q17821" s="183"/>
      <c r="R17821" s="183"/>
      <c r="S17821" s="183"/>
      <c r="AK17821" s="183"/>
      <c r="AL17821" s="183"/>
    </row>
    <row r="17822" spans="1:38">
      <c r="A17822" s="182"/>
      <c r="Q17822" s="183"/>
      <c r="R17822" s="183"/>
      <c r="S17822" s="183"/>
      <c r="AJ17822" s="183"/>
      <c r="AK17822" s="183"/>
      <c r="AL17822" s="183"/>
    </row>
    <row r="17823" spans="1:38">
      <c r="A17823" s="182"/>
      <c r="Q17823" s="183"/>
      <c r="R17823" s="183"/>
      <c r="S17823" s="183"/>
      <c r="AJ17823" s="183"/>
      <c r="AK17823" s="183"/>
      <c r="AL17823" s="183"/>
    </row>
    <row r="17824" spans="1:38">
      <c r="A17824" s="182"/>
      <c r="Q17824" s="183"/>
      <c r="R17824" s="183"/>
      <c r="S17824" s="183"/>
      <c r="AJ17824" s="183"/>
      <c r="AK17824" s="183"/>
      <c r="AL17824" s="183"/>
    </row>
    <row r="17825" spans="1:38">
      <c r="A17825" s="182"/>
      <c r="Q17825" s="183"/>
      <c r="R17825" s="183"/>
      <c r="S17825" s="183"/>
      <c r="AJ17825" s="183"/>
      <c r="AK17825" s="183"/>
      <c r="AL17825" s="183"/>
    </row>
    <row r="17826" spans="1:38">
      <c r="A17826" s="182"/>
      <c r="Q17826" s="183"/>
      <c r="R17826" s="183"/>
      <c r="S17826" s="183"/>
      <c r="AJ17826" s="183"/>
      <c r="AK17826" s="183"/>
      <c r="AL17826" s="183"/>
    </row>
    <row r="17827" spans="1:38">
      <c r="A17827" s="182"/>
      <c r="Q17827" s="183"/>
      <c r="R17827" s="183"/>
      <c r="S17827" s="183"/>
      <c r="AJ17827" s="183"/>
      <c r="AK17827" s="183"/>
      <c r="AL17827" s="183"/>
    </row>
    <row r="17828" spans="1:38">
      <c r="A17828" s="182"/>
      <c r="Q17828" s="183"/>
      <c r="R17828" s="183"/>
      <c r="S17828" s="183"/>
      <c r="AJ17828" s="183"/>
      <c r="AK17828" s="183"/>
      <c r="AL17828" s="183"/>
    </row>
    <row r="17829" spans="1:38">
      <c r="A17829" s="182"/>
      <c r="Q17829" s="183"/>
      <c r="R17829" s="183"/>
      <c r="S17829" s="183"/>
      <c r="AJ17829" s="183"/>
    </row>
    <row r="17830" spans="1:38">
      <c r="A17830" s="182"/>
      <c r="Q17830" s="183"/>
      <c r="R17830" s="183"/>
      <c r="S17830" s="183"/>
    </row>
    <row r="17831" spans="1:38">
      <c r="A17831" s="182"/>
      <c r="Q17831" s="183"/>
      <c r="R17831" s="183"/>
      <c r="S17831" s="183"/>
    </row>
    <row r="17832" spans="1:38">
      <c r="A17832" s="182"/>
      <c r="Q17832" s="183"/>
      <c r="R17832" s="183"/>
      <c r="S17832" s="183"/>
    </row>
    <row r="17833" spans="1:38">
      <c r="A17833" s="182"/>
      <c r="Q17833" s="183"/>
      <c r="R17833" s="183"/>
      <c r="S17833" s="183"/>
      <c r="AK17833" s="183"/>
      <c r="AL17833" s="183"/>
    </row>
    <row r="17834" spans="1:38">
      <c r="A17834" s="182"/>
      <c r="Q17834" s="183"/>
      <c r="R17834" s="183"/>
      <c r="S17834" s="183"/>
      <c r="AJ17834" s="183"/>
      <c r="AK17834" s="183"/>
      <c r="AL17834" s="183"/>
    </row>
    <row r="17835" spans="1:38">
      <c r="A17835" s="182"/>
      <c r="Q17835" s="183"/>
      <c r="R17835" s="183"/>
      <c r="S17835" s="183"/>
      <c r="AJ17835" s="183"/>
      <c r="AK17835" s="183"/>
      <c r="AL17835" s="183"/>
    </row>
    <row r="17836" spans="1:38">
      <c r="A17836" s="182"/>
      <c r="Q17836" s="183"/>
      <c r="R17836" s="183"/>
      <c r="S17836" s="183"/>
      <c r="AJ17836" s="183"/>
      <c r="AK17836" s="183"/>
      <c r="AL17836" s="183"/>
    </row>
    <row r="17837" spans="1:38">
      <c r="A17837" s="182"/>
      <c r="Q17837" s="183"/>
      <c r="R17837" s="183"/>
      <c r="S17837" s="183"/>
      <c r="AJ17837" s="183"/>
    </row>
    <row r="17838" spans="1:38">
      <c r="A17838" s="182"/>
      <c r="Q17838" s="183"/>
      <c r="R17838" s="183"/>
      <c r="S17838" s="183"/>
    </row>
    <row r="17839" spans="1:38">
      <c r="A17839" s="182"/>
      <c r="Q17839" s="183"/>
      <c r="R17839" s="183"/>
      <c r="S17839" s="183"/>
    </row>
    <row r="17840" spans="1:38">
      <c r="A17840" s="182"/>
      <c r="Q17840" s="183"/>
      <c r="R17840" s="183"/>
      <c r="S17840" s="183"/>
    </row>
    <row r="17841" spans="1:38">
      <c r="A17841" s="182"/>
      <c r="Q17841" s="183"/>
      <c r="R17841" s="183"/>
      <c r="S17841" s="183"/>
      <c r="AK17841" s="183"/>
      <c r="AL17841" s="183"/>
    </row>
    <row r="17842" spans="1:38">
      <c r="A17842" s="182"/>
      <c r="Q17842" s="183"/>
      <c r="R17842" s="183"/>
      <c r="S17842" s="183"/>
      <c r="AJ17842" s="183"/>
      <c r="AK17842" s="183"/>
      <c r="AL17842" s="183"/>
    </row>
    <row r="17843" spans="1:38">
      <c r="A17843" s="182"/>
      <c r="Q17843" s="183"/>
      <c r="R17843" s="183"/>
      <c r="S17843" s="183"/>
      <c r="AJ17843" s="183"/>
      <c r="AK17843" s="183"/>
      <c r="AL17843" s="183"/>
    </row>
    <row r="17844" spans="1:38">
      <c r="A17844" s="182"/>
      <c r="Q17844" s="183"/>
      <c r="R17844" s="183"/>
      <c r="S17844" s="183"/>
      <c r="AJ17844" s="183"/>
      <c r="AK17844" s="183"/>
      <c r="AL17844" s="183"/>
    </row>
    <row r="17845" spans="1:38">
      <c r="A17845" s="182"/>
      <c r="Q17845" s="183"/>
      <c r="R17845" s="183"/>
      <c r="S17845" s="183"/>
      <c r="AJ17845" s="183"/>
    </row>
    <row r="17846" spans="1:38">
      <c r="A17846" s="182"/>
      <c r="Q17846" s="183"/>
      <c r="R17846" s="183"/>
      <c r="S17846" s="183"/>
    </row>
    <row r="17847" spans="1:38">
      <c r="A17847" s="182"/>
      <c r="Q17847" s="183"/>
      <c r="R17847" s="183"/>
      <c r="S17847" s="183"/>
    </row>
    <row r="17848" spans="1:38">
      <c r="A17848" s="182"/>
      <c r="Q17848" s="183"/>
      <c r="R17848" s="183"/>
      <c r="S17848" s="183"/>
    </row>
    <row r="17849" spans="1:38">
      <c r="A17849" s="182"/>
      <c r="Q17849" s="183"/>
      <c r="R17849" s="183"/>
      <c r="S17849" s="183"/>
      <c r="AK17849" s="183"/>
      <c r="AL17849" s="183"/>
    </row>
    <row r="17850" spans="1:38">
      <c r="A17850" s="182"/>
      <c r="Q17850" s="183"/>
      <c r="R17850" s="183"/>
      <c r="S17850" s="183"/>
      <c r="AJ17850" s="183"/>
      <c r="AK17850" s="183"/>
      <c r="AL17850" s="183"/>
    </row>
    <row r="17851" spans="1:38">
      <c r="A17851" s="182"/>
      <c r="Q17851" s="183"/>
      <c r="R17851" s="183"/>
      <c r="S17851" s="183"/>
      <c r="AJ17851" s="183"/>
      <c r="AK17851" s="183"/>
      <c r="AL17851" s="183"/>
    </row>
    <row r="17852" spans="1:38">
      <c r="A17852" s="182"/>
      <c r="Q17852" s="183"/>
      <c r="R17852" s="183"/>
      <c r="S17852" s="183"/>
      <c r="AJ17852" s="183"/>
      <c r="AK17852" s="183"/>
      <c r="AL17852" s="183"/>
    </row>
    <row r="17853" spans="1:38">
      <c r="A17853" s="182"/>
      <c r="Q17853" s="183"/>
      <c r="R17853" s="183"/>
      <c r="S17853" s="183"/>
      <c r="AJ17853" s="183"/>
      <c r="AK17853" s="183"/>
      <c r="AL17853" s="183"/>
    </row>
    <row r="17854" spans="1:38">
      <c r="A17854" s="182"/>
      <c r="Q17854" s="183"/>
      <c r="R17854" s="183"/>
      <c r="S17854" s="183"/>
      <c r="AJ17854" s="183"/>
      <c r="AK17854" s="183"/>
      <c r="AL17854" s="183"/>
    </row>
    <row r="17855" spans="1:38">
      <c r="A17855" s="182"/>
      <c r="Q17855" s="183"/>
      <c r="R17855" s="183"/>
      <c r="S17855" s="183"/>
      <c r="AJ17855" s="183"/>
      <c r="AK17855" s="183"/>
      <c r="AL17855" s="183"/>
    </row>
    <row r="17856" spans="1:38">
      <c r="A17856" s="182"/>
      <c r="Q17856" s="183"/>
      <c r="R17856" s="183"/>
      <c r="S17856" s="183"/>
      <c r="AJ17856" s="183"/>
      <c r="AK17856" s="183"/>
      <c r="AL17856" s="183"/>
    </row>
    <row r="17857" spans="1:38">
      <c r="A17857" s="182"/>
      <c r="Q17857" s="183"/>
      <c r="R17857" s="183"/>
      <c r="S17857" s="183"/>
      <c r="AJ17857" s="183"/>
    </row>
    <row r="17858" spans="1:38">
      <c r="A17858" s="182"/>
      <c r="Q17858" s="183"/>
      <c r="R17858" s="183"/>
      <c r="S17858" s="183"/>
    </row>
    <row r="17859" spans="1:38">
      <c r="A17859" s="182"/>
      <c r="Q17859" s="183"/>
      <c r="R17859" s="183"/>
      <c r="S17859" s="183"/>
    </row>
    <row r="17860" spans="1:38">
      <c r="A17860" s="182"/>
      <c r="Q17860" s="183"/>
      <c r="R17860" s="183"/>
      <c r="S17860" s="183"/>
    </row>
    <row r="17861" spans="1:38">
      <c r="A17861" s="182"/>
      <c r="Q17861" s="183"/>
      <c r="R17861" s="183"/>
      <c r="S17861" s="183"/>
      <c r="AK17861" s="183"/>
      <c r="AL17861" s="183"/>
    </row>
    <row r="17862" spans="1:38">
      <c r="A17862" s="182"/>
      <c r="Q17862" s="183"/>
      <c r="R17862" s="183"/>
      <c r="S17862" s="183"/>
      <c r="AJ17862" s="183"/>
      <c r="AK17862" s="183"/>
      <c r="AL17862" s="183"/>
    </row>
    <row r="17863" spans="1:38">
      <c r="A17863" s="182"/>
      <c r="Q17863" s="183"/>
      <c r="R17863" s="183"/>
      <c r="S17863" s="183"/>
      <c r="AJ17863" s="183"/>
      <c r="AK17863" s="183"/>
      <c r="AL17863" s="183"/>
    </row>
    <row r="17864" spans="1:38">
      <c r="A17864" s="182"/>
      <c r="Q17864" s="183"/>
      <c r="R17864" s="183"/>
      <c r="S17864" s="183"/>
      <c r="AJ17864" s="183"/>
      <c r="AK17864" s="183"/>
      <c r="AL17864" s="183"/>
    </row>
    <row r="17865" spans="1:38">
      <c r="A17865" s="182"/>
      <c r="Q17865" s="183"/>
      <c r="R17865" s="183"/>
      <c r="S17865" s="183"/>
      <c r="AJ17865" s="183"/>
      <c r="AK17865" s="183"/>
      <c r="AL17865" s="183"/>
    </row>
    <row r="17866" spans="1:38">
      <c r="A17866" s="182"/>
      <c r="Q17866" s="183"/>
      <c r="R17866" s="183"/>
      <c r="S17866" s="183"/>
      <c r="AJ17866" s="183"/>
      <c r="AK17866" s="183"/>
      <c r="AL17866" s="183"/>
    </row>
    <row r="17867" spans="1:38">
      <c r="A17867" s="182"/>
      <c r="Q17867" s="183"/>
      <c r="R17867" s="183"/>
      <c r="S17867" s="183"/>
      <c r="AJ17867" s="183"/>
      <c r="AK17867" s="183"/>
      <c r="AL17867" s="183"/>
    </row>
    <row r="17868" spans="1:38">
      <c r="A17868" s="182"/>
      <c r="Q17868" s="183"/>
      <c r="R17868" s="183"/>
      <c r="S17868" s="183"/>
      <c r="AJ17868" s="183"/>
      <c r="AK17868" s="183"/>
      <c r="AL17868" s="183"/>
    </row>
    <row r="17869" spans="1:38">
      <c r="A17869" s="182"/>
      <c r="Q17869" s="183"/>
      <c r="R17869" s="183"/>
      <c r="S17869" s="183"/>
      <c r="AJ17869" s="183"/>
      <c r="AK17869" s="183"/>
      <c r="AL17869" s="183"/>
    </row>
    <row r="17870" spans="1:38">
      <c r="A17870" s="182"/>
      <c r="Q17870" s="183"/>
      <c r="R17870" s="183"/>
      <c r="S17870" s="183"/>
      <c r="AJ17870" s="183"/>
      <c r="AK17870" s="183"/>
      <c r="AL17870" s="183"/>
    </row>
    <row r="17871" spans="1:38">
      <c r="A17871" s="182"/>
      <c r="Q17871" s="183"/>
      <c r="R17871" s="183"/>
      <c r="S17871" s="183"/>
      <c r="AJ17871" s="183"/>
      <c r="AK17871" s="183"/>
      <c r="AL17871" s="183"/>
    </row>
    <row r="17872" spans="1:38">
      <c r="A17872" s="182"/>
      <c r="Q17872" s="183"/>
      <c r="R17872" s="183"/>
      <c r="S17872" s="183"/>
      <c r="AJ17872" s="183"/>
      <c r="AK17872" s="183"/>
      <c r="AL17872" s="183"/>
    </row>
    <row r="17873" spans="1:38">
      <c r="A17873" s="182"/>
      <c r="Q17873" s="183"/>
      <c r="R17873" s="183"/>
      <c r="S17873" s="183"/>
      <c r="AJ17873" s="183"/>
      <c r="AK17873" s="183"/>
      <c r="AL17873" s="183"/>
    </row>
    <row r="17874" spans="1:38">
      <c r="A17874" s="182"/>
      <c r="Q17874" s="183"/>
      <c r="R17874" s="183"/>
      <c r="S17874" s="183"/>
      <c r="AJ17874" s="183"/>
      <c r="AK17874" s="183"/>
      <c r="AL17874" s="183"/>
    </row>
    <row r="17875" spans="1:38">
      <c r="A17875" s="182"/>
      <c r="Q17875" s="183"/>
      <c r="R17875" s="183"/>
      <c r="S17875" s="183"/>
      <c r="AJ17875" s="183"/>
      <c r="AK17875" s="183"/>
      <c r="AL17875" s="183"/>
    </row>
    <row r="17876" spans="1:38">
      <c r="A17876" s="182"/>
      <c r="Q17876" s="183"/>
      <c r="R17876" s="183"/>
      <c r="S17876" s="183"/>
      <c r="AJ17876" s="183"/>
      <c r="AK17876" s="183"/>
      <c r="AL17876" s="183"/>
    </row>
    <row r="17877" spans="1:38">
      <c r="A17877" s="182"/>
      <c r="Q17877" s="183"/>
      <c r="R17877" s="183"/>
      <c r="S17877" s="183"/>
      <c r="AJ17877" s="183"/>
      <c r="AK17877" s="183"/>
      <c r="AL17877" s="183"/>
    </row>
    <row r="17878" spans="1:38">
      <c r="A17878" s="182"/>
      <c r="Q17878" s="183"/>
      <c r="R17878" s="183"/>
      <c r="S17878" s="183"/>
      <c r="AJ17878" s="183"/>
      <c r="AK17878" s="183"/>
      <c r="AL17878" s="183"/>
    </row>
    <row r="17879" spans="1:38">
      <c r="A17879" s="182"/>
      <c r="Q17879" s="183"/>
      <c r="R17879" s="183"/>
      <c r="S17879" s="183"/>
      <c r="AJ17879" s="183"/>
      <c r="AK17879" s="183"/>
      <c r="AL17879" s="183"/>
    </row>
    <row r="17880" spans="1:38">
      <c r="A17880" s="182"/>
      <c r="Q17880" s="183"/>
      <c r="R17880" s="183"/>
      <c r="S17880" s="183"/>
      <c r="AJ17880" s="183"/>
      <c r="AK17880" s="183"/>
      <c r="AL17880" s="183"/>
    </row>
    <row r="17881" spans="1:38">
      <c r="A17881" s="182"/>
      <c r="Q17881" s="183"/>
      <c r="R17881" s="183"/>
      <c r="S17881" s="183"/>
      <c r="AJ17881" s="183"/>
    </row>
    <row r="17882" spans="1:38">
      <c r="A17882" s="182"/>
      <c r="Q17882" s="183"/>
      <c r="R17882" s="183"/>
      <c r="S17882" s="183"/>
    </row>
    <row r="17883" spans="1:38">
      <c r="A17883" s="182"/>
      <c r="Q17883" s="183"/>
      <c r="R17883" s="183"/>
      <c r="S17883" s="183"/>
    </row>
    <row r="17884" spans="1:38">
      <c r="A17884" s="182"/>
      <c r="Q17884" s="183"/>
      <c r="R17884" s="183"/>
      <c r="S17884" s="183"/>
    </row>
    <row r="17885" spans="1:38">
      <c r="A17885" s="182"/>
      <c r="Q17885" s="183"/>
      <c r="R17885" s="183"/>
      <c r="S17885" s="183"/>
      <c r="AK17885" s="183"/>
      <c r="AL17885" s="183"/>
    </row>
    <row r="17886" spans="1:38">
      <c r="A17886" s="182"/>
      <c r="Q17886" s="183"/>
      <c r="R17886" s="183"/>
      <c r="S17886" s="183"/>
      <c r="AJ17886" s="183"/>
      <c r="AK17886" s="183"/>
      <c r="AL17886" s="183"/>
    </row>
    <row r="17887" spans="1:38">
      <c r="A17887" s="182"/>
      <c r="Q17887" s="183"/>
      <c r="R17887" s="183"/>
      <c r="S17887" s="183"/>
      <c r="AJ17887" s="183"/>
      <c r="AK17887" s="183"/>
      <c r="AL17887" s="183"/>
    </row>
    <row r="17888" spans="1:38">
      <c r="A17888" s="182"/>
      <c r="Q17888" s="183"/>
      <c r="R17888" s="183"/>
      <c r="S17888" s="183"/>
      <c r="AJ17888" s="183"/>
      <c r="AK17888" s="183"/>
      <c r="AL17888" s="183"/>
    </row>
    <row r="17889" spans="1:38">
      <c r="A17889" s="182"/>
      <c r="Q17889" s="183"/>
      <c r="R17889" s="183"/>
      <c r="S17889" s="183"/>
      <c r="AJ17889" s="183"/>
    </row>
    <row r="17890" spans="1:38">
      <c r="A17890" s="182"/>
      <c r="Q17890" s="183"/>
      <c r="R17890" s="183"/>
      <c r="S17890" s="183"/>
    </row>
    <row r="17891" spans="1:38">
      <c r="A17891" s="182"/>
      <c r="Q17891" s="183"/>
      <c r="R17891" s="183"/>
      <c r="S17891" s="183"/>
    </row>
    <row r="17892" spans="1:38">
      <c r="A17892" s="182"/>
      <c r="Q17892" s="183"/>
      <c r="R17892" s="183"/>
      <c r="S17892" s="183"/>
    </row>
    <row r="17893" spans="1:38">
      <c r="A17893" s="182"/>
      <c r="Q17893" s="183"/>
      <c r="R17893" s="183"/>
      <c r="S17893" s="183"/>
      <c r="AK17893" s="183"/>
      <c r="AL17893" s="183"/>
    </row>
    <row r="17894" spans="1:38">
      <c r="A17894" s="182"/>
      <c r="Q17894" s="183"/>
      <c r="R17894" s="183"/>
      <c r="S17894" s="183"/>
      <c r="AJ17894" s="183"/>
      <c r="AK17894" s="183"/>
      <c r="AL17894" s="183"/>
    </row>
    <row r="17895" spans="1:38">
      <c r="A17895" s="182"/>
      <c r="Q17895" s="183"/>
      <c r="R17895" s="183"/>
      <c r="S17895" s="183"/>
      <c r="AJ17895" s="183"/>
      <c r="AK17895" s="183"/>
      <c r="AL17895" s="183"/>
    </row>
    <row r="17896" spans="1:38">
      <c r="A17896" s="182"/>
      <c r="Q17896" s="183"/>
      <c r="R17896" s="183"/>
      <c r="S17896" s="183"/>
      <c r="AJ17896" s="183"/>
      <c r="AK17896" s="183"/>
      <c r="AL17896" s="183"/>
    </row>
    <row r="17897" spans="1:38">
      <c r="A17897" s="182"/>
      <c r="Q17897" s="183"/>
      <c r="R17897" s="183"/>
      <c r="S17897" s="183"/>
      <c r="AJ17897" s="183"/>
      <c r="AK17897" s="183"/>
      <c r="AL17897" s="183"/>
    </row>
    <row r="17898" spans="1:38">
      <c r="A17898" s="182"/>
      <c r="Q17898" s="183"/>
      <c r="R17898" s="183"/>
      <c r="S17898" s="183"/>
      <c r="AJ17898" s="183"/>
      <c r="AK17898" s="183"/>
      <c r="AL17898" s="183"/>
    </row>
    <row r="17899" spans="1:38">
      <c r="A17899" s="182"/>
      <c r="Q17899" s="183"/>
      <c r="R17899" s="183"/>
      <c r="S17899" s="183"/>
      <c r="AJ17899" s="183"/>
      <c r="AK17899" s="183"/>
      <c r="AL17899" s="183"/>
    </row>
    <row r="17900" spans="1:38">
      <c r="A17900" s="182"/>
      <c r="Q17900" s="183"/>
      <c r="R17900" s="183"/>
      <c r="S17900" s="183"/>
      <c r="AJ17900" s="183"/>
      <c r="AK17900" s="183"/>
      <c r="AL17900" s="183"/>
    </row>
    <row r="17901" spans="1:38">
      <c r="A17901" s="182"/>
      <c r="Q17901" s="183"/>
      <c r="R17901" s="183"/>
      <c r="S17901" s="183"/>
      <c r="AJ17901" s="183"/>
      <c r="AK17901" s="183"/>
      <c r="AL17901" s="183"/>
    </row>
    <row r="17902" spans="1:38">
      <c r="A17902" s="182"/>
      <c r="Q17902" s="183"/>
      <c r="R17902" s="183"/>
      <c r="S17902" s="183"/>
      <c r="AJ17902" s="183"/>
      <c r="AK17902" s="183"/>
      <c r="AL17902" s="183"/>
    </row>
    <row r="17903" spans="1:38">
      <c r="A17903" s="182"/>
      <c r="Q17903" s="183"/>
      <c r="R17903" s="183"/>
      <c r="S17903" s="183"/>
      <c r="AJ17903" s="183"/>
      <c r="AK17903" s="183"/>
      <c r="AL17903" s="183"/>
    </row>
    <row r="17904" spans="1:38">
      <c r="A17904" s="182"/>
      <c r="Q17904" s="183"/>
      <c r="R17904" s="183"/>
      <c r="S17904" s="183"/>
      <c r="AJ17904" s="183"/>
      <c r="AK17904" s="183"/>
      <c r="AL17904" s="183"/>
    </row>
    <row r="17905" spans="1:36">
      <c r="A17905" s="182"/>
      <c r="Q17905" s="183"/>
      <c r="R17905" s="183"/>
      <c r="S17905" s="183"/>
      <c r="AJ17905" s="183"/>
    </row>
    <row r="17906" spans="1:36">
      <c r="A17906" s="182"/>
      <c r="Q17906" s="183"/>
      <c r="R17906" s="183"/>
      <c r="S17906" s="183"/>
    </row>
    <row r="17907" spans="1:36">
      <c r="A17907" s="182"/>
      <c r="Q17907" s="183"/>
      <c r="R17907" s="183"/>
      <c r="S17907" s="183"/>
    </row>
    <row r="17908" spans="1:36">
      <c r="A17908" s="182"/>
      <c r="Q17908" s="183"/>
      <c r="R17908" s="183"/>
      <c r="S17908" s="183"/>
    </row>
    <row r="17909" spans="1:36">
      <c r="A17909" s="182"/>
      <c r="Q17909" s="183"/>
      <c r="R17909" s="183"/>
      <c r="S17909" s="183"/>
    </row>
    <row r="17910" spans="1:36">
      <c r="A17910" s="182"/>
      <c r="Q17910" s="183"/>
      <c r="R17910" s="183"/>
      <c r="S17910" s="183"/>
    </row>
    <row r="17911" spans="1:36">
      <c r="A17911" s="182"/>
      <c r="Q17911" s="183"/>
      <c r="R17911" s="183"/>
      <c r="S17911" s="183"/>
    </row>
    <row r="17912" spans="1:36">
      <c r="A17912" s="182"/>
      <c r="Q17912" s="183"/>
      <c r="R17912" s="183"/>
      <c r="S17912" s="183"/>
    </row>
    <row r="17913" spans="1:36">
      <c r="A17913" s="182"/>
      <c r="Q17913" s="183"/>
      <c r="R17913" s="183"/>
      <c r="S17913" s="183"/>
    </row>
    <row r="17914" spans="1:36">
      <c r="A17914" s="182"/>
      <c r="Q17914" s="183"/>
      <c r="R17914" s="183"/>
      <c r="S17914" s="183"/>
    </row>
    <row r="17915" spans="1:36">
      <c r="A17915" s="182"/>
      <c r="Q17915" s="183"/>
      <c r="R17915" s="183"/>
      <c r="S17915" s="183"/>
    </row>
    <row r="17916" spans="1:36">
      <c r="A17916" s="182"/>
      <c r="Q17916" s="183"/>
      <c r="R17916" s="183"/>
      <c r="S17916" s="183"/>
    </row>
    <row r="17917" spans="1:36">
      <c r="A17917" s="182"/>
      <c r="Q17917" s="183"/>
      <c r="R17917" s="183"/>
      <c r="S17917" s="183"/>
    </row>
    <row r="17918" spans="1:36">
      <c r="A17918" s="182"/>
      <c r="Q17918" s="183"/>
      <c r="R17918" s="183"/>
      <c r="S17918" s="183"/>
    </row>
    <row r="17919" spans="1:36">
      <c r="A17919" s="182"/>
      <c r="Q17919" s="183"/>
      <c r="R17919" s="183"/>
      <c r="S17919" s="183"/>
    </row>
    <row r="17920" spans="1:36">
      <c r="A17920" s="182"/>
      <c r="Q17920" s="183"/>
      <c r="R17920" s="183"/>
      <c r="S17920" s="183"/>
    </row>
    <row r="17921" spans="1:38">
      <c r="A17921" s="182"/>
      <c r="Q17921" s="183"/>
      <c r="R17921" s="183"/>
      <c r="S17921" s="183"/>
    </row>
    <row r="17922" spans="1:38">
      <c r="A17922" s="182"/>
      <c r="Q17922" s="183"/>
      <c r="R17922" s="183"/>
      <c r="S17922" s="183"/>
    </row>
    <row r="17923" spans="1:38">
      <c r="A17923" s="182"/>
      <c r="Q17923" s="183"/>
      <c r="R17923" s="183"/>
      <c r="S17923" s="183"/>
    </row>
    <row r="17924" spans="1:38">
      <c r="A17924" s="182"/>
      <c r="Q17924" s="183"/>
      <c r="R17924" s="183"/>
      <c r="S17924" s="183"/>
    </row>
    <row r="17925" spans="1:38">
      <c r="A17925" s="182"/>
      <c r="Q17925" s="183"/>
      <c r="R17925" s="183"/>
      <c r="S17925" s="183"/>
      <c r="AK17925" s="183"/>
      <c r="AL17925" s="183"/>
    </row>
    <row r="17926" spans="1:38">
      <c r="A17926" s="182"/>
      <c r="Q17926" s="183"/>
      <c r="R17926" s="183"/>
      <c r="S17926" s="183"/>
      <c r="AJ17926" s="183"/>
      <c r="AK17926" s="183"/>
      <c r="AL17926" s="183"/>
    </row>
    <row r="17927" spans="1:38">
      <c r="A17927" s="182"/>
      <c r="Q17927" s="183"/>
      <c r="R17927" s="183"/>
      <c r="S17927" s="183"/>
      <c r="AJ17927" s="183"/>
      <c r="AK17927" s="183"/>
      <c r="AL17927" s="183"/>
    </row>
    <row r="17928" spans="1:38">
      <c r="A17928" s="182"/>
      <c r="Q17928" s="183"/>
      <c r="R17928" s="183"/>
      <c r="S17928" s="183"/>
      <c r="AJ17928" s="183"/>
      <c r="AK17928" s="183"/>
      <c r="AL17928" s="183"/>
    </row>
    <row r="17929" spans="1:38">
      <c r="A17929" s="182"/>
      <c r="Q17929" s="183"/>
      <c r="R17929" s="183"/>
      <c r="S17929" s="183"/>
      <c r="AJ17929" s="183"/>
    </row>
    <row r="17930" spans="1:38">
      <c r="A17930" s="182"/>
      <c r="Q17930" s="183"/>
      <c r="R17930" s="183"/>
      <c r="S17930" s="183"/>
    </row>
    <row r="17931" spans="1:38">
      <c r="A17931" s="182"/>
      <c r="Q17931" s="183"/>
      <c r="R17931" s="183"/>
      <c r="S17931" s="183"/>
    </row>
    <row r="17932" spans="1:38">
      <c r="A17932" s="182"/>
      <c r="Q17932" s="183"/>
      <c r="R17932" s="183"/>
      <c r="S17932" s="183"/>
    </row>
    <row r="17933" spans="1:38">
      <c r="A17933" s="182"/>
      <c r="Q17933" s="183"/>
      <c r="R17933" s="183"/>
      <c r="S17933" s="183"/>
    </row>
    <row r="17934" spans="1:38">
      <c r="A17934" s="182"/>
      <c r="Q17934" s="183"/>
      <c r="R17934" s="183"/>
      <c r="S17934" s="183"/>
    </row>
    <row r="17935" spans="1:38">
      <c r="A17935" s="182"/>
      <c r="Q17935" s="183"/>
      <c r="R17935" s="183"/>
      <c r="S17935" s="183"/>
    </row>
    <row r="17936" spans="1:38">
      <c r="A17936" s="182"/>
      <c r="Q17936" s="183"/>
      <c r="R17936" s="183"/>
      <c r="S17936" s="183"/>
    </row>
    <row r="17937" spans="1:38">
      <c r="A17937" s="182"/>
      <c r="Q17937" s="183"/>
      <c r="R17937" s="183"/>
      <c r="S17937" s="183"/>
    </row>
    <row r="17938" spans="1:38">
      <c r="A17938" s="182"/>
      <c r="Q17938" s="183"/>
      <c r="R17938" s="183"/>
      <c r="S17938" s="183"/>
    </row>
    <row r="17939" spans="1:38">
      <c r="A17939" s="182"/>
      <c r="Q17939" s="183"/>
      <c r="R17939" s="183"/>
      <c r="S17939" s="183"/>
    </row>
    <row r="17940" spans="1:38">
      <c r="A17940" s="182"/>
      <c r="Q17940" s="183"/>
      <c r="R17940" s="183"/>
      <c r="S17940" s="183"/>
    </row>
    <row r="17941" spans="1:38">
      <c r="A17941" s="182"/>
      <c r="Q17941" s="183"/>
      <c r="R17941" s="183"/>
      <c r="S17941" s="183"/>
    </row>
    <row r="17942" spans="1:38">
      <c r="A17942" s="182"/>
      <c r="Q17942" s="183"/>
      <c r="R17942" s="183"/>
      <c r="S17942" s="183"/>
    </row>
    <row r="17943" spans="1:38">
      <c r="A17943" s="182"/>
      <c r="Q17943" s="183"/>
      <c r="R17943" s="183"/>
      <c r="S17943" s="183"/>
    </row>
    <row r="17944" spans="1:38">
      <c r="A17944" s="182"/>
      <c r="Q17944" s="183"/>
      <c r="R17944" s="183"/>
      <c r="S17944" s="183"/>
    </row>
    <row r="17945" spans="1:38">
      <c r="A17945" s="182"/>
      <c r="Q17945" s="183"/>
      <c r="R17945" s="183"/>
      <c r="S17945" s="183"/>
    </row>
    <row r="17946" spans="1:38">
      <c r="A17946" s="182"/>
      <c r="Q17946" s="183"/>
      <c r="R17946" s="183"/>
      <c r="S17946" s="183"/>
    </row>
    <row r="17947" spans="1:38">
      <c r="A17947" s="182"/>
      <c r="Q17947" s="183"/>
      <c r="R17947" s="183"/>
      <c r="S17947" s="183"/>
    </row>
    <row r="17948" spans="1:38">
      <c r="A17948" s="182"/>
      <c r="Q17948" s="183"/>
      <c r="R17948" s="183"/>
      <c r="S17948" s="183"/>
    </row>
    <row r="17949" spans="1:38">
      <c r="A17949" s="182"/>
      <c r="Q17949" s="183"/>
      <c r="R17949" s="183"/>
      <c r="S17949" s="183"/>
      <c r="AK17949" s="183"/>
      <c r="AL17949" s="183"/>
    </row>
    <row r="17950" spans="1:38">
      <c r="A17950" s="182"/>
      <c r="Q17950" s="183"/>
      <c r="R17950" s="183"/>
      <c r="S17950" s="183"/>
      <c r="AJ17950" s="183"/>
      <c r="AK17950" s="183"/>
      <c r="AL17950" s="183"/>
    </row>
    <row r="17951" spans="1:38">
      <c r="A17951" s="182"/>
      <c r="Q17951" s="183"/>
      <c r="R17951" s="183"/>
      <c r="S17951" s="183"/>
      <c r="AJ17951" s="183"/>
      <c r="AK17951" s="183"/>
      <c r="AL17951" s="183"/>
    </row>
    <row r="17952" spans="1:38">
      <c r="A17952" s="182"/>
      <c r="Q17952" s="183"/>
      <c r="R17952" s="183"/>
      <c r="S17952" s="183"/>
      <c r="AJ17952" s="183"/>
      <c r="AK17952" s="183"/>
      <c r="AL17952" s="183"/>
    </row>
    <row r="17953" spans="1:38">
      <c r="A17953" s="182"/>
      <c r="Q17953" s="183"/>
      <c r="R17953" s="183"/>
      <c r="S17953" s="183"/>
      <c r="AJ17953" s="183"/>
    </row>
    <row r="17954" spans="1:38">
      <c r="A17954" s="182"/>
      <c r="Q17954" s="183"/>
      <c r="R17954" s="183"/>
      <c r="S17954" s="183"/>
    </row>
    <row r="17955" spans="1:38">
      <c r="A17955" s="182"/>
      <c r="Q17955" s="183"/>
      <c r="R17955" s="183"/>
      <c r="S17955" s="183"/>
    </row>
    <row r="17956" spans="1:38">
      <c r="A17956" s="182"/>
      <c r="Q17956" s="183"/>
      <c r="R17956" s="183"/>
      <c r="S17956" s="183"/>
    </row>
    <row r="17957" spans="1:38">
      <c r="A17957" s="182"/>
      <c r="Q17957" s="183"/>
      <c r="R17957" s="183"/>
      <c r="S17957" s="183"/>
    </row>
    <row r="17958" spans="1:38">
      <c r="A17958" s="182"/>
      <c r="Q17958" s="183"/>
      <c r="R17958" s="183"/>
      <c r="S17958" s="183"/>
    </row>
    <row r="17959" spans="1:38">
      <c r="A17959" s="182"/>
      <c r="Q17959" s="183"/>
      <c r="R17959" s="183"/>
      <c r="S17959" s="183"/>
    </row>
    <row r="17960" spans="1:38">
      <c r="A17960" s="182"/>
      <c r="Q17960" s="183"/>
      <c r="R17960" s="183"/>
      <c r="S17960" s="183"/>
    </row>
    <row r="17961" spans="1:38">
      <c r="A17961" s="182"/>
      <c r="Q17961" s="183"/>
      <c r="R17961" s="183"/>
      <c r="S17961" s="183"/>
      <c r="AK17961" s="183"/>
      <c r="AL17961" s="183"/>
    </row>
    <row r="17962" spans="1:38">
      <c r="A17962" s="182"/>
      <c r="Q17962" s="183"/>
      <c r="R17962" s="183"/>
      <c r="S17962" s="183"/>
      <c r="AJ17962" s="183"/>
      <c r="AK17962" s="183"/>
      <c r="AL17962" s="183"/>
    </row>
    <row r="17963" spans="1:38">
      <c r="A17963" s="182"/>
      <c r="Q17963" s="183"/>
      <c r="R17963" s="183"/>
      <c r="S17963" s="183"/>
      <c r="AJ17963" s="183"/>
      <c r="AK17963" s="183"/>
      <c r="AL17963" s="183"/>
    </row>
    <row r="17964" spans="1:38">
      <c r="A17964" s="182"/>
      <c r="Q17964" s="183"/>
      <c r="R17964" s="183"/>
      <c r="S17964" s="183"/>
      <c r="AJ17964" s="183"/>
      <c r="AK17964" s="183"/>
      <c r="AL17964" s="183"/>
    </row>
    <row r="17965" spans="1:38">
      <c r="A17965" s="182"/>
      <c r="Q17965" s="183"/>
      <c r="R17965" s="183"/>
      <c r="S17965" s="183"/>
      <c r="AJ17965" s="183"/>
    </row>
    <row r="17966" spans="1:38">
      <c r="A17966" s="182"/>
      <c r="Q17966" s="183"/>
      <c r="R17966" s="183"/>
      <c r="S17966" s="183"/>
    </row>
    <row r="17967" spans="1:38">
      <c r="A17967" s="182"/>
      <c r="Q17967" s="183"/>
      <c r="R17967" s="183"/>
      <c r="S17967" s="183"/>
    </row>
    <row r="17968" spans="1:38">
      <c r="A17968" s="182"/>
      <c r="Q17968" s="183"/>
      <c r="R17968" s="183"/>
      <c r="S17968" s="183"/>
    </row>
    <row r="17969" spans="1:38">
      <c r="A17969" s="182"/>
      <c r="Q17969" s="183"/>
      <c r="R17969" s="183"/>
      <c r="S17969" s="183"/>
      <c r="AK17969" s="183"/>
      <c r="AL17969" s="183"/>
    </row>
    <row r="17970" spans="1:38">
      <c r="A17970" s="182"/>
      <c r="Q17970" s="183"/>
      <c r="R17970" s="183"/>
      <c r="S17970" s="183"/>
      <c r="AJ17970" s="183"/>
      <c r="AK17970" s="183"/>
      <c r="AL17970" s="183"/>
    </row>
    <row r="17971" spans="1:38">
      <c r="A17971" s="182"/>
      <c r="Q17971" s="183"/>
      <c r="R17971" s="183"/>
      <c r="S17971" s="183"/>
      <c r="AJ17971" s="183"/>
      <c r="AK17971" s="183"/>
      <c r="AL17971" s="183"/>
    </row>
    <row r="17972" spans="1:38">
      <c r="A17972" s="182"/>
      <c r="Q17972" s="183"/>
      <c r="R17972" s="183"/>
      <c r="S17972" s="183"/>
      <c r="AJ17972" s="183"/>
      <c r="AK17972" s="183"/>
      <c r="AL17972" s="183"/>
    </row>
    <row r="17973" spans="1:38">
      <c r="A17973" s="182"/>
      <c r="Q17973" s="183"/>
      <c r="R17973" s="183"/>
      <c r="S17973" s="183"/>
      <c r="AJ17973" s="183"/>
    </row>
    <row r="17974" spans="1:38">
      <c r="A17974" s="182"/>
      <c r="Q17974" s="183"/>
      <c r="R17974" s="183"/>
      <c r="S17974" s="183"/>
    </row>
    <row r="17975" spans="1:38">
      <c r="A17975" s="182"/>
      <c r="Q17975" s="183"/>
      <c r="R17975" s="183"/>
      <c r="S17975" s="183"/>
    </row>
    <row r="17976" spans="1:38">
      <c r="A17976" s="182"/>
      <c r="Q17976" s="183"/>
      <c r="R17976" s="183"/>
      <c r="S17976" s="183"/>
    </row>
    <row r="17977" spans="1:38">
      <c r="A17977" s="182"/>
      <c r="Q17977" s="183"/>
      <c r="R17977" s="183"/>
      <c r="S17977" s="183"/>
    </row>
    <row r="17978" spans="1:38">
      <c r="A17978" s="182"/>
      <c r="Q17978" s="183"/>
      <c r="R17978" s="183"/>
      <c r="S17978" s="183"/>
    </row>
    <row r="17979" spans="1:38">
      <c r="A17979" s="182"/>
      <c r="Q17979" s="183"/>
      <c r="R17979" s="183"/>
      <c r="S17979" s="183"/>
    </row>
    <row r="17980" spans="1:38">
      <c r="A17980" s="182"/>
      <c r="Q17980" s="183"/>
      <c r="R17980" s="183"/>
      <c r="S17980" s="183"/>
    </row>
    <row r="17981" spans="1:38">
      <c r="A17981" s="182"/>
      <c r="Q17981" s="183"/>
      <c r="R17981" s="183"/>
      <c r="S17981" s="183"/>
      <c r="AK17981" s="183"/>
      <c r="AL17981" s="183"/>
    </row>
    <row r="17982" spans="1:38">
      <c r="A17982" s="182"/>
      <c r="Q17982" s="183"/>
      <c r="R17982" s="183"/>
      <c r="S17982" s="183"/>
      <c r="AJ17982" s="183"/>
      <c r="AK17982" s="183"/>
      <c r="AL17982" s="183"/>
    </row>
    <row r="17983" spans="1:38">
      <c r="A17983" s="182"/>
      <c r="Q17983" s="183"/>
      <c r="R17983" s="183"/>
      <c r="S17983" s="183"/>
      <c r="AJ17983" s="183"/>
      <c r="AK17983" s="183"/>
      <c r="AL17983" s="183"/>
    </row>
    <row r="17984" spans="1:38">
      <c r="A17984" s="182"/>
      <c r="Q17984" s="183"/>
      <c r="R17984" s="183"/>
      <c r="S17984" s="183"/>
      <c r="AJ17984" s="183"/>
      <c r="AK17984" s="183"/>
      <c r="AL17984" s="183"/>
    </row>
    <row r="17985" spans="1:38">
      <c r="A17985" s="182"/>
      <c r="Q17985" s="183"/>
      <c r="R17985" s="183"/>
      <c r="S17985" s="183"/>
      <c r="AJ17985" s="183"/>
    </row>
    <row r="17986" spans="1:38">
      <c r="A17986" s="182"/>
      <c r="Q17986" s="183"/>
      <c r="R17986" s="183"/>
      <c r="S17986" s="183"/>
    </row>
    <row r="17987" spans="1:38">
      <c r="A17987" s="182"/>
      <c r="Q17987" s="183"/>
      <c r="R17987" s="183"/>
      <c r="S17987" s="183"/>
    </row>
    <row r="17988" spans="1:38">
      <c r="A17988" s="182"/>
      <c r="Q17988" s="183"/>
      <c r="R17988" s="183"/>
      <c r="S17988" s="183"/>
    </row>
    <row r="17989" spans="1:38">
      <c r="A17989" s="182"/>
      <c r="Q17989" s="183"/>
      <c r="R17989" s="183"/>
      <c r="S17989" s="183"/>
      <c r="AK17989" s="183"/>
      <c r="AL17989" s="183"/>
    </row>
    <row r="17990" spans="1:38">
      <c r="A17990" s="182"/>
      <c r="Q17990" s="183"/>
      <c r="R17990" s="183"/>
      <c r="S17990" s="183"/>
      <c r="AJ17990" s="183"/>
      <c r="AK17990" s="183"/>
      <c r="AL17990" s="183"/>
    </row>
    <row r="17991" spans="1:38">
      <c r="A17991" s="182"/>
      <c r="Q17991" s="183"/>
      <c r="R17991" s="183"/>
      <c r="S17991" s="183"/>
      <c r="AJ17991" s="183"/>
      <c r="AK17991" s="183"/>
      <c r="AL17991" s="183"/>
    </row>
    <row r="17992" spans="1:38">
      <c r="A17992" s="182"/>
      <c r="Q17992" s="183"/>
      <c r="R17992" s="183"/>
      <c r="S17992" s="183"/>
      <c r="AJ17992" s="183"/>
      <c r="AK17992" s="183"/>
      <c r="AL17992" s="183"/>
    </row>
    <row r="17993" spans="1:38">
      <c r="A17993" s="182"/>
      <c r="Q17993" s="183"/>
      <c r="R17993" s="183"/>
      <c r="S17993" s="183"/>
      <c r="AJ17993" s="183"/>
    </row>
    <row r="17994" spans="1:38">
      <c r="A17994" s="182"/>
      <c r="Q17994" s="183"/>
      <c r="R17994" s="183"/>
      <c r="S17994" s="183"/>
    </row>
    <row r="17995" spans="1:38">
      <c r="A17995" s="182"/>
      <c r="Q17995" s="183"/>
      <c r="R17995" s="183"/>
      <c r="S17995" s="183"/>
    </row>
    <row r="17996" spans="1:38">
      <c r="A17996" s="182"/>
      <c r="Q17996" s="183"/>
      <c r="R17996" s="183"/>
      <c r="S17996" s="183"/>
    </row>
    <row r="17997" spans="1:38">
      <c r="A17997" s="182"/>
      <c r="Q17997" s="183"/>
      <c r="R17997" s="183"/>
      <c r="S17997" s="183"/>
      <c r="AK17997" s="183"/>
      <c r="AL17997" s="183"/>
    </row>
    <row r="17998" spans="1:38">
      <c r="A17998" s="182"/>
      <c r="Q17998" s="183"/>
      <c r="R17998" s="183"/>
      <c r="S17998" s="183"/>
      <c r="AJ17998" s="183"/>
      <c r="AK17998" s="183"/>
      <c r="AL17998" s="183"/>
    </row>
    <row r="17999" spans="1:38">
      <c r="A17999" s="182"/>
      <c r="Q17999" s="183"/>
      <c r="R17999" s="183"/>
      <c r="S17999" s="183"/>
      <c r="AJ17999" s="183"/>
      <c r="AK17999" s="183"/>
      <c r="AL17999" s="183"/>
    </row>
    <row r="18000" spans="1:38">
      <c r="A18000" s="182"/>
      <c r="Q18000" s="183"/>
      <c r="R18000" s="183"/>
      <c r="S18000" s="183"/>
      <c r="AJ18000" s="183"/>
      <c r="AK18000" s="183"/>
      <c r="AL18000" s="183"/>
    </row>
    <row r="18001" spans="1:38">
      <c r="A18001" s="182"/>
      <c r="Q18001" s="183"/>
      <c r="R18001" s="183"/>
      <c r="S18001" s="183"/>
      <c r="AJ18001" s="183"/>
    </row>
    <row r="18002" spans="1:38">
      <c r="A18002" s="182"/>
      <c r="Q18002" s="183"/>
      <c r="R18002" s="183"/>
      <c r="S18002" s="183"/>
    </row>
    <row r="18003" spans="1:38">
      <c r="A18003" s="182"/>
      <c r="Q18003" s="183"/>
      <c r="R18003" s="183"/>
      <c r="S18003" s="183"/>
    </row>
    <row r="18004" spans="1:38">
      <c r="A18004" s="182"/>
      <c r="Q18004" s="183"/>
      <c r="R18004" s="183"/>
      <c r="S18004" s="183"/>
    </row>
    <row r="18005" spans="1:38">
      <c r="A18005" s="182"/>
      <c r="Q18005" s="183"/>
      <c r="R18005" s="183"/>
      <c r="S18005" s="183"/>
      <c r="AK18005" s="183"/>
      <c r="AL18005" s="183"/>
    </row>
    <row r="18006" spans="1:38">
      <c r="A18006" s="182"/>
      <c r="Q18006" s="183"/>
      <c r="R18006" s="183"/>
      <c r="S18006" s="183"/>
      <c r="AJ18006" s="183"/>
      <c r="AK18006" s="183"/>
      <c r="AL18006" s="183"/>
    </row>
    <row r="18007" spans="1:38">
      <c r="A18007" s="182"/>
      <c r="Q18007" s="183"/>
      <c r="R18007" s="183"/>
      <c r="S18007" s="183"/>
      <c r="AJ18007" s="183"/>
      <c r="AK18007" s="183"/>
      <c r="AL18007" s="183"/>
    </row>
    <row r="18008" spans="1:38">
      <c r="A18008" s="182"/>
      <c r="Q18008" s="183"/>
      <c r="R18008" s="183"/>
      <c r="S18008" s="183"/>
      <c r="AJ18008" s="183"/>
      <c r="AK18008" s="183"/>
      <c r="AL18008" s="183"/>
    </row>
    <row r="18009" spans="1:38">
      <c r="A18009" s="182"/>
      <c r="Q18009" s="183"/>
      <c r="R18009" s="183"/>
      <c r="S18009" s="183"/>
      <c r="AJ18009" s="183"/>
    </row>
    <row r="18010" spans="1:38">
      <c r="A18010" s="182"/>
      <c r="Q18010" s="183"/>
      <c r="R18010" s="183"/>
      <c r="S18010" s="183"/>
    </row>
    <row r="18011" spans="1:38">
      <c r="A18011" s="182"/>
      <c r="Q18011" s="183"/>
      <c r="R18011" s="183"/>
      <c r="S18011" s="183"/>
    </row>
    <row r="18012" spans="1:38">
      <c r="A18012" s="182"/>
      <c r="Q18012" s="183"/>
      <c r="R18012" s="183"/>
      <c r="S18012" s="183"/>
    </row>
    <row r="18013" spans="1:38">
      <c r="A18013" s="182"/>
      <c r="Q18013" s="183"/>
      <c r="R18013" s="183"/>
      <c r="S18013" s="183"/>
    </row>
    <row r="18014" spans="1:38">
      <c r="A18014" s="182"/>
      <c r="Q18014" s="183"/>
      <c r="R18014" s="183"/>
      <c r="S18014" s="183"/>
    </row>
    <row r="18015" spans="1:38">
      <c r="A18015" s="182"/>
      <c r="Q18015" s="183"/>
      <c r="R18015" s="183"/>
      <c r="S18015" s="183"/>
    </row>
    <row r="18016" spans="1:38">
      <c r="A18016" s="182"/>
      <c r="Q18016" s="183"/>
      <c r="R18016" s="183"/>
      <c r="S18016" s="183"/>
    </row>
    <row r="18017" spans="1:38">
      <c r="A18017" s="182"/>
      <c r="Q18017" s="183"/>
      <c r="R18017" s="183"/>
      <c r="S18017" s="183"/>
    </row>
    <row r="18018" spans="1:38">
      <c r="A18018" s="182"/>
      <c r="Q18018" s="183"/>
      <c r="R18018" s="183"/>
      <c r="S18018" s="183"/>
    </row>
    <row r="18019" spans="1:38">
      <c r="A18019" s="182"/>
      <c r="Q18019" s="183"/>
      <c r="R18019" s="183"/>
      <c r="S18019" s="183"/>
    </row>
    <row r="18020" spans="1:38">
      <c r="A18020" s="182"/>
      <c r="Q18020" s="183"/>
      <c r="R18020" s="183"/>
      <c r="S18020" s="183"/>
    </row>
    <row r="18021" spans="1:38">
      <c r="A18021" s="182"/>
      <c r="Q18021" s="183"/>
      <c r="R18021" s="183"/>
      <c r="S18021" s="183"/>
    </row>
    <row r="18022" spans="1:38">
      <c r="A18022" s="182"/>
      <c r="Q18022" s="183"/>
      <c r="R18022" s="183"/>
      <c r="S18022" s="183"/>
    </row>
    <row r="18023" spans="1:38">
      <c r="A18023" s="182"/>
      <c r="Q18023" s="183"/>
      <c r="R18023" s="183"/>
      <c r="S18023" s="183"/>
    </row>
    <row r="18024" spans="1:38">
      <c r="A18024" s="182"/>
      <c r="Q18024" s="183"/>
      <c r="R18024" s="183"/>
      <c r="S18024" s="183"/>
    </row>
    <row r="18025" spans="1:38">
      <c r="A18025" s="182"/>
      <c r="Q18025" s="183"/>
      <c r="R18025" s="183"/>
      <c r="S18025" s="183"/>
      <c r="AK18025" s="183"/>
      <c r="AL18025" s="183"/>
    </row>
    <row r="18026" spans="1:38">
      <c r="A18026" s="182"/>
      <c r="Q18026" s="183"/>
      <c r="R18026" s="183"/>
      <c r="S18026" s="183"/>
      <c r="AJ18026" s="183"/>
      <c r="AK18026" s="183"/>
      <c r="AL18026" s="183"/>
    </row>
    <row r="18027" spans="1:38">
      <c r="A18027" s="182"/>
      <c r="Q18027" s="183"/>
      <c r="R18027" s="183"/>
      <c r="S18027" s="183"/>
      <c r="AJ18027" s="183"/>
      <c r="AK18027" s="183"/>
      <c r="AL18027" s="183"/>
    </row>
    <row r="18028" spans="1:38">
      <c r="A18028" s="182"/>
      <c r="Q18028" s="183"/>
      <c r="R18028" s="183"/>
      <c r="S18028" s="183"/>
      <c r="AJ18028" s="183"/>
      <c r="AK18028" s="183"/>
      <c r="AL18028" s="183"/>
    </row>
    <row r="18029" spans="1:38">
      <c r="A18029" s="182"/>
      <c r="Q18029" s="183"/>
      <c r="R18029" s="183"/>
      <c r="S18029" s="183"/>
      <c r="AJ18029" s="183"/>
    </row>
    <row r="18030" spans="1:38">
      <c r="A18030" s="182"/>
      <c r="Q18030" s="183"/>
      <c r="R18030" s="183"/>
      <c r="S18030" s="183"/>
    </row>
    <row r="18031" spans="1:38">
      <c r="A18031" s="182"/>
      <c r="Q18031" s="183"/>
      <c r="R18031" s="183"/>
      <c r="S18031" s="183"/>
    </row>
    <row r="18032" spans="1:38">
      <c r="A18032" s="182"/>
      <c r="Q18032" s="183"/>
      <c r="R18032" s="183"/>
      <c r="S18032" s="183"/>
    </row>
    <row r="18033" spans="1:38">
      <c r="A18033" s="182"/>
      <c r="Q18033" s="183"/>
      <c r="R18033" s="183"/>
      <c r="S18033" s="183"/>
      <c r="AK18033" s="183"/>
      <c r="AL18033" s="183"/>
    </row>
    <row r="18034" spans="1:38">
      <c r="A18034" s="182"/>
      <c r="Q18034" s="183"/>
      <c r="R18034" s="183"/>
      <c r="S18034" s="183"/>
      <c r="AJ18034" s="183"/>
      <c r="AK18034" s="183"/>
      <c r="AL18034" s="183"/>
    </row>
    <row r="18035" spans="1:38">
      <c r="A18035" s="182"/>
      <c r="Q18035" s="183"/>
      <c r="R18035" s="183"/>
      <c r="S18035" s="183"/>
      <c r="AJ18035" s="183"/>
      <c r="AK18035" s="183"/>
      <c r="AL18035" s="183"/>
    </row>
    <row r="18036" spans="1:38">
      <c r="A18036" s="182"/>
      <c r="Q18036" s="183"/>
      <c r="R18036" s="183"/>
      <c r="S18036" s="183"/>
      <c r="AJ18036" s="183"/>
      <c r="AK18036" s="183"/>
      <c r="AL18036" s="183"/>
    </row>
    <row r="18037" spans="1:38">
      <c r="A18037" s="182"/>
      <c r="Q18037" s="183"/>
      <c r="R18037" s="183"/>
      <c r="S18037" s="183"/>
      <c r="AJ18037" s="183"/>
    </row>
    <row r="18038" spans="1:38">
      <c r="A18038" s="182"/>
      <c r="Q18038" s="183"/>
      <c r="R18038" s="183"/>
      <c r="S18038" s="183"/>
    </row>
    <row r="18039" spans="1:38">
      <c r="A18039" s="182"/>
      <c r="Q18039" s="183"/>
      <c r="R18039" s="183"/>
      <c r="S18039" s="183"/>
    </row>
    <row r="18040" spans="1:38">
      <c r="A18040" s="182"/>
      <c r="Q18040" s="183"/>
      <c r="R18040" s="183"/>
      <c r="S18040" s="183"/>
    </row>
    <row r="18041" spans="1:38">
      <c r="A18041" s="182"/>
      <c r="Q18041" s="183"/>
      <c r="R18041" s="183"/>
      <c r="S18041" s="183"/>
      <c r="AK18041" s="183"/>
      <c r="AL18041" s="183"/>
    </row>
    <row r="18042" spans="1:38">
      <c r="A18042" s="182"/>
      <c r="Q18042" s="183"/>
      <c r="R18042" s="183"/>
      <c r="S18042" s="183"/>
      <c r="AJ18042" s="183"/>
      <c r="AK18042" s="183"/>
      <c r="AL18042" s="183"/>
    </row>
    <row r="18043" spans="1:38">
      <c r="A18043" s="182"/>
      <c r="Q18043" s="183"/>
      <c r="R18043" s="183"/>
      <c r="S18043" s="183"/>
      <c r="AJ18043" s="183"/>
      <c r="AK18043" s="183"/>
      <c r="AL18043" s="183"/>
    </row>
    <row r="18044" spans="1:38">
      <c r="A18044" s="182"/>
      <c r="Q18044" s="183"/>
      <c r="R18044" s="183"/>
      <c r="S18044" s="183"/>
      <c r="AJ18044" s="183"/>
      <c r="AK18044" s="183"/>
      <c r="AL18044" s="183"/>
    </row>
    <row r="18045" spans="1:38">
      <c r="A18045" s="182"/>
      <c r="Q18045" s="183"/>
      <c r="R18045" s="183"/>
      <c r="S18045" s="183"/>
      <c r="AJ18045" s="183"/>
    </row>
    <row r="18046" spans="1:38">
      <c r="A18046" s="182"/>
      <c r="Q18046" s="183"/>
      <c r="R18046" s="183"/>
      <c r="S18046" s="183"/>
    </row>
    <row r="18047" spans="1:38">
      <c r="A18047" s="182"/>
      <c r="Q18047" s="183"/>
      <c r="R18047" s="183"/>
      <c r="S18047" s="183"/>
    </row>
    <row r="18048" spans="1:38">
      <c r="A18048" s="182"/>
      <c r="Q18048" s="183"/>
      <c r="R18048" s="183"/>
      <c r="S18048" s="183"/>
    </row>
    <row r="18049" spans="1:38">
      <c r="A18049" s="182"/>
      <c r="Q18049" s="183"/>
      <c r="R18049" s="183"/>
      <c r="S18049" s="183"/>
      <c r="AK18049" s="183"/>
      <c r="AL18049" s="183"/>
    </row>
    <row r="18050" spans="1:38">
      <c r="A18050" s="182"/>
      <c r="Q18050" s="183"/>
      <c r="R18050" s="183"/>
      <c r="S18050" s="183"/>
      <c r="AJ18050" s="183"/>
      <c r="AK18050" s="183"/>
      <c r="AL18050" s="183"/>
    </row>
    <row r="18051" spans="1:38">
      <c r="A18051" s="182"/>
      <c r="Q18051" s="183"/>
      <c r="R18051" s="183"/>
      <c r="S18051" s="183"/>
      <c r="AJ18051" s="183"/>
      <c r="AK18051" s="183"/>
      <c r="AL18051" s="183"/>
    </row>
    <row r="18052" spans="1:38">
      <c r="A18052" s="182"/>
      <c r="Q18052" s="183"/>
      <c r="R18052" s="183"/>
      <c r="S18052" s="183"/>
      <c r="AJ18052" s="183"/>
      <c r="AK18052" s="183"/>
      <c r="AL18052" s="183"/>
    </row>
    <row r="18053" spans="1:38">
      <c r="A18053" s="182"/>
      <c r="Q18053" s="183"/>
      <c r="R18053" s="183"/>
      <c r="S18053" s="183"/>
      <c r="AJ18053" s="183"/>
    </row>
    <row r="18054" spans="1:38">
      <c r="A18054" s="182"/>
      <c r="Q18054" s="183"/>
      <c r="R18054" s="183"/>
      <c r="S18054" s="183"/>
    </row>
    <row r="18055" spans="1:38">
      <c r="A18055" s="182"/>
      <c r="Q18055" s="183"/>
      <c r="R18055" s="183"/>
      <c r="S18055" s="183"/>
    </row>
    <row r="18056" spans="1:38">
      <c r="A18056" s="182"/>
      <c r="Q18056" s="183"/>
      <c r="R18056" s="183"/>
      <c r="S18056" s="183"/>
    </row>
    <row r="18057" spans="1:38">
      <c r="A18057" s="182"/>
      <c r="Q18057" s="183"/>
      <c r="R18057" s="183"/>
      <c r="S18057" s="183"/>
    </row>
    <row r="18058" spans="1:38">
      <c r="A18058" s="182"/>
      <c r="Q18058" s="183"/>
      <c r="R18058" s="183"/>
      <c r="S18058" s="183"/>
    </row>
    <row r="18059" spans="1:38">
      <c r="A18059" s="182"/>
      <c r="Q18059" s="183"/>
      <c r="R18059" s="183"/>
      <c r="S18059" s="183"/>
    </row>
    <row r="18060" spans="1:38">
      <c r="A18060" s="182"/>
      <c r="Q18060" s="183"/>
      <c r="R18060" s="183"/>
      <c r="S18060" s="183"/>
    </row>
    <row r="18061" spans="1:38">
      <c r="A18061" s="182"/>
      <c r="Q18061" s="183"/>
      <c r="R18061" s="183"/>
      <c r="S18061" s="183"/>
      <c r="AK18061" s="183"/>
      <c r="AL18061" s="183"/>
    </row>
    <row r="18062" spans="1:38">
      <c r="A18062" s="182"/>
      <c r="Q18062" s="183"/>
      <c r="R18062" s="183"/>
      <c r="S18062" s="183"/>
      <c r="AJ18062" s="183"/>
      <c r="AK18062" s="183"/>
      <c r="AL18062" s="183"/>
    </row>
    <row r="18063" spans="1:38">
      <c r="A18063" s="182"/>
      <c r="Q18063" s="183"/>
      <c r="R18063" s="183"/>
      <c r="S18063" s="183"/>
      <c r="AJ18063" s="183"/>
      <c r="AK18063" s="183"/>
      <c r="AL18063" s="183"/>
    </row>
    <row r="18064" spans="1:38">
      <c r="A18064" s="182"/>
      <c r="Q18064" s="183"/>
      <c r="R18064" s="183"/>
      <c r="S18064" s="183"/>
      <c r="AJ18064" s="183"/>
      <c r="AK18064" s="183"/>
      <c r="AL18064" s="183"/>
    </row>
    <row r="18065" spans="1:38">
      <c r="A18065" s="182"/>
      <c r="Q18065" s="183"/>
      <c r="R18065" s="183"/>
      <c r="S18065" s="183"/>
      <c r="AJ18065" s="183"/>
    </row>
    <row r="18066" spans="1:38">
      <c r="A18066" s="182"/>
      <c r="Q18066" s="183"/>
      <c r="R18066" s="183"/>
      <c r="S18066" s="183"/>
    </row>
    <row r="18067" spans="1:38">
      <c r="A18067" s="182"/>
      <c r="Q18067" s="183"/>
      <c r="R18067" s="183"/>
      <c r="S18067" s="183"/>
    </row>
    <row r="18068" spans="1:38">
      <c r="A18068" s="182"/>
      <c r="Q18068" s="183"/>
      <c r="R18068" s="183"/>
      <c r="S18068" s="183"/>
    </row>
    <row r="18069" spans="1:38">
      <c r="A18069" s="182"/>
      <c r="Q18069" s="183"/>
      <c r="R18069" s="183"/>
      <c r="S18069" s="183"/>
      <c r="AK18069" s="183"/>
      <c r="AL18069" s="183"/>
    </row>
    <row r="18070" spans="1:38">
      <c r="A18070" s="182"/>
      <c r="Q18070" s="183"/>
      <c r="R18070" s="183"/>
      <c r="S18070" s="183"/>
      <c r="AJ18070" s="183"/>
      <c r="AK18070" s="183"/>
      <c r="AL18070" s="183"/>
    </row>
    <row r="18071" spans="1:38">
      <c r="A18071" s="182"/>
      <c r="Q18071" s="183"/>
      <c r="R18071" s="183"/>
      <c r="S18071" s="183"/>
      <c r="AJ18071" s="183"/>
      <c r="AK18071" s="183"/>
      <c r="AL18071" s="183"/>
    </row>
    <row r="18072" spans="1:38">
      <c r="A18072" s="182"/>
      <c r="Q18072" s="183"/>
      <c r="R18072" s="183"/>
      <c r="S18072" s="183"/>
      <c r="AJ18072" s="183"/>
      <c r="AK18072" s="183"/>
      <c r="AL18072" s="183"/>
    </row>
    <row r="18073" spans="1:38">
      <c r="A18073" s="182"/>
      <c r="Q18073" s="183"/>
      <c r="R18073" s="183"/>
      <c r="S18073" s="183"/>
      <c r="AJ18073" s="183"/>
    </row>
    <row r="18074" spans="1:38">
      <c r="A18074" s="182"/>
      <c r="Q18074" s="183"/>
      <c r="R18074" s="183"/>
      <c r="S18074" s="183"/>
    </row>
    <row r="18075" spans="1:38">
      <c r="A18075" s="182"/>
      <c r="Q18075" s="183"/>
      <c r="R18075" s="183"/>
      <c r="S18075" s="183"/>
    </row>
    <row r="18076" spans="1:38">
      <c r="A18076" s="182"/>
      <c r="Q18076" s="183"/>
      <c r="R18076" s="183"/>
      <c r="S18076" s="183"/>
    </row>
    <row r="18077" spans="1:38">
      <c r="A18077" s="182"/>
      <c r="Q18077" s="183"/>
      <c r="R18077" s="183"/>
      <c r="S18077" s="183"/>
    </row>
    <row r="18078" spans="1:38">
      <c r="A18078" s="182"/>
      <c r="Q18078" s="183"/>
      <c r="R18078" s="183"/>
      <c r="S18078" s="183"/>
    </row>
    <row r="18079" spans="1:38">
      <c r="A18079" s="182"/>
      <c r="Q18079" s="183"/>
      <c r="R18079" s="183"/>
      <c r="S18079" s="183"/>
    </row>
    <row r="18080" spans="1:38">
      <c r="A18080" s="182"/>
      <c r="Q18080" s="183"/>
      <c r="R18080" s="183"/>
      <c r="S18080" s="183"/>
    </row>
    <row r="18081" spans="1:38">
      <c r="A18081" s="182"/>
      <c r="Q18081" s="183"/>
      <c r="R18081" s="183"/>
      <c r="S18081" s="183"/>
    </row>
    <row r="18082" spans="1:38">
      <c r="A18082" s="182"/>
      <c r="Q18082" s="183"/>
      <c r="R18082" s="183"/>
      <c r="S18082" s="183"/>
    </row>
    <row r="18083" spans="1:38">
      <c r="A18083" s="182"/>
      <c r="Q18083" s="183"/>
      <c r="R18083" s="183"/>
      <c r="S18083" s="183"/>
    </row>
    <row r="18084" spans="1:38">
      <c r="A18084" s="182"/>
      <c r="Q18084" s="183"/>
      <c r="R18084" s="183"/>
      <c r="S18084" s="183"/>
    </row>
    <row r="18085" spans="1:38">
      <c r="A18085" s="182"/>
      <c r="Q18085" s="183"/>
      <c r="R18085" s="183"/>
      <c r="S18085" s="183"/>
    </row>
    <row r="18086" spans="1:38">
      <c r="A18086" s="182"/>
      <c r="Q18086" s="183"/>
      <c r="R18086" s="183"/>
      <c r="S18086" s="183"/>
    </row>
    <row r="18087" spans="1:38">
      <c r="A18087" s="182"/>
      <c r="Q18087" s="183"/>
      <c r="R18087" s="183"/>
      <c r="S18087" s="183"/>
    </row>
    <row r="18088" spans="1:38">
      <c r="A18088" s="182"/>
      <c r="Q18088" s="183"/>
      <c r="R18088" s="183"/>
      <c r="S18088" s="183"/>
    </row>
    <row r="18089" spans="1:38">
      <c r="A18089" s="182"/>
      <c r="Q18089" s="183"/>
      <c r="R18089" s="183"/>
      <c r="S18089" s="183"/>
      <c r="AK18089" s="183"/>
      <c r="AL18089" s="183"/>
    </row>
    <row r="18090" spans="1:38">
      <c r="A18090" s="182"/>
      <c r="Q18090" s="183"/>
      <c r="R18090" s="183"/>
      <c r="S18090" s="183"/>
      <c r="AJ18090" s="183"/>
      <c r="AK18090" s="183"/>
      <c r="AL18090" s="183"/>
    </row>
    <row r="18091" spans="1:38">
      <c r="A18091" s="182"/>
      <c r="Q18091" s="183"/>
      <c r="R18091" s="183"/>
      <c r="S18091" s="183"/>
      <c r="AJ18091" s="183"/>
      <c r="AK18091" s="183"/>
      <c r="AL18091" s="183"/>
    </row>
    <row r="18092" spans="1:38">
      <c r="A18092" s="182"/>
      <c r="Q18092" s="183"/>
      <c r="R18092" s="183"/>
      <c r="S18092" s="183"/>
      <c r="AJ18092" s="183"/>
      <c r="AK18092" s="183"/>
      <c r="AL18092" s="183"/>
    </row>
    <row r="18093" spans="1:38">
      <c r="A18093" s="182"/>
      <c r="Q18093" s="183"/>
      <c r="R18093" s="183"/>
      <c r="S18093" s="183"/>
      <c r="AJ18093" s="183"/>
    </row>
    <row r="18094" spans="1:38">
      <c r="A18094" s="182"/>
      <c r="Q18094" s="183"/>
      <c r="R18094" s="183"/>
      <c r="S18094" s="183"/>
    </row>
    <row r="18095" spans="1:38">
      <c r="A18095" s="182"/>
      <c r="Q18095" s="183"/>
      <c r="R18095" s="183"/>
      <c r="S18095" s="183"/>
    </row>
    <row r="18096" spans="1:38">
      <c r="A18096" s="182"/>
      <c r="Q18096" s="183"/>
      <c r="R18096" s="183"/>
      <c r="S18096" s="183"/>
    </row>
    <row r="18097" spans="1:38">
      <c r="A18097" s="182"/>
      <c r="Q18097" s="183"/>
      <c r="R18097" s="183"/>
      <c r="S18097" s="183"/>
    </row>
    <row r="18098" spans="1:38">
      <c r="A18098" s="182"/>
      <c r="Q18098" s="183"/>
      <c r="R18098" s="183"/>
      <c r="S18098" s="183"/>
    </row>
    <row r="18099" spans="1:38">
      <c r="A18099" s="182"/>
      <c r="Q18099" s="183"/>
      <c r="R18099" s="183"/>
      <c r="S18099" s="183"/>
    </row>
    <row r="18100" spans="1:38">
      <c r="A18100" s="182"/>
      <c r="Q18100" s="183"/>
      <c r="R18100" s="183"/>
      <c r="S18100" s="183"/>
    </row>
    <row r="18101" spans="1:38">
      <c r="A18101" s="182"/>
      <c r="Q18101" s="183"/>
      <c r="R18101" s="183"/>
      <c r="S18101" s="183"/>
      <c r="AK18101" s="183"/>
      <c r="AL18101" s="183"/>
    </row>
    <row r="18102" spans="1:38">
      <c r="A18102" s="182"/>
      <c r="Q18102" s="183"/>
      <c r="R18102" s="183"/>
      <c r="S18102" s="183"/>
      <c r="AJ18102" s="183"/>
      <c r="AK18102" s="183"/>
      <c r="AL18102" s="183"/>
    </row>
    <row r="18103" spans="1:38">
      <c r="A18103" s="182"/>
      <c r="Q18103" s="183"/>
      <c r="R18103" s="183"/>
      <c r="S18103" s="183"/>
      <c r="AJ18103" s="183"/>
      <c r="AK18103" s="183"/>
      <c r="AL18103" s="183"/>
    </row>
    <row r="18104" spans="1:38">
      <c r="A18104" s="182"/>
      <c r="Q18104" s="183"/>
      <c r="R18104" s="183"/>
      <c r="S18104" s="183"/>
      <c r="AJ18104" s="183"/>
      <c r="AK18104" s="183"/>
      <c r="AL18104" s="183"/>
    </row>
    <row r="18105" spans="1:38">
      <c r="A18105" s="182"/>
      <c r="Q18105" s="183"/>
      <c r="R18105" s="183"/>
      <c r="S18105" s="183"/>
      <c r="AJ18105" s="183"/>
      <c r="AK18105" s="183"/>
      <c r="AL18105" s="183"/>
    </row>
    <row r="18106" spans="1:38">
      <c r="A18106" s="182"/>
      <c r="Q18106" s="183"/>
      <c r="R18106" s="183"/>
      <c r="S18106" s="183"/>
      <c r="AJ18106" s="183"/>
      <c r="AK18106" s="183"/>
      <c r="AL18106" s="183"/>
    </row>
    <row r="18107" spans="1:38">
      <c r="A18107" s="182"/>
      <c r="Q18107" s="183"/>
      <c r="R18107" s="183"/>
      <c r="S18107" s="183"/>
      <c r="AJ18107" s="183"/>
      <c r="AK18107" s="183"/>
      <c r="AL18107" s="183"/>
    </row>
    <row r="18108" spans="1:38">
      <c r="A18108" s="182"/>
      <c r="Q18108" s="183"/>
      <c r="R18108" s="183"/>
      <c r="S18108" s="183"/>
      <c r="AJ18108" s="183"/>
      <c r="AK18108" s="183"/>
      <c r="AL18108" s="183"/>
    </row>
    <row r="18109" spans="1:38">
      <c r="A18109" s="182"/>
      <c r="Q18109" s="183"/>
      <c r="R18109" s="183"/>
      <c r="S18109" s="183"/>
      <c r="AJ18109" s="183"/>
    </row>
    <row r="18110" spans="1:38">
      <c r="A18110" s="182"/>
      <c r="Q18110" s="183"/>
      <c r="R18110" s="183"/>
      <c r="S18110" s="183"/>
    </row>
    <row r="18111" spans="1:38">
      <c r="A18111" s="182"/>
      <c r="Q18111" s="183"/>
      <c r="R18111" s="183"/>
      <c r="S18111" s="183"/>
    </row>
    <row r="18112" spans="1:38">
      <c r="A18112" s="182"/>
      <c r="Q18112" s="183"/>
      <c r="R18112" s="183"/>
      <c r="S18112" s="183"/>
    </row>
    <row r="18113" spans="1:38">
      <c r="A18113" s="182"/>
      <c r="Q18113" s="183"/>
      <c r="R18113" s="183"/>
      <c r="S18113" s="183"/>
      <c r="AK18113" s="183"/>
      <c r="AL18113" s="183"/>
    </row>
    <row r="18114" spans="1:38">
      <c r="A18114" s="182"/>
      <c r="Q18114" s="183"/>
      <c r="R18114" s="183"/>
      <c r="S18114" s="183"/>
      <c r="AJ18114" s="183"/>
      <c r="AK18114" s="183"/>
      <c r="AL18114" s="183"/>
    </row>
    <row r="18115" spans="1:38">
      <c r="A18115" s="182"/>
      <c r="Q18115" s="183"/>
      <c r="R18115" s="183"/>
      <c r="S18115" s="183"/>
      <c r="AJ18115" s="183"/>
      <c r="AK18115" s="183"/>
      <c r="AL18115" s="183"/>
    </row>
    <row r="18116" spans="1:38">
      <c r="A18116" s="182"/>
      <c r="Q18116" s="183"/>
      <c r="R18116" s="183"/>
      <c r="S18116" s="183"/>
      <c r="AJ18116" s="183"/>
      <c r="AK18116" s="183"/>
      <c r="AL18116" s="183"/>
    </row>
    <row r="18117" spans="1:38">
      <c r="A18117" s="182"/>
      <c r="Q18117" s="183"/>
      <c r="R18117" s="183"/>
      <c r="S18117" s="183"/>
      <c r="AJ18117" s="183"/>
      <c r="AK18117" s="183"/>
      <c r="AL18117" s="183"/>
    </row>
    <row r="18118" spans="1:38">
      <c r="A18118" s="182"/>
      <c r="Q18118" s="183"/>
      <c r="R18118" s="183"/>
      <c r="S18118" s="183"/>
      <c r="AJ18118" s="183"/>
      <c r="AK18118" s="183"/>
      <c r="AL18118" s="183"/>
    </row>
    <row r="18119" spans="1:38">
      <c r="A18119" s="182"/>
      <c r="Q18119" s="183"/>
      <c r="R18119" s="183"/>
      <c r="S18119" s="183"/>
      <c r="AJ18119" s="183"/>
      <c r="AK18119" s="183"/>
      <c r="AL18119" s="183"/>
    </row>
    <row r="18120" spans="1:38">
      <c r="A18120" s="182"/>
      <c r="Q18120" s="183"/>
      <c r="R18120" s="183"/>
      <c r="S18120" s="183"/>
      <c r="AJ18120" s="183"/>
      <c r="AK18120" s="183"/>
      <c r="AL18120" s="183"/>
    </row>
    <row r="18121" spans="1:38">
      <c r="A18121" s="182"/>
      <c r="Q18121" s="183"/>
      <c r="R18121" s="183"/>
      <c r="S18121" s="183"/>
      <c r="AJ18121" s="183"/>
    </row>
    <row r="18122" spans="1:38">
      <c r="A18122" s="182"/>
      <c r="Q18122" s="183"/>
      <c r="R18122" s="183"/>
      <c r="S18122" s="183"/>
    </row>
    <row r="18123" spans="1:38">
      <c r="A18123" s="182"/>
      <c r="Q18123" s="183"/>
      <c r="R18123" s="183"/>
      <c r="S18123" s="183"/>
    </row>
    <row r="18124" spans="1:38">
      <c r="A18124" s="182"/>
      <c r="Q18124" s="183"/>
      <c r="R18124" s="183"/>
      <c r="S18124" s="183"/>
    </row>
    <row r="18125" spans="1:38">
      <c r="A18125" s="182"/>
      <c r="Q18125" s="183"/>
      <c r="R18125" s="183"/>
      <c r="S18125" s="183"/>
    </row>
    <row r="18126" spans="1:38">
      <c r="A18126" s="182"/>
      <c r="Q18126" s="183"/>
      <c r="R18126" s="183"/>
      <c r="S18126" s="183"/>
    </row>
    <row r="18127" spans="1:38">
      <c r="A18127" s="182"/>
      <c r="Q18127" s="183"/>
      <c r="R18127" s="183"/>
      <c r="S18127" s="183"/>
    </row>
    <row r="18128" spans="1:38">
      <c r="A18128" s="182"/>
      <c r="Q18128" s="183"/>
      <c r="R18128" s="183"/>
      <c r="S18128" s="183"/>
    </row>
    <row r="18129" spans="1:38">
      <c r="A18129" s="182"/>
      <c r="Q18129" s="183"/>
      <c r="R18129" s="183"/>
      <c r="S18129" s="183"/>
      <c r="AK18129" s="183"/>
      <c r="AL18129" s="183"/>
    </row>
    <row r="18130" spans="1:38">
      <c r="A18130" s="182"/>
      <c r="Q18130" s="183"/>
      <c r="R18130" s="183"/>
      <c r="S18130" s="183"/>
      <c r="AJ18130" s="183"/>
      <c r="AK18130" s="183"/>
      <c r="AL18130" s="183"/>
    </row>
    <row r="18131" spans="1:38">
      <c r="A18131" s="182"/>
      <c r="Q18131" s="183"/>
      <c r="R18131" s="183"/>
      <c r="S18131" s="183"/>
      <c r="AJ18131" s="183"/>
      <c r="AK18131" s="183"/>
      <c r="AL18131" s="183"/>
    </row>
    <row r="18132" spans="1:38">
      <c r="A18132" s="182"/>
      <c r="Q18132" s="183"/>
      <c r="R18132" s="183"/>
      <c r="S18132" s="183"/>
      <c r="AJ18132" s="183"/>
      <c r="AK18132" s="183"/>
      <c r="AL18132" s="183"/>
    </row>
    <row r="18133" spans="1:38">
      <c r="A18133" s="182"/>
      <c r="Q18133" s="183"/>
      <c r="R18133" s="183"/>
      <c r="S18133" s="183"/>
      <c r="AJ18133" s="183"/>
      <c r="AK18133" s="183"/>
      <c r="AL18133" s="183"/>
    </row>
    <row r="18134" spans="1:38">
      <c r="A18134" s="182"/>
      <c r="Q18134" s="183"/>
      <c r="R18134" s="183"/>
      <c r="S18134" s="183"/>
      <c r="AJ18134" s="183"/>
      <c r="AK18134" s="183"/>
      <c r="AL18134" s="183"/>
    </row>
    <row r="18135" spans="1:38">
      <c r="A18135" s="182"/>
      <c r="Q18135" s="183"/>
      <c r="R18135" s="183"/>
      <c r="S18135" s="183"/>
      <c r="AJ18135" s="183"/>
      <c r="AK18135" s="183"/>
      <c r="AL18135" s="183"/>
    </row>
    <row r="18136" spans="1:38">
      <c r="A18136" s="182"/>
      <c r="Q18136" s="183"/>
      <c r="R18136" s="183"/>
      <c r="S18136" s="183"/>
      <c r="AJ18136" s="183"/>
      <c r="AK18136" s="183"/>
      <c r="AL18136" s="183"/>
    </row>
    <row r="18137" spans="1:38">
      <c r="A18137" s="182"/>
      <c r="Q18137" s="183"/>
      <c r="R18137" s="183"/>
      <c r="S18137" s="183"/>
      <c r="AJ18137" s="183"/>
      <c r="AK18137" s="183"/>
      <c r="AL18137" s="183"/>
    </row>
    <row r="18138" spans="1:38">
      <c r="A18138" s="182"/>
      <c r="Q18138" s="183"/>
      <c r="R18138" s="183"/>
      <c r="S18138" s="183"/>
      <c r="AJ18138" s="183"/>
      <c r="AK18138" s="183"/>
      <c r="AL18138" s="183"/>
    </row>
    <row r="18139" spans="1:38">
      <c r="A18139" s="182"/>
      <c r="Q18139" s="183"/>
      <c r="R18139" s="183"/>
      <c r="S18139" s="183"/>
      <c r="AJ18139" s="183"/>
      <c r="AK18139" s="183"/>
      <c r="AL18139" s="183"/>
    </row>
    <row r="18140" spans="1:38">
      <c r="A18140" s="182"/>
      <c r="Q18140" s="183"/>
      <c r="R18140" s="183"/>
      <c r="S18140" s="183"/>
      <c r="AJ18140" s="183"/>
      <c r="AK18140" s="183"/>
      <c r="AL18140" s="183"/>
    </row>
    <row r="18141" spans="1:38">
      <c r="A18141" s="182"/>
      <c r="Q18141" s="183"/>
      <c r="R18141" s="183"/>
      <c r="S18141" s="183"/>
      <c r="AJ18141" s="183"/>
      <c r="AK18141" s="183"/>
      <c r="AL18141" s="183"/>
    </row>
    <row r="18142" spans="1:38">
      <c r="A18142" s="182"/>
      <c r="Q18142" s="183"/>
      <c r="R18142" s="183"/>
      <c r="S18142" s="183"/>
      <c r="AJ18142" s="183"/>
      <c r="AK18142" s="183"/>
      <c r="AL18142" s="183"/>
    </row>
    <row r="18143" spans="1:38">
      <c r="A18143" s="182"/>
      <c r="Q18143" s="183"/>
      <c r="R18143" s="183"/>
      <c r="S18143" s="183"/>
      <c r="AJ18143" s="183"/>
      <c r="AK18143" s="183"/>
      <c r="AL18143" s="183"/>
    </row>
    <row r="18144" spans="1:38">
      <c r="A18144" s="182"/>
      <c r="Q18144" s="183"/>
      <c r="R18144" s="183"/>
      <c r="S18144" s="183"/>
      <c r="AJ18144" s="183"/>
      <c r="AK18144" s="183"/>
      <c r="AL18144" s="183"/>
    </row>
    <row r="18145" spans="1:38">
      <c r="A18145" s="182"/>
      <c r="Q18145" s="183"/>
      <c r="R18145" s="183"/>
      <c r="S18145" s="183"/>
      <c r="AJ18145" s="183"/>
      <c r="AK18145" s="183"/>
      <c r="AL18145" s="183"/>
    </row>
    <row r="18146" spans="1:38">
      <c r="A18146" s="182"/>
      <c r="Q18146" s="183"/>
      <c r="R18146" s="183"/>
      <c r="S18146" s="183"/>
      <c r="AJ18146" s="183"/>
      <c r="AK18146" s="183"/>
      <c r="AL18146" s="183"/>
    </row>
    <row r="18147" spans="1:38">
      <c r="A18147" s="182"/>
      <c r="Q18147" s="183"/>
      <c r="R18147" s="183"/>
      <c r="S18147" s="183"/>
      <c r="AJ18147" s="183"/>
      <c r="AK18147" s="183"/>
      <c r="AL18147" s="183"/>
    </row>
    <row r="18148" spans="1:38">
      <c r="A18148" s="182"/>
      <c r="Q18148" s="183"/>
      <c r="R18148" s="183"/>
      <c r="S18148" s="183"/>
      <c r="AJ18148" s="183"/>
      <c r="AK18148" s="183"/>
      <c r="AL18148" s="183"/>
    </row>
    <row r="18149" spans="1:38">
      <c r="A18149" s="182"/>
      <c r="Q18149" s="183"/>
      <c r="R18149" s="183"/>
      <c r="S18149" s="183"/>
      <c r="AJ18149" s="183"/>
      <c r="AK18149" s="183"/>
      <c r="AL18149" s="183"/>
    </row>
    <row r="18150" spans="1:38">
      <c r="A18150" s="182"/>
      <c r="Q18150" s="183"/>
      <c r="R18150" s="183"/>
      <c r="S18150" s="183"/>
      <c r="AJ18150" s="183"/>
      <c r="AK18150" s="183"/>
      <c r="AL18150" s="183"/>
    </row>
    <row r="18151" spans="1:38">
      <c r="A18151" s="182"/>
      <c r="Q18151" s="183"/>
      <c r="R18151" s="183"/>
      <c r="S18151" s="183"/>
      <c r="AJ18151" s="183"/>
      <c r="AK18151" s="183"/>
      <c r="AL18151" s="183"/>
    </row>
    <row r="18152" spans="1:38">
      <c r="A18152" s="182"/>
      <c r="Q18152" s="183"/>
      <c r="R18152" s="183"/>
      <c r="S18152" s="183"/>
      <c r="AJ18152" s="183"/>
      <c r="AK18152" s="183"/>
      <c r="AL18152" s="183"/>
    </row>
    <row r="18153" spans="1:38">
      <c r="A18153" s="182"/>
      <c r="Q18153" s="183"/>
      <c r="R18153" s="183"/>
      <c r="S18153" s="183"/>
      <c r="AJ18153" s="183"/>
    </row>
    <row r="18154" spans="1:38">
      <c r="A18154" s="182"/>
      <c r="Q18154" s="183"/>
      <c r="R18154" s="183"/>
      <c r="S18154" s="183"/>
    </row>
    <row r="18155" spans="1:38">
      <c r="A18155" s="182"/>
      <c r="Q18155" s="183"/>
      <c r="R18155" s="183"/>
      <c r="S18155" s="183"/>
    </row>
    <row r="18156" spans="1:38">
      <c r="A18156" s="182"/>
      <c r="Q18156" s="183"/>
      <c r="R18156" s="183"/>
      <c r="S18156" s="183"/>
    </row>
    <row r="18157" spans="1:38">
      <c r="A18157" s="182"/>
      <c r="Q18157" s="183"/>
      <c r="R18157" s="183"/>
      <c r="S18157" s="183"/>
    </row>
    <row r="18158" spans="1:38">
      <c r="A18158" s="182"/>
      <c r="Q18158" s="183"/>
      <c r="R18158" s="183"/>
      <c r="S18158" s="183"/>
    </row>
    <row r="18159" spans="1:38">
      <c r="A18159" s="182"/>
      <c r="Q18159" s="183"/>
      <c r="R18159" s="183"/>
      <c r="S18159" s="183"/>
    </row>
    <row r="18160" spans="1:38">
      <c r="A18160" s="182"/>
      <c r="Q18160" s="183"/>
      <c r="R18160" s="183"/>
      <c r="S18160" s="183"/>
    </row>
    <row r="18161" spans="1:19">
      <c r="A18161" s="182"/>
      <c r="Q18161" s="183"/>
      <c r="R18161" s="183"/>
      <c r="S18161" s="183"/>
    </row>
    <row r="18162" spans="1:19">
      <c r="A18162" s="182"/>
      <c r="Q18162" s="183"/>
      <c r="R18162" s="183"/>
      <c r="S18162" s="183"/>
    </row>
    <row r="18163" spans="1:19">
      <c r="A18163" s="182"/>
      <c r="Q18163" s="183"/>
      <c r="R18163" s="183"/>
      <c r="S18163" s="183"/>
    </row>
    <row r="18164" spans="1:19">
      <c r="A18164" s="182"/>
      <c r="Q18164" s="183"/>
      <c r="R18164" s="183"/>
      <c r="S18164" s="183"/>
    </row>
    <row r="18165" spans="1:19">
      <c r="A18165" s="182"/>
      <c r="Q18165" s="183"/>
      <c r="R18165" s="183"/>
      <c r="S18165" s="183"/>
    </row>
    <row r="18166" spans="1:19">
      <c r="A18166" s="182"/>
      <c r="Q18166" s="183"/>
      <c r="R18166" s="183"/>
      <c r="S18166" s="183"/>
    </row>
    <row r="18167" spans="1:19">
      <c r="A18167" s="182"/>
      <c r="Q18167" s="183"/>
      <c r="R18167" s="183"/>
      <c r="S18167" s="183"/>
    </row>
    <row r="18168" spans="1:19">
      <c r="A18168" s="182"/>
      <c r="Q18168" s="183"/>
      <c r="R18168" s="183"/>
      <c r="S18168" s="183"/>
    </row>
    <row r="18169" spans="1:19">
      <c r="A18169" s="182"/>
      <c r="Q18169" s="183"/>
      <c r="R18169" s="183"/>
      <c r="S18169" s="183"/>
    </row>
    <row r="18170" spans="1:19">
      <c r="A18170" s="182"/>
      <c r="Q18170" s="183"/>
      <c r="R18170" s="183"/>
      <c r="S18170" s="183"/>
    </row>
    <row r="18171" spans="1:19">
      <c r="A18171" s="182"/>
      <c r="Q18171" s="183"/>
      <c r="R18171" s="183"/>
      <c r="S18171" s="183"/>
    </row>
    <row r="18172" spans="1:19">
      <c r="A18172" s="182"/>
      <c r="Q18172" s="183"/>
      <c r="R18172" s="183"/>
      <c r="S18172" s="183"/>
    </row>
    <row r="18173" spans="1:19">
      <c r="A18173" s="182"/>
      <c r="Q18173" s="183"/>
      <c r="R18173" s="183"/>
      <c r="S18173" s="183"/>
    </row>
    <row r="18174" spans="1:19">
      <c r="A18174" s="182"/>
      <c r="Q18174" s="183"/>
      <c r="R18174" s="183"/>
      <c r="S18174" s="183"/>
    </row>
    <row r="18175" spans="1:19">
      <c r="A18175" s="182"/>
      <c r="Q18175" s="183"/>
      <c r="R18175" s="183"/>
      <c r="S18175" s="183"/>
    </row>
    <row r="18176" spans="1:19">
      <c r="A18176" s="182"/>
      <c r="Q18176" s="183"/>
      <c r="R18176" s="183"/>
      <c r="S18176" s="183"/>
    </row>
    <row r="18177" spans="1:38">
      <c r="A18177" s="182"/>
      <c r="Q18177" s="183"/>
      <c r="R18177" s="183"/>
      <c r="S18177" s="183"/>
    </row>
    <row r="18178" spans="1:38">
      <c r="A18178" s="182"/>
      <c r="Q18178" s="183"/>
      <c r="R18178" s="183"/>
      <c r="S18178" s="183"/>
    </row>
    <row r="18179" spans="1:38">
      <c r="A18179" s="182"/>
      <c r="Q18179" s="183"/>
      <c r="R18179" s="183"/>
      <c r="S18179" s="183"/>
    </row>
    <row r="18180" spans="1:38">
      <c r="A18180" s="182"/>
      <c r="Q18180" s="183"/>
      <c r="R18180" s="183"/>
      <c r="S18180" s="183"/>
    </row>
    <row r="18181" spans="1:38">
      <c r="A18181" s="182"/>
      <c r="Q18181" s="183"/>
      <c r="R18181" s="183"/>
      <c r="S18181" s="183"/>
    </row>
    <row r="18182" spans="1:38">
      <c r="A18182" s="182"/>
      <c r="Q18182" s="183"/>
      <c r="R18182" s="183"/>
      <c r="S18182" s="183"/>
    </row>
    <row r="18183" spans="1:38">
      <c r="A18183" s="182"/>
      <c r="Q18183" s="183"/>
      <c r="R18183" s="183"/>
      <c r="S18183" s="183"/>
    </row>
    <row r="18184" spans="1:38">
      <c r="A18184" s="182"/>
      <c r="Q18184" s="183"/>
      <c r="R18184" s="183"/>
      <c r="S18184" s="183"/>
    </row>
    <row r="18185" spans="1:38">
      <c r="A18185" s="182"/>
      <c r="Q18185" s="183"/>
      <c r="R18185" s="183"/>
      <c r="S18185" s="183"/>
      <c r="AK18185" s="183"/>
      <c r="AL18185" s="183"/>
    </row>
    <row r="18186" spans="1:38">
      <c r="A18186" s="182"/>
      <c r="Q18186" s="183"/>
      <c r="R18186" s="183"/>
      <c r="S18186" s="183"/>
      <c r="AJ18186" s="183"/>
      <c r="AK18186" s="183"/>
      <c r="AL18186" s="183"/>
    </row>
    <row r="18187" spans="1:38">
      <c r="A18187" s="182"/>
      <c r="Q18187" s="183"/>
      <c r="R18187" s="183"/>
      <c r="S18187" s="183"/>
      <c r="AJ18187" s="183"/>
      <c r="AK18187" s="183"/>
      <c r="AL18187" s="183"/>
    </row>
    <row r="18188" spans="1:38">
      <c r="A18188" s="182"/>
      <c r="Q18188" s="183"/>
      <c r="R18188" s="183"/>
      <c r="S18188" s="183"/>
      <c r="AJ18188" s="183"/>
      <c r="AK18188" s="183"/>
      <c r="AL18188" s="183"/>
    </row>
    <row r="18189" spans="1:38">
      <c r="A18189" s="182"/>
      <c r="Q18189" s="183"/>
      <c r="R18189" s="183"/>
      <c r="S18189" s="183"/>
      <c r="AJ18189" s="183"/>
    </row>
    <row r="18190" spans="1:38">
      <c r="A18190" s="182"/>
      <c r="Q18190" s="183"/>
      <c r="R18190" s="183"/>
      <c r="S18190" s="183"/>
    </row>
    <row r="18191" spans="1:38">
      <c r="A18191" s="182"/>
      <c r="Q18191" s="183"/>
      <c r="R18191" s="183"/>
      <c r="S18191" s="183"/>
    </row>
    <row r="18192" spans="1:38">
      <c r="A18192" s="182"/>
      <c r="Q18192" s="183"/>
      <c r="R18192" s="183"/>
      <c r="S18192" s="183"/>
    </row>
    <row r="18193" spans="1:38">
      <c r="A18193" s="182"/>
      <c r="Q18193" s="183"/>
      <c r="R18193" s="183"/>
      <c r="S18193" s="183"/>
    </row>
    <row r="18194" spans="1:38">
      <c r="A18194" s="182"/>
      <c r="Q18194" s="183"/>
      <c r="R18194" s="183"/>
      <c r="S18194" s="183"/>
    </row>
    <row r="18195" spans="1:38">
      <c r="A18195" s="182"/>
      <c r="Q18195" s="183"/>
      <c r="R18195" s="183"/>
      <c r="S18195" s="183"/>
    </row>
    <row r="18196" spans="1:38">
      <c r="A18196" s="182"/>
      <c r="Q18196" s="183"/>
      <c r="R18196" s="183"/>
      <c r="S18196" s="183"/>
    </row>
    <row r="18197" spans="1:38">
      <c r="A18197" s="182"/>
      <c r="Q18197" s="183"/>
      <c r="R18197" s="183"/>
      <c r="S18197" s="183"/>
    </row>
    <row r="18198" spans="1:38">
      <c r="A18198" s="182"/>
      <c r="Q18198" s="183"/>
      <c r="R18198" s="183"/>
      <c r="S18198" s="183"/>
    </row>
    <row r="18199" spans="1:38">
      <c r="A18199" s="182"/>
      <c r="Q18199" s="183"/>
      <c r="R18199" s="183"/>
      <c r="S18199" s="183"/>
    </row>
    <row r="18200" spans="1:38">
      <c r="A18200" s="182"/>
      <c r="Q18200" s="183"/>
      <c r="R18200" s="183"/>
      <c r="S18200" s="183"/>
    </row>
    <row r="18201" spans="1:38">
      <c r="A18201" s="182"/>
      <c r="Q18201" s="183"/>
      <c r="R18201" s="183"/>
      <c r="S18201" s="183"/>
      <c r="AK18201" s="183"/>
      <c r="AL18201" s="183"/>
    </row>
    <row r="18202" spans="1:38">
      <c r="A18202" s="182"/>
      <c r="Q18202" s="183"/>
      <c r="R18202" s="183"/>
      <c r="S18202" s="183"/>
      <c r="AJ18202" s="183"/>
      <c r="AK18202" s="183"/>
      <c r="AL18202" s="183"/>
    </row>
    <row r="18203" spans="1:38">
      <c r="A18203" s="182"/>
      <c r="Q18203" s="183"/>
      <c r="R18203" s="183"/>
      <c r="S18203" s="183"/>
      <c r="AJ18203" s="183"/>
      <c r="AK18203" s="183"/>
      <c r="AL18203" s="183"/>
    </row>
    <row r="18204" spans="1:38">
      <c r="A18204" s="182"/>
      <c r="Q18204" s="183"/>
      <c r="R18204" s="183"/>
      <c r="S18204" s="183"/>
      <c r="AJ18204" s="183"/>
      <c r="AK18204" s="183"/>
      <c r="AL18204" s="183"/>
    </row>
    <row r="18205" spans="1:38">
      <c r="A18205" s="182"/>
      <c r="Q18205" s="183"/>
      <c r="R18205" s="183"/>
      <c r="S18205" s="183"/>
      <c r="AJ18205" s="183"/>
    </row>
    <row r="18206" spans="1:38">
      <c r="A18206" s="182"/>
      <c r="Q18206" s="183"/>
      <c r="R18206" s="183"/>
      <c r="S18206" s="183"/>
    </row>
    <row r="18207" spans="1:38">
      <c r="A18207" s="182"/>
      <c r="Q18207" s="183"/>
      <c r="R18207" s="183"/>
      <c r="S18207" s="183"/>
    </row>
    <row r="18208" spans="1:38">
      <c r="A18208" s="182"/>
      <c r="Q18208" s="183"/>
      <c r="R18208" s="183"/>
      <c r="S18208" s="183"/>
    </row>
    <row r="18209" spans="1:38">
      <c r="A18209" s="182"/>
      <c r="Q18209" s="183"/>
      <c r="R18209" s="183"/>
      <c r="S18209" s="183"/>
      <c r="AK18209" s="183"/>
      <c r="AL18209" s="183"/>
    </row>
    <row r="18210" spans="1:38">
      <c r="A18210" s="182"/>
      <c r="Q18210" s="183"/>
      <c r="R18210" s="183"/>
      <c r="S18210" s="183"/>
      <c r="AJ18210" s="183"/>
      <c r="AK18210" s="183"/>
      <c r="AL18210" s="183"/>
    </row>
    <row r="18211" spans="1:38">
      <c r="A18211" s="182"/>
      <c r="Q18211" s="183"/>
      <c r="R18211" s="183"/>
      <c r="S18211" s="183"/>
      <c r="AJ18211" s="183"/>
      <c r="AK18211" s="183"/>
      <c r="AL18211" s="183"/>
    </row>
    <row r="18212" spans="1:38">
      <c r="A18212" s="182"/>
      <c r="Q18212" s="183"/>
      <c r="R18212" s="183"/>
      <c r="S18212" s="183"/>
      <c r="AJ18212" s="183"/>
      <c r="AK18212" s="183"/>
      <c r="AL18212" s="183"/>
    </row>
    <row r="18213" spans="1:38">
      <c r="A18213" s="182"/>
      <c r="Q18213" s="183"/>
      <c r="R18213" s="183"/>
      <c r="S18213" s="183"/>
      <c r="AJ18213" s="183"/>
    </row>
    <row r="18214" spans="1:38">
      <c r="A18214" s="182"/>
      <c r="Q18214" s="183"/>
      <c r="R18214" s="183"/>
      <c r="S18214" s="183"/>
    </row>
    <row r="18215" spans="1:38">
      <c r="A18215" s="182"/>
      <c r="Q18215" s="183"/>
      <c r="R18215" s="183"/>
      <c r="S18215" s="183"/>
    </row>
    <row r="18216" spans="1:38">
      <c r="A18216" s="182"/>
      <c r="Q18216" s="183"/>
      <c r="R18216" s="183"/>
      <c r="S18216" s="183"/>
    </row>
    <row r="18217" spans="1:38">
      <c r="A18217" s="182"/>
      <c r="Q18217" s="183"/>
      <c r="R18217" s="183"/>
      <c r="S18217" s="183"/>
    </row>
    <row r="18218" spans="1:38">
      <c r="A18218" s="182"/>
      <c r="Q18218" s="183"/>
      <c r="R18218" s="183"/>
      <c r="S18218" s="183"/>
    </row>
    <row r="18219" spans="1:38">
      <c r="A18219" s="182"/>
      <c r="Q18219" s="183"/>
      <c r="R18219" s="183"/>
      <c r="S18219" s="183"/>
    </row>
    <row r="18220" spans="1:38">
      <c r="A18220" s="182"/>
      <c r="Q18220" s="183"/>
      <c r="R18220" s="183"/>
      <c r="S18220" s="183"/>
    </row>
    <row r="18221" spans="1:38">
      <c r="A18221" s="182"/>
      <c r="Q18221" s="183"/>
      <c r="R18221" s="183"/>
      <c r="S18221" s="183"/>
    </row>
    <row r="18222" spans="1:38">
      <c r="A18222" s="182"/>
      <c r="Q18222" s="183"/>
      <c r="R18222" s="183"/>
      <c r="S18222" s="183"/>
    </row>
    <row r="18223" spans="1:38">
      <c r="A18223" s="182"/>
      <c r="Q18223" s="183"/>
      <c r="R18223" s="183"/>
      <c r="S18223" s="183"/>
    </row>
    <row r="18224" spans="1:38">
      <c r="A18224" s="182"/>
      <c r="Q18224" s="183"/>
      <c r="R18224" s="183"/>
      <c r="S18224" s="183"/>
    </row>
    <row r="18225" spans="1:38">
      <c r="A18225" s="182"/>
      <c r="Q18225" s="183"/>
      <c r="R18225" s="183"/>
      <c r="S18225" s="183"/>
      <c r="AK18225" s="183"/>
      <c r="AL18225" s="183"/>
    </row>
    <row r="18226" spans="1:38">
      <c r="A18226" s="182"/>
      <c r="Q18226" s="183"/>
      <c r="R18226" s="183"/>
      <c r="S18226" s="183"/>
      <c r="AJ18226" s="183"/>
      <c r="AK18226" s="183"/>
      <c r="AL18226" s="183"/>
    </row>
    <row r="18227" spans="1:38">
      <c r="A18227" s="182"/>
      <c r="Q18227" s="183"/>
      <c r="R18227" s="183"/>
      <c r="S18227" s="183"/>
      <c r="AJ18227" s="183"/>
      <c r="AK18227" s="183"/>
      <c r="AL18227" s="183"/>
    </row>
    <row r="18228" spans="1:38">
      <c r="A18228" s="182"/>
      <c r="Q18228" s="183"/>
      <c r="R18228" s="183"/>
      <c r="S18228" s="183"/>
      <c r="AJ18228" s="183"/>
      <c r="AK18228" s="183"/>
      <c r="AL18228" s="183"/>
    </row>
    <row r="18229" spans="1:38">
      <c r="A18229" s="182"/>
      <c r="Q18229" s="183"/>
      <c r="R18229" s="183"/>
      <c r="S18229" s="183"/>
      <c r="AJ18229" s="183"/>
      <c r="AK18229" s="183"/>
      <c r="AL18229" s="183"/>
    </row>
    <row r="18230" spans="1:38">
      <c r="A18230" s="182"/>
      <c r="Q18230" s="183"/>
      <c r="R18230" s="183"/>
      <c r="S18230" s="183"/>
      <c r="AJ18230" s="183"/>
      <c r="AK18230" s="183"/>
      <c r="AL18230" s="183"/>
    </row>
    <row r="18231" spans="1:38">
      <c r="A18231" s="182"/>
      <c r="Q18231" s="183"/>
      <c r="R18231" s="183"/>
      <c r="S18231" s="183"/>
      <c r="AJ18231" s="183"/>
      <c r="AK18231" s="183"/>
      <c r="AL18231" s="183"/>
    </row>
    <row r="18232" spans="1:38">
      <c r="A18232" s="182"/>
      <c r="Q18232" s="183"/>
      <c r="R18232" s="183"/>
      <c r="S18232" s="183"/>
      <c r="AJ18232" s="183"/>
      <c r="AK18232" s="183"/>
      <c r="AL18232" s="183"/>
    </row>
    <row r="18233" spans="1:38">
      <c r="A18233" s="182"/>
      <c r="Q18233" s="183"/>
      <c r="R18233" s="183"/>
      <c r="S18233" s="183"/>
      <c r="AJ18233" s="183"/>
      <c r="AK18233" s="183"/>
      <c r="AL18233" s="183"/>
    </row>
    <row r="18234" spans="1:38">
      <c r="A18234" s="182"/>
      <c r="Q18234" s="183"/>
      <c r="R18234" s="183"/>
      <c r="S18234" s="183"/>
      <c r="AJ18234" s="183"/>
      <c r="AK18234" s="183"/>
      <c r="AL18234" s="183"/>
    </row>
    <row r="18235" spans="1:38">
      <c r="A18235" s="182"/>
      <c r="Q18235" s="183"/>
      <c r="R18235" s="183"/>
      <c r="S18235" s="183"/>
      <c r="AJ18235" s="183"/>
      <c r="AK18235" s="183"/>
      <c r="AL18235" s="183"/>
    </row>
    <row r="18236" spans="1:38">
      <c r="A18236" s="182"/>
      <c r="Q18236" s="183"/>
      <c r="R18236" s="183"/>
      <c r="S18236" s="183"/>
      <c r="AJ18236" s="183"/>
      <c r="AK18236" s="183"/>
      <c r="AL18236" s="183"/>
    </row>
    <row r="18237" spans="1:38">
      <c r="A18237" s="182"/>
      <c r="Q18237" s="183"/>
      <c r="R18237" s="183"/>
      <c r="S18237" s="183"/>
      <c r="AJ18237" s="183"/>
    </row>
    <row r="18238" spans="1:38">
      <c r="A18238" s="182"/>
      <c r="Q18238" s="183"/>
      <c r="R18238" s="183"/>
      <c r="S18238" s="183"/>
    </row>
    <row r="18239" spans="1:38">
      <c r="A18239" s="182"/>
      <c r="Q18239" s="183"/>
      <c r="R18239" s="183"/>
      <c r="S18239" s="183"/>
    </row>
    <row r="18240" spans="1:38">
      <c r="A18240" s="182"/>
      <c r="Q18240" s="183"/>
      <c r="R18240" s="183"/>
      <c r="S18240" s="183"/>
    </row>
    <row r="18241" spans="1:38">
      <c r="A18241" s="182"/>
      <c r="Q18241" s="183"/>
      <c r="R18241" s="183"/>
      <c r="S18241" s="183"/>
      <c r="AK18241" s="183"/>
      <c r="AL18241" s="183"/>
    </row>
    <row r="18242" spans="1:38">
      <c r="A18242" s="182"/>
      <c r="Q18242" s="183"/>
      <c r="R18242" s="183"/>
      <c r="S18242" s="183"/>
      <c r="AJ18242" s="183"/>
      <c r="AK18242" s="183"/>
      <c r="AL18242" s="183"/>
    </row>
    <row r="18243" spans="1:38">
      <c r="A18243" s="182"/>
      <c r="Q18243" s="183"/>
      <c r="R18243" s="183"/>
      <c r="S18243" s="183"/>
      <c r="AJ18243" s="183"/>
      <c r="AK18243" s="183"/>
      <c r="AL18243" s="183"/>
    </row>
    <row r="18244" spans="1:38">
      <c r="A18244" s="182"/>
      <c r="Q18244" s="183"/>
      <c r="R18244" s="183"/>
      <c r="S18244" s="183"/>
      <c r="AJ18244" s="183"/>
      <c r="AK18244" s="183"/>
      <c r="AL18244" s="183"/>
    </row>
    <row r="18245" spans="1:38">
      <c r="A18245" s="182"/>
      <c r="Q18245" s="183"/>
      <c r="R18245" s="183"/>
      <c r="S18245" s="183"/>
      <c r="AJ18245" s="183"/>
    </row>
    <row r="18246" spans="1:38">
      <c r="A18246" s="182"/>
      <c r="Q18246" s="183"/>
      <c r="R18246" s="183"/>
      <c r="S18246" s="183"/>
    </row>
    <row r="18247" spans="1:38">
      <c r="A18247" s="182"/>
      <c r="Q18247" s="183"/>
      <c r="R18247" s="183"/>
      <c r="S18247" s="183"/>
    </row>
    <row r="18248" spans="1:38">
      <c r="A18248" s="182"/>
      <c r="Q18248" s="183"/>
      <c r="R18248" s="183"/>
      <c r="S18248" s="183"/>
    </row>
    <row r="18249" spans="1:38">
      <c r="A18249" s="182"/>
      <c r="Q18249" s="183"/>
      <c r="R18249" s="183"/>
      <c r="S18249" s="183"/>
    </row>
    <row r="18250" spans="1:38">
      <c r="A18250" s="182"/>
      <c r="Q18250" s="183"/>
      <c r="R18250" s="183"/>
      <c r="S18250" s="183"/>
    </row>
    <row r="18251" spans="1:38">
      <c r="A18251" s="182"/>
      <c r="Q18251" s="183"/>
      <c r="R18251" s="183"/>
      <c r="S18251" s="183"/>
    </row>
    <row r="18252" spans="1:38">
      <c r="A18252" s="182"/>
      <c r="Q18252" s="183"/>
      <c r="R18252" s="183"/>
      <c r="S18252" s="183"/>
    </row>
    <row r="18253" spans="1:38">
      <c r="A18253" s="182"/>
      <c r="Q18253" s="183"/>
      <c r="R18253" s="183"/>
      <c r="S18253" s="183"/>
      <c r="AK18253" s="183"/>
      <c r="AL18253" s="183"/>
    </row>
    <row r="18254" spans="1:38">
      <c r="A18254" s="182"/>
      <c r="Q18254" s="183"/>
      <c r="R18254" s="183"/>
      <c r="S18254" s="183"/>
      <c r="AJ18254" s="183"/>
      <c r="AK18254" s="183"/>
      <c r="AL18254" s="183"/>
    </row>
    <row r="18255" spans="1:38">
      <c r="A18255" s="182"/>
      <c r="Q18255" s="183"/>
      <c r="R18255" s="183"/>
      <c r="S18255" s="183"/>
      <c r="AJ18255" s="183"/>
      <c r="AK18255" s="183"/>
      <c r="AL18255" s="183"/>
    </row>
    <row r="18256" spans="1:38">
      <c r="A18256" s="182"/>
      <c r="Q18256" s="183"/>
      <c r="R18256" s="183"/>
      <c r="S18256" s="183"/>
      <c r="AJ18256" s="183"/>
      <c r="AK18256" s="183"/>
      <c r="AL18256" s="183"/>
    </row>
    <row r="18257" spans="1:36">
      <c r="A18257" s="182"/>
      <c r="Q18257" s="183"/>
      <c r="R18257" s="183"/>
      <c r="S18257" s="183"/>
      <c r="AJ18257" s="183"/>
    </row>
    <row r="18258" spans="1:36">
      <c r="A18258" s="182"/>
      <c r="Q18258" s="183"/>
      <c r="R18258" s="183"/>
      <c r="S18258" s="183"/>
    </row>
    <row r="18259" spans="1:36">
      <c r="A18259" s="182"/>
      <c r="Q18259" s="183"/>
      <c r="R18259" s="183"/>
      <c r="S18259" s="183"/>
    </row>
    <row r="18260" spans="1:36">
      <c r="A18260" s="182"/>
      <c r="Q18260" s="183"/>
      <c r="R18260" s="183"/>
      <c r="S18260" s="183"/>
    </row>
    <row r="18261" spans="1:36">
      <c r="A18261" s="182"/>
      <c r="Q18261" s="183"/>
      <c r="R18261" s="183"/>
      <c r="S18261" s="183"/>
    </row>
    <row r="18262" spans="1:36">
      <c r="A18262" s="182"/>
      <c r="Q18262" s="183"/>
      <c r="R18262" s="183"/>
      <c r="S18262" s="183"/>
    </row>
    <row r="18263" spans="1:36">
      <c r="A18263" s="182"/>
      <c r="Q18263" s="183"/>
      <c r="R18263" s="183"/>
      <c r="S18263" s="183"/>
    </row>
    <row r="18264" spans="1:36">
      <c r="A18264" s="182"/>
      <c r="Q18264" s="183"/>
      <c r="R18264" s="183"/>
      <c r="S18264" s="183"/>
    </row>
    <row r="18265" spans="1:36">
      <c r="A18265" s="182"/>
      <c r="Q18265" s="183"/>
      <c r="R18265" s="183"/>
      <c r="S18265" s="183"/>
    </row>
    <row r="18266" spans="1:36">
      <c r="A18266" s="182"/>
      <c r="Q18266" s="183"/>
      <c r="R18266" s="183"/>
      <c r="S18266" s="183"/>
    </row>
    <row r="18267" spans="1:36">
      <c r="A18267" s="182"/>
      <c r="Q18267" s="183"/>
      <c r="R18267" s="183"/>
      <c r="S18267" s="183"/>
    </row>
    <row r="18268" spans="1:36">
      <c r="A18268" s="182"/>
      <c r="Q18268" s="183"/>
      <c r="R18268" s="183"/>
      <c r="S18268" s="183"/>
    </row>
    <row r="18269" spans="1:36">
      <c r="A18269" s="182"/>
      <c r="Q18269" s="183"/>
      <c r="R18269" s="183"/>
      <c r="S18269" s="183"/>
    </row>
    <row r="18270" spans="1:36">
      <c r="A18270" s="182"/>
      <c r="Q18270" s="183"/>
      <c r="R18270" s="183"/>
      <c r="S18270" s="183"/>
    </row>
    <row r="18271" spans="1:36">
      <c r="A18271" s="182"/>
      <c r="Q18271" s="183"/>
      <c r="R18271" s="183"/>
      <c r="S18271" s="183"/>
    </row>
    <row r="18272" spans="1:36">
      <c r="A18272" s="182"/>
      <c r="Q18272" s="183"/>
      <c r="R18272" s="183"/>
      <c r="S18272" s="183"/>
    </row>
    <row r="18273" spans="1:38">
      <c r="A18273" s="182"/>
      <c r="Q18273" s="183"/>
      <c r="R18273" s="183"/>
      <c r="S18273" s="183"/>
    </row>
    <row r="18274" spans="1:38">
      <c r="A18274" s="182"/>
      <c r="Q18274" s="183"/>
      <c r="R18274" s="183"/>
      <c r="S18274" s="183"/>
    </row>
    <row r="18275" spans="1:38">
      <c r="A18275" s="182"/>
      <c r="Q18275" s="183"/>
      <c r="R18275" s="183"/>
      <c r="S18275" s="183"/>
    </row>
    <row r="18276" spans="1:38">
      <c r="A18276" s="182"/>
      <c r="Q18276" s="183"/>
      <c r="R18276" s="183"/>
      <c r="S18276" s="183"/>
    </row>
    <row r="18277" spans="1:38">
      <c r="A18277" s="182"/>
      <c r="Q18277" s="183"/>
      <c r="R18277" s="183"/>
      <c r="S18277" s="183"/>
      <c r="AK18277" s="183"/>
      <c r="AL18277" s="183"/>
    </row>
    <row r="18278" spans="1:38">
      <c r="A18278" s="182"/>
      <c r="Q18278" s="183"/>
      <c r="R18278" s="183"/>
      <c r="S18278" s="183"/>
      <c r="AJ18278" s="183"/>
      <c r="AK18278" s="183"/>
      <c r="AL18278" s="183"/>
    </row>
    <row r="18279" spans="1:38">
      <c r="A18279" s="182"/>
      <c r="Q18279" s="183"/>
      <c r="R18279" s="183"/>
      <c r="S18279" s="183"/>
      <c r="AJ18279" s="183"/>
      <c r="AK18279" s="183"/>
      <c r="AL18279" s="183"/>
    </row>
    <row r="18280" spans="1:38">
      <c r="A18280" s="182"/>
      <c r="Q18280" s="183"/>
      <c r="R18280" s="183"/>
      <c r="S18280" s="183"/>
      <c r="AJ18280" s="183"/>
      <c r="AK18280" s="183"/>
      <c r="AL18280" s="183"/>
    </row>
    <row r="18281" spans="1:38">
      <c r="A18281" s="182"/>
      <c r="Q18281" s="183"/>
      <c r="R18281" s="183"/>
      <c r="S18281" s="183"/>
      <c r="AJ18281" s="183"/>
    </row>
    <row r="18282" spans="1:38">
      <c r="A18282" s="182"/>
      <c r="Q18282" s="183"/>
      <c r="R18282" s="183"/>
      <c r="S18282" s="183"/>
    </row>
    <row r="18283" spans="1:38">
      <c r="A18283" s="182"/>
      <c r="Q18283" s="183"/>
      <c r="R18283" s="183"/>
      <c r="S18283" s="183"/>
    </row>
    <row r="18284" spans="1:38">
      <c r="A18284" s="182"/>
      <c r="Q18284" s="183"/>
      <c r="R18284" s="183"/>
      <c r="S18284" s="183"/>
    </row>
    <row r="18285" spans="1:38">
      <c r="A18285" s="182"/>
      <c r="Q18285" s="183"/>
      <c r="R18285" s="183"/>
      <c r="S18285" s="183"/>
    </row>
    <row r="18286" spans="1:38">
      <c r="A18286" s="182"/>
      <c r="Q18286" s="183"/>
      <c r="R18286" s="183"/>
      <c r="S18286" s="183"/>
    </row>
    <row r="18287" spans="1:38">
      <c r="A18287" s="182"/>
      <c r="Q18287" s="183"/>
      <c r="R18287" s="183"/>
      <c r="S18287" s="183"/>
    </row>
    <row r="18288" spans="1:38">
      <c r="A18288" s="182"/>
      <c r="Q18288" s="183"/>
      <c r="R18288" s="183"/>
      <c r="S18288" s="183"/>
    </row>
    <row r="18289" spans="1:38">
      <c r="A18289" s="182"/>
      <c r="Q18289" s="183"/>
      <c r="R18289" s="183"/>
      <c r="S18289" s="183"/>
    </row>
    <row r="18290" spans="1:38">
      <c r="A18290" s="182"/>
      <c r="Q18290" s="183"/>
      <c r="R18290" s="183"/>
      <c r="S18290" s="183"/>
    </row>
    <row r="18291" spans="1:38">
      <c r="A18291" s="182"/>
      <c r="Q18291" s="183"/>
      <c r="R18291" s="183"/>
      <c r="S18291" s="183"/>
    </row>
    <row r="18292" spans="1:38">
      <c r="A18292" s="182"/>
      <c r="Q18292" s="183"/>
      <c r="R18292" s="183"/>
      <c r="S18292" s="183"/>
    </row>
    <row r="18293" spans="1:38">
      <c r="A18293" s="182"/>
      <c r="Q18293" s="183"/>
      <c r="R18293" s="183"/>
      <c r="S18293" s="183"/>
      <c r="AK18293" s="183"/>
      <c r="AL18293" s="183"/>
    </row>
    <row r="18294" spans="1:38">
      <c r="A18294" s="182"/>
      <c r="Q18294" s="183"/>
      <c r="R18294" s="183"/>
      <c r="S18294" s="183"/>
      <c r="AJ18294" s="183"/>
      <c r="AK18294" s="183"/>
      <c r="AL18294" s="183"/>
    </row>
    <row r="18295" spans="1:38">
      <c r="A18295" s="182"/>
      <c r="Q18295" s="183"/>
      <c r="R18295" s="183"/>
      <c r="S18295" s="183"/>
      <c r="AJ18295" s="183"/>
      <c r="AK18295" s="183"/>
      <c r="AL18295" s="183"/>
    </row>
    <row r="18296" spans="1:38">
      <c r="A18296" s="182"/>
      <c r="Q18296" s="183"/>
      <c r="R18296" s="183"/>
      <c r="S18296" s="183"/>
      <c r="AJ18296" s="183"/>
      <c r="AK18296" s="183"/>
      <c r="AL18296" s="183"/>
    </row>
    <row r="18297" spans="1:38">
      <c r="A18297" s="182"/>
      <c r="Q18297" s="183"/>
      <c r="R18297" s="183"/>
      <c r="S18297" s="183"/>
      <c r="AJ18297" s="183"/>
      <c r="AK18297" s="183"/>
      <c r="AL18297" s="183"/>
    </row>
    <row r="18298" spans="1:38">
      <c r="A18298" s="182"/>
      <c r="Q18298" s="183"/>
      <c r="R18298" s="183"/>
      <c r="S18298" s="183"/>
      <c r="AJ18298" s="183"/>
      <c r="AK18298" s="183"/>
      <c r="AL18298" s="183"/>
    </row>
    <row r="18299" spans="1:38">
      <c r="A18299" s="182"/>
      <c r="Q18299" s="183"/>
      <c r="R18299" s="183"/>
      <c r="S18299" s="183"/>
      <c r="AJ18299" s="183"/>
      <c r="AK18299" s="183"/>
      <c r="AL18299" s="183"/>
    </row>
    <row r="18300" spans="1:38">
      <c r="A18300" s="182"/>
      <c r="Q18300" s="183"/>
      <c r="R18300" s="183"/>
      <c r="S18300" s="183"/>
      <c r="AJ18300" s="183"/>
      <c r="AK18300" s="183"/>
      <c r="AL18300" s="183"/>
    </row>
    <row r="18301" spans="1:38">
      <c r="A18301" s="182"/>
      <c r="Q18301" s="183"/>
      <c r="R18301" s="183"/>
      <c r="S18301" s="183"/>
      <c r="AJ18301" s="183"/>
    </row>
    <row r="18302" spans="1:38">
      <c r="A18302" s="182"/>
      <c r="Q18302" s="183"/>
      <c r="R18302" s="183"/>
      <c r="S18302" s="183"/>
    </row>
    <row r="18303" spans="1:38">
      <c r="A18303" s="182"/>
      <c r="Q18303" s="183"/>
      <c r="R18303" s="183"/>
      <c r="S18303" s="183"/>
    </row>
    <row r="18304" spans="1:38">
      <c r="A18304" s="182"/>
      <c r="Q18304" s="183"/>
      <c r="R18304" s="183"/>
      <c r="S18304" s="183"/>
    </row>
    <row r="18305" spans="1:38">
      <c r="A18305" s="182"/>
      <c r="Q18305" s="183"/>
      <c r="R18305" s="183"/>
      <c r="S18305" s="183"/>
    </row>
    <row r="18306" spans="1:38">
      <c r="A18306" s="182"/>
      <c r="Q18306" s="183"/>
      <c r="R18306" s="183"/>
      <c r="S18306" s="183"/>
    </row>
    <row r="18307" spans="1:38">
      <c r="A18307" s="182"/>
      <c r="Q18307" s="183"/>
      <c r="R18307" s="183"/>
      <c r="S18307" s="183"/>
    </row>
    <row r="18308" spans="1:38">
      <c r="A18308" s="182"/>
      <c r="Q18308" s="183"/>
      <c r="R18308" s="183"/>
      <c r="S18308" s="183"/>
    </row>
    <row r="18309" spans="1:38">
      <c r="A18309" s="182"/>
      <c r="Q18309" s="183"/>
      <c r="R18309" s="183"/>
      <c r="S18309" s="183"/>
      <c r="AK18309" s="183"/>
      <c r="AL18309" s="183"/>
    </row>
    <row r="18310" spans="1:38">
      <c r="A18310" s="182"/>
      <c r="Q18310" s="183"/>
      <c r="R18310" s="183"/>
      <c r="S18310" s="183"/>
      <c r="AJ18310" s="183"/>
      <c r="AK18310" s="183"/>
      <c r="AL18310" s="183"/>
    </row>
    <row r="18311" spans="1:38">
      <c r="A18311" s="182"/>
      <c r="Q18311" s="183"/>
      <c r="R18311" s="183"/>
      <c r="S18311" s="183"/>
      <c r="AJ18311" s="183"/>
      <c r="AK18311" s="183"/>
      <c r="AL18311" s="183"/>
    </row>
    <row r="18312" spans="1:38">
      <c r="A18312" s="182"/>
      <c r="Q18312" s="183"/>
      <c r="R18312" s="183"/>
      <c r="S18312" s="183"/>
      <c r="AJ18312" s="183"/>
      <c r="AK18312" s="183"/>
      <c r="AL18312" s="183"/>
    </row>
    <row r="18313" spans="1:38">
      <c r="A18313" s="182"/>
      <c r="Q18313" s="183"/>
      <c r="R18313" s="183"/>
      <c r="S18313" s="183"/>
      <c r="AJ18313" s="183"/>
    </row>
    <row r="18314" spans="1:38">
      <c r="A18314" s="182"/>
      <c r="Q18314" s="183"/>
      <c r="R18314" s="183"/>
      <c r="S18314" s="183"/>
    </row>
    <row r="18315" spans="1:38">
      <c r="A18315" s="182"/>
      <c r="Q18315" s="183"/>
      <c r="R18315" s="183"/>
      <c r="S18315" s="183"/>
    </row>
    <row r="18316" spans="1:38">
      <c r="A18316" s="182"/>
      <c r="Q18316" s="183"/>
      <c r="R18316" s="183"/>
      <c r="S18316" s="183"/>
    </row>
    <row r="18317" spans="1:38">
      <c r="A18317" s="182"/>
      <c r="Q18317" s="183"/>
      <c r="R18317" s="183"/>
      <c r="S18317" s="183"/>
    </row>
    <row r="18318" spans="1:38">
      <c r="A18318" s="182"/>
      <c r="Q18318" s="183"/>
      <c r="R18318" s="183"/>
      <c r="S18318" s="183"/>
    </row>
    <row r="18319" spans="1:38">
      <c r="A18319" s="182"/>
      <c r="Q18319" s="183"/>
      <c r="R18319" s="183"/>
      <c r="S18319" s="183"/>
    </row>
    <row r="18320" spans="1:38">
      <c r="A18320" s="182"/>
      <c r="Q18320" s="183"/>
      <c r="R18320" s="183"/>
      <c r="S18320" s="183"/>
    </row>
    <row r="18321" spans="1:38">
      <c r="A18321" s="182"/>
      <c r="Q18321" s="183"/>
      <c r="R18321" s="183"/>
      <c r="S18321" s="183"/>
      <c r="AK18321" s="183"/>
      <c r="AL18321" s="183"/>
    </row>
    <row r="18322" spans="1:38">
      <c r="A18322" s="182"/>
      <c r="Q18322" s="183"/>
      <c r="R18322" s="183"/>
      <c r="S18322" s="183"/>
      <c r="AJ18322" s="183"/>
      <c r="AK18322" s="183"/>
      <c r="AL18322" s="183"/>
    </row>
    <row r="18323" spans="1:38">
      <c r="A18323" s="182"/>
      <c r="Q18323" s="183"/>
      <c r="R18323" s="183"/>
      <c r="S18323" s="183"/>
      <c r="AJ18323" s="183"/>
      <c r="AK18323" s="183"/>
      <c r="AL18323" s="183"/>
    </row>
    <row r="18324" spans="1:38">
      <c r="A18324" s="182"/>
      <c r="Q18324" s="183"/>
      <c r="R18324" s="183"/>
      <c r="S18324" s="183"/>
      <c r="AJ18324" s="183"/>
      <c r="AK18324" s="183"/>
      <c r="AL18324" s="183"/>
    </row>
    <row r="18325" spans="1:38">
      <c r="A18325" s="182"/>
      <c r="Q18325" s="183"/>
      <c r="R18325" s="183"/>
      <c r="S18325" s="183"/>
      <c r="AJ18325" s="183"/>
      <c r="AK18325" s="183"/>
      <c r="AL18325" s="183"/>
    </row>
    <row r="18326" spans="1:38">
      <c r="A18326" s="182"/>
      <c r="Q18326" s="183"/>
      <c r="R18326" s="183"/>
      <c r="S18326" s="183"/>
      <c r="AJ18326" s="183"/>
      <c r="AK18326" s="183"/>
      <c r="AL18326" s="183"/>
    </row>
    <row r="18327" spans="1:38">
      <c r="A18327" s="182"/>
      <c r="Q18327" s="183"/>
      <c r="R18327" s="183"/>
      <c r="S18327" s="183"/>
      <c r="AJ18327" s="183"/>
      <c r="AK18327" s="183"/>
      <c r="AL18327" s="183"/>
    </row>
    <row r="18328" spans="1:38">
      <c r="A18328" s="182"/>
      <c r="Q18328" s="183"/>
      <c r="R18328" s="183"/>
      <c r="S18328" s="183"/>
      <c r="AJ18328" s="183"/>
      <c r="AK18328" s="183"/>
      <c r="AL18328" s="183"/>
    </row>
    <row r="18329" spans="1:38">
      <c r="A18329" s="182"/>
      <c r="Q18329" s="183"/>
      <c r="R18329" s="183"/>
      <c r="S18329" s="183"/>
      <c r="AJ18329" s="183"/>
    </row>
    <row r="18330" spans="1:38">
      <c r="A18330" s="182"/>
      <c r="Q18330" s="183"/>
      <c r="R18330" s="183"/>
      <c r="S18330" s="183"/>
    </row>
    <row r="18331" spans="1:38">
      <c r="A18331" s="182"/>
      <c r="Q18331" s="183"/>
      <c r="R18331" s="183"/>
      <c r="S18331" s="183"/>
    </row>
    <row r="18332" spans="1:38">
      <c r="A18332" s="182"/>
      <c r="Q18332" s="183"/>
      <c r="R18332" s="183"/>
      <c r="S18332" s="183"/>
    </row>
    <row r="18333" spans="1:38">
      <c r="A18333" s="182"/>
      <c r="Q18333" s="183"/>
      <c r="R18333" s="183"/>
      <c r="S18333" s="183"/>
      <c r="AK18333" s="183"/>
      <c r="AL18333" s="183"/>
    </row>
    <row r="18334" spans="1:38">
      <c r="A18334" s="182"/>
      <c r="M18334" s="183"/>
      <c r="N18334" s="183"/>
      <c r="Q18334" s="183"/>
      <c r="R18334" s="183"/>
      <c r="S18334" s="183"/>
      <c r="AJ18334" s="183"/>
      <c r="AK18334" s="183"/>
      <c r="AL18334" s="183"/>
    </row>
    <row r="18335" spans="1:38">
      <c r="A18335" s="182"/>
      <c r="L18335" s="183"/>
      <c r="Q18335" s="183"/>
      <c r="R18335" s="183"/>
      <c r="S18335" s="183"/>
      <c r="AJ18335" s="183"/>
      <c r="AK18335" s="183"/>
      <c r="AL18335" s="183"/>
    </row>
    <row r="18336" spans="1:38">
      <c r="A18336" s="182"/>
      <c r="Q18336" s="183"/>
      <c r="R18336" s="183"/>
      <c r="S18336" s="183"/>
      <c r="AJ18336" s="183"/>
      <c r="AK18336" s="183"/>
      <c r="AL18336" s="183"/>
    </row>
    <row r="18337" spans="1:38">
      <c r="A18337" s="182"/>
      <c r="Q18337" s="183"/>
      <c r="R18337" s="183"/>
      <c r="S18337" s="183"/>
      <c r="AJ18337" s="183"/>
    </row>
    <row r="18338" spans="1:38">
      <c r="A18338" s="182"/>
      <c r="Q18338" s="183"/>
      <c r="R18338" s="183"/>
      <c r="S18338" s="183"/>
    </row>
    <row r="18339" spans="1:38">
      <c r="A18339" s="182"/>
      <c r="Q18339" s="183"/>
      <c r="R18339" s="183"/>
      <c r="S18339" s="183"/>
    </row>
    <row r="18340" spans="1:38">
      <c r="A18340" s="182"/>
      <c r="Q18340" s="183"/>
      <c r="R18340" s="183"/>
      <c r="S18340" s="183"/>
    </row>
    <row r="18341" spans="1:38">
      <c r="A18341" s="182"/>
      <c r="Q18341" s="183"/>
      <c r="R18341" s="183"/>
      <c r="S18341" s="183"/>
    </row>
    <row r="18342" spans="1:38">
      <c r="A18342" s="182"/>
      <c r="Q18342" s="183"/>
      <c r="R18342" s="183"/>
      <c r="S18342" s="183"/>
    </row>
    <row r="18343" spans="1:38">
      <c r="A18343" s="182"/>
      <c r="Q18343" s="183"/>
      <c r="R18343" s="183"/>
      <c r="S18343" s="183"/>
    </row>
    <row r="18344" spans="1:38">
      <c r="A18344" s="182"/>
      <c r="Q18344" s="183"/>
      <c r="R18344" s="183"/>
      <c r="S18344" s="183"/>
    </row>
    <row r="18345" spans="1:38">
      <c r="A18345" s="182"/>
      <c r="Q18345" s="183"/>
      <c r="R18345" s="183"/>
      <c r="S18345" s="183"/>
      <c r="AK18345" s="183"/>
      <c r="AL18345" s="183"/>
    </row>
    <row r="18346" spans="1:38">
      <c r="A18346" s="182"/>
      <c r="Q18346" s="183"/>
      <c r="R18346" s="183"/>
      <c r="S18346" s="183"/>
      <c r="AJ18346" s="183"/>
      <c r="AK18346" s="183"/>
      <c r="AL18346" s="183"/>
    </row>
    <row r="18347" spans="1:38">
      <c r="A18347" s="182"/>
      <c r="Q18347" s="183"/>
      <c r="R18347" s="183"/>
      <c r="S18347" s="183"/>
      <c r="AJ18347" s="183"/>
      <c r="AK18347" s="183"/>
      <c r="AL18347" s="183"/>
    </row>
    <row r="18348" spans="1:38">
      <c r="A18348" s="182"/>
      <c r="Q18348" s="183"/>
      <c r="R18348" s="183"/>
      <c r="S18348" s="183"/>
      <c r="AJ18348" s="183"/>
      <c r="AK18348" s="183"/>
      <c r="AL18348" s="183"/>
    </row>
    <row r="18349" spans="1:38">
      <c r="A18349" s="182"/>
      <c r="Q18349" s="183"/>
      <c r="R18349" s="183"/>
      <c r="S18349" s="183"/>
      <c r="AJ18349" s="183"/>
      <c r="AK18349" s="183"/>
      <c r="AL18349" s="183"/>
    </row>
    <row r="18350" spans="1:38">
      <c r="A18350" s="182"/>
      <c r="Q18350" s="183"/>
      <c r="R18350" s="183"/>
      <c r="S18350" s="183"/>
      <c r="AJ18350" s="183"/>
      <c r="AK18350" s="183"/>
      <c r="AL18350" s="183"/>
    </row>
    <row r="18351" spans="1:38">
      <c r="A18351" s="182"/>
      <c r="Q18351" s="183"/>
      <c r="R18351" s="183"/>
      <c r="S18351" s="183"/>
      <c r="AJ18351" s="183"/>
      <c r="AK18351" s="183"/>
      <c r="AL18351" s="183"/>
    </row>
    <row r="18352" spans="1:38">
      <c r="A18352" s="182"/>
      <c r="Q18352" s="183"/>
      <c r="R18352" s="183"/>
      <c r="S18352" s="183"/>
      <c r="AJ18352" s="183"/>
      <c r="AK18352" s="183"/>
      <c r="AL18352" s="183"/>
    </row>
    <row r="18353" spans="1:38">
      <c r="A18353" s="182"/>
      <c r="Q18353" s="183"/>
      <c r="R18353" s="183"/>
      <c r="S18353" s="183"/>
      <c r="AJ18353" s="183"/>
      <c r="AK18353" s="183"/>
      <c r="AL18353" s="183"/>
    </row>
    <row r="18354" spans="1:38">
      <c r="A18354" s="182"/>
      <c r="Q18354" s="183"/>
      <c r="R18354" s="183"/>
      <c r="S18354" s="183"/>
      <c r="AJ18354" s="183"/>
      <c r="AK18354" s="183"/>
      <c r="AL18354" s="183"/>
    </row>
    <row r="18355" spans="1:38">
      <c r="A18355" s="182"/>
      <c r="Q18355" s="183"/>
      <c r="R18355" s="183"/>
      <c r="S18355" s="183"/>
      <c r="AJ18355" s="183"/>
      <c r="AK18355" s="183"/>
      <c r="AL18355" s="183"/>
    </row>
    <row r="18356" spans="1:38">
      <c r="A18356" s="182"/>
      <c r="Q18356" s="183"/>
      <c r="R18356" s="183"/>
      <c r="S18356" s="183"/>
      <c r="AJ18356" s="183"/>
      <c r="AK18356" s="183"/>
      <c r="AL18356" s="183"/>
    </row>
    <row r="18357" spans="1:38">
      <c r="A18357" s="182"/>
      <c r="Q18357" s="183"/>
      <c r="R18357" s="183"/>
      <c r="S18357" s="183"/>
      <c r="AJ18357" s="183"/>
      <c r="AK18357" s="183"/>
      <c r="AL18357" s="183"/>
    </row>
    <row r="18358" spans="1:38">
      <c r="A18358" s="182"/>
      <c r="Q18358" s="183"/>
      <c r="R18358" s="183"/>
      <c r="S18358" s="183"/>
      <c r="AJ18358" s="183"/>
      <c r="AK18358" s="183"/>
      <c r="AL18358" s="183"/>
    </row>
    <row r="18359" spans="1:38">
      <c r="A18359" s="182"/>
      <c r="Q18359" s="183"/>
      <c r="R18359" s="183"/>
      <c r="S18359" s="183"/>
      <c r="AJ18359" s="183"/>
      <c r="AK18359" s="183"/>
      <c r="AL18359" s="183"/>
    </row>
    <row r="18360" spans="1:38">
      <c r="A18360" s="182"/>
      <c r="Q18360" s="183"/>
      <c r="R18360" s="183"/>
      <c r="S18360" s="183"/>
      <c r="AJ18360" s="183"/>
      <c r="AK18360" s="183"/>
      <c r="AL18360" s="183"/>
    </row>
    <row r="18361" spans="1:38">
      <c r="A18361" s="182"/>
      <c r="Q18361" s="183"/>
      <c r="R18361" s="183"/>
      <c r="S18361" s="183"/>
      <c r="AJ18361" s="183"/>
      <c r="AK18361" s="183"/>
      <c r="AL18361" s="183"/>
    </row>
    <row r="18362" spans="1:38">
      <c r="A18362" s="182"/>
      <c r="Q18362" s="183"/>
      <c r="R18362" s="183"/>
      <c r="S18362" s="183"/>
      <c r="AJ18362" s="183"/>
      <c r="AK18362" s="183"/>
      <c r="AL18362" s="183"/>
    </row>
    <row r="18363" spans="1:38">
      <c r="A18363" s="182"/>
      <c r="Q18363" s="183"/>
      <c r="R18363" s="183"/>
      <c r="S18363" s="183"/>
      <c r="AJ18363" s="183"/>
      <c r="AK18363" s="183"/>
      <c r="AL18363" s="183"/>
    </row>
    <row r="18364" spans="1:38">
      <c r="A18364" s="182"/>
      <c r="Q18364" s="183"/>
      <c r="R18364" s="183"/>
      <c r="S18364" s="183"/>
      <c r="AJ18364" s="183"/>
      <c r="AK18364" s="183"/>
      <c r="AL18364" s="183"/>
    </row>
    <row r="18365" spans="1:38">
      <c r="A18365" s="182"/>
      <c r="Q18365" s="183"/>
      <c r="R18365" s="183"/>
      <c r="S18365" s="183"/>
      <c r="AJ18365" s="183"/>
      <c r="AK18365" s="183"/>
      <c r="AL18365" s="183"/>
    </row>
    <row r="18366" spans="1:38">
      <c r="A18366" s="182"/>
      <c r="Q18366" s="183"/>
      <c r="R18366" s="183"/>
      <c r="S18366" s="183"/>
      <c r="AJ18366" s="183"/>
      <c r="AK18366" s="183"/>
      <c r="AL18366" s="183"/>
    </row>
    <row r="18367" spans="1:38">
      <c r="A18367" s="182"/>
      <c r="Q18367" s="183"/>
      <c r="R18367" s="183"/>
      <c r="S18367" s="183"/>
      <c r="AJ18367" s="183"/>
      <c r="AK18367" s="183"/>
      <c r="AL18367" s="183"/>
    </row>
    <row r="18368" spans="1:38">
      <c r="A18368" s="182"/>
      <c r="Q18368" s="183"/>
      <c r="R18368" s="183"/>
      <c r="S18368" s="183"/>
      <c r="AJ18368" s="183"/>
      <c r="AK18368" s="183"/>
      <c r="AL18368" s="183"/>
    </row>
    <row r="18369" spans="1:38">
      <c r="A18369" s="182"/>
      <c r="Q18369" s="183"/>
      <c r="R18369" s="183"/>
      <c r="S18369" s="183"/>
      <c r="AJ18369" s="183"/>
    </row>
    <row r="18370" spans="1:38">
      <c r="A18370" s="182"/>
      <c r="Q18370" s="183"/>
      <c r="R18370" s="183"/>
      <c r="S18370" s="183"/>
    </row>
    <row r="18371" spans="1:38">
      <c r="A18371" s="182"/>
      <c r="Q18371" s="183"/>
      <c r="R18371" s="183"/>
      <c r="S18371" s="183"/>
    </row>
    <row r="18372" spans="1:38">
      <c r="A18372" s="182"/>
      <c r="Q18372" s="183"/>
      <c r="R18372" s="183"/>
      <c r="S18372" s="183"/>
    </row>
    <row r="18373" spans="1:38">
      <c r="A18373" s="182"/>
      <c r="Q18373" s="183"/>
      <c r="R18373" s="183"/>
      <c r="S18373" s="183"/>
      <c r="AK18373" s="183"/>
      <c r="AL18373" s="183"/>
    </row>
    <row r="18374" spans="1:38">
      <c r="A18374" s="182"/>
      <c r="Q18374" s="183"/>
      <c r="R18374" s="183"/>
      <c r="S18374" s="183"/>
      <c r="AJ18374" s="183"/>
      <c r="AK18374" s="183"/>
      <c r="AL18374" s="183"/>
    </row>
    <row r="18375" spans="1:38">
      <c r="A18375" s="182"/>
      <c r="Q18375" s="183"/>
      <c r="R18375" s="183"/>
      <c r="S18375" s="183"/>
      <c r="AJ18375" s="183"/>
      <c r="AK18375" s="183"/>
      <c r="AL18375" s="183"/>
    </row>
    <row r="18376" spans="1:38">
      <c r="A18376" s="182"/>
      <c r="Q18376" s="183"/>
      <c r="R18376" s="183"/>
      <c r="S18376" s="183"/>
      <c r="AJ18376" s="183"/>
      <c r="AK18376" s="183"/>
      <c r="AL18376" s="183"/>
    </row>
    <row r="18377" spans="1:38">
      <c r="A18377" s="182"/>
      <c r="Q18377" s="183"/>
      <c r="R18377" s="183"/>
      <c r="S18377" s="183"/>
      <c r="AJ18377" s="183"/>
      <c r="AK18377" s="183"/>
      <c r="AL18377" s="183"/>
    </row>
    <row r="18378" spans="1:38">
      <c r="A18378" s="182"/>
      <c r="Q18378" s="183"/>
      <c r="R18378" s="183"/>
      <c r="S18378" s="183"/>
      <c r="AJ18378" s="183"/>
      <c r="AK18378" s="183"/>
      <c r="AL18378" s="183"/>
    </row>
    <row r="18379" spans="1:38">
      <c r="A18379" s="182"/>
      <c r="Q18379" s="183"/>
      <c r="R18379" s="183"/>
      <c r="S18379" s="183"/>
      <c r="AJ18379" s="183"/>
      <c r="AK18379" s="183"/>
      <c r="AL18379" s="183"/>
    </row>
    <row r="18380" spans="1:38">
      <c r="A18380" s="182"/>
      <c r="Q18380" s="183"/>
      <c r="R18380" s="183"/>
      <c r="S18380" s="183"/>
      <c r="AJ18380" s="183"/>
      <c r="AK18380" s="183"/>
      <c r="AL18380" s="183"/>
    </row>
    <row r="18381" spans="1:38">
      <c r="A18381" s="182"/>
      <c r="Q18381" s="183"/>
      <c r="R18381" s="183"/>
      <c r="S18381" s="183"/>
      <c r="AJ18381" s="183"/>
      <c r="AK18381" s="183"/>
      <c r="AL18381" s="183"/>
    </row>
    <row r="18382" spans="1:38">
      <c r="A18382" s="182"/>
      <c r="Q18382" s="183"/>
      <c r="R18382" s="183"/>
      <c r="S18382" s="183"/>
      <c r="AJ18382" s="183"/>
      <c r="AK18382" s="183"/>
      <c r="AL18382" s="183"/>
    </row>
    <row r="18383" spans="1:38">
      <c r="A18383" s="182"/>
      <c r="Q18383" s="183"/>
      <c r="R18383" s="183"/>
      <c r="S18383" s="183"/>
      <c r="AJ18383" s="183"/>
      <c r="AK18383" s="183"/>
      <c r="AL18383" s="183"/>
    </row>
    <row r="18384" spans="1:38">
      <c r="A18384" s="182"/>
      <c r="Q18384" s="183"/>
      <c r="R18384" s="183"/>
      <c r="S18384" s="183"/>
      <c r="AJ18384" s="183"/>
      <c r="AK18384" s="183"/>
      <c r="AL18384" s="183"/>
    </row>
    <row r="18385" spans="1:38">
      <c r="A18385" s="182"/>
      <c r="Q18385" s="183"/>
      <c r="R18385" s="183"/>
      <c r="S18385" s="183"/>
      <c r="AJ18385" s="183"/>
    </row>
    <row r="18386" spans="1:38">
      <c r="A18386" s="182"/>
      <c r="Q18386" s="183"/>
      <c r="R18386" s="183"/>
      <c r="S18386" s="183"/>
    </row>
    <row r="18387" spans="1:38">
      <c r="A18387" s="182"/>
      <c r="Q18387" s="183"/>
      <c r="R18387" s="183"/>
      <c r="S18387" s="183"/>
    </row>
    <row r="18388" spans="1:38">
      <c r="A18388" s="182"/>
      <c r="Q18388" s="183"/>
      <c r="R18388" s="183"/>
      <c r="S18388" s="183"/>
    </row>
    <row r="18389" spans="1:38">
      <c r="A18389" s="182"/>
      <c r="Q18389" s="183"/>
      <c r="R18389" s="183"/>
      <c r="S18389" s="183"/>
      <c r="AK18389" s="183"/>
      <c r="AL18389" s="183"/>
    </row>
    <row r="18390" spans="1:38">
      <c r="A18390" s="182"/>
      <c r="Q18390" s="183"/>
      <c r="R18390" s="183"/>
      <c r="S18390" s="183"/>
      <c r="AJ18390" s="183"/>
      <c r="AK18390" s="183"/>
      <c r="AL18390" s="183"/>
    </row>
    <row r="18391" spans="1:38">
      <c r="A18391" s="182"/>
      <c r="Q18391" s="183"/>
      <c r="R18391" s="183"/>
      <c r="S18391" s="183"/>
      <c r="AJ18391" s="183"/>
      <c r="AK18391" s="183"/>
      <c r="AL18391" s="183"/>
    </row>
    <row r="18392" spans="1:38">
      <c r="A18392" s="182"/>
      <c r="Q18392" s="183"/>
      <c r="R18392" s="183"/>
      <c r="S18392" s="183"/>
      <c r="AJ18392" s="183"/>
      <c r="AK18392" s="183"/>
      <c r="AL18392" s="183"/>
    </row>
    <row r="18393" spans="1:38">
      <c r="A18393" s="182"/>
      <c r="Q18393" s="183"/>
      <c r="R18393" s="183"/>
      <c r="S18393" s="183"/>
      <c r="AJ18393" s="183"/>
      <c r="AK18393" s="183"/>
      <c r="AL18393" s="183"/>
    </row>
    <row r="18394" spans="1:38">
      <c r="A18394" s="182"/>
      <c r="Q18394" s="183"/>
      <c r="R18394" s="183"/>
      <c r="S18394" s="183"/>
      <c r="AJ18394" s="183"/>
      <c r="AK18394" s="183"/>
      <c r="AL18394" s="183"/>
    </row>
    <row r="18395" spans="1:38">
      <c r="A18395" s="182"/>
      <c r="Q18395" s="183"/>
      <c r="R18395" s="183"/>
      <c r="S18395" s="183"/>
      <c r="AJ18395" s="183"/>
      <c r="AK18395" s="183"/>
      <c r="AL18395" s="183"/>
    </row>
    <row r="18396" spans="1:38">
      <c r="A18396" s="182"/>
      <c r="Q18396" s="183"/>
      <c r="R18396" s="183"/>
      <c r="S18396" s="183"/>
      <c r="AJ18396" s="183"/>
      <c r="AK18396" s="183"/>
      <c r="AL18396" s="183"/>
    </row>
    <row r="18397" spans="1:38">
      <c r="A18397" s="182"/>
      <c r="Q18397" s="183"/>
      <c r="R18397" s="183"/>
      <c r="S18397" s="183"/>
      <c r="AJ18397" s="183"/>
    </row>
    <row r="18398" spans="1:38">
      <c r="A18398" s="182"/>
      <c r="Q18398" s="183"/>
      <c r="R18398" s="183"/>
      <c r="S18398" s="183"/>
    </row>
    <row r="18399" spans="1:38">
      <c r="A18399" s="182"/>
      <c r="Q18399" s="183"/>
      <c r="R18399" s="183"/>
      <c r="S18399" s="183"/>
    </row>
    <row r="18400" spans="1:38">
      <c r="A18400" s="182"/>
      <c r="Q18400" s="183"/>
      <c r="R18400" s="183"/>
      <c r="S18400" s="183"/>
    </row>
    <row r="18401" spans="1:38">
      <c r="A18401" s="182"/>
      <c r="Q18401" s="183"/>
      <c r="R18401" s="183"/>
      <c r="S18401" s="183"/>
    </row>
    <row r="18402" spans="1:38">
      <c r="A18402" s="182"/>
      <c r="Q18402" s="183"/>
      <c r="R18402" s="183"/>
      <c r="S18402" s="183"/>
    </row>
    <row r="18403" spans="1:38">
      <c r="A18403" s="182"/>
      <c r="Q18403" s="183"/>
      <c r="R18403" s="183"/>
      <c r="S18403" s="183"/>
    </row>
    <row r="18404" spans="1:38">
      <c r="A18404" s="182"/>
      <c r="Q18404" s="183"/>
      <c r="R18404" s="183"/>
      <c r="S18404" s="183"/>
    </row>
    <row r="18405" spans="1:38">
      <c r="A18405" s="182"/>
      <c r="Q18405" s="183"/>
      <c r="R18405" s="183"/>
      <c r="S18405" s="183"/>
    </row>
    <row r="18406" spans="1:38">
      <c r="A18406" s="182"/>
      <c r="Q18406" s="183"/>
      <c r="R18406" s="183"/>
      <c r="S18406" s="183"/>
    </row>
    <row r="18407" spans="1:38">
      <c r="A18407" s="182"/>
      <c r="Q18407" s="183"/>
      <c r="R18407" s="183"/>
      <c r="S18407" s="183"/>
    </row>
    <row r="18408" spans="1:38">
      <c r="A18408" s="182"/>
      <c r="Q18408" s="183"/>
      <c r="R18408" s="183"/>
      <c r="S18408" s="183"/>
    </row>
    <row r="18409" spans="1:38">
      <c r="A18409" s="182"/>
      <c r="Q18409" s="183"/>
      <c r="R18409" s="183"/>
      <c r="S18409" s="183"/>
    </row>
    <row r="18410" spans="1:38">
      <c r="A18410" s="182"/>
      <c r="Q18410" s="183"/>
      <c r="R18410" s="183"/>
      <c r="S18410" s="183"/>
    </row>
    <row r="18411" spans="1:38">
      <c r="A18411" s="182"/>
      <c r="Q18411" s="183"/>
      <c r="R18411" s="183"/>
      <c r="S18411" s="183"/>
    </row>
    <row r="18412" spans="1:38">
      <c r="A18412" s="182"/>
      <c r="Q18412" s="183"/>
      <c r="R18412" s="183"/>
      <c r="S18412" s="183"/>
    </row>
    <row r="18413" spans="1:38">
      <c r="A18413" s="182"/>
      <c r="Q18413" s="183"/>
      <c r="R18413" s="183"/>
      <c r="S18413" s="183"/>
      <c r="AK18413" s="183"/>
      <c r="AL18413" s="183"/>
    </row>
    <row r="18414" spans="1:38">
      <c r="A18414" s="182"/>
      <c r="Q18414" s="183"/>
      <c r="R18414" s="183"/>
      <c r="S18414" s="183"/>
      <c r="AJ18414" s="183"/>
      <c r="AK18414" s="183"/>
      <c r="AL18414" s="183"/>
    </row>
    <row r="18415" spans="1:38">
      <c r="A18415" s="182"/>
      <c r="Q18415" s="183"/>
      <c r="R18415" s="183"/>
      <c r="S18415" s="183"/>
      <c r="AJ18415" s="183"/>
      <c r="AK18415" s="183"/>
      <c r="AL18415" s="183"/>
    </row>
    <row r="18416" spans="1:38">
      <c r="A18416" s="182"/>
      <c r="Q18416" s="183"/>
      <c r="R18416" s="183"/>
      <c r="S18416" s="183"/>
      <c r="AJ18416" s="183"/>
      <c r="AK18416" s="183"/>
      <c r="AL18416" s="183"/>
    </row>
    <row r="18417" spans="1:38">
      <c r="A18417" s="182"/>
      <c r="M18417" s="183"/>
      <c r="N18417" s="183"/>
      <c r="Q18417" s="183"/>
      <c r="R18417" s="183"/>
      <c r="S18417" s="183"/>
      <c r="AJ18417" s="183"/>
    </row>
    <row r="18418" spans="1:38">
      <c r="A18418" s="182"/>
      <c r="L18418" s="183"/>
      <c r="Q18418" s="183"/>
      <c r="R18418" s="183"/>
      <c r="S18418" s="183"/>
    </row>
    <row r="18419" spans="1:38">
      <c r="A18419" s="182"/>
      <c r="N18419" s="183"/>
      <c r="O18419" s="183"/>
      <c r="Q18419" s="183"/>
      <c r="R18419" s="183"/>
      <c r="S18419" s="183"/>
    </row>
    <row r="18420" spans="1:38">
      <c r="A18420" s="182"/>
      <c r="M18420" s="183"/>
      <c r="Q18420" s="183"/>
      <c r="R18420" s="183"/>
      <c r="S18420" s="183"/>
    </row>
    <row r="18421" spans="1:38">
      <c r="A18421" s="182"/>
      <c r="Q18421" s="183"/>
      <c r="R18421" s="183"/>
      <c r="S18421" s="183"/>
      <c r="AK18421" s="183"/>
      <c r="AL18421" s="183"/>
    </row>
    <row r="18422" spans="1:38">
      <c r="A18422" s="182"/>
      <c r="Q18422" s="183"/>
      <c r="R18422" s="183"/>
      <c r="S18422" s="183"/>
      <c r="AJ18422" s="183"/>
      <c r="AK18422" s="183"/>
      <c r="AL18422" s="183"/>
    </row>
    <row r="18423" spans="1:38">
      <c r="A18423" s="182"/>
      <c r="Q18423" s="183"/>
      <c r="R18423" s="183"/>
      <c r="S18423" s="183"/>
      <c r="AJ18423" s="183"/>
      <c r="AK18423" s="183"/>
      <c r="AL18423" s="183"/>
    </row>
    <row r="18424" spans="1:38">
      <c r="A18424" s="182"/>
      <c r="Q18424" s="183"/>
      <c r="R18424" s="183"/>
      <c r="S18424" s="183"/>
      <c r="AJ18424" s="183"/>
      <c r="AK18424" s="183"/>
      <c r="AL18424" s="183"/>
    </row>
    <row r="18425" spans="1:38">
      <c r="A18425" s="182"/>
      <c r="Q18425" s="183"/>
      <c r="R18425" s="183"/>
      <c r="S18425" s="183"/>
      <c r="AJ18425" s="183"/>
    </row>
    <row r="18426" spans="1:38">
      <c r="A18426" s="182"/>
      <c r="Q18426" s="183"/>
      <c r="R18426" s="183"/>
      <c r="S18426" s="183"/>
    </row>
    <row r="18427" spans="1:38">
      <c r="A18427" s="182"/>
      <c r="Q18427" s="183"/>
      <c r="R18427" s="183"/>
      <c r="S18427" s="183"/>
    </row>
    <row r="18428" spans="1:38">
      <c r="A18428" s="182"/>
      <c r="Q18428" s="183"/>
      <c r="R18428" s="183"/>
      <c r="S18428" s="183"/>
    </row>
    <row r="18429" spans="1:38">
      <c r="A18429" s="182"/>
      <c r="Q18429" s="183"/>
      <c r="R18429" s="183"/>
      <c r="S18429" s="183"/>
      <c r="AK18429" s="183"/>
      <c r="AL18429" s="183"/>
    </row>
    <row r="18430" spans="1:38">
      <c r="A18430" s="182"/>
      <c r="Q18430" s="183"/>
      <c r="R18430" s="183"/>
      <c r="S18430" s="183"/>
      <c r="AJ18430" s="183"/>
      <c r="AK18430" s="183"/>
      <c r="AL18430" s="183"/>
    </row>
    <row r="18431" spans="1:38">
      <c r="A18431" s="182"/>
      <c r="Q18431" s="183"/>
      <c r="R18431" s="183"/>
      <c r="S18431" s="183"/>
      <c r="AJ18431" s="183"/>
      <c r="AK18431" s="183"/>
      <c r="AL18431" s="183"/>
    </row>
    <row r="18432" spans="1:38">
      <c r="A18432" s="182"/>
      <c r="Q18432" s="183"/>
      <c r="R18432" s="183"/>
      <c r="S18432" s="183"/>
      <c r="AJ18432" s="183"/>
      <c r="AK18432" s="183"/>
      <c r="AL18432" s="183"/>
    </row>
    <row r="18433" spans="1:38">
      <c r="A18433" s="182"/>
      <c r="Q18433" s="183"/>
      <c r="R18433" s="183"/>
      <c r="S18433" s="183"/>
      <c r="AJ18433" s="183"/>
      <c r="AK18433" s="183"/>
      <c r="AL18433" s="183"/>
    </row>
    <row r="18434" spans="1:38">
      <c r="A18434" s="182"/>
      <c r="Q18434" s="183"/>
      <c r="R18434" s="183"/>
      <c r="S18434" s="183"/>
      <c r="AJ18434" s="183"/>
      <c r="AK18434" s="183"/>
      <c r="AL18434" s="183"/>
    </row>
    <row r="18435" spans="1:38">
      <c r="A18435" s="182"/>
      <c r="Q18435" s="183"/>
      <c r="R18435" s="183"/>
      <c r="S18435" s="183"/>
      <c r="AJ18435" s="183"/>
      <c r="AK18435" s="183"/>
      <c r="AL18435" s="183"/>
    </row>
    <row r="18436" spans="1:38">
      <c r="A18436" s="182"/>
      <c r="Q18436" s="183"/>
      <c r="R18436" s="183"/>
      <c r="S18436" s="183"/>
      <c r="AJ18436" s="183"/>
      <c r="AK18436" s="183"/>
      <c r="AL18436" s="183"/>
    </row>
    <row r="18437" spans="1:38">
      <c r="A18437" s="182"/>
      <c r="Q18437" s="183"/>
      <c r="R18437" s="183"/>
      <c r="S18437" s="183"/>
      <c r="AJ18437" s="183"/>
      <c r="AK18437" s="183"/>
      <c r="AL18437" s="183"/>
    </row>
    <row r="18438" spans="1:38">
      <c r="A18438" s="182"/>
      <c r="Q18438" s="183"/>
      <c r="R18438" s="183"/>
      <c r="S18438" s="183"/>
      <c r="AJ18438" s="183"/>
      <c r="AK18438" s="183"/>
      <c r="AL18438" s="183"/>
    </row>
    <row r="18439" spans="1:38">
      <c r="A18439" s="182"/>
      <c r="M18439" s="183"/>
      <c r="N18439" s="183"/>
      <c r="Q18439" s="183"/>
      <c r="R18439" s="183"/>
      <c r="S18439" s="183"/>
      <c r="AJ18439" s="183"/>
      <c r="AK18439" s="183"/>
      <c r="AL18439" s="183"/>
    </row>
    <row r="18440" spans="1:38">
      <c r="A18440" s="182"/>
      <c r="L18440" s="183"/>
      <c r="Q18440" s="183"/>
      <c r="R18440" s="183"/>
      <c r="S18440" s="183"/>
      <c r="AJ18440" s="183"/>
      <c r="AK18440" s="183"/>
      <c r="AL18440" s="183"/>
    </row>
    <row r="18441" spans="1:38">
      <c r="A18441" s="182"/>
      <c r="Q18441" s="183"/>
      <c r="R18441" s="183"/>
      <c r="S18441" s="183"/>
      <c r="AJ18441" s="183"/>
    </row>
    <row r="18442" spans="1:38">
      <c r="A18442" s="182"/>
      <c r="Q18442" s="183"/>
      <c r="R18442" s="183"/>
      <c r="S18442" s="183"/>
    </row>
    <row r="18443" spans="1:38">
      <c r="A18443" s="182"/>
      <c r="Q18443" s="183"/>
      <c r="R18443" s="183"/>
      <c r="S18443" s="183"/>
    </row>
    <row r="18444" spans="1:38">
      <c r="A18444" s="182"/>
      <c r="Q18444" s="183"/>
      <c r="R18444" s="183"/>
      <c r="S18444" s="183"/>
    </row>
    <row r="18445" spans="1:38">
      <c r="A18445" s="182"/>
      <c r="Q18445" s="183"/>
      <c r="R18445" s="183"/>
      <c r="S18445" s="183"/>
    </row>
    <row r="18446" spans="1:38">
      <c r="A18446" s="182"/>
      <c r="Q18446" s="183"/>
      <c r="R18446" s="183"/>
      <c r="S18446" s="183"/>
    </row>
    <row r="18447" spans="1:38">
      <c r="A18447" s="182"/>
      <c r="Q18447" s="183"/>
      <c r="R18447" s="183"/>
      <c r="S18447" s="183"/>
    </row>
    <row r="18448" spans="1:38">
      <c r="A18448" s="182"/>
      <c r="Q18448" s="183"/>
      <c r="R18448" s="183"/>
      <c r="S18448" s="183"/>
    </row>
    <row r="18449" spans="1:38">
      <c r="A18449" s="182"/>
      <c r="Q18449" s="183"/>
      <c r="R18449" s="183"/>
      <c r="S18449" s="183"/>
    </row>
    <row r="18450" spans="1:38">
      <c r="A18450" s="182"/>
      <c r="Q18450" s="183"/>
      <c r="R18450" s="183"/>
      <c r="S18450" s="183"/>
    </row>
    <row r="18451" spans="1:38">
      <c r="A18451" s="182"/>
      <c r="N18451" s="183"/>
      <c r="O18451" s="183"/>
      <c r="Q18451" s="183"/>
      <c r="R18451" s="183"/>
      <c r="S18451" s="183"/>
    </row>
    <row r="18452" spans="1:38">
      <c r="A18452" s="182"/>
      <c r="M18452" s="183"/>
      <c r="Q18452" s="183"/>
      <c r="R18452" s="183"/>
      <c r="S18452" s="183"/>
    </row>
    <row r="18453" spans="1:38">
      <c r="A18453" s="182"/>
      <c r="Q18453" s="183"/>
      <c r="R18453" s="183"/>
      <c r="S18453" s="183"/>
    </row>
    <row r="18454" spans="1:38">
      <c r="A18454" s="182"/>
      <c r="Q18454" s="183"/>
      <c r="R18454" s="183"/>
      <c r="S18454" s="183"/>
    </row>
    <row r="18455" spans="1:38">
      <c r="A18455" s="182"/>
      <c r="Q18455" s="183"/>
      <c r="R18455" s="183"/>
      <c r="S18455" s="183"/>
    </row>
    <row r="18456" spans="1:38">
      <c r="A18456" s="182"/>
      <c r="Q18456" s="183"/>
      <c r="R18456" s="183"/>
      <c r="S18456" s="183"/>
    </row>
    <row r="18457" spans="1:38">
      <c r="A18457" s="182"/>
      <c r="Q18457" s="183"/>
      <c r="R18457" s="183"/>
      <c r="S18457" s="183"/>
      <c r="AK18457" s="183"/>
      <c r="AL18457" s="183"/>
    </row>
    <row r="18458" spans="1:38">
      <c r="A18458" s="182"/>
      <c r="Q18458" s="183"/>
      <c r="R18458" s="183"/>
      <c r="S18458" s="183"/>
      <c r="AJ18458" s="183"/>
      <c r="AK18458" s="183"/>
      <c r="AL18458" s="183"/>
    </row>
    <row r="18459" spans="1:38">
      <c r="A18459" s="182"/>
      <c r="Q18459" s="183"/>
      <c r="R18459" s="183"/>
      <c r="S18459" s="183"/>
      <c r="AJ18459" s="183"/>
      <c r="AK18459" s="183"/>
      <c r="AL18459" s="183"/>
    </row>
    <row r="18460" spans="1:38">
      <c r="A18460" s="182"/>
      <c r="Q18460" s="183"/>
      <c r="R18460" s="183"/>
      <c r="S18460" s="183"/>
      <c r="AJ18460" s="183"/>
      <c r="AK18460" s="183"/>
      <c r="AL18460" s="183"/>
    </row>
    <row r="18461" spans="1:38">
      <c r="A18461" s="182"/>
      <c r="Q18461" s="183"/>
      <c r="R18461" s="183"/>
      <c r="S18461" s="183"/>
      <c r="AJ18461" s="183"/>
    </row>
    <row r="18462" spans="1:38">
      <c r="A18462" s="182"/>
      <c r="Q18462" s="183"/>
      <c r="R18462" s="183"/>
      <c r="S18462" s="183"/>
    </row>
    <row r="18463" spans="1:38">
      <c r="A18463" s="182"/>
      <c r="Q18463" s="183"/>
      <c r="R18463" s="183"/>
      <c r="S18463" s="183"/>
    </row>
    <row r="18464" spans="1:38">
      <c r="A18464" s="182"/>
      <c r="Q18464" s="183"/>
      <c r="R18464" s="183"/>
      <c r="S18464" s="183"/>
    </row>
    <row r="18465" spans="1:38">
      <c r="A18465" s="182"/>
      <c r="Q18465" s="183"/>
      <c r="R18465" s="183"/>
      <c r="S18465" s="183"/>
    </row>
    <row r="18466" spans="1:38">
      <c r="A18466" s="182"/>
      <c r="Q18466" s="183"/>
      <c r="R18466" s="183"/>
      <c r="S18466" s="183"/>
    </row>
    <row r="18467" spans="1:38">
      <c r="A18467" s="182"/>
      <c r="Q18467" s="183"/>
      <c r="R18467" s="183"/>
      <c r="S18467" s="183"/>
    </row>
    <row r="18468" spans="1:38">
      <c r="A18468" s="182"/>
      <c r="Q18468" s="183"/>
      <c r="R18468" s="183"/>
      <c r="S18468" s="183"/>
    </row>
    <row r="18469" spans="1:38">
      <c r="A18469" s="182"/>
      <c r="Q18469" s="183"/>
      <c r="R18469" s="183"/>
      <c r="S18469" s="183"/>
    </row>
    <row r="18470" spans="1:38">
      <c r="A18470" s="182"/>
      <c r="Q18470" s="183"/>
      <c r="R18470" s="183"/>
      <c r="S18470" s="183"/>
    </row>
    <row r="18471" spans="1:38">
      <c r="A18471" s="182"/>
      <c r="Q18471" s="183"/>
      <c r="R18471" s="183"/>
      <c r="S18471" s="183"/>
    </row>
    <row r="18472" spans="1:38">
      <c r="A18472" s="182"/>
      <c r="Q18472" s="183"/>
      <c r="R18472" s="183"/>
      <c r="S18472" s="183"/>
    </row>
    <row r="18473" spans="1:38">
      <c r="A18473" s="182"/>
      <c r="Q18473" s="183"/>
      <c r="R18473" s="183"/>
      <c r="S18473" s="183"/>
      <c r="AK18473" s="183"/>
      <c r="AL18473" s="183"/>
    </row>
    <row r="18474" spans="1:38">
      <c r="A18474" s="182"/>
      <c r="Q18474" s="183"/>
      <c r="R18474" s="183"/>
      <c r="S18474" s="183"/>
      <c r="AJ18474" s="183"/>
      <c r="AK18474" s="183"/>
      <c r="AL18474" s="183"/>
    </row>
    <row r="18475" spans="1:38">
      <c r="A18475" s="182"/>
      <c r="Q18475" s="183"/>
      <c r="R18475" s="183"/>
      <c r="S18475" s="183"/>
      <c r="AJ18475" s="183"/>
      <c r="AK18475" s="183"/>
      <c r="AL18475" s="183"/>
    </row>
    <row r="18476" spans="1:38">
      <c r="A18476" s="182"/>
      <c r="Q18476" s="183"/>
      <c r="R18476" s="183"/>
      <c r="S18476" s="183"/>
      <c r="AJ18476" s="183"/>
      <c r="AK18476" s="183"/>
      <c r="AL18476" s="183"/>
    </row>
    <row r="18477" spans="1:38">
      <c r="A18477" s="182"/>
      <c r="Q18477" s="183"/>
      <c r="R18477" s="183"/>
      <c r="S18477" s="183"/>
      <c r="AJ18477" s="183"/>
      <c r="AK18477" s="183"/>
      <c r="AL18477" s="183"/>
    </row>
    <row r="18478" spans="1:38">
      <c r="A18478" s="182"/>
      <c r="Q18478" s="183"/>
      <c r="R18478" s="183"/>
      <c r="S18478" s="183"/>
      <c r="AJ18478" s="183"/>
      <c r="AK18478" s="183"/>
      <c r="AL18478" s="183"/>
    </row>
    <row r="18479" spans="1:38">
      <c r="A18479" s="182"/>
      <c r="Q18479" s="183"/>
      <c r="R18479" s="183"/>
      <c r="S18479" s="183"/>
      <c r="AJ18479" s="183"/>
      <c r="AK18479" s="183"/>
      <c r="AL18479" s="183"/>
    </row>
    <row r="18480" spans="1:38">
      <c r="A18480" s="182"/>
      <c r="Q18480" s="183"/>
      <c r="R18480" s="183"/>
      <c r="S18480" s="183"/>
      <c r="AJ18480" s="183"/>
      <c r="AK18480" s="183"/>
      <c r="AL18480" s="183"/>
    </row>
    <row r="18481" spans="1:36">
      <c r="A18481" s="182"/>
      <c r="Q18481" s="183"/>
      <c r="R18481" s="183"/>
      <c r="S18481" s="183"/>
      <c r="AJ18481" s="183"/>
    </row>
    <row r="18482" spans="1:36">
      <c r="A18482" s="182"/>
      <c r="Q18482" s="183"/>
      <c r="R18482" s="183"/>
      <c r="S18482" s="183"/>
    </row>
    <row r="18483" spans="1:36">
      <c r="A18483" s="182"/>
      <c r="Q18483" s="183"/>
      <c r="R18483" s="183"/>
      <c r="S18483" s="183"/>
    </row>
    <row r="18484" spans="1:36">
      <c r="A18484" s="182"/>
      <c r="Q18484" s="183"/>
      <c r="R18484" s="183"/>
      <c r="S18484" s="183"/>
    </row>
    <row r="18485" spans="1:36">
      <c r="A18485" s="182"/>
      <c r="Q18485" s="183"/>
      <c r="R18485" s="183"/>
      <c r="S18485" s="183"/>
    </row>
    <row r="18486" spans="1:36">
      <c r="A18486" s="182"/>
      <c r="Q18486" s="183"/>
      <c r="R18486" s="183"/>
      <c r="S18486" s="183"/>
    </row>
    <row r="18487" spans="1:36">
      <c r="A18487" s="182"/>
      <c r="Q18487" s="183"/>
      <c r="R18487" s="183"/>
      <c r="S18487" s="183"/>
    </row>
    <row r="18488" spans="1:36">
      <c r="A18488" s="182"/>
      <c r="Q18488" s="183"/>
      <c r="R18488" s="183"/>
      <c r="S18488" s="183"/>
    </row>
    <row r="18489" spans="1:36">
      <c r="A18489" s="182"/>
      <c r="Q18489" s="183"/>
      <c r="R18489" s="183"/>
      <c r="S18489" s="183"/>
    </row>
    <row r="18490" spans="1:36">
      <c r="A18490" s="182"/>
      <c r="Q18490" s="183"/>
      <c r="R18490" s="183"/>
      <c r="S18490" s="183"/>
    </row>
    <row r="18491" spans="1:36">
      <c r="A18491" s="182"/>
      <c r="Q18491" s="183"/>
      <c r="R18491" s="183"/>
      <c r="S18491" s="183"/>
    </row>
    <row r="18492" spans="1:36">
      <c r="A18492" s="182"/>
      <c r="Q18492" s="183"/>
      <c r="R18492" s="183"/>
      <c r="S18492" s="183"/>
    </row>
    <row r="18493" spans="1:36">
      <c r="A18493" s="182"/>
      <c r="Q18493" s="183"/>
      <c r="R18493" s="183"/>
      <c r="S18493" s="183"/>
    </row>
    <row r="18494" spans="1:36">
      <c r="A18494" s="182"/>
      <c r="Q18494" s="183"/>
      <c r="R18494" s="183"/>
      <c r="S18494" s="183"/>
    </row>
    <row r="18495" spans="1:36">
      <c r="A18495" s="182"/>
      <c r="Q18495" s="183"/>
      <c r="R18495" s="183"/>
      <c r="S18495" s="183"/>
    </row>
    <row r="18496" spans="1:36">
      <c r="A18496" s="182"/>
      <c r="Q18496" s="183"/>
      <c r="R18496" s="183"/>
      <c r="S18496" s="183"/>
    </row>
    <row r="18497" spans="1:38">
      <c r="A18497" s="182"/>
      <c r="Q18497" s="183"/>
      <c r="R18497" s="183"/>
      <c r="S18497" s="183"/>
    </row>
    <row r="18498" spans="1:38">
      <c r="A18498" s="182"/>
      <c r="Q18498" s="183"/>
      <c r="R18498" s="183"/>
      <c r="S18498" s="183"/>
    </row>
    <row r="18499" spans="1:38">
      <c r="A18499" s="182"/>
      <c r="Q18499" s="183"/>
      <c r="R18499" s="183"/>
      <c r="S18499" s="183"/>
    </row>
    <row r="18500" spans="1:38">
      <c r="A18500" s="182"/>
      <c r="Q18500" s="183"/>
      <c r="R18500" s="183"/>
      <c r="S18500" s="183"/>
    </row>
    <row r="18501" spans="1:38">
      <c r="A18501" s="182"/>
      <c r="Q18501" s="183"/>
      <c r="R18501" s="183"/>
      <c r="S18501" s="183"/>
    </row>
    <row r="18502" spans="1:38">
      <c r="A18502" s="182"/>
      <c r="Q18502" s="183"/>
      <c r="R18502" s="183"/>
      <c r="S18502" s="183"/>
    </row>
    <row r="18503" spans="1:38">
      <c r="A18503" s="182"/>
      <c r="Q18503" s="183"/>
      <c r="R18503" s="183"/>
      <c r="S18503" s="183"/>
    </row>
    <row r="18504" spans="1:38">
      <c r="A18504" s="182"/>
      <c r="Q18504" s="183"/>
      <c r="R18504" s="183"/>
      <c r="S18504" s="183"/>
    </row>
    <row r="18505" spans="1:38">
      <c r="A18505" s="182"/>
      <c r="Q18505" s="183"/>
      <c r="R18505" s="183"/>
      <c r="S18505" s="183"/>
    </row>
    <row r="18506" spans="1:38">
      <c r="A18506" s="182"/>
      <c r="Q18506" s="183"/>
      <c r="R18506" s="183"/>
      <c r="S18506" s="183"/>
    </row>
    <row r="18507" spans="1:38">
      <c r="A18507" s="182"/>
      <c r="Q18507" s="183"/>
      <c r="R18507" s="183"/>
      <c r="S18507" s="183"/>
    </row>
    <row r="18508" spans="1:38">
      <c r="A18508" s="182"/>
      <c r="Q18508" s="183"/>
      <c r="R18508" s="183"/>
      <c r="S18508" s="183"/>
    </row>
    <row r="18509" spans="1:38">
      <c r="A18509" s="182"/>
      <c r="Q18509" s="183"/>
      <c r="R18509" s="183"/>
      <c r="S18509" s="183"/>
      <c r="AK18509" s="183"/>
      <c r="AL18509" s="183"/>
    </row>
    <row r="18510" spans="1:38">
      <c r="A18510" s="182"/>
      <c r="Q18510" s="183"/>
      <c r="R18510" s="183"/>
      <c r="S18510" s="183"/>
      <c r="AJ18510" s="183"/>
      <c r="AK18510" s="183"/>
      <c r="AL18510" s="183"/>
    </row>
    <row r="18511" spans="1:38">
      <c r="A18511" s="182"/>
      <c r="Q18511" s="183"/>
      <c r="R18511" s="183"/>
      <c r="S18511" s="183"/>
      <c r="AJ18511" s="183"/>
      <c r="AK18511" s="183"/>
      <c r="AL18511" s="183"/>
    </row>
    <row r="18512" spans="1:38">
      <c r="A18512" s="182"/>
      <c r="Q18512" s="183"/>
      <c r="R18512" s="183"/>
      <c r="S18512" s="183"/>
      <c r="AJ18512" s="183"/>
      <c r="AK18512" s="183"/>
      <c r="AL18512" s="183"/>
    </row>
    <row r="18513" spans="1:38">
      <c r="A18513" s="182"/>
      <c r="Q18513" s="183"/>
      <c r="R18513" s="183"/>
      <c r="S18513" s="183"/>
      <c r="AJ18513" s="183"/>
    </row>
    <row r="18514" spans="1:38">
      <c r="A18514" s="182"/>
      <c r="Q18514" s="183"/>
      <c r="R18514" s="183"/>
      <c r="S18514" s="183"/>
    </row>
    <row r="18515" spans="1:38">
      <c r="A18515" s="182"/>
      <c r="Q18515" s="183"/>
      <c r="R18515" s="183"/>
      <c r="S18515" s="183"/>
    </row>
    <row r="18516" spans="1:38">
      <c r="A18516" s="182"/>
      <c r="Q18516" s="183"/>
      <c r="R18516" s="183"/>
      <c r="S18516" s="183"/>
    </row>
    <row r="18517" spans="1:38">
      <c r="A18517" s="182"/>
      <c r="Q18517" s="183"/>
      <c r="R18517" s="183"/>
      <c r="S18517" s="183"/>
    </row>
    <row r="18518" spans="1:38">
      <c r="A18518" s="182"/>
      <c r="Q18518" s="183"/>
      <c r="R18518" s="183"/>
      <c r="S18518" s="183"/>
    </row>
    <row r="18519" spans="1:38">
      <c r="A18519" s="182"/>
      <c r="Q18519" s="183"/>
      <c r="R18519" s="183"/>
      <c r="S18519" s="183"/>
    </row>
    <row r="18520" spans="1:38">
      <c r="A18520" s="182"/>
      <c r="Q18520" s="183"/>
      <c r="R18520" s="183"/>
      <c r="S18520" s="183"/>
    </row>
    <row r="18521" spans="1:38">
      <c r="A18521" s="182"/>
      <c r="Q18521" s="183"/>
      <c r="R18521" s="183"/>
      <c r="S18521" s="183"/>
    </row>
    <row r="18522" spans="1:38">
      <c r="A18522" s="182"/>
      <c r="Q18522" s="183"/>
      <c r="R18522" s="183"/>
      <c r="S18522" s="183"/>
    </row>
    <row r="18523" spans="1:38">
      <c r="A18523" s="182"/>
      <c r="Q18523" s="183"/>
      <c r="R18523" s="183"/>
      <c r="S18523" s="183"/>
    </row>
    <row r="18524" spans="1:38">
      <c r="A18524" s="182"/>
      <c r="Q18524" s="183"/>
      <c r="R18524" s="183"/>
      <c r="S18524" s="183"/>
    </row>
    <row r="18525" spans="1:38">
      <c r="A18525" s="182"/>
      <c r="Q18525" s="183"/>
      <c r="R18525" s="183"/>
      <c r="S18525" s="183"/>
      <c r="AK18525" s="183"/>
      <c r="AL18525" s="183"/>
    </row>
    <row r="18526" spans="1:38">
      <c r="A18526" s="182"/>
      <c r="Q18526" s="183"/>
      <c r="R18526" s="183"/>
      <c r="S18526" s="183"/>
      <c r="AJ18526" s="183"/>
      <c r="AK18526" s="183"/>
      <c r="AL18526" s="183"/>
    </row>
    <row r="18527" spans="1:38">
      <c r="A18527" s="182"/>
      <c r="Q18527" s="183"/>
      <c r="R18527" s="183"/>
      <c r="S18527" s="183"/>
      <c r="AJ18527" s="183"/>
      <c r="AK18527" s="183"/>
      <c r="AL18527" s="183"/>
    </row>
    <row r="18528" spans="1:38">
      <c r="A18528" s="182"/>
      <c r="Q18528" s="183"/>
      <c r="R18528" s="183"/>
      <c r="S18528" s="183"/>
      <c r="AJ18528" s="183"/>
      <c r="AK18528" s="183"/>
      <c r="AL18528" s="183"/>
    </row>
    <row r="18529" spans="1:38">
      <c r="A18529" s="182"/>
      <c r="Q18529" s="183"/>
      <c r="R18529" s="183"/>
      <c r="S18529" s="183"/>
      <c r="AJ18529" s="183"/>
    </row>
    <row r="18530" spans="1:38">
      <c r="A18530" s="182"/>
      <c r="Q18530" s="183"/>
      <c r="R18530" s="183"/>
      <c r="S18530" s="183"/>
    </row>
    <row r="18531" spans="1:38">
      <c r="A18531" s="182"/>
      <c r="Q18531" s="183"/>
      <c r="R18531" s="183"/>
      <c r="S18531" s="183"/>
    </row>
    <row r="18532" spans="1:38">
      <c r="A18532" s="182"/>
      <c r="Q18532" s="183"/>
      <c r="R18532" s="183"/>
      <c r="S18532" s="183"/>
    </row>
    <row r="18533" spans="1:38">
      <c r="A18533" s="182"/>
      <c r="Q18533" s="183"/>
      <c r="R18533" s="183"/>
      <c r="S18533" s="183"/>
      <c r="AK18533" s="183"/>
      <c r="AL18533" s="183"/>
    </row>
    <row r="18534" spans="1:38">
      <c r="A18534" s="182"/>
      <c r="Q18534" s="183"/>
      <c r="R18534" s="183"/>
      <c r="S18534" s="183"/>
      <c r="AJ18534" s="183"/>
      <c r="AK18534" s="183"/>
      <c r="AL18534" s="183"/>
    </row>
    <row r="18535" spans="1:38">
      <c r="A18535" s="182"/>
      <c r="Q18535" s="183"/>
      <c r="R18535" s="183"/>
      <c r="S18535" s="183"/>
      <c r="AJ18535" s="183"/>
      <c r="AK18535" s="183"/>
      <c r="AL18535" s="183"/>
    </row>
    <row r="18536" spans="1:38">
      <c r="A18536" s="182"/>
      <c r="Q18536" s="183"/>
      <c r="R18536" s="183"/>
      <c r="S18536" s="183"/>
      <c r="AJ18536" s="183"/>
      <c r="AK18536" s="183"/>
      <c r="AL18536" s="183"/>
    </row>
    <row r="18537" spans="1:38">
      <c r="A18537" s="182"/>
      <c r="Q18537" s="183"/>
      <c r="R18537" s="183"/>
      <c r="S18537" s="183"/>
      <c r="AJ18537" s="183"/>
    </row>
    <row r="18538" spans="1:38">
      <c r="A18538" s="182"/>
      <c r="Q18538" s="183"/>
      <c r="R18538" s="183"/>
      <c r="S18538" s="183"/>
    </row>
    <row r="18539" spans="1:38">
      <c r="A18539" s="182"/>
      <c r="Q18539" s="183"/>
      <c r="R18539" s="183"/>
      <c r="S18539" s="183"/>
    </row>
    <row r="18540" spans="1:38">
      <c r="A18540" s="182"/>
      <c r="Q18540" s="183"/>
      <c r="R18540" s="183"/>
      <c r="S18540" s="183"/>
    </row>
    <row r="18541" spans="1:38">
      <c r="A18541" s="182"/>
      <c r="Q18541" s="183"/>
      <c r="R18541" s="183"/>
      <c r="S18541" s="183"/>
      <c r="AK18541" s="183"/>
      <c r="AL18541" s="183"/>
    </row>
    <row r="18542" spans="1:38">
      <c r="A18542" s="182"/>
      <c r="Q18542" s="183"/>
      <c r="R18542" s="183"/>
      <c r="S18542" s="183"/>
      <c r="AJ18542" s="183"/>
      <c r="AK18542" s="183"/>
      <c r="AL18542" s="183"/>
    </row>
    <row r="18543" spans="1:38">
      <c r="A18543" s="182"/>
      <c r="Q18543" s="183"/>
      <c r="R18543" s="183"/>
      <c r="S18543" s="183"/>
      <c r="AJ18543" s="183"/>
      <c r="AK18543" s="183"/>
      <c r="AL18543" s="183"/>
    </row>
    <row r="18544" spans="1:38">
      <c r="A18544" s="182"/>
      <c r="Q18544" s="183"/>
      <c r="R18544" s="183"/>
      <c r="S18544" s="183"/>
      <c r="AJ18544" s="183"/>
      <c r="AK18544" s="183"/>
      <c r="AL18544" s="183"/>
    </row>
    <row r="18545" spans="1:38">
      <c r="A18545" s="182"/>
      <c r="Q18545" s="183"/>
      <c r="R18545" s="183"/>
      <c r="S18545" s="183"/>
      <c r="AJ18545" s="183"/>
    </row>
    <row r="18546" spans="1:38">
      <c r="A18546" s="182"/>
      <c r="Q18546" s="183"/>
      <c r="R18546" s="183"/>
      <c r="S18546" s="183"/>
    </row>
    <row r="18547" spans="1:38">
      <c r="A18547" s="182"/>
      <c r="Q18547" s="183"/>
      <c r="R18547" s="183"/>
      <c r="S18547" s="183"/>
    </row>
    <row r="18548" spans="1:38">
      <c r="A18548" s="182"/>
      <c r="Q18548" s="183"/>
      <c r="R18548" s="183"/>
      <c r="S18548" s="183"/>
    </row>
    <row r="18549" spans="1:38">
      <c r="A18549" s="182"/>
      <c r="Q18549" s="183"/>
      <c r="R18549" s="183"/>
      <c r="S18549" s="183"/>
      <c r="AK18549" s="183"/>
      <c r="AL18549" s="183"/>
    </row>
    <row r="18550" spans="1:38">
      <c r="A18550" s="182"/>
      <c r="Q18550" s="183"/>
      <c r="R18550" s="183"/>
      <c r="S18550" s="183"/>
      <c r="AJ18550" s="183"/>
      <c r="AK18550" s="183"/>
      <c r="AL18550" s="183"/>
    </row>
    <row r="18551" spans="1:38">
      <c r="A18551" s="182"/>
      <c r="Q18551" s="183"/>
      <c r="R18551" s="183"/>
      <c r="S18551" s="183"/>
      <c r="AJ18551" s="183"/>
      <c r="AK18551" s="183"/>
      <c r="AL18551" s="183"/>
    </row>
    <row r="18552" spans="1:38">
      <c r="A18552" s="182"/>
      <c r="Q18552" s="183"/>
      <c r="R18552" s="183"/>
      <c r="S18552" s="183"/>
      <c r="AJ18552" s="183"/>
      <c r="AK18552" s="183"/>
      <c r="AL18552" s="183"/>
    </row>
    <row r="18553" spans="1:38">
      <c r="A18553" s="182"/>
      <c r="Q18553" s="183"/>
      <c r="R18553" s="183"/>
      <c r="S18553" s="183"/>
      <c r="AJ18553" s="183"/>
    </row>
    <row r="18554" spans="1:38">
      <c r="A18554" s="182"/>
      <c r="Q18554" s="183"/>
      <c r="R18554" s="183"/>
      <c r="S18554" s="183"/>
    </row>
    <row r="18555" spans="1:38">
      <c r="A18555" s="182"/>
      <c r="Q18555" s="183"/>
      <c r="R18555" s="183"/>
      <c r="S18555" s="183"/>
    </row>
    <row r="18556" spans="1:38">
      <c r="A18556" s="182"/>
      <c r="Q18556" s="183"/>
      <c r="R18556" s="183"/>
      <c r="S18556" s="183"/>
    </row>
    <row r="18557" spans="1:38">
      <c r="A18557" s="182"/>
      <c r="Q18557" s="183"/>
      <c r="R18557" s="183"/>
      <c r="S18557" s="183"/>
    </row>
    <row r="18558" spans="1:38">
      <c r="A18558" s="182"/>
      <c r="Q18558" s="183"/>
      <c r="R18558" s="183"/>
      <c r="S18558" s="183"/>
    </row>
    <row r="18559" spans="1:38">
      <c r="A18559" s="182"/>
      <c r="Q18559" s="183"/>
      <c r="R18559" s="183"/>
      <c r="S18559" s="183"/>
    </row>
    <row r="18560" spans="1:38">
      <c r="A18560" s="182"/>
      <c r="Q18560" s="183"/>
      <c r="R18560" s="183"/>
      <c r="S18560" s="183"/>
    </row>
    <row r="18561" spans="1:38">
      <c r="A18561" s="182"/>
      <c r="Q18561" s="183"/>
      <c r="R18561" s="183"/>
      <c r="S18561" s="183"/>
    </row>
    <row r="18562" spans="1:38">
      <c r="A18562" s="182"/>
      <c r="Q18562" s="183"/>
      <c r="R18562" s="183"/>
      <c r="S18562" s="183"/>
    </row>
    <row r="18563" spans="1:38">
      <c r="A18563" s="182"/>
      <c r="Q18563" s="183"/>
      <c r="R18563" s="183"/>
      <c r="S18563" s="183"/>
    </row>
    <row r="18564" spans="1:38">
      <c r="A18564" s="182"/>
      <c r="Q18564" s="183"/>
      <c r="R18564" s="183"/>
      <c r="S18564" s="183"/>
    </row>
    <row r="18565" spans="1:38">
      <c r="A18565" s="182"/>
      <c r="Q18565" s="183"/>
      <c r="R18565" s="183"/>
      <c r="S18565" s="183"/>
    </row>
    <row r="18566" spans="1:38">
      <c r="A18566" s="182"/>
      <c r="Q18566" s="183"/>
      <c r="R18566" s="183"/>
      <c r="S18566" s="183"/>
    </row>
    <row r="18567" spans="1:38">
      <c r="A18567" s="182"/>
      <c r="Q18567" s="183"/>
      <c r="R18567" s="183"/>
      <c r="S18567" s="183"/>
    </row>
    <row r="18568" spans="1:38">
      <c r="A18568" s="182"/>
      <c r="Q18568" s="183"/>
      <c r="R18568" s="183"/>
      <c r="S18568" s="183"/>
    </row>
    <row r="18569" spans="1:38">
      <c r="A18569" s="182"/>
      <c r="Q18569" s="183"/>
      <c r="R18569" s="183"/>
      <c r="S18569" s="183"/>
      <c r="AK18569" s="183"/>
      <c r="AL18569" s="183"/>
    </row>
    <row r="18570" spans="1:38">
      <c r="A18570" s="182"/>
      <c r="Q18570" s="183"/>
      <c r="R18570" s="183"/>
      <c r="S18570" s="183"/>
      <c r="AJ18570" s="183"/>
      <c r="AK18570" s="183"/>
      <c r="AL18570" s="183"/>
    </row>
    <row r="18571" spans="1:38">
      <c r="A18571" s="182"/>
      <c r="Q18571" s="183"/>
      <c r="R18571" s="183"/>
      <c r="S18571" s="183"/>
      <c r="AJ18571" s="183"/>
      <c r="AK18571" s="183"/>
      <c r="AL18571" s="183"/>
    </row>
    <row r="18572" spans="1:38">
      <c r="A18572" s="182"/>
      <c r="Q18572" s="183"/>
      <c r="R18572" s="183"/>
      <c r="S18572" s="183"/>
      <c r="AJ18572" s="183"/>
      <c r="AK18572" s="183"/>
      <c r="AL18572" s="183"/>
    </row>
    <row r="18573" spans="1:38">
      <c r="A18573" s="182"/>
      <c r="Q18573" s="183"/>
      <c r="R18573" s="183"/>
      <c r="S18573" s="183"/>
      <c r="AJ18573" s="183"/>
    </row>
    <row r="18574" spans="1:38">
      <c r="A18574" s="182"/>
      <c r="Q18574" s="183"/>
      <c r="R18574" s="183"/>
      <c r="S18574" s="183"/>
    </row>
    <row r="18575" spans="1:38">
      <c r="A18575" s="182"/>
      <c r="Q18575" s="183"/>
      <c r="R18575" s="183"/>
      <c r="S18575" s="183"/>
    </row>
    <row r="18576" spans="1:38">
      <c r="A18576" s="182"/>
      <c r="Q18576" s="183"/>
      <c r="R18576" s="183"/>
      <c r="S18576" s="183"/>
    </row>
    <row r="18577" spans="1:38">
      <c r="A18577" s="182"/>
      <c r="Q18577" s="183"/>
      <c r="R18577" s="183"/>
      <c r="S18577" s="183"/>
    </row>
    <row r="18578" spans="1:38">
      <c r="A18578" s="182"/>
      <c r="Q18578" s="183"/>
      <c r="R18578" s="183"/>
      <c r="S18578" s="183"/>
    </row>
    <row r="18579" spans="1:38">
      <c r="A18579" s="182"/>
      <c r="Q18579" s="183"/>
      <c r="R18579" s="183"/>
      <c r="S18579" s="183"/>
    </row>
    <row r="18580" spans="1:38">
      <c r="A18580" s="182"/>
      <c r="Q18580" s="183"/>
      <c r="R18580" s="183"/>
      <c r="S18580" s="183"/>
    </row>
    <row r="18581" spans="1:38">
      <c r="A18581" s="182"/>
      <c r="Q18581" s="183"/>
      <c r="R18581" s="183"/>
      <c r="S18581" s="183"/>
    </row>
    <row r="18582" spans="1:38">
      <c r="A18582" s="182"/>
      <c r="Q18582" s="183"/>
      <c r="R18582" s="183"/>
      <c r="S18582" s="183"/>
    </row>
    <row r="18583" spans="1:38">
      <c r="A18583" s="182"/>
      <c r="Q18583" s="183"/>
      <c r="R18583" s="183"/>
      <c r="S18583" s="183"/>
    </row>
    <row r="18584" spans="1:38">
      <c r="A18584" s="182"/>
      <c r="Q18584" s="183"/>
      <c r="R18584" s="183"/>
      <c r="S18584" s="183"/>
    </row>
    <row r="18585" spans="1:38">
      <c r="A18585" s="182"/>
      <c r="Q18585" s="183"/>
      <c r="R18585" s="183"/>
      <c r="S18585" s="183"/>
      <c r="AK18585" s="183"/>
      <c r="AL18585" s="183"/>
    </row>
    <row r="18586" spans="1:38">
      <c r="A18586" s="182"/>
      <c r="Q18586" s="183"/>
      <c r="R18586" s="183"/>
      <c r="S18586" s="183"/>
      <c r="AJ18586" s="183"/>
      <c r="AK18586" s="183"/>
      <c r="AL18586" s="183"/>
    </row>
    <row r="18587" spans="1:38">
      <c r="A18587" s="182"/>
      <c r="Q18587" s="183"/>
      <c r="R18587" s="183"/>
      <c r="S18587" s="183"/>
      <c r="AJ18587" s="183"/>
      <c r="AK18587" s="183"/>
      <c r="AL18587" s="183"/>
    </row>
    <row r="18588" spans="1:38">
      <c r="A18588" s="182"/>
      <c r="Q18588" s="183"/>
      <c r="R18588" s="183"/>
      <c r="S18588" s="183"/>
      <c r="AJ18588" s="183"/>
      <c r="AK18588" s="183"/>
      <c r="AL18588" s="183"/>
    </row>
    <row r="18589" spans="1:38">
      <c r="A18589" s="182"/>
      <c r="Q18589" s="183"/>
      <c r="R18589" s="183"/>
      <c r="S18589" s="183"/>
      <c r="AJ18589" s="183"/>
      <c r="AK18589" s="183"/>
      <c r="AL18589" s="183"/>
    </row>
    <row r="18590" spans="1:38">
      <c r="A18590" s="182"/>
      <c r="Q18590" s="183"/>
      <c r="R18590" s="183"/>
      <c r="S18590" s="183"/>
      <c r="AJ18590" s="183"/>
      <c r="AK18590" s="183"/>
      <c r="AL18590" s="183"/>
    </row>
    <row r="18591" spans="1:38">
      <c r="A18591" s="182"/>
      <c r="Q18591" s="183"/>
      <c r="R18591" s="183"/>
      <c r="S18591" s="183"/>
      <c r="AJ18591" s="183"/>
      <c r="AK18591" s="183"/>
      <c r="AL18591" s="183"/>
    </row>
    <row r="18592" spans="1:38">
      <c r="A18592" s="182"/>
      <c r="Q18592" s="183"/>
      <c r="R18592" s="183"/>
      <c r="S18592" s="183"/>
      <c r="AJ18592" s="183"/>
      <c r="AK18592" s="183"/>
      <c r="AL18592" s="183"/>
    </row>
    <row r="18593" spans="1:38">
      <c r="A18593" s="182"/>
      <c r="Q18593" s="183"/>
      <c r="R18593" s="183"/>
      <c r="S18593" s="183"/>
      <c r="AJ18593" s="183"/>
      <c r="AK18593" s="183"/>
      <c r="AL18593" s="183"/>
    </row>
    <row r="18594" spans="1:38">
      <c r="A18594" s="182"/>
      <c r="Q18594" s="183"/>
      <c r="R18594" s="183"/>
      <c r="S18594" s="183"/>
      <c r="AJ18594" s="183"/>
      <c r="AK18594" s="183"/>
      <c r="AL18594" s="183"/>
    </row>
    <row r="18595" spans="1:38">
      <c r="A18595" s="182"/>
      <c r="Q18595" s="183"/>
      <c r="R18595" s="183"/>
      <c r="S18595" s="183"/>
      <c r="AJ18595" s="183"/>
      <c r="AK18595" s="183"/>
      <c r="AL18595" s="183"/>
    </row>
    <row r="18596" spans="1:38">
      <c r="A18596" s="182"/>
      <c r="Q18596" s="183"/>
      <c r="R18596" s="183"/>
      <c r="S18596" s="183"/>
      <c r="AJ18596" s="183"/>
      <c r="AK18596" s="183"/>
      <c r="AL18596" s="183"/>
    </row>
    <row r="18597" spans="1:38">
      <c r="A18597" s="182"/>
      <c r="Q18597" s="183"/>
      <c r="R18597" s="183"/>
      <c r="S18597" s="183"/>
      <c r="AJ18597" s="183"/>
    </row>
    <row r="18598" spans="1:38">
      <c r="A18598" s="182"/>
      <c r="Q18598" s="183"/>
      <c r="R18598" s="183"/>
      <c r="S18598" s="183"/>
    </row>
    <row r="18599" spans="1:38">
      <c r="A18599" s="182"/>
      <c r="Q18599" s="183"/>
      <c r="R18599" s="183"/>
      <c r="S18599" s="183"/>
    </row>
    <row r="18600" spans="1:38">
      <c r="A18600" s="182"/>
      <c r="Q18600" s="183"/>
      <c r="R18600" s="183"/>
      <c r="S18600" s="183"/>
    </row>
    <row r="18601" spans="1:38">
      <c r="A18601" s="182"/>
      <c r="Q18601" s="183"/>
      <c r="R18601" s="183"/>
      <c r="S18601" s="183"/>
    </row>
    <row r="18602" spans="1:38">
      <c r="A18602" s="182"/>
      <c r="Q18602" s="183"/>
      <c r="R18602" s="183"/>
      <c r="S18602" s="183"/>
    </row>
    <row r="18603" spans="1:38">
      <c r="A18603" s="182"/>
      <c r="N18603" s="183"/>
      <c r="O18603" s="183"/>
      <c r="Q18603" s="183"/>
      <c r="R18603" s="183"/>
      <c r="S18603" s="183"/>
    </row>
    <row r="18604" spans="1:38">
      <c r="A18604" s="182"/>
      <c r="M18604" s="183"/>
      <c r="Q18604" s="183"/>
      <c r="R18604" s="183"/>
      <c r="S18604" s="183"/>
    </row>
    <row r="18605" spans="1:38">
      <c r="A18605" s="182"/>
      <c r="Q18605" s="183"/>
      <c r="R18605" s="183"/>
      <c r="S18605" s="183"/>
    </row>
    <row r="18606" spans="1:38">
      <c r="A18606" s="182"/>
      <c r="Q18606" s="183"/>
      <c r="R18606" s="183"/>
      <c r="S18606" s="183"/>
    </row>
    <row r="18607" spans="1:38">
      <c r="A18607" s="182"/>
      <c r="Q18607" s="183"/>
      <c r="R18607" s="183"/>
      <c r="S18607" s="183"/>
    </row>
    <row r="18608" spans="1:38">
      <c r="A18608" s="182"/>
      <c r="Q18608" s="183"/>
      <c r="R18608" s="183"/>
      <c r="S18608" s="183"/>
    </row>
    <row r="18609" spans="1:38">
      <c r="A18609" s="182"/>
      <c r="Q18609" s="183"/>
      <c r="R18609" s="183"/>
      <c r="S18609" s="183"/>
    </row>
    <row r="18610" spans="1:38">
      <c r="A18610" s="182"/>
      <c r="Q18610" s="183"/>
      <c r="R18610" s="183"/>
      <c r="S18610" s="183"/>
    </row>
    <row r="18611" spans="1:38">
      <c r="A18611" s="182"/>
      <c r="Q18611" s="183"/>
      <c r="R18611" s="183"/>
      <c r="S18611" s="183"/>
    </row>
    <row r="18612" spans="1:38">
      <c r="A18612" s="182"/>
      <c r="Q18612" s="183"/>
      <c r="R18612" s="183"/>
      <c r="S18612" s="183"/>
    </row>
    <row r="18613" spans="1:38">
      <c r="A18613" s="182"/>
      <c r="Q18613" s="183"/>
      <c r="R18613" s="183"/>
      <c r="S18613" s="183"/>
    </row>
    <row r="18614" spans="1:38">
      <c r="A18614" s="182"/>
      <c r="Q18614" s="183"/>
      <c r="R18614" s="183"/>
      <c r="S18614" s="183"/>
    </row>
    <row r="18615" spans="1:38">
      <c r="A18615" s="182"/>
      <c r="Q18615" s="183"/>
      <c r="R18615" s="183"/>
      <c r="S18615" s="183"/>
    </row>
    <row r="18616" spans="1:38">
      <c r="A18616" s="182"/>
      <c r="Q18616" s="183"/>
      <c r="R18616" s="183"/>
      <c r="S18616" s="183"/>
    </row>
    <row r="18617" spans="1:38">
      <c r="A18617" s="182"/>
      <c r="Q18617" s="183"/>
      <c r="R18617" s="183"/>
      <c r="S18617" s="183"/>
      <c r="AK18617" s="183"/>
      <c r="AL18617" s="183"/>
    </row>
    <row r="18618" spans="1:38">
      <c r="A18618" s="182"/>
      <c r="Q18618" s="183"/>
      <c r="R18618" s="183"/>
      <c r="S18618" s="183"/>
      <c r="AJ18618" s="183"/>
      <c r="AK18618" s="183"/>
      <c r="AL18618" s="183"/>
    </row>
    <row r="18619" spans="1:38">
      <c r="A18619" s="182"/>
      <c r="Q18619" s="183"/>
      <c r="R18619" s="183"/>
      <c r="S18619" s="183"/>
      <c r="AJ18619" s="183"/>
      <c r="AK18619" s="183"/>
      <c r="AL18619" s="183"/>
    </row>
    <row r="18620" spans="1:38">
      <c r="A18620" s="182"/>
      <c r="Q18620" s="183"/>
      <c r="R18620" s="183"/>
      <c r="S18620" s="183"/>
      <c r="AJ18620" s="183"/>
      <c r="AK18620" s="183"/>
      <c r="AL18620" s="183"/>
    </row>
    <row r="18621" spans="1:38">
      <c r="A18621" s="182"/>
      <c r="Q18621" s="183"/>
      <c r="R18621" s="183"/>
      <c r="S18621" s="183"/>
      <c r="AJ18621" s="183"/>
    </row>
    <row r="18622" spans="1:38">
      <c r="A18622" s="182"/>
      <c r="Q18622" s="183"/>
      <c r="R18622" s="183"/>
      <c r="S18622" s="183"/>
    </row>
    <row r="18623" spans="1:38">
      <c r="A18623" s="182"/>
      <c r="Q18623" s="183"/>
      <c r="R18623" s="183"/>
      <c r="S18623" s="183"/>
    </row>
    <row r="18624" spans="1:38">
      <c r="A18624" s="182"/>
      <c r="Q18624" s="183"/>
      <c r="R18624" s="183"/>
      <c r="S18624" s="183"/>
    </row>
    <row r="18625" spans="1:38">
      <c r="A18625" s="182"/>
      <c r="Q18625" s="183"/>
      <c r="R18625" s="183"/>
      <c r="S18625" s="183"/>
    </row>
    <row r="18626" spans="1:38">
      <c r="A18626" s="182"/>
      <c r="Q18626" s="183"/>
      <c r="R18626" s="183"/>
      <c r="S18626" s="183"/>
    </row>
    <row r="18627" spans="1:38">
      <c r="A18627" s="182"/>
      <c r="Q18627" s="183"/>
      <c r="R18627" s="183"/>
      <c r="S18627" s="183"/>
    </row>
    <row r="18628" spans="1:38">
      <c r="A18628" s="182"/>
      <c r="Q18628" s="183"/>
      <c r="R18628" s="183"/>
      <c r="S18628" s="183"/>
    </row>
    <row r="18629" spans="1:38">
      <c r="A18629" s="182"/>
      <c r="Q18629" s="183"/>
      <c r="R18629" s="183"/>
      <c r="S18629" s="183"/>
      <c r="AK18629" s="183"/>
      <c r="AL18629" s="183"/>
    </row>
    <row r="18630" spans="1:38">
      <c r="A18630" s="182"/>
      <c r="Q18630" s="183"/>
      <c r="R18630" s="183"/>
      <c r="S18630" s="183"/>
      <c r="AJ18630" s="183"/>
      <c r="AK18630" s="183"/>
      <c r="AL18630" s="183"/>
    </row>
    <row r="18631" spans="1:38">
      <c r="A18631" s="182"/>
      <c r="Q18631" s="183"/>
      <c r="R18631" s="183"/>
      <c r="S18631" s="183"/>
      <c r="AJ18631" s="183"/>
      <c r="AK18631" s="183"/>
      <c r="AL18631" s="183"/>
    </row>
    <row r="18632" spans="1:38">
      <c r="A18632" s="182"/>
      <c r="Q18632" s="183"/>
      <c r="R18632" s="183"/>
      <c r="S18632" s="183"/>
      <c r="AJ18632" s="183"/>
      <c r="AK18632" s="183"/>
      <c r="AL18632" s="183"/>
    </row>
    <row r="18633" spans="1:38">
      <c r="A18633" s="182"/>
      <c r="Q18633" s="183"/>
      <c r="R18633" s="183"/>
      <c r="S18633" s="183"/>
      <c r="AJ18633" s="183"/>
    </row>
    <row r="18634" spans="1:38">
      <c r="A18634" s="182"/>
      <c r="Q18634" s="183"/>
      <c r="R18634" s="183"/>
      <c r="S18634" s="183"/>
    </row>
    <row r="18635" spans="1:38">
      <c r="A18635" s="182"/>
      <c r="Q18635" s="183"/>
      <c r="R18635" s="183"/>
      <c r="S18635" s="183"/>
    </row>
    <row r="18636" spans="1:38">
      <c r="A18636" s="182"/>
      <c r="Q18636" s="183"/>
      <c r="R18636" s="183"/>
      <c r="S18636" s="183"/>
    </row>
    <row r="18637" spans="1:38">
      <c r="A18637" s="182"/>
      <c r="Q18637" s="183"/>
      <c r="R18637" s="183"/>
      <c r="S18637" s="183"/>
      <c r="AK18637" s="183"/>
      <c r="AL18637" s="183"/>
    </row>
    <row r="18638" spans="1:38">
      <c r="A18638" s="182"/>
      <c r="Q18638" s="183"/>
      <c r="R18638" s="183"/>
      <c r="S18638" s="183"/>
      <c r="AJ18638" s="183"/>
      <c r="AK18638" s="183"/>
      <c r="AL18638" s="183"/>
    </row>
    <row r="18639" spans="1:38">
      <c r="A18639" s="182"/>
      <c r="Q18639" s="183"/>
      <c r="R18639" s="183"/>
      <c r="S18639" s="183"/>
      <c r="AJ18639" s="183"/>
      <c r="AK18639" s="183"/>
      <c r="AL18639" s="183"/>
    </row>
    <row r="18640" spans="1:38">
      <c r="A18640" s="182"/>
      <c r="Q18640" s="183"/>
      <c r="R18640" s="183"/>
      <c r="S18640" s="183"/>
      <c r="AJ18640" s="183"/>
      <c r="AK18640" s="183"/>
      <c r="AL18640" s="183"/>
    </row>
    <row r="18641" spans="1:38">
      <c r="A18641" s="182"/>
      <c r="Q18641" s="183"/>
      <c r="R18641" s="183"/>
      <c r="S18641" s="183"/>
      <c r="AJ18641" s="183"/>
      <c r="AK18641" s="183"/>
      <c r="AL18641" s="183"/>
    </row>
    <row r="18642" spans="1:38">
      <c r="A18642" s="182"/>
      <c r="Q18642" s="183"/>
      <c r="R18642" s="183"/>
      <c r="S18642" s="183"/>
      <c r="AJ18642" s="183"/>
      <c r="AK18642" s="183"/>
      <c r="AL18642" s="183"/>
    </row>
    <row r="18643" spans="1:38">
      <c r="A18643" s="182"/>
      <c r="Q18643" s="183"/>
      <c r="R18643" s="183"/>
      <c r="S18643" s="183"/>
      <c r="AJ18643" s="183"/>
      <c r="AK18643" s="183"/>
      <c r="AL18643" s="183"/>
    </row>
    <row r="18644" spans="1:38">
      <c r="A18644" s="182"/>
      <c r="Q18644" s="183"/>
      <c r="R18644" s="183"/>
      <c r="S18644" s="183"/>
      <c r="AJ18644" s="183"/>
      <c r="AK18644" s="183"/>
      <c r="AL18644" s="183"/>
    </row>
    <row r="18645" spans="1:38">
      <c r="A18645" s="182"/>
      <c r="Q18645" s="183"/>
      <c r="R18645" s="183"/>
      <c r="S18645" s="183"/>
      <c r="AJ18645" s="183"/>
    </row>
    <row r="18646" spans="1:38">
      <c r="A18646" s="182"/>
      <c r="Q18646" s="183"/>
      <c r="R18646" s="183"/>
      <c r="S18646" s="183"/>
    </row>
    <row r="18647" spans="1:38">
      <c r="A18647" s="182"/>
      <c r="Q18647" s="183"/>
      <c r="R18647" s="183"/>
      <c r="S18647" s="183"/>
    </row>
    <row r="18648" spans="1:38">
      <c r="A18648" s="182"/>
      <c r="Q18648" s="183"/>
      <c r="R18648" s="183"/>
      <c r="S18648" s="183"/>
    </row>
    <row r="18649" spans="1:38">
      <c r="A18649" s="182"/>
      <c r="Q18649" s="183"/>
      <c r="R18649" s="183"/>
      <c r="S18649" s="183"/>
      <c r="AK18649" s="183"/>
      <c r="AL18649" s="183"/>
    </row>
    <row r="18650" spans="1:38">
      <c r="A18650" s="182"/>
      <c r="Q18650" s="183"/>
      <c r="R18650" s="183"/>
      <c r="S18650" s="183"/>
      <c r="AJ18650" s="183"/>
      <c r="AK18650" s="183"/>
      <c r="AL18650" s="183"/>
    </row>
    <row r="18651" spans="1:38">
      <c r="A18651" s="182"/>
      <c r="Q18651" s="183"/>
      <c r="R18651" s="183"/>
      <c r="S18651" s="183"/>
      <c r="AJ18651" s="183"/>
      <c r="AK18651" s="183"/>
      <c r="AL18651" s="183"/>
    </row>
    <row r="18652" spans="1:38">
      <c r="A18652" s="182"/>
      <c r="Q18652" s="183"/>
      <c r="R18652" s="183"/>
      <c r="S18652" s="183"/>
      <c r="AJ18652" s="183"/>
      <c r="AK18652" s="183"/>
      <c r="AL18652" s="183"/>
    </row>
    <row r="18653" spans="1:38">
      <c r="A18653" s="182"/>
      <c r="Q18653" s="183"/>
      <c r="R18653" s="183"/>
      <c r="S18653" s="183"/>
      <c r="AJ18653" s="183"/>
      <c r="AK18653" s="183"/>
      <c r="AL18653" s="183"/>
    </row>
    <row r="18654" spans="1:38">
      <c r="A18654" s="182"/>
      <c r="Q18654" s="183"/>
      <c r="R18654" s="183"/>
      <c r="S18654" s="183"/>
      <c r="AJ18654" s="183"/>
      <c r="AK18654" s="183"/>
      <c r="AL18654" s="183"/>
    </row>
    <row r="18655" spans="1:38">
      <c r="A18655" s="182"/>
      <c r="Q18655" s="183"/>
      <c r="R18655" s="183"/>
      <c r="S18655" s="183"/>
      <c r="AJ18655" s="183"/>
      <c r="AK18655" s="183"/>
      <c r="AL18655" s="183"/>
    </row>
    <row r="18656" spans="1:38">
      <c r="A18656" s="182"/>
      <c r="Q18656" s="183"/>
      <c r="R18656" s="183"/>
      <c r="S18656" s="183"/>
      <c r="AJ18656" s="183"/>
      <c r="AK18656" s="183"/>
      <c r="AL18656" s="183"/>
    </row>
    <row r="18657" spans="1:38">
      <c r="A18657" s="182"/>
      <c r="Q18657" s="183"/>
      <c r="R18657" s="183"/>
      <c r="S18657" s="183"/>
      <c r="AJ18657" s="183"/>
    </row>
    <row r="18658" spans="1:38">
      <c r="A18658" s="182"/>
      <c r="Q18658" s="183"/>
      <c r="R18658" s="183"/>
      <c r="S18658" s="183"/>
    </row>
    <row r="18659" spans="1:38">
      <c r="A18659" s="182"/>
      <c r="Q18659" s="183"/>
      <c r="R18659" s="183"/>
      <c r="S18659" s="183"/>
    </row>
    <row r="18660" spans="1:38">
      <c r="A18660" s="182"/>
      <c r="Q18660" s="183"/>
      <c r="R18660" s="183"/>
      <c r="S18660" s="183"/>
    </row>
    <row r="18661" spans="1:38">
      <c r="A18661" s="182"/>
      <c r="Q18661" s="183"/>
      <c r="R18661" s="183"/>
      <c r="S18661" s="183"/>
      <c r="AK18661" s="183"/>
      <c r="AL18661" s="183"/>
    </row>
    <row r="18662" spans="1:38">
      <c r="A18662" s="182"/>
      <c r="Q18662" s="183"/>
      <c r="R18662" s="183"/>
      <c r="S18662" s="183"/>
      <c r="AJ18662" s="183"/>
      <c r="AK18662" s="183"/>
      <c r="AL18662" s="183"/>
    </row>
    <row r="18663" spans="1:38">
      <c r="A18663" s="182"/>
      <c r="Q18663" s="183"/>
      <c r="R18663" s="183"/>
      <c r="S18663" s="183"/>
      <c r="AJ18663" s="183"/>
      <c r="AK18663" s="183"/>
      <c r="AL18663" s="183"/>
    </row>
    <row r="18664" spans="1:38">
      <c r="A18664" s="182"/>
      <c r="Q18664" s="183"/>
      <c r="R18664" s="183"/>
      <c r="S18664" s="183"/>
      <c r="AJ18664" s="183"/>
      <c r="AK18664" s="183"/>
      <c r="AL18664" s="183"/>
    </row>
    <row r="18665" spans="1:38">
      <c r="A18665" s="182"/>
      <c r="Q18665" s="183"/>
      <c r="R18665" s="183"/>
      <c r="S18665" s="183"/>
      <c r="AJ18665" s="183"/>
    </row>
    <row r="18666" spans="1:38">
      <c r="A18666" s="182"/>
      <c r="Q18666" s="183"/>
      <c r="R18666" s="183"/>
      <c r="S18666" s="183"/>
    </row>
    <row r="18667" spans="1:38">
      <c r="A18667" s="182"/>
      <c r="Q18667" s="183"/>
      <c r="R18667" s="183"/>
      <c r="S18667" s="183"/>
    </row>
    <row r="18668" spans="1:38">
      <c r="A18668" s="182"/>
      <c r="Q18668" s="183"/>
      <c r="R18668" s="183"/>
      <c r="S18668" s="183"/>
    </row>
    <row r="18669" spans="1:38">
      <c r="A18669" s="182"/>
      <c r="Q18669" s="183"/>
      <c r="R18669" s="183"/>
      <c r="S18669" s="183"/>
      <c r="AK18669" s="183"/>
      <c r="AL18669" s="183"/>
    </row>
    <row r="18670" spans="1:38">
      <c r="A18670" s="182"/>
      <c r="Q18670" s="183"/>
      <c r="R18670" s="183"/>
      <c r="S18670" s="183"/>
      <c r="AJ18670" s="183"/>
      <c r="AK18670" s="183"/>
      <c r="AL18670" s="183"/>
    </row>
    <row r="18671" spans="1:38">
      <c r="A18671" s="182"/>
      <c r="Q18671" s="183"/>
      <c r="R18671" s="183"/>
      <c r="S18671" s="183"/>
      <c r="AJ18671" s="183"/>
      <c r="AK18671" s="183"/>
      <c r="AL18671" s="183"/>
    </row>
    <row r="18672" spans="1:38">
      <c r="A18672" s="182"/>
      <c r="Q18672" s="183"/>
      <c r="R18672" s="183"/>
      <c r="S18672" s="183"/>
      <c r="AJ18672" s="183"/>
      <c r="AK18672" s="183"/>
      <c r="AL18672" s="183"/>
    </row>
    <row r="18673" spans="1:38">
      <c r="A18673" s="182"/>
      <c r="Q18673" s="183"/>
      <c r="R18673" s="183"/>
      <c r="S18673" s="183"/>
      <c r="AJ18673" s="183"/>
    </row>
    <row r="18674" spans="1:38">
      <c r="A18674" s="182"/>
      <c r="Q18674" s="183"/>
      <c r="R18674" s="183"/>
      <c r="S18674" s="183"/>
    </row>
    <row r="18675" spans="1:38">
      <c r="A18675" s="182"/>
      <c r="Q18675" s="183"/>
      <c r="R18675" s="183"/>
      <c r="S18675" s="183"/>
    </row>
    <row r="18676" spans="1:38">
      <c r="A18676" s="182"/>
      <c r="Q18676" s="183"/>
      <c r="R18676" s="183"/>
      <c r="S18676" s="183"/>
    </row>
    <row r="18677" spans="1:38">
      <c r="A18677" s="182"/>
      <c r="Q18677" s="183"/>
      <c r="R18677" s="183"/>
      <c r="S18677" s="183"/>
    </row>
    <row r="18678" spans="1:38">
      <c r="A18678" s="182"/>
      <c r="Q18678" s="183"/>
      <c r="R18678" s="183"/>
      <c r="S18678" s="183"/>
    </row>
    <row r="18679" spans="1:38">
      <c r="A18679" s="182"/>
      <c r="Q18679" s="183"/>
      <c r="R18679" s="183"/>
      <c r="S18679" s="183"/>
    </row>
    <row r="18680" spans="1:38">
      <c r="A18680" s="182"/>
      <c r="Q18680" s="183"/>
      <c r="R18680" s="183"/>
      <c r="S18680" s="183"/>
    </row>
    <row r="18681" spans="1:38">
      <c r="A18681" s="182"/>
      <c r="Q18681" s="183"/>
      <c r="R18681" s="183"/>
      <c r="S18681" s="183"/>
      <c r="AK18681" s="183"/>
      <c r="AL18681" s="183"/>
    </row>
    <row r="18682" spans="1:38">
      <c r="A18682" s="182"/>
      <c r="Q18682" s="183"/>
      <c r="R18682" s="183"/>
      <c r="S18682" s="183"/>
      <c r="AJ18682" s="183"/>
      <c r="AK18682" s="183"/>
      <c r="AL18682" s="183"/>
    </row>
    <row r="18683" spans="1:38">
      <c r="A18683" s="182"/>
      <c r="Q18683" s="183"/>
      <c r="R18683" s="183"/>
      <c r="S18683" s="183"/>
      <c r="AJ18683" s="183"/>
      <c r="AK18683" s="183"/>
      <c r="AL18683" s="183"/>
    </row>
    <row r="18684" spans="1:38">
      <c r="A18684" s="182"/>
      <c r="Q18684" s="183"/>
      <c r="R18684" s="183"/>
      <c r="S18684" s="183"/>
      <c r="AJ18684" s="183"/>
      <c r="AK18684" s="183"/>
      <c r="AL18684" s="183"/>
    </row>
    <row r="18685" spans="1:38">
      <c r="A18685" s="182"/>
      <c r="Q18685" s="183"/>
      <c r="R18685" s="183"/>
      <c r="S18685" s="183"/>
      <c r="AJ18685" s="183"/>
    </row>
    <row r="18686" spans="1:38">
      <c r="A18686" s="182"/>
      <c r="Q18686" s="183"/>
      <c r="R18686" s="183"/>
      <c r="S18686" s="183"/>
    </row>
    <row r="18687" spans="1:38">
      <c r="A18687" s="182"/>
      <c r="Q18687" s="183"/>
      <c r="R18687" s="183"/>
      <c r="S18687" s="183"/>
    </row>
    <row r="18688" spans="1:38">
      <c r="A18688" s="182"/>
      <c r="Q18688" s="183"/>
      <c r="R18688" s="183"/>
      <c r="S18688" s="183"/>
    </row>
    <row r="18689" spans="1:38">
      <c r="A18689" s="182"/>
      <c r="Q18689" s="183"/>
      <c r="R18689" s="183"/>
      <c r="S18689" s="183"/>
    </row>
    <row r="18690" spans="1:38">
      <c r="A18690" s="182"/>
      <c r="Q18690" s="183"/>
      <c r="R18690" s="183"/>
      <c r="S18690" s="183"/>
    </row>
    <row r="18691" spans="1:38">
      <c r="A18691" s="182"/>
      <c r="Q18691" s="183"/>
      <c r="R18691" s="183"/>
      <c r="S18691" s="183"/>
    </row>
    <row r="18692" spans="1:38">
      <c r="A18692" s="182"/>
      <c r="Q18692" s="183"/>
      <c r="R18692" s="183"/>
      <c r="S18692" s="183"/>
    </row>
    <row r="18693" spans="1:38">
      <c r="A18693" s="182"/>
      <c r="Q18693" s="183"/>
      <c r="R18693" s="183"/>
      <c r="S18693" s="183"/>
      <c r="AK18693" s="183"/>
      <c r="AL18693" s="183"/>
    </row>
    <row r="18694" spans="1:38">
      <c r="A18694" s="182"/>
      <c r="Q18694" s="183"/>
      <c r="R18694" s="183"/>
      <c r="S18694" s="183"/>
      <c r="AJ18694" s="183"/>
      <c r="AK18694" s="183"/>
      <c r="AL18694" s="183"/>
    </row>
    <row r="18695" spans="1:38">
      <c r="A18695" s="182"/>
      <c r="Q18695" s="183"/>
      <c r="R18695" s="183"/>
      <c r="S18695" s="183"/>
      <c r="AJ18695" s="183"/>
      <c r="AK18695" s="183"/>
      <c r="AL18695" s="183"/>
    </row>
    <row r="18696" spans="1:38">
      <c r="A18696" s="182"/>
      <c r="Q18696" s="183"/>
      <c r="R18696" s="183"/>
      <c r="S18696" s="183"/>
      <c r="AJ18696" s="183"/>
      <c r="AK18696" s="183"/>
      <c r="AL18696" s="183"/>
    </row>
    <row r="18697" spans="1:38">
      <c r="A18697" s="182"/>
      <c r="Q18697" s="183"/>
      <c r="R18697" s="183"/>
      <c r="S18697" s="183"/>
      <c r="AJ18697" s="183"/>
    </row>
    <row r="18698" spans="1:38">
      <c r="A18698" s="182"/>
      <c r="Q18698" s="183"/>
      <c r="R18698" s="183"/>
      <c r="S18698" s="183"/>
    </row>
    <row r="18699" spans="1:38">
      <c r="A18699" s="182"/>
      <c r="Q18699" s="183"/>
      <c r="R18699" s="183"/>
      <c r="S18699" s="183"/>
    </row>
    <row r="18700" spans="1:38">
      <c r="A18700" s="182"/>
      <c r="M18700" s="183"/>
      <c r="N18700" s="183"/>
      <c r="Q18700" s="183"/>
      <c r="R18700" s="183"/>
      <c r="S18700" s="183"/>
    </row>
    <row r="18701" spans="1:38">
      <c r="A18701" s="182"/>
      <c r="L18701" s="183"/>
      <c r="Q18701" s="183"/>
      <c r="R18701" s="183"/>
      <c r="S18701" s="183"/>
    </row>
    <row r="18702" spans="1:38">
      <c r="A18702" s="182"/>
      <c r="Q18702" s="183"/>
      <c r="R18702" s="183"/>
      <c r="S18702" s="183"/>
    </row>
    <row r="18703" spans="1:38">
      <c r="A18703" s="182"/>
      <c r="Q18703" s="183"/>
      <c r="R18703" s="183"/>
      <c r="S18703" s="183"/>
    </row>
    <row r="18704" spans="1:38">
      <c r="A18704" s="182"/>
      <c r="Q18704" s="183"/>
      <c r="R18704" s="183"/>
      <c r="S18704" s="183"/>
    </row>
    <row r="18705" spans="1:38">
      <c r="A18705" s="182"/>
      <c r="Q18705" s="183"/>
      <c r="R18705" s="183"/>
      <c r="S18705" s="183"/>
      <c r="AK18705" s="183"/>
      <c r="AL18705" s="183"/>
    </row>
    <row r="18706" spans="1:38">
      <c r="A18706" s="182"/>
      <c r="Q18706" s="183"/>
      <c r="R18706" s="183"/>
      <c r="S18706" s="183"/>
      <c r="AJ18706" s="183"/>
      <c r="AK18706" s="183"/>
      <c r="AL18706" s="183"/>
    </row>
    <row r="18707" spans="1:38">
      <c r="A18707" s="182"/>
      <c r="Q18707" s="183"/>
      <c r="R18707" s="183"/>
      <c r="S18707" s="183"/>
      <c r="AJ18707" s="183"/>
      <c r="AK18707" s="183"/>
      <c r="AL18707" s="183"/>
    </row>
    <row r="18708" spans="1:38">
      <c r="A18708" s="182"/>
      <c r="Q18708" s="183"/>
      <c r="R18708" s="183"/>
      <c r="S18708" s="183"/>
      <c r="AJ18708" s="183"/>
      <c r="AK18708" s="183"/>
      <c r="AL18708" s="183"/>
    </row>
    <row r="18709" spans="1:38">
      <c r="A18709" s="182"/>
      <c r="Q18709" s="183"/>
      <c r="R18709" s="183"/>
      <c r="S18709" s="183"/>
      <c r="AJ18709" s="183"/>
    </row>
    <row r="18710" spans="1:38">
      <c r="A18710" s="182"/>
      <c r="Q18710" s="183"/>
      <c r="R18710" s="183"/>
      <c r="S18710" s="183"/>
    </row>
    <row r="18711" spans="1:38">
      <c r="A18711" s="182"/>
      <c r="Q18711" s="183"/>
      <c r="R18711" s="183"/>
      <c r="S18711" s="183"/>
    </row>
    <row r="18712" spans="1:38">
      <c r="A18712" s="182"/>
      <c r="Q18712" s="183"/>
      <c r="R18712" s="183"/>
      <c r="S18712" s="183"/>
    </row>
    <row r="18713" spans="1:38">
      <c r="A18713" s="182"/>
      <c r="Q18713" s="183"/>
      <c r="R18713" s="183"/>
      <c r="S18713" s="183"/>
    </row>
    <row r="18714" spans="1:38">
      <c r="A18714" s="182"/>
      <c r="Q18714" s="183"/>
      <c r="R18714" s="183"/>
      <c r="S18714" s="183"/>
    </row>
    <row r="18715" spans="1:38">
      <c r="A18715" s="182"/>
      <c r="Q18715" s="183"/>
      <c r="R18715" s="183"/>
      <c r="S18715" s="183"/>
    </row>
    <row r="18716" spans="1:38">
      <c r="A18716" s="182"/>
      <c r="Q18716" s="183"/>
      <c r="R18716" s="183"/>
      <c r="S18716" s="183"/>
    </row>
    <row r="18717" spans="1:38">
      <c r="A18717" s="182"/>
      <c r="Q18717" s="183"/>
      <c r="R18717" s="183"/>
      <c r="S18717" s="183"/>
      <c r="AK18717" s="183"/>
      <c r="AL18717" s="183"/>
    </row>
    <row r="18718" spans="1:38">
      <c r="A18718" s="182"/>
      <c r="Q18718" s="183"/>
      <c r="R18718" s="183"/>
      <c r="S18718" s="183"/>
      <c r="AJ18718" s="183"/>
      <c r="AK18718" s="183"/>
      <c r="AL18718" s="183"/>
    </row>
    <row r="18719" spans="1:38">
      <c r="A18719" s="182"/>
      <c r="Q18719" s="183"/>
      <c r="R18719" s="183"/>
      <c r="S18719" s="183"/>
      <c r="AJ18719" s="183"/>
      <c r="AK18719" s="183"/>
      <c r="AL18719" s="183"/>
    </row>
    <row r="18720" spans="1:38">
      <c r="A18720" s="182"/>
      <c r="Q18720" s="183"/>
      <c r="R18720" s="183"/>
      <c r="S18720" s="183"/>
      <c r="AJ18720" s="183"/>
      <c r="AK18720" s="183"/>
      <c r="AL18720" s="183"/>
    </row>
    <row r="18721" spans="1:38">
      <c r="A18721" s="182"/>
      <c r="Q18721" s="183"/>
      <c r="R18721" s="183"/>
      <c r="S18721" s="183"/>
      <c r="AJ18721" s="183"/>
      <c r="AK18721" s="183"/>
      <c r="AL18721" s="183"/>
    </row>
    <row r="18722" spans="1:38">
      <c r="A18722" s="182"/>
      <c r="Q18722" s="183"/>
      <c r="R18722" s="183"/>
      <c r="S18722" s="183"/>
      <c r="AJ18722" s="183"/>
      <c r="AK18722" s="183"/>
      <c r="AL18722" s="183"/>
    </row>
    <row r="18723" spans="1:38">
      <c r="A18723" s="182"/>
      <c r="Q18723" s="183"/>
      <c r="R18723" s="183"/>
      <c r="S18723" s="183"/>
      <c r="AJ18723" s="183"/>
      <c r="AK18723" s="183"/>
      <c r="AL18723" s="183"/>
    </row>
    <row r="18724" spans="1:38">
      <c r="A18724" s="182"/>
      <c r="Q18724" s="183"/>
      <c r="R18724" s="183"/>
      <c r="S18724" s="183"/>
      <c r="AJ18724" s="183"/>
      <c r="AK18724" s="183"/>
      <c r="AL18724" s="183"/>
    </row>
    <row r="18725" spans="1:38">
      <c r="A18725" s="182"/>
      <c r="Q18725" s="183"/>
      <c r="R18725" s="183"/>
      <c r="S18725" s="183"/>
      <c r="AJ18725" s="183"/>
      <c r="AK18725" s="183"/>
      <c r="AL18725" s="183"/>
    </row>
    <row r="18726" spans="1:38">
      <c r="A18726" s="182"/>
      <c r="Q18726" s="183"/>
      <c r="R18726" s="183"/>
      <c r="S18726" s="183"/>
      <c r="AJ18726" s="183"/>
      <c r="AK18726" s="183"/>
      <c r="AL18726" s="183"/>
    </row>
    <row r="18727" spans="1:38">
      <c r="A18727" s="182"/>
      <c r="Q18727" s="183"/>
      <c r="R18727" s="183"/>
      <c r="S18727" s="183"/>
      <c r="AJ18727" s="183"/>
      <c r="AK18727" s="183"/>
      <c r="AL18727" s="183"/>
    </row>
    <row r="18728" spans="1:38">
      <c r="A18728" s="182"/>
      <c r="Q18728" s="183"/>
      <c r="R18728" s="183"/>
      <c r="S18728" s="183"/>
      <c r="AJ18728" s="183"/>
      <c r="AK18728" s="183"/>
      <c r="AL18728" s="183"/>
    </row>
    <row r="18729" spans="1:38">
      <c r="A18729" s="182"/>
      <c r="Q18729" s="183"/>
      <c r="R18729" s="183"/>
      <c r="S18729" s="183"/>
      <c r="AJ18729" s="183"/>
    </row>
    <row r="18730" spans="1:38">
      <c r="A18730" s="182"/>
      <c r="Q18730" s="183"/>
      <c r="R18730" s="183"/>
      <c r="S18730" s="183"/>
    </row>
    <row r="18731" spans="1:38">
      <c r="A18731" s="182"/>
      <c r="Q18731" s="183"/>
      <c r="R18731" s="183"/>
      <c r="S18731" s="183"/>
    </row>
    <row r="18732" spans="1:38">
      <c r="A18732" s="182"/>
      <c r="Q18732" s="183"/>
      <c r="R18732" s="183"/>
      <c r="S18732" s="183"/>
    </row>
    <row r="18733" spans="1:38">
      <c r="A18733" s="182"/>
      <c r="Q18733" s="183"/>
      <c r="R18733" s="183"/>
      <c r="S18733" s="183"/>
      <c r="AK18733" s="183"/>
      <c r="AL18733" s="183"/>
    </row>
    <row r="18734" spans="1:38">
      <c r="A18734" s="182"/>
      <c r="Q18734" s="183"/>
      <c r="R18734" s="183"/>
      <c r="S18734" s="183"/>
      <c r="AJ18734" s="183"/>
      <c r="AK18734" s="183"/>
      <c r="AL18734" s="183"/>
    </row>
    <row r="18735" spans="1:38">
      <c r="A18735" s="182"/>
      <c r="Q18735" s="183"/>
      <c r="R18735" s="183"/>
      <c r="S18735" s="183"/>
      <c r="AJ18735" s="183"/>
      <c r="AK18735" s="183"/>
      <c r="AL18735" s="183"/>
    </row>
    <row r="18736" spans="1:38">
      <c r="A18736" s="182"/>
      <c r="Q18736" s="183"/>
      <c r="R18736" s="183"/>
      <c r="S18736" s="183"/>
      <c r="AJ18736" s="183"/>
      <c r="AK18736" s="183"/>
      <c r="AL18736" s="183"/>
    </row>
    <row r="18737" spans="1:36">
      <c r="A18737" s="182"/>
      <c r="Q18737" s="183"/>
      <c r="R18737" s="183"/>
      <c r="S18737" s="183"/>
      <c r="AJ18737" s="183"/>
    </row>
    <row r="18738" spans="1:36">
      <c r="A18738" s="182"/>
      <c r="Q18738" s="183"/>
      <c r="R18738" s="183"/>
      <c r="S18738" s="183"/>
    </row>
    <row r="18739" spans="1:36">
      <c r="A18739" s="182"/>
      <c r="Q18739" s="183"/>
      <c r="R18739" s="183"/>
      <c r="S18739" s="183"/>
    </row>
    <row r="18740" spans="1:36">
      <c r="A18740" s="182"/>
      <c r="Q18740" s="183"/>
      <c r="R18740" s="183"/>
      <c r="S18740" s="183"/>
    </row>
    <row r="18741" spans="1:36">
      <c r="A18741" s="182"/>
      <c r="Q18741" s="183"/>
      <c r="R18741" s="183"/>
      <c r="S18741" s="183"/>
    </row>
    <row r="18742" spans="1:36">
      <c r="A18742" s="182"/>
      <c r="Q18742" s="183"/>
      <c r="R18742" s="183"/>
      <c r="S18742" s="183"/>
    </row>
    <row r="18743" spans="1:36">
      <c r="A18743" s="182"/>
      <c r="Q18743" s="183"/>
      <c r="R18743" s="183"/>
      <c r="S18743" s="183"/>
    </row>
    <row r="18744" spans="1:36">
      <c r="A18744" s="182"/>
      <c r="Q18744" s="183"/>
      <c r="R18744" s="183"/>
      <c r="S18744" s="183"/>
    </row>
    <row r="18745" spans="1:36">
      <c r="A18745" s="182"/>
      <c r="Q18745" s="183"/>
      <c r="R18745" s="183"/>
      <c r="S18745" s="183"/>
    </row>
    <row r="18746" spans="1:36">
      <c r="A18746" s="182"/>
      <c r="Q18746" s="183"/>
      <c r="R18746" s="183"/>
      <c r="S18746" s="183"/>
    </row>
    <row r="18747" spans="1:36">
      <c r="A18747" s="182"/>
      <c r="Q18747" s="183"/>
      <c r="R18747" s="183"/>
      <c r="S18747" s="183"/>
    </row>
    <row r="18748" spans="1:36">
      <c r="A18748" s="182"/>
      <c r="Q18748" s="183"/>
      <c r="R18748" s="183"/>
      <c r="S18748" s="183"/>
    </row>
    <row r="18749" spans="1:36">
      <c r="A18749" s="182"/>
      <c r="Q18749" s="183"/>
      <c r="R18749" s="183"/>
      <c r="S18749" s="183"/>
    </row>
    <row r="18750" spans="1:36">
      <c r="A18750" s="182"/>
      <c r="Q18750" s="183"/>
      <c r="R18750" s="183"/>
      <c r="S18750" s="183"/>
    </row>
    <row r="18751" spans="1:36">
      <c r="A18751" s="182"/>
      <c r="Q18751" s="183"/>
      <c r="R18751" s="183"/>
      <c r="S18751" s="183"/>
    </row>
    <row r="18752" spans="1:36">
      <c r="A18752" s="182"/>
      <c r="Q18752" s="183"/>
      <c r="R18752" s="183"/>
      <c r="S18752" s="183"/>
    </row>
    <row r="18753" spans="1:38">
      <c r="A18753" s="182"/>
      <c r="Q18753" s="183"/>
      <c r="R18753" s="183"/>
      <c r="S18753" s="183"/>
    </row>
    <row r="18754" spans="1:38">
      <c r="A18754" s="182"/>
      <c r="Q18754" s="183"/>
      <c r="R18754" s="183"/>
      <c r="S18754" s="183"/>
    </row>
    <row r="18755" spans="1:38">
      <c r="A18755" s="182"/>
      <c r="Q18755" s="183"/>
      <c r="R18755" s="183"/>
      <c r="S18755" s="183"/>
    </row>
    <row r="18756" spans="1:38">
      <c r="A18756" s="182"/>
      <c r="Q18756" s="183"/>
      <c r="R18756" s="183"/>
      <c r="S18756" s="183"/>
    </row>
    <row r="18757" spans="1:38">
      <c r="A18757" s="182"/>
      <c r="Q18757" s="183"/>
      <c r="R18757" s="183"/>
      <c r="S18757" s="183"/>
      <c r="AK18757" s="183"/>
      <c r="AL18757" s="183"/>
    </row>
    <row r="18758" spans="1:38">
      <c r="A18758" s="182"/>
      <c r="Q18758" s="183"/>
      <c r="R18758" s="183"/>
      <c r="S18758" s="183"/>
      <c r="AJ18758" s="183"/>
      <c r="AK18758" s="183"/>
      <c r="AL18758" s="183"/>
    </row>
    <row r="18759" spans="1:38">
      <c r="A18759" s="182"/>
      <c r="Q18759" s="183"/>
      <c r="R18759" s="183"/>
      <c r="S18759" s="183"/>
      <c r="AJ18759" s="183"/>
      <c r="AK18759" s="183"/>
      <c r="AL18759" s="183"/>
    </row>
    <row r="18760" spans="1:38">
      <c r="A18760" s="182"/>
      <c r="Q18760" s="183"/>
      <c r="R18760" s="183"/>
      <c r="S18760" s="183"/>
      <c r="AJ18760" s="183"/>
      <c r="AK18760" s="183"/>
      <c r="AL18760" s="183"/>
    </row>
    <row r="18761" spans="1:38">
      <c r="A18761" s="182"/>
      <c r="Q18761" s="183"/>
      <c r="R18761" s="183"/>
      <c r="S18761" s="183"/>
      <c r="AJ18761" s="183"/>
    </row>
    <row r="18762" spans="1:38">
      <c r="A18762" s="182"/>
      <c r="Q18762" s="183"/>
      <c r="R18762" s="183"/>
      <c r="S18762" s="183"/>
    </row>
    <row r="18763" spans="1:38">
      <c r="A18763" s="182"/>
      <c r="Q18763" s="183"/>
      <c r="R18763" s="183"/>
      <c r="S18763" s="183"/>
    </row>
    <row r="18764" spans="1:38">
      <c r="A18764" s="182"/>
      <c r="Q18764" s="183"/>
      <c r="R18764" s="183"/>
      <c r="S18764" s="183"/>
    </row>
    <row r="18765" spans="1:38">
      <c r="A18765" s="182"/>
      <c r="Q18765" s="183"/>
      <c r="R18765" s="183"/>
      <c r="S18765" s="183"/>
    </row>
    <row r="18766" spans="1:38">
      <c r="A18766" s="182"/>
      <c r="Q18766" s="183"/>
      <c r="R18766" s="183"/>
      <c r="S18766" s="183"/>
    </row>
    <row r="18767" spans="1:38">
      <c r="A18767" s="182"/>
      <c r="Q18767" s="183"/>
      <c r="R18767" s="183"/>
      <c r="S18767" s="183"/>
    </row>
    <row r="18768" spans="1:38">
      <c r="A18768" s="182"/>
      <c r="Q18768" s="183"/>
      <c r="R18768" s="183"/>
      <c r="S18768" s="183"/>
    </row>
    <row r="18769" spans="1:38">
      <c r="A18769" s="182"/>
      <c r="Q18769" s="183"/>
      <c r="R18769" s="183"/>
      <c r="S18769" s="183"/>
    </row>
    <row r="18770" spans="1:38">
      <c r="A18770" s="182"/>
      <c r="Q18770" s="183"/>
      <c r="R18770" s="183"/>
      <c r="S18770" s="183"/>
    </row>
    <row r="18771" spans="1:38">
      <c r="A18771" s="182"/>
      <c r="Q18771" s="183"/>
      <c r="R18771" s="183"/>
      <c r="S18771" s="183"/>
    </row>
    <row r="18772" spans="1:38">
      <c r="A18772" s="182"/>
      <c r="Q18772" s="183"/>
      <c r="R18772" s="183"/>
      <c r="S18772" s="183"/>
    </row>
    <row r="18773" spans="1:38">
      <c r="A18773" s="182"/>
      <c r="Q18773" s="183"/>
      <c r="R18773" s="183"/>
      <c r="S18773" s="183"/>
    </row>
    <row r="18774" spans="1:38">
      <c r="A18774" s="182"/>
      <c r="Q18774" s="183"/>
      <c r="R18774" s="183"/>
      <c r="S18774" s="183"/>
    </row>
    <row r="18775" spans="1:38">
      <c r="A18775" s="182"/>
      <c r="Q18775" s="183"/>
      <c r="R18775" s="183"/>
      <c r="S18775" s="183"/>
    </row>
    <row r="18776" spans="1:38">
      <c r="A18776" s="182"/>
      <c r="Q18776" s="183"/>
      <c r="R18776" s="183"/>
      <c r="S18776" s="183"/>
    </row>
    <row r="18777" spans="1:38">
      <c r="A18777" s="182"/>
      <c r="Q18777" s="183"/>
      <c r="R18777" s="183"/>
      <c r="S18777" s="183"/>
    </row>
    <row r="18778" spans="1:38">
      <c r="A18778" s="182"/>
      <c r="Q18778" s="183"/>
      <c r="R18778" s="183"/>
      <c r="S18778" s="183"/>
    </row>
    <row r="18779" spans="1:38">
      <c r="A18779" s="182"/>
      <c r="Q18779" s="183"/>
      <c r="R18779" s="183"/>
      <c r="S18779" s="183"/>
    </row>
    <row r="18780" spans="1:38">
      <c r="A18780" s="182"/>
      <c r="Q18780" s="183"/>
      <c r="R18780" s="183"/>
      <c r="S18780" s="183"/>
    </row>
    <row r="18781" spans="1:38">
      <c r="A18781" s="182"/>
      <c r="Q18781" s="183"/>
      <c r="R18781" s="183"/>
      <c r="S18781" s="183"/>
      <c r="AK18781" s="183"/>
      <c r="AL18781" s="183"/>
    </row>
    <row r="18782" spans="1:38">
      <c r="A18782" s="182"/>
      <c r="Q18782" s="183"/>
      <c r="R18782" s="183"/>
      <c r="S18782" s="183"/>
      <c r="AJ18782" s="183"/>
      <c r="AK18782" s="183"/>
      <c r="AL18782" s="183"/>
    </row>
    <row r="18783" spans="1:38">
      <c r="A18783" s="182"/>
      <c r="Q18783" s="183"/>
      <c r="R18783" s="183"/>
      <c r="S18783" s="183"/>
      <c r="AJ18783" s="183"/>
      <c r="AK18783" s="183"/>
      <c r="AL18783" s="183"/>
    </row>
    <row r="18784" spans="1:38">
      <c r="A18784" s="182"/>
      <c r="Q18784" s="183"/>
      <c r="R18784" s="183"/>
      <c r="S18784" s="183"/>
      <c r="AJ18784" s="183"/>
      <c r="AK18784" s="183"/>
      <c r="AL18784" s="183"/>
    </row>
    <row r="18785" spans="1:38">
      <c r="A18785" s="182"/>
      <c r="Q18785" s="183"/>
      <c r="R18785" s="183"/>
      <c r="S18785" s="183"/>
      <c r="AJ18785" s="183"/>
    </row>
    <row r="18786" spans="1:38">
      <c r="A18786" s="182"/>
      <c r="Q18786" s="183"/>
      <c r="R18786" s="183"/>
      <c r="S18786" s="183"/>
    </row>
    <row r="18787" spans="1:38">
      <c r="A18787" s="182"/>
      <c r="Q18787" s="183"/>
      <c r="R18787" s="183"/>
      <c r="S18787" s="183"/>
    </row>
    <row r="18788" spans="1:38">
      <c r="A18788" s="182"/>
      <c r="Q18788" s="183"/>
      <c r="R18788" s="183"/>
      <c r="S18788" s="183"/>
    </row>
    <row r="18789" spans="1:38">
      <c r="A18789" s="182"/>
      <c r="Q18789" s="183"/>
      <c r="R18789" s="183"/>
      <c r="S18789" s="183"/>
    </row>
    <row r="18790" spans="1:38">
      <c r="A18790" s="182"/>
      <c r="Q18790" s="183"/>
      <c r="R18790" s="183"/>
      <c r="S18790" s="183"/>
    </row>
    <row r="18791" spans="1:38">
      <c r="A18791" s="182"/>
      <c r="Q18791" s="183"/>
      <c r="R18791" s="183"/>
      <c r="S18791" s="183"/>
    </row>
    <row r="18792" spans="1:38">
      <c r="A18792" s="182"/>
      <c r="Q18792" s="183"/>
      <c r="R18792" s="183"/>
      <c r="S18792" s="183"/>
    </row>
    <row r="18793" spans="1:38">
      <c r="A18793" s="182"/>
      <c r="Q18793" s="183"/>
      <c r="R18793" s="183"/>
      <c r="S18793" s="183"/>
      <c r="AK18793" s="183"/>
      <c r="AL18793" s="183"/>
    </row>
    <row r="18794" spans="1:38">
      <c r="A18794" s="182"/>
      <c r="Q18794" s="183"/>
      <c r="R18794" s="183"/>
      <c r="S18794" s="183"/>
      <c r="AJ18794" s="183"/>
      <c r="AK18794" s="183"/>
      <c r="AL18794" s="183"/>
    </row>
    <row r="18795" spans="1:38">
      <c r="A18795" s="182"/>
      <c r="Q18795" s="183"/>
      <c r="R18795" s="183"/>
      <c r="S18795" s="183"/>
      <c r="AJ18795" s="183"/>
      <c r="AK18795" s="183"/>
      <c r="AL18795" s="183"/>
    </row>
    <row r="18796" spans="1:38">
      <c r="A18796" s="182"/>
      <c r="Q18796" s="183"/>
      <c r="R18796" s="183"/>
      <c r="S18796" s="183"/>
      <c r="AJ18796" s="183"/>
      <c r="AK18796" s="183"/>
      <c r="AL18796" s="183"/>
    </row>
    <row r="18797" spans="1:38">
      <c r="A18797" s="182"/>
      <c r="Q18797" s="183"/>
      <c r="R18797" s="183"/>
      <c r="S18797" s="183"/>
      <c r="AJ18797" s="183"/>
      <c r="AK18797" s="183"/>
      <c r="AL18797" s="183"/>
    </row>
    <row r="18798" spans="1:38">
      <c r="A18798" s="182"/>
      <c r="Q18798" s="183"/>
      <c r="R18798" s="183"/>
      <c r="S18798" s="183"/>
      <c r="AJ18798" s="183"/>
      <c r="AK18798" s="183"/>
      <c r="AL18798" s="183"/>
    </row>
    <row r="18799" spans="1:38">
      <c r="A18799" s="182"/>
      <c r="Q18799" s="183"/>
      <c r="R18799" s="183"/>
      <c r="S18799" s="183"/>
      <c r="AJ18799" s="183"/>
      <c r="AK18799" s="183"/>
      <c r="AL18799" s="183"/>
    </row>
    <row r="18800" spans="1:38">
      <c r="A18800" s="182"/>
      <c r="Q18800" s="183"/>
      <c r="R18800" s="183"/>
      <c r="S18800" s="183"/>
      <c r="AJ18800" s="183"/>
      <c r="AK18800" s="183"/>
      <c r="AL18800" s="183"/>
    </row>
    <row r="18801" spans="1:38">
      <c r="A18801" s="182"/>
      <c r="Q18801" s="183"/>
      <c r="R18801" s="183"/>
      <c r="S18801" s="183"/>
      <c r="AJ18801" s="183"/>
      <c r="AK18801" s="183"/>
      <c r="AL18801" s="183"/>
    </row>
    <row r="18802" spans="1:38">
      <c r="A18802" s="182"/>
      <c r="M18802" s="183"/>
      <c r="N18802" s="183"/>
      <c r="Q18802" s="183"/>
      <c r="R18802" s="183"/>
      <c r="S18802" s="183"/>
      <c r="AJ18802" s="183"/>
      <c r="AK18802" s="183"/>
      <c r="AL18802" s="183"/>
    </row>
    <row r="18803" spans="1:38">
      <c r="A18803" s="182"/>
      <c r="L18803" s="183"/>
      <c r="Q18803" s="183"/>
      <c r="R18803" s="183"/>
      <c r="S18803" s="183"/>
      <c r="AJ18803" s="183"/>
      <c r="AK18803" s="183"/>
      <c r="AL18803" s="183"/>
    </row>
    <row r="18804" spans="1:38">
      <c r="A18804" s="182"/>
      <c r="Q18804" s="183"/>
      <c r="R18804" s="183"/>
      <c r="S18804" s="183"/>
      <c r="AJ18804" s="183"/>
      <c r="AK18804" s="183"/>
      <c r="AL18804" s="183"/>
    </row>
    <row r="18805" spans="1:38">
      <c r="A18805" s="182"/>
      <c r="Q18805" s="183"/>
      <c r="R18805" s="183"/>
      <c r="S18805" s="183"/>
      <c r="AJ18805" s="183"/>
    </row>
    <row r="18806" spans="1:38">
      <c r="A18806" s="182"/>
      <c r="Q18806" s="183"/>
      <c r="R18806" s="183"/>
      <c r="S18806" s="183"/>
    </row>
    <row r="18807" spans="1:38">
      <c r="A18807" s="182"/>
      <c r="Q18807" s="183"/>
      <c r="R18807" s="183"/>
      <c r="S18807" s="183"/>
    </row>
    <row r="18808" spans="1:38">
      <c r="A18808" s="182"/>
      <c r="Q18808" s="183"/>
      <c r="R18808" s="183"/>
      <c r="S18808" s="183"/>
    </row>
    <row r="18809" spans="1:38">
      <c r="A18809" s="182"/>
      <c r="Q18809" s="183"/>
      <c r="R18809" s="183"/>
      <c r="S18809" s="183"/>
      <c r="AK18809" s="183"/>
      <c r="AL18809" s="183"/>
    </row>
    <row r="18810" spans="1:38">
      <c r="A18810" s="182"/>
      <c r="Q18810" s="183"/>
      <c r="R18810" s="183"/>
      <c r="S18810" s="183"/>
      <c r="AJ18810" s="183"/>
      <c r="AK18810" s="183"/>
      <c r="AL18810" s="183"/>
    </row>
    <row r="18811" spans="1:38">
      <c r="A18811" s="182"/>
      <c r="Q18811" s="183"/>
      <c r="R18811" s="183"/>
      <c r="S18811" s="183"/>
      <c r="AJ18811" s="183"/>
      <c r="AK18811" s="183"/>
      <c r="AL18811" s="183"/>
    </row>
    <row r="18812" spans="1:38">
      <c r="A18812" s="182"/>
      <c r="Q18812" s="183"/>
      <c r="R18812" s="183"/>
      <c r="S18812" s="183"/>
      <c r="AJ18812" s="183"/>
      <c r="AK18812" s="183"/>
      <c r="AL18812" s="183"/>
    </row>
    <row r="18813" spans="1:38">
      <c r="A18813" s="182"/>
      <c r="Q18813" s="183"/>
      <c r="R18813" s="183"/>
      <c r="S18813" s="183"/>
      <c r="AJ18813" s="183"/>
      <c r="AK18813" s="183"/>
      <c r="AL18813" s="183"/>
    </row>
    <row r="18814" spans="1:38">
      <c r="A18814" s="182"/>
      <c r="Q18814" s="183"/>
      <c r="R18814" s="183"/>
      <c r="S18814" s="183"/>
      <c r="AJ18814" s="183"/>
      <c r="AK18814" s="183"/>
      <c r="AL18814" s="183"/>
    </row>
    <row r="18815" spans="1:38">
      <c r="A18815" s="182"/>
      <c r="Q18815" s="183"/>
      <c r="R18815" s="183"/>
      <c r="S18815" s="183"/>
      <c r="AJ18815" s="183"/>
      <c r="AK18815" s="183"/>
      <c r="AL18815" s="183"/>
    </row>
    <row r="18816" spans="1:38">
      <c r="A18816" s="182"/>
      <c r="Q18816" s="183"/>
      <c r="R18816" s="183"/>
      <c r="S18816" s="183"/>
      <c r="AJ18816" s="183"/>
      <c r="AK18816" s="183"/>
      <c r="AL18816" s="183"/>
    </row>
    <row r="18817" spans="1:38">
      <c r="A18817" s="182"/>
      <c r="Q18817" s="183"/>
      <c r="R18817" s="183"/>
      <c r="S18817" s="183"/>
      <c r="AJ18817" s="183"/>
    </row>
    <row r="18818" spans="1:38">
      <c r="A18818" s="182"/>
      <c r="N18818" s="183"/>
      <c r="O18818" s="183"/>
      <c r="Q18818" s="183"/>
      <c r="R18818" s="183"/>
      <c r="S18818" s="183"/>
    </row>
    <row r="18819" spans="1:38">
      <c r="A18819" s="182"/>
      <c r="M18819" s="183"/>
      <c r="N18819" s="183"/>
      <c r="Q18819" s="183"/>
      <c r="R18819" s="183"/>
      <c r="S18819" s="183"/>
    </row>
    <row r="18820" spans="1:38">
      <c r="A18820" s="182"/>
      <c r="L18820" s="183"/>
      <c r="Q18820" s="183"/>
      <c r="R18820" s="183"/>
      <c r="S18820" s="183"/>
    </row>
    <row r="18821" spans="1:38">
      <c r="A18821" s="182"/>
      <c r="Q18821" s="183"/>
      <c r="R18821" s="183"/>
      <c r="S18821" s="183"/>
    </row>
    <row r="18822" spans="1:38">
      <c r="A18822" s="182"/>
      <c r="Q18822" s="183"/>
      <c r="R18822" s="183"/>
      <c r="S18822" s="183"/>
    </row>
    <row r="18823" spans="1:38">
      <c r="A18823" s="182"/>
      <c r="Q18823" s="183"/>
      <c r="R18823" s="183"/>
      <c r="S18823" s="183"/>
    </row>
    <row r="18824" spans="1:38">
      <c r="A18824" s="182"/>
      <c r="Q18824" s="183"/>
      <c r="R18824" s="183"/>
      <c r="S18824" s="183"/>
    </row>
    <row r="18825" spans="1:38">
      <c r="A18825" s="182"/>
      <c r="Q18825" s="183"/>
      <c r="R18825" s="183"/>
      <c r="S18825" s="183"/>
      <c r="AK18825" s="183"/>
      <c r="AL18825" s="183"/>
    </row>
    <row r="18826" spans="1:38">
      <c r="A18826" s="182"/>
      <c r="Q18826" s="183"/>
      <c r="R18826" s="183"/>
      <c r="S18826" s="183"/>
      <c r="AJ18826" s="183"/>
      <c r="AK18826" s="183"/>
      <c r="AL18826" s="183"/>
    </row>
    <row r="18827" spans="1:38">
      <c r="A18827" s="182"/>
      <c r="Q18827" s="183"/>
      <c r="R18827" s="183"/>
      <c r="S18827" s="183"/>
      <c r="AJ18827" s="183"/>
      <c r="AK18827" s="183"/>
      <c r="AL18827" s="183"/>
    </row>
    <row r="18828" spans="1:38">
      <c r="A18828" s="182"/>
      <c r="Q18828" s="183"/>
      <c r="R18828" s="183"/>
      <c r="S18828" s="183"/>
      <c r="AJ18828" s="183"/>
      <c r="AK18828" s="183"/>
      <c r="AL18828" s="183"/>
    </row>
    <row r="18829" spans="1:38">
      <c r="A18829" s="182"/>
      <c r="Q18829" s="183"/>
      <c r="R18829" s="183"/>
      <c r="S18829" s="183"/>
      <c r="AJ18829" s="183"/>
    </row>
    <row r="18830" spans="1:38">
      <c r="A18830" s="182"/>
      <c r="Q18830" s="183"/>
      <c r="R18830" s="183"/>
      <c r="S18830" s="183"/>
    </row>
    <row r="18831" spans="1:38">
      <c r="A18831" s="182"/>
      <c r="Q18831" s="183"/>
      <c r="R18831" s="183"/>
      <c r="S18831" s="183"/>
    </row>
    <row r="18832" spans="1:38">
      <c r="A18832" s="182"/>
      <c r="Q18832" s="183"/>
      <c r="R18832" s="183"/>
      <c r="S18832" s="183"/>
    </row>
    <row r="18833" spans="1:19">
      <c r="A18833" s="182"/>
      <c r="Q18833" s="183"/>
      <c r="R18833" s="183"/>
      <c r="S18833" s="183"/>
    </row>
    <row r="18834" spans="1:19">
      <c r="A18834" s="182"/>
      <c r="Q18834" s="183"/>
      <c r="R18834" s="183"/>
      <c r="S18834" s="183"/>
    </row>
    <row r="18835" spans="1:19">
      <c r="A18835" s="182"/>
      <c r="Q18835" s="183"/>
      <c r="R18835" s="183"/>
      <c r="S18835" s="183"/>
    </row>
    <row r="18836" spans="1:19">
      <c r="A18836" s="182"/>
      <c r="Q18836" s="183"/>
      <c r="R18836" s="183"/>
      <c r="S18836" s="183"/>
    </row>
    <row r="18837" spans="1:19">
      <c r="A18837" s="182"/>
      <c r="Q18837" s="183"/>
      <c r="R18837" s="183"/>
      <c r="S18837" s="183"/>
    </row>
    <row r="18838" spans="1:19">
      <c r="A18838" s="182"/>
      <c r="Q18838" s="183"/>
      <c r="R18838" s="183"/>
      <c r="S18838" s="183"/>
    </row>
    <row r="18839" spans="1:19">
      <c r="A18839" s="182"/>
      <c r="Q18839" s="183"/>
      <c r="R18839" s="183"/>
      <c r="S18839" s="183"/>
    </row>
    <row r="18840" spans="1:19">
      <c r="A18840" s="182"/>
      <c r="Q18840" s="183"/>
      <c r="R18840" s="183"/>
      <c r="S18840" s="183"/>
    </row>
    <row r="18841" spans="1:19">
      <c r="A18841" s="182"/>
      <c r="Q18841" s="183"/>
      <c r="R18841" s="183"/>
      <c r="S18841" s="183"/>
    </row>
    <row r="18842" spans="1:19">
      <c r="A18842" s="182"/>
      <c r="Q18842" s="183"/>
      <c r="R18842" s="183"/>
      <c r="S18842" s="183"/>
    </row>
    <row r="18843" spans="1:19">
      <c r="A18843" s="182"/>
      <c r="Q18843" s="183"/>
      <c r="R18843" s="183"/>
      <c r="S18843" s="183"/>
    </row>
    <row r="18844" spans="1:19">
      <c r="A18844" s="182"/>
      <c r="Q18844" s="183"/>
      <c r="R18844" s="183"/>
      <c r="S18844" s="183"/>
    </row>
    <row r="18845" spans="1:19">
      <c r="A18845" s="182"/>
      <c r="Q18845" s="183"/>
      <c r="R18845" s="183"/>
      <c r="S18845" s="183"/>
    </row>
    <row r="18846" spans="1:19">
      <c r="A18846" s="182"/>
      <c r="Q18846" s="183"/>
      <c r="R18846" s="183"/>
      <c r="S18846" s="183"/>
    </row>
    <row r="18847" spans="1:19">
      <c r="A18847" s="182"/>
      <c r="Q18847" s="183"/>
      <c r="R18847" s="183"/>
      <c r="S18847" s="183"/>
    </row>
    <row r="18848" spans="1:19">
      <c r="A18848" s="182"/>
      <c r="Q18848" s="183"/>
      <c r="R18848" s="183"/>
      <c r="S18848" s="183"/>
    </row>
    <row r="18849" spans="1:38">
      <c r="A18849" s="182"/>
      <c r="Q18849" s="183"/>
      <c r="R18849" s="183"/>
      <c r="S18849" s="183"/>
    </row>
    <row r="18850" spans="1:38">
      <c r="A18850" s="182"/>
      <c r="Q18850" s="183"/>
      <c r="R18850" s="183"/>
      <c r="S18850" s="183"/>
    </row>
    <row r="18851" spans="1:38">
      <c r="A18851" s="182"/>
      <c r="Q18851" s="183"/>
      <c r="R18851" s="183"/>
      <c r="S18851" s="183"/>
    </row>
    <row r="18852" spans="1:38">
      <c r="A18852" s="182"/>
      <c r="Q18852" s="183"/>
      <c r="R18852" s="183"/>
      <c r="S18852" s="183"/>
    </row>
    <row r="18853" spans="1:38">
      <c r="A18853" s="182"/>
      <c r="Q18853" s="183"/>
      <c r="R18853" s="183"/>
      <c r="S18853" s="183"/>
      <c r="AK18853" s="183"/>
      <c r="AL18853" s="183"/>
    </row>
    <row r="18854" spans="1:38">
      <c r="A18854" s="182"/>
      <c r="Q18854" s="183"/>
      <c r="R18854" s="183"/>
      <c r="S18854" s="183"/>
      <c r="AJ18854" s="183"/>
      <c r="AK18854" s="183"/>
      <c r="AL18854" s="183"/>
    </row>
    <row r="18855" spans="1:38">
      <c r="A18855" s="182"/>
      <c r="Q18855" s="183"/>
      <c r="R18855" s="183"/>
      <c r="S18855" s="183"/>
      <c r="AJ18855" s="183"/>
      <c r="AK18855" s="183"/>
      <c r="AL18855" s="183"/>
    </row>
    <row r="18856" spans="1:38">
      <c r="A18856" s="182"/>
      <c r="Q18856" s="183"/>
      <c r="R18856" s="183"/>
      <c r="S18856" s="183"/>
      <c r="AJ18856" s="183"/>
      <c r="AK18856" s="183"/>
      <c r="AL18856" s="183"/>
    </row>
    <row r="18857" spans="1:38">
      <c r="A18857" s="182"/>
      <c r="Q18857" s="183"/>
      <c r="R18857" s="183"/>
      <c r="S18857" s="183"/>
      <c r="AJ18857" s="183"/>
    </row>
    <row r="18858" spans="1:38">
      <c r="A18858" s="182"/>
      <c r="Q18858" s="183"/>
      <c r="R18858" s="183"/>
      <c r="S18858" s="183"/>
    </row>
    <row r="18859" spans="1:38">
      <c r="A18859" s="182"/>
      <c r="Q18859" s="183"/>
      <c r="R18859" s="183"/>
      <c r="S18859" s="183"/>
    </row>
    <row r="18860" spans="1:38">
      <c r="A18860" s="182"/>
      <c r="Q18860" s="183"/>
      <c r="R18860" s="183"/>
      <c r="S18860" s="183"/>
    </row>
    <row r="18861" spans="1:38">
      <c r="A18861" s="182"/>
      <c r="Q18861" s="183"/>
      <c r="R18861" s="183"/>
      <c r="S18861" s="183"/>
      <c r="AK18861" s="183"/>
      <c r="AL18861" s="183"/>
    </row>
    <row r="18862" spans="1:38">
      <c r="A18862" s="182"/>
      <c r="Q18862" s="183"/>
      <c r="R18862" s="183"/>
      <c r="S18862" s="183"/>
      <c r="AJ18862" s="183"/>
      <c r="AK18862" s="183"/>
      <c r="AL18862" s="183"/>
    </row>
    <row r="18863" spans="1:38">
      <c r="A18863" s="182"/>
      <c r="Q18863" s="183"/>
      <c r="R18863" s="183"/>
      <c r="S18863" s="183"/>
      <c r="AJ18863" s="183"/>
      <c r="AK18863" s="183"/>
      <c r="AL18863" s="183"/>
    </row>
    <row r="18864" spans="1:38">
      <c r="A18864" s="182"/>
      <c r="Q18864" s="183"/>
      <c r="R18864" s="183"/>
      <c r="S18864" s="183"/>
      <c r="AJ18864" s="183"/>
      <c r="AK18864" s="183"/>
      <c r="AL18864" s="183"/>
    </row>
    <row r="18865" spans="1:38">
      <c r="A18865" s="182"/>
      <c r="Q18865" s="183"/>
      <c r="R18865" s="183"/>
      <c r="S18865" s="183"/>
      <c r="AJ18865" s="183"/>
    </row>
    <row r="18866" spans="1:38">
      <c r="A18866" s="182"/>
      <c r="Q18866" s="183"/>
      <c r="R18866" s="183"/>
      <c r="S18866" s="183"/>
    </row>
    <row r="18867" spans="1:38">
      <c r="A18867" s="182"/>
      <c r="Q18867" s="183"/>
      <c r="R18867" s="183"/>
      <c r="S18867" s="183"/>
    </row>
    <row r="18868" spans="1:38">
      <c r="A18868" s="182"/>
      <c r="Q18868" s="183"/>
      <c r="R18868" s="183"/>
      <c r="S18868" s="183"/>
    </row>
    <row r="18869" spans="1:38">
      <c r="A18869" s="182"/>
      <c r="Q18869" s="183"/>
      <c r="R18869" s="183"/>
      <c r="S18869" s="183"/>
      <c r="AK18869" s="183"/>
      <c r="AL18869" s="183"/>
    </row>
    <row r="18870" spans="1:38">
      <c r="A18870" s="182"/>
      <c r="Q18870" s="183"/>
      <c r="R18870" s="183"/>
      <c r="S18870" s="183"/>
      <c r="AJ18870" s="183"/>
      <c r="AK18870" s="183"/>
      <c r="AL18870" s="183"/>
    </row>
    <row r="18871" spans="1:38">
      <c r="A18871" s="182"/>
      <c r="Q18871" s="183"/>
      <c r="R18871" s="183"/>
      <c r="S18871" s="183"/>
      <c r="AJ18871" s="183"/>
      <c r="AK18871" s="183"/>
      <c r="AL18871" s="183"/>
    </row>
    <row r="18872" spans="1:38">
      <c r="A18872" s="182"/>
      <c r="Q18872" s="183"/>
      <c r="R18872" s="183"/>
      <c r="S18872" s="183"/>
      <c r="AJ18872" s="183"/>
      <c r="AK18872" s="183"/>
      <c r="AL18872" s="183"/>
    </row>
    <row r="18873" spans="1:38">
      <c r="A18873" s="182"/>
      <c r="Q18873" s="183"/>
      <c r="R18873" s="183"/>
      <c r="S18873" s="183"/>
      <c r="AJ18873" s="183"/>
    </row>
    <row r="18874" spans="1:38">
      <c r="A18874" s="182"/>
      <c r="Q18874" s="183"/>
      <c r="R18874" s="183"/>
      <c r="S18874" s="183"/>
    </row>
    <row r="18875" spans="1:38">
      <c r="A18875" s="182"/>
      <c r="Q18875" s="183"/>
      <c r="R18875" s="183"/>
      <c r="S18875" s="183"/>
    </row>
    <row r="18876" spans="1:38">
      <c r="A18876" s="182"/>
      <c r="Q18876" s="183"/>
      <c r="R18876" s="183"/>
      <c r="S18876" s="183"/>
    </row>
    <row r="18877" spans="1:38">
      <c r="A18877" s="182"/>
      <c r="Q18877" s="183"/>
      <c r="R18877" s="183"/>
      <c r="S18877" s="183"/>
    </row>
    <row r="18878" spans="1:38">
      <c r="A18878" s="182"/>
      <c r="Q18878" s="183"/>
      <c r="R18878" s="183"/>
      <c r="S18878" s="183"/>
    </row>
    <row r="18879" spans="1:38">
      <c r="A18879" s="182"/>
      <c r="Q18879" s="183"/>
      <c r="R18879" s="183"/>
      <c r="S18879" s="183"/>
    </row>
    <row r="18880" spans="1:38">
      <c r="A18880" s="182"/>
      <c r="Q18880" s="183"/>
      <c r="R18880" s="183"/>
      <c r="S18880" s="183"/>
    </row>
    <row r="18881" spans="1:19">
      <c r="A18881" s="182"/>
      <c r="Q18881" s="183"/>
      <c r="R18881" s="183"/>
      <c r="S18881" s="183"/>
    </row>
    <row r="18882" spans="1:19">
      <c r="A18882" s="182"/>
      <c r="Q18882" s="183"/>
      <c r="R18882" s="183"/>
      <c r="S18882" s="183"/>
    </row>
    <row r="18883" spans="1:19">
      <c r="A18883" s="182"/>
      <c r="Q18883" s="183"/>
      <c r="R18883" s="183"/>
      <c r="S18883" s="183"/>
    </row>
    <row r="18884" spans="1:19">
      <c r="A18884" s="182"/>
      <c r="Q18884" s="183"/>
      <c r="R18884" s="183"/>
      <c r="S18884" s="183"/>
    </row>
    <row r="18885" spans="1:19">
      <c r="A18885" s="182"/>
      <c r="Q18885" s="183"/>
      <c r="R18885" s="183"/>
      <c r="S18885" s="183"/>
    </row>
    <row r="18886" spans="1:19">
      <c r="A18886" s="182"/>
      <c r="Q18886" s="183"/>
      <c r="R18886" s="183"/>
      <c r="S18886" s="183"/>
    </row>
    <row r="18887" spans="1:19">
      <c r="A18887" s="182"/>
      <c r="Q18887" s="183"/>
      <c r="R18887" s="183"/>
      <c r="S18887" s="183"/>
    </row>
    <row r="18888" spans="1:19">
      <c r="A18888" s="182"/>
      <c r="Q18888" s="183"/>
      <c r="R18888" s="183"/>
      <c r="S18888" s="183"/>
    </row>
    <row r="18889" spans="1:19">
      <c r="A18889" s="182"/>
      <c r="Q18889" s="183"/>
      <c r="R18889" s="183"/>
      <c r="S18889" s="183"/>
    </row>
    <row r="18890" spans="1:19">
      <c r="A18890" s="182"/>
      <c r="Q18890" s="183"/>
      <c r="R18890" s="183"/>
      <c r="S18890" s="183"/>
    </row>
    <row r="18891" spans="1:19">
      <c r="A18891" s="182"/>
      <c r="Q18891" s="183"/>
      <c r="R18891" s="183"/>
      <c r="S18891" s="183"/>
    </row>
    <row r="18892" spans="1:19">
      <c r="A18892" s="182"/>
      <c r="Q18892" s="183"/>
      <c r="R18892" s="183"/>
      <c r="S18892" s="183"/>
    </row>
    <row r="18893" spans="1:19">
      <c r="A18893" s="182"/>
      <c r="Q18893" s="183"/>
      <c r="R18893" s="183"/>
      <c r="S18893" s="183"/>
    </row>
    <row r="18894" spans="1:19">
      <c r="A18894" s="182"/>
      <c r="Q18894" s="183"/>
      <c r="R18894" s="183"/>
      <c r="S18894" s="183"/>
    </row>
    <row r="18895" spans="1:19">
      <c r="A18895" s="182"/>
      <c r="Q18895" s="183"/>
      <c r="R18895" s="183"/>
      <c r="S18895" s="183"/>
    </row>
    <row r="18896" spans="1:19">
      <c r="A18896" s="182"/>
      <c r="Q18896" s="183"/>
      <c r="R18896" s="183"/>
      <c r="S18896" s="183"/>
    </row>
    <row r="18897" spans="1:38">
      <c r="A18897" s="182"/>
      <c r="Q18897" s="183"/>
      <c r="R18897" s="183"/>
      <c r="S18897" s="183"/>
      <c r="AK18897" s="183"/>
      <c r="AL18897" s="183"/>
    </row>
    <row r="18898" spans="1:38">
      <c r="A18898" s="182"/>
      <c r="Q18898" s="183"/>
      <c r="R18898" s="183"/>
      <c r="S18898" s="183"/>
      <c r="AJ18898" s="183"/>
      <c r="AK18898" s="183"/>
      <c r="AL18898" s="183"/>
    </row>
    <row r="18899" spans="1:38">
      <c r="A18899" s="182"/>
      <c r="Q18899" s="183"/>
      <c r="R18899" s="183"/>
      <c r="S18899" s="183"/>
      <c r="AJ18899" s="183"/>
      <c r="AK18899" s="183"/>
      <c r="AL18899" s="183"/>
    </row>
    <row r="18900" spans="1:38">
      <c r="A18900" s="182"/>
      <c r="Q18900" s="183"/>
      <c r="R18900" s="183"/>
      <c r="S18900" s="183"/>
      <c r="AJ18900" s="183"/>
      <c r="AK18900" s="183"/>
      <c r="AL18900" s="183"/>
    </row>
    <row r="18901" spans="1:38">
      <c r="A18901" s="182"/>
      <c r="Q18901" s="183"/>
      <c r="R18901" s="183"/>
      <c r="S18901" s="183"/>
      <c r="AJ18901" s="183"/>
    </row>
    <row r="18902" spans="1:38">
      <c r="A18902" s="182"/>
      <c r="Q18902" s="183"/>
      <c r="R18902" s="183"/>
      <c r="S18902" s="183"/>
    </row>
    <row r="18903" spans="1:38">
      <c r="A18903" s="182"/>
      <c r="Q18903" s="183"/>
      <c r="R18903" s="183"/>
      <c r="S18903" s="183"/>
    </row>
    <row r="18904" spans="1:38">
      <c r="A18904" s="182"/>
      <c r="Q18904" s="183"/>
      <c r="R18904" s="183"/>
      <c r="S18904" s="183"/>
    </row>
    <row r="18905" spans="1:38">
      <c r="A18905" s="182"/>
      <c r="Q18905" s="183"/>
      <c r="R18905" s="183"/>
      <c r="S18905" s="183"/>
    </row>
    <row r="18906" spans="1:38">
      <c r="A18906" s="182"/>
      <c r="Q18906" s="183"/>
      <c r="R18906" s="183"/>
      <c r="S18906" s="183"/>
    </row>
    <row r="18907" spans="1:38">
      <c r="A18907" s="182"/>
      <c r="Q18907" s="183"/>
      <c r="R18907" s="183"/>
      <c r="S18907" s="183"/>
    </row>
    <row r="18908" spans="1:38">
      <c r="A18908" s="182"/>
      <c r="Q18908" s="183"/>
      <c r="R18908" s="183"/>
      <c r="S18908" s="183"/>
    </row>
    <row r="18909" spans="1:38">
      <c r="A18909" s="182"/>
      <c r="Q18909" s="183"/>
      <c r="R18909" s="183"/>
      <c r="S18909" s="183"/>
      <c r="AK18909" s="183"/>
      <c r="AL18909" s="183"/>
    </row>
    <row r="18910" spans="1:38">
      <c r="A18910" s="182"/>
      <c r="Q18910" s="183"/>
      <c r="R18910" s="183"/>
      <c r="S18910" s="183"/>
      <c r="AJ18910" s="183"/>
      <c r="AK18910" s="183"/>
      <c r="AL18910" s="183"/>
    </row>
    <row r="18911" spans="1:38">
      <c r="A18911" s="182"/>
      <c r="Q18911" s="183"/>
      <c r="R18911" s="183"/>
      <c r="S18911" s="183"/>
      <c r="AJ18911" s="183"/>
      <c r="AK18911" s="183"/>
      <c r="AL18911" s="183"/>
    </row>
    <row r="18912" spans="1:38">
      <c r="A18912" s="182"/>
      <c r="Q18912" s="183"/>
      <c r="R18912" s="183"/>
      <c r="S18912" s="183"/>
      <c r="AJ18912" s="183"/>
      <c r="AK18912" s="183"/>
      <c r="AL18912" s="183"/>
    </row>
    <row r="18913" spans="1:38">
      <c r="A18913" s="182"/>
      <c r="Q18913" s="183"/>
      <c r="R18913" s="183"/>
      <c r="S18913" s="183"/>
      <c r="AJ18913" s="183"/>
    </row>
    <row r="18914" spans="1:38">
      <c r="A18914" s="182"/>
      <c r="Q18914" s="183"/>
      <c r="R18914" s="183"/>
      <c r="S18914" s="183"/>
    </row>
    <row r="18915" spans="1:38">
      <c r="A18915" s="182"/>
      <c r="Q18915" s="183"/>
      <c r="R18915" s="183"/>
      <c r="S18915" s="183"/>
    </row>
    <row r="18916" spans="1:38">
      <c r="A18916" s="182"/>
      <c r="Q18916" s="183"/>
      <c r="R18916" s="183"/>
      <c r="S18916" s="183"/>
    </row>
    <row r="18917" spans="1:38">
      <c r="A18917" s="182"/>
      <c r="Q18917" s="183"/>
      <c r="R18917" s="183"/>
      <c r="S18917" s="183"/>
      <c r="AK18917" s="183"/>
      <c r="AL18917" s="183"/>
    </row>
    <row r="18918" spans="1:38">
      <c r="A18918" s="182"/>
      <c r="Q18918" s="183"/>
      <c r="R18918" s="183"/>
      <c r="S18918" s="183"/>
      <c r="AJ18918" s="183"/>
      <c r="AK18918" s="183"/>
      <c r="AL18918" s="183"/>
    </row>
    <row r="18919" spans="1:38">
      <c r="A18919" s="182"/>
      <c r="Q18919" s="183"/>
      <c r="R18919" s="183"/>
      <c r="S18919" s="183"/>
      <c r="AJ18919" s="183"/>
      <c r="AK18919" s="183"/>
      <c r="AL18919" s="183"/>
    </row>
    <row r="18920" spans="1:38">
      <c r="A18920" s="182"/>
      <c r="Q18920" s="183"/>
      <c r="R18920" s="183"/>
      <c r="S18920" s="183"/>
      <c r="AJ18920" s="183"/>
      <c r="AK18920" s="183"/>
      <c r="AL18920" s="183"/>
    </row>
    <row r="18921" spans="1:38">
      <c r="A18921" s="182"/>
      <c r="Q18921" s="183"/>
      <c r="R18921" s="183"/>
      <c r="S18921" s="183"/>
      <c r="AJ18921" s="183"/>
    </row>
    <row r="18922" spans="1:38">
      <c r="A18922" s="182"/>
      <c r="Q18922" s="183"/>
      <c r="R18922" s="183"/>
      <c r="S18922" s="183"/>
    </row>
    <row r="18923" spans="1:38">
      <c r="A18923" s="182"/>
      <c r="Q18923" s="183"/>
      <c r="R18923" s="183"/>
      <c r="S18923" s="183"/>
    </row>
    <row r="18924" spans="1:38">
      <c r="A18924" s="182"/>
      <c r="N18924" s="183"/>
      <c r="O18924" s="183"/>
      <c r="Q18924" s="183"/>
      <c r="R18924" s="183"/>
      <c r="S18924" s="183"/>
    </row>
    <row r="18925" spans="1:38">
      <c r="A18925" s="182"/>
      <c r="M18925" s="183"/>
      <c r="Q18925" s="183"/>
      <c r="R18925" s="183"/>
      <c r="S18925" s="183"/>
    </row>
    <row r="18926" spans="1:38">
      <c r="A18926" s="182"/>
      <c r="Q18926" s="183"/>
      <c r="R18926" s="183"/>
      <c r="S18926" s="183"/>
    </row>
    <row r="18927" spans="1:38">
      <c r="A18927" s="182"/>
      <c r="Q18927" s="183"/>
      <c r="R18927" s="183"/>
      <c r="S18927" s="183"/>
    </row>
    <row r="18928" spans="1:38">
      <c r="A18928" s="182"/>
      <c r="Q18928" s="183"/>
      <c r="R18928" s="183"/>
      <c r="S18928" s="183"/>
    </row>
    <row r="18929" spans="1:19">
      <c r="A18929" s="182"/>
      <c r="Q18929" s="183"/>
      <c r="R18929" s="183"/>
      <c r="S18929" s="183"/>
    </row>
    <row r="18930" spans="1:19">
      <c r="A18930" s="182"/>
      <c r="Q18930" s="183"/>
      <c r="R18930" s="183"/>
      <c r="S18930" s="183"/>
    </row>
    <row r="18931" spans="1:19">
      <c r="A18931" s="182"/>
      <c r="Q18931" s="183"/>
      <c r="R18931" s="183"/>
      <c r="S18931" s="183"/>
    </row>
    <row r="18932" spans="1:19">
      <c r="A18932" s="182"/>
      <c r="Q18932" s="183"/>
      <c r="R18932" s="183"/>
      <c r="S18932" s="183"/>
    </row>
    <row r="18933" spans="1:19">
      <c r="A18933" s="182"/>
      <c r="Q18933" s="183"/>
      <c r="R18933" s="183"/>
      <c r="S18933" s="183"/>
    </row>
    <row r="18934" spans="1:19">
      <c r="A18934" s="182"/>
      <c r="Q18934" s="183"/>
      <c r="R18934" s="183"/>
      <c r="S18934" s="183"/>
    </row>
    <row r="18935" spans="1:19">
      <c r="A18935" s="182"/>
      <c r="Q18935" s="183"/>
      <c r="R18935" s="183"/>
      <c r="S18935" s="183"/>
    </row>
    <row r="18936" spans="1:19">
      <c r="A18936" s="182"/>
      <c r="Q18936" s="183"/>
      <c r="R18936" s="183"/>
      <c r="S18936" s="183"/>
    </row>
    <row r="18937" spans="1:19">
      <c r="A18937" s="182"/>
      <c r="Q18937" s="183"/>
      <c r="R18937" s="183"/>
      <c r="S18937" s="183"/>
    </row>
    <row r="18938" spans="1:19">
      <c r="A18938" s="182"/>
      <c r="Q18938" s="183"/>
      <c r="R18938" s="183"/>
      <c r="S18938" s="183"/>
    </row>
    <row r="18939" spans="1:19">
      <c r="A18939" s="182"/>
      <c r="Q18939" s="183"/>
      <c r="R18939" s="183"/>
      <c r="S18939" s="183"/>
    </row>
    <row r="18940" spans="1:19">
      <c r="A18940" s="182"/>
      <c r="Q18940" s="183"/>
      <c r="R18940" s="183"/>
      <c r="S18940" s="183"/>
    </row>
    <row r="18941" spans="1:19">
      <c r="A18941" s="182"/>
      <c r="Q18941" s="183"/>
      <c r="R18941" s="183"/>
      <c r="S18941" s="183"/>
    </row>
    <row r="18942" spans="1:19">
      <c r="A18942" s="182"/>
      <c r="Q18942" s="183"/>
      <c r="R18942" s="183"/>
      <c r="S18942" s="183"/>
    </row>
    <row r="18943" spans="1:19">
      <c r="A18943" s="182"/>
      <c r="Q18943" s="183"/>
      <c r="R18943" s="183"/>
      <c r="S18943" s="183"/>
    </row>
    <row r="18944" spans="1:19">
      <c r="A18944" s="182"/>
      <c r="Q18944" s="183"/>
      <c r="R18944" s="183"/>
      <c r="S18944" s="183"/>
    </row>
    <row r="18945" spans="1:38">
      <c r="A18945" s="182"/>
      <c r="Q18945" s="183"/>
      <c r="R18945" s="183"/>
      <c r="S18945" s="183"/>
    </row>
    <row r="18946" spans="1:38">
      <c r="A18946" s="182"/>
      <c r="Q18946" s="183"/>
      <c r="R18946" s="183"/>
      <c r="S18946" s="183"/>
    </row>
    <row r="18947" spans="1:38">
      <c r="A18947" s="182"/>
      <c r="Q18947" s="183"/>
      <c r="R18947" s="183"/>
      <c r="S18947" s="183"/>
    </row>
    <row r="18948" spans="1:38">
      <c r="A18948" s="182"/>
      <c r="Q18948" s="183"/>
      <c r="R18948" s="183"/>
      <c r="S18948" s="183"/>
    </row>
    <row r="18949" spans="1:38">
      <c r="A18949" s="182"/>
      <c r="Q18949" s="183"/>
      <c r="R18949" s="183"/>
      <c r="S18949" s="183"/>
    </row>
    <row r="18950" spans="1:38">
      <c r="A18950" s="182"/>
      <c r="Q18950" s="183"/>
      <c r="R18950" s="183"/>
      <c r="S18950" s="183"/>
    </row>
    <row r="18951" spans="1:38">
      <c r="A18951" s="182"/>
      <c r="Q18951" s="183"/>
      <c r="R18951" s="183"/>
      <c r="S18951" s="183"/>
    </row>
    <row r="18952" spans="1:38">
      <c r="A18952" s="182"/>
      <c r="Q18952" s="183"/>
      <c r="R18952" s="183"/>
      <c r="S18952" s="183"/>
    </row>
    <row r="18953" spans="1:38">
      <c r="A18953" s="182"/>
      <c r="Q18953" s="183"/>
      <c r="R18953" s="183"/>
      <c r="S18953" s="183"/>
      <c r="AK18953" s="183"/>
      <c r="AL18953" s="183"/>
    </row>
    <row r="18954" spans="1:38">
      <c r="A18954" s="182"/>
      <c r="Q18954" s="183"/>
      <c r="R18954" s="183"/>
      <c r="S18954" s="183"/>
      <c r="AJ18954" s="183"/>
      <c r="AK18954" s="183"/>
      <c r="AL18954" s="183"/>
    </row>
    <row r="18955" spans="1:38">
      <c r="A18955" s="182"/>
      <c r="Q18955" s="183"/>
      <c r="R18955" s="183"/>
      <c r="S18955" s="183"/>
      <c r="AJ18955" s="183"/>
      <c r="AK18955" s="183"/>
      <c r="AL18955" s="183"/>
    </row>
    <row r="18956" spans="1:38">
      <c r="A18956" s="182"/>
      <c r="Q18956" s="183"/>
      <c r="R18956" s="183"/>
      <c r="S18956" s="183"/>
      <c r="AJ18956" s="183"/>
      <c r="AK18956" s="183"/>
      <c r="AL18956" s="183"/>
    </row>
    <row r="18957" spans="1:38">
      <c r="A18957" s="182"/>
      <c r="Q18957" s="183"/>
      <c r="R18957" s="183"/>
      <c r="S18957" s="183"/>
      <c r="AJ18957" s="183"/>
      <c r="AK18957" s="183"/>
      <c r="AL18957" s="183"/>
    </row>
    <row r="18958" spans="1:38">
      <c r="A18958" s="182"/>
      <c r="Q18958" s="183"/>
      <c r="R18958" s="183"/>
      <c r="S18958" s="183"/>
      <c r="AJ18958" s="183"/>
      <c r="AK18958" s="183"/>
      <c r="AL18958" s="183"/>
    </row>
    <row r="18959" spans="1:38">
      <c r="A18959" s="182"/>
      <c r="Q18959" s="183"/>
      <c r="R18959" s="183"/>
      <c r="S18959" s="183"/>
      <c r="AJ18959" s="183"/>
      <c r="AK18959" s="183"/>
      <c r="AL18959" s="183"/>
    </row>
    <row r="18960" spans="1:38">
      <c r="A18960" s="182"/>
      <c r="Q18960" s="183"/>
      <c r="R18960" s="183"/>
      <c r="S18960" s="183"/>
      <c r="AJ18960" s="183"/>
      <c r="AK18960" s="183"/>
      <c r="AL18960" s="183"/>
    </row>
    <row r="18961" spans="1:36">
      <c r="A18961" s="182"/>
      <c r="Q18961" s="183"/>
      <c r="R18961" s="183"/>
      <c r="S18961" s="183"/>
      <c r="AJ18961" s="183"/>
    </row>
    <row r="18962" spans="1:36">
      <c r="A18962" s="182"/>
      <c r="Q18962" s="183"/>
      <c r="R18962" s="183"/>
      <c r="S18962" s="183"/>
    </row>
    <row r="18963" spans="1:36">
      <c r="A18963" s="182"/>
      <c r="Q18963" s="183"/>
      <c r="R18963" s="183"/>
      <c r="S18963" s="183"/>
    </row>
    <row r="18964" spans="1:36">
      <c r="A18964" s="182"/>
      <c r="Q18964" s="183"/>
      <c r="R18964" s="183"/>
      <c r="S18964" s="183"/>
    </row>
    <row r="18965" spans="1:36">
      <c r="A18965" s="182"/>
      <c r="Q18965" s="183"/>
      <c r="R18965" s="183"/>
      <c r="S18965" s="183"/>
    </row>
    <row r="18966" spans="1:36">
      <c r="A18966" s="182"/>
      <c r="Q18966" s="183"/>
      <c r="R18966" s="183"/>
      <c r="S18966" s="183"/>
    </row>
    <row r="18967" spans="1:36">
      <c r="A18967" s="182"/>
      <c r="Q18967" s="183"/>
      <c r="R18967" s="183"/>
      <c r="S18967" s="183"/>
    </row>
    <row r="18968" spans="1:36">
      <c r="A18968" s="182"/>
      <c r="Q18968" s="183"/>
      <c r="R18968" s="183"/>
      <c r="S18968" s="183"/>
    </row>
    <row r="18969" spans="1:36">
      <c r="A18969" s="182"/>
      <c r="Q18969" s="183"/>
      <c r="R18969" s="183"/>
      <c r="S18969" s="183"/>
    </row>
    <row r="18970" spans="1:36">
      <c r="A18970" s="182"/>
      <c r="Q18970" s="183"/>
      <c r="R18970" s="183"/>
      <c r="S18970" s="183"/>
    </row>
    <row r="18971" spans="1:36">
      <c r="A18971" s="182"/>
      <c r="Q18971" s="183"/>
      <c r="R18971" s="183"/>
      <c r="S18971" s="183"/>
    </row>
    <row r="18972" spans="1:36">
      <c r="A18972" s="182"/>
      <c r="Q18972" s="183"/>
      <c r="R18972" s="183"/>
      <c r="S18972" s="183"/>
    </row>
    <row r="18973" spans="1:36">
      <c r="A18973" s="182"/>
      <c r="Q18973" s="183"/>
      <c r="R18973" s="183"/>
      <c r="S18973" s="183"/>
    </row>
    <row r="18974" spans="1:36">
      <c r="A18974" s="182"/>
      <c r="Q18974" s="183"/>
      <c r="R18974" s="183"/>
      <c r="S18974" s="183"/>
    </row>
    <row r="18975" spans="1:36">
      <c r="A18975" s="182"/>
      <c r="Q18975" s="183"/>
      <c r="R18975" s="183"/>
      <c r="S18975" s="183"/>
    </row>
    <row r="18976" spans="1:36">
      <c r="A18976" s="182"/>
      <c r="Q18976" s="183"/>
      <c r="R18976" s="183"/>
      <c r="S18976" s="183"/>
    </row>
    <row r="18977" spans="1:19">
      <c r="A18977" s="182"/>
      <c r="Q18977" s="183"/>
      <c r="R18977" s="183"/>
      <c r="S18977" s="183"/>
    </row>
    <row r="18978" spans="1:19">
      <c r="A18978" s="182"/>
      <c r="Q18978" s="183"/>
      <c r="R18978" s="183"/>
      <c r="S18978" s="183"/>
    </row>
    <row r="18979" spans="1:19">
      <c r="A18979" s="182"/>
      <c r="Q18979" s="183"/>
      <c r="R18979" s="183"/>
      <c r="S18979" s="183"/>
    </row>
    <row r="18980" spans="1:19">
      <c r="A18980" s="182"/>
      <c r="Q18980" s="183"/>
      <c r="R18980" s="183"/>
      <c r="S18980" s="183"/>
    </row>
    <row r="18981" spans="1:19">
      <c r="A18981" s="182"/>
      <c r="Q18981" s="183"/>
      <c r="R18981" s="183"/>
      <c r="S18981" s="183"/>
    </row>
    <row r="18982" spans="1:19">
      <c r="A18982" s="182"/>
      <c r="Q18982" s="183"/>
      <c r="R18982" s="183"/>
      <c r="S18982" s="183"/>
    </row>
    <row r="18983" spans="1:19">
      <c r="A18983" s="182"/>
      <c r="Q18983" s="183"/>
      <c r="R18983" s="183"/>
      <c r="S18983" s="183"/>
    </row>
    <row r="18984" spans="1:19">
      <c r="A18984" s="182"/>
      <c r="Q18984" s="183"/>
      <c r="R18984" s="183"/>
      <c r="S18984" s="183"/>
    </row>
    <row r="18985" spans="1:19">
      <c r="A18985" s="182"/>
      <c r="Q18985" s="183"/>
      <c r="R18985" s="183"/>
      <c r="S18985" s="183"/>
    </row>
    <row r="18986" spans="1:19">
      <c r="A18986" s="182"/>
      <c r="Q18986" s="183"/>
      <c r="R18986" s="183"/>
      <c r="S18986" s="183"/>
    </row>
    <row r="18987" spans="1:19">
      <c r="A18987" s="182"/>
      <c r="Q18987" s="183"/>
      <c r="R18987" s="183"/>
      <c r="S18987" s="183"/>
    </row>
    <row r="18988" spans="1:19">
      <c r="A18988" s="182"/>
      <c r="Q18988" s="183"/>
      <c r="R18988" s="183"/>
      <c r="S18988" s="183"/>
    </row>
    <row r="18989" spans="1:19">
      <c r="A18989" s="182"/>
      <c r="Q18989" s="183"/>
      <c r="R18989" s="183"/>
      <c r="S18989" s="183"/>
    </row>
    <row r="18990" spans="1:19">
      <c r="A18990" s="182"/>
      <c r="Q18990" s="183"/>
      <c r="R18990" s="183"/>
      <c r="S18990" s="183"/>
    </row>
    <row r="18991" spans="1:19">
      <c r="A18991" s="182"/>
      <c r="Q18991" s="183"/>
      <c r="R18991" s="183"/>
      <c r="S18991" s="183"/>
    </row>
    <row r="18992" spans="1:19">
      <c r="A18992" s="182"/>
      <c r="Q18992" s="183"/>
      <c r="R18992" s="183"/>
      <c r="S18992" s="183"/>
    </row>
    <row r="18993" spans="1:38">
      <c r="A18993" s="182"/>
      <c r="Q18993" s="183"/>
      <c r="R18993" s="183"/>
      <c r="S18993" s="183"/>
      <c r="AK18993" s="183"/>
      <c r="AL18993" s="183"/>
    </row>
    <row r="18994" spans="1:38">
      <c r="A18994" s="182"/>
      <c r="Q18994" s="183"/>
      <c r="R18994" s="183"/>
      <c r="S18994" s="183"/>
      <c r="AJ18994" s="183"/>
      <c r="AK18994" s="183"/>
      <c r="AL18994" s="183"/>
    </row>
    <row r="18995" spans="1:38">
      <c r="A18995" s="182"/>
      <c r="Q18995" s="183"/>
      <c r="R18995" s="183"/>
      <c r="S18995" s="183"/>
      <c r="AJ18995" s="183"/>
      <c r="AK18995" s="183"/>
      <c r="AL18995" s="183"/>
    </row>
    <row r="18996" spans="1:38">
      <c r="A18996" s="182"/>
      <c r="Q18996" s="183"/>
      <c r="R18996" s="183"/>
      <c r="S18996" s="183"/>
      <c r="AJ18996" s="183"/>
      <c r="AK18996" s="183"/>
      <c r="AL18996" s="183"/>
    </row>
    <row r="18997" spans="1:38">
      <c r="A18997" s="182"/>
      <c r="Q18997" s="183"/>
      <c r="R18997" s="183"/>
      <c r="S18997" s="183"/>
      <c r="AJ18997" s="183"/>
    </row>
    <row r="18998" spans="1:38">
      <c r="A18998" s="182"/>
      <c r="Q18998" s="183"/>
      <c r="R18998" s="183"/>
      <c r="S18998" s="183"/>
    </row>
    <row r="18999" spans="1:38">
      <c r="A18999" s="182"/>
      <c r="Q18999" s="183"/>
      <c r="R18999" s="183"/>
      <c r="S18999" s="183"/>
    </row>
    <row r="19000" spans="1:38">
      <c r="A19000" s="182"/>
      <c r="Q19000" s="183"/>
      <c r="R19000" s="183"/>
      <c r="S19000" s="183"/>
    </row>
    <row r="19001" spans="1:38">
      <c r="A19001" s="182"/>
      <c r="Q19001" s="183"/>
      <c r="R19001" s="183"/>
      <c r="S19001" s="183"/>
    </row>
    <row r="19002" spans="1:38">
      <c r="A19002" s="182"/>
      <c r="Q19002" s="183"/>
      <c r="R19002" s="183"/>
      <c r="S19002" s="183"/>
    </row>
    <row r="19003" spans="1:38">
      <c r="A19003" s="182"/>
      <c r="Q19003" s="183"/>
      <c r="R19003" s="183"/>
      <c r="S19003" s="183"/>
    </row>
    <row r="19004" spans="1:38">
      <c r="A19004" s="182"/>
      <c r="Q19004" s="183"/>
      <c r="R19004" s="183"/>
      <c r="S19004" s="183"/>
    </row>
    <row r="19005" spans="1:38">
      <c r="A19005" s="182"/>
      <c r="Q19005" s="183"/>
      <c r="R19005" s="183"/>
      <c r="S19005" s="183"/>
    </row>
    <row r="19006" spans="1:38">
      <c r="A19006" s="182"/>
      <c r="Q19006" s="183"/>
      <c r="R19006" s="183"/>
      <c r="S19006" s="183"/>
    </row>
    <row r="19007" spans="1:38">
      <c r="A19007" s="182"/>
      <c r="Q19007" s="183"/>
      <c r="R19007" s="183"/>
      <c r="S19007" s="183"/>
    </row>
    <row r="19008" spans="1:38">
      <c r="A19008" s="182"/>
      <c r="Q19008" s="183"/>
      <c r="R19008" s="183"/>
      <c r="S19008" s="183"/>
    </row>
    <row r="19009" spans="1:38">
      <c r="A19009" s="182"/>
      <c r="Q19009" s="183"/>
      <c r="R19009" s="183"/>
      <c r="S19009" s="183"/>
      <c r="AK19009" s="183"/>
      <c r="AL19009" s="183"/>
    </row>
    <row r="19010" spans="1:38">
      <c r="A19010" s="182"/>
      <c r="Q19010" s="183"/>
      <c r="R19010" s="183"/>
      <c r="S19010" s="183"/>
      <c r="AJ19010" s="183"/>
      <c r="AK19010" s="183"/>
      <c r="AL19010" s="183"/>
    </row>
    <row r="19011" spans="1:38">
      <c r="A19011" s="182"/>
      <c r="Q19011" s="183"/>
      <c r="R19011" s="183"/>
      <c r="S19011" s="183"/>
      <c r="AJ19011" s="183"/>
      <c r="AK19011" s="183"/>
      <c r="AL19011" s="183"/>
    </row>
    <row r="19012" spans="1:38">
      <c r="A19012" s="182"/>
      <c r="Q19012" s="183"/>
      <c r="R19012" s="183"/>
      <c r="S19012" s="183"/>
      <c r="AJ19012" s="183"/>
      <c r="AK19012" s="183"/>
      <c r="AL19012" s="183"/>
    </row>
    <row r="19013" spans="1:38">
      <c r="A19013" s="182"/>
      <c r="Q19013" s="183"/>
      <c r="R19013" s="183"/>
      <c r="S19013" s="183"/>
      <c r="AJ19013" s="183"/>
    </row>
    <row r="19014" spans="1:38">
      <c r="A19014" s="182"/>
      <c r="Q19014" s="183"/>
      <c r="R19014" s="183"/>
      <c r="S19014" s="183"/>
    </row>
    <row r="19015" spans="1:38">
      <c r="A19015" s="182"/>
      <c r="Q19015" s="183"/>
      <c r="R19015" s="183"/>
      <c r="S19015" s="183"/>
    </row>
    <row r="19016" spans="1:38">
      <c r="A19016" s="182"/>
      <c r="Q19016" s="183"/>
      <c r="R19016" s="183"/>
      <c r="S19016" s="183"/>
    </row>
    <row r="19017" spans="1:38">
      <c r="A19017" s="182"/>
      <c r="Q19017" s="183"/>
      <c r="R19017" s="183"/>
      <c r="S19017" s="183"/>
    </row>
    <row r="19018" spans="1:38">
      <c r="A19018" s="182"/>
      <c r="Q19018" s="183"/>
      <c r="R19018" s="183"/>
      <c r="S19018" s="183"/>
    </row>
    <row r="19019" spans="1:38">
      <c r="A19019" s="182"/>
      <c r="Q19019" s="183"/>
      <c r="R19019" s="183"/>
      <c r="S19019" s="183"/>
    </row>
    <row r="19020" spans="1:38">
      <c r="A19020" s="182"/>
      <c r="Q19020" s="183"/>
      <c r="R19020" s="183"/>
      <c r="S19020" s="183"/>
    </row>
    <row r="19021" spans="1:38">
      <c r="A19021" s="182"/>
      <c r="Q19021" s="183"/>
      <c r="R19021" s="183"/>
      <c r="S19021" s="183"/>
      <c r="AK19021" s="183"/>
      <c r="AL19021" s="183"/>
    </row>
    <row r="19022" spans="1:38">
      <c r="A19022" s="182"/>
      <c r="Q19022" s="183"/>
      <c r="R19022" s="183"/>
      <c r="S19022" s="183"/>
      <c r="AJ19022" s="183"/>
      <c r="AK19022" s="183"/>
      <c r="AL19022" s="183"/>
    </row>
    <row r="19023" spans="1:38">
      <c r="A19023" s="182"/>
      <c r="Q19023" s="183"/>
      <c r="R19023" s="183"/>
      <c r="S19023" s="183"/>
      <c r="AJ19023" s="183"/>
      <c r="AK19023" s="183"/>
      <c r="AL19023" s="183"/>
    </row>
    <row r="19024" spans="1:38">
      <c r="A19024" s="182"/>
      <c r="Q19024" s="183"/>
      <c r="R19024" s="183"/>
      <c r="S19024" s="183"/>
      <c r="AJ19024" s="183"/>
      <c r="AK19024" s="183"/>
      <c r="AL19024" s="183"/>
    </row>
    <row r="19025" spans="1:38">
      <c r="A19025" s="182"/>
      <c r="Q19025" s="183"/>
      <c r="R19025" s="183"/>
      <c r="S19025" s="183"/>
      <c r="AJ19025" s="183"/>
      <c r="AK19025" s="183"/>
      <c r="AL19025" s="183"/>
    </row>
    <row r="19026" spans="1:38">
      <c r="A19026" s="182"/>
      <c r="Q19026" s="183"/>
      <c r="R19026" s="183"/>
      <c r="S19026" s="183"/>
      <c r="AJ19026" s="183"/>
      <c r="AK19026" s="183"/>
      <c r="AL19026" s="183"/>
    </row>
    <row r="19027" spans="1:38">
      <c r="A19027" s="182"/>
      <c r="N19027" s="183"/>
      <c r="O19027" s="183"/>
      <c r="Q19027" s="183"/>
      <c r="R19027" s="183"/>
      <c r="S19027" s="183"/>
      <c r="AJ19027" s="183"/>
      <c r="AK19027" s="183"/>
      <c r="AL19027" s="183"/>
    </row>
    <row r="19028" spans="1:38">
      <c r="A19028" s="182"/>
      <c r="M19028" s="183"/>
      <c r="Q19028" s="183"/>
      <c r="R19028" s="183"/>
      <c r="S19028" s="183"/>
      <c r="AJ19028" s="183"/>
      <c r="AK19028" s="183"/>
      <c r="AL19028" s="183"/>
    </row>
    <row r="19029" spans="1:38">
      <c r="A19029" s="182"/>
      <c r="Q19029" s="183"/>
      <c r="R19029" s="183"/>
      <c r="S19029" s="183"/>
      <c r="AJ19029" s="183"/>
      <c r="AK19029" s="183"/>
      <c r="AL19029" s="183"/>
    </row>
    <row r="19030" spans="1:38">
      <c r="A19030" s="182"/>
      <c r="Q19030" s="183"/>
      <c r="R19030" s="183"/>
      <c r="S19030" s="183"/>
      <c r="AJ19030" s="183"/>
      <c r="AK19030" s="183"/>
      <c r="AL19030" s="183"/>
    </row>
    <row r="19031" spans="1:38">
      <c r="A19031" s="182"/>
      <c r="Q19031" s="183"/>
      <c r="R19031" s="183"/>
      <c r="S19031" s="183"/>
      <c r="AJ19031" s="183"/>
      <c r="AK19031" s="183"/>
      <c r="AL19031" s="183"/>
    </row>
    <row r="19032" spans="1:38">
      <c r="A19032" s="182"/>
      <c r="Q19032" s="183"/>
      <c r="R19032" s="183"/>
      <c r="S19032" s="183"/>
      <c r="AJ19032" s="183"/>
      <c r="AK19032" s="183"/>
      <c r="AL19032" s="183"/>
    </row>
    <row r="19033" spans="1:38">
      <c r="A19033" s="182"/>
      <c r="Q19033" s="183"/>
      <c r="R19033" s="183"/>
      <c r="S19033" s="183"/>
      <c r="AJ19033" s="183"/>
    </row>
    <row r="19034" spans="1:38">
      <c r="A19034" s="182"/>
      <c r="Q19034" s="183"/>
      <c r="R19034" s="183"/>
      <c r="S19034" s="183"/>
    </row>
    <row r="19035" spans="1:38">
      <c r="A19035" s="182"/>
      <c r="Q19035" s="183"/>
      <c r="R19035" s="183"/>
      <c r="S19035" s="183"/>
    </row>
    <row r="19036" spans="1:38">
      <c r="A19036" s="182"/>
      <c r="Q19036" s="183"/>
      <c r="R19036" s="183"/>
      <c r="S19036" s="183"/>
    </row>
    <row r="19037" spans="1:38">
      <c r="A19037" s="182"/>
      <c r="Q19037" s="183"/>
      <c r="R19037" s="183"/>
      <c r="S19037" s="183"/>
    </row>
    <row r="19038" spans="1:38">
      <c r="A19038" s="182"/>
      <c r="Q19038" s="183"/>
      <c r="R19038" s="183"/>
      <c r="S19038" s="183"/>
    </row>
    <row r="19039" spans="1:38">
      <c r="A19039" s="182"/>
      <c r="Q19039" s="183"/>
      <c r="R19039" s="183"/>
      <c r="S19039" s="183"/>
    </row>
    <row r="19040" spans="1:38">
      <c r="A19040" s="182"/>
      <c r="Q19040" s="183"/>
      <c r="R19040" s="183"/>
      <c r="S19040" s="183"/>
    </row>
    <row r="19041" spans="1:38">
      <c r="A19041" s="182"/>
      <c r="Q19041" s="183"/>
      <c r="R19041" s="183"/>
      <c r="S19041" s="183"/>
    </row>
    <row r="19042" spans="1:38">
      <c r="A19042" s="182"/>
      <c r="Q19042" s="183"/>
      <c r="R19042" s="183"/>
      <c r="S19042" s="183"/>
    </row>
    <row r="19043" spans="1:38">
      <c r="A19043" s="182"/>
      <c r="Q19043" s="183"/>
      <c r="R19043" s="183"/>
      <c r="S19043" s="183"/>
    </row>
    <row r="19044" spans="1:38">
      <c r="A19044" s="182"/>
      <c r="Q19044" s="183"/>
      <c r="R19044" s="183"/>
      <c r="S19044" s="183"/>
    </row>
    <row r="19045" spans="1:38">
      <c r="A19045" s="182"/>
      <c r="Q19045" s="183"/>
      <c r="R19045" s="183"/>
      <c r="S19045" s="183"/>
      <c r="AK19045" s="183"/>
      <c r="AL19045" s="183"/>
    </row>
    <row r="19046" spans="1:38">
      <c r="A19046" s="182"/>
      <c r="Q19046" s="183"/>
      <c r="R19046" s="183"/>
      <c r="S19046" s="183"/>
      <c r="AJ19046" s="183"/>
      <c r="AK19046" s="183"/>
      <c r="AL19046" s="183"/>
    </row>
    <row r="19047" spans="1:38">
      <c r="A19047" s="182"/>
      <c r="Q19047" s="183"/>
      <c r="R19047" s="183"/>
      <c r="S19047" s="183"/>
      <c r="AJ19047" s="183"/>
      <c r="AK19047" s="183"/>
      <c r="AL19047" s="183"/>
    </row>
    <row r="19048" spans="1:38">
      <c r="A19048" s="182"/>
      <c r="Q19048" s="183"/>
      <c r="R19048" s="183"/>
      <c r="S19048" s="183"/>
      <c r="AJ19048" s="183"/>
      <c r="AK19048" s="183"/>
      <c r="AL19048" s="183"/>
    </row>
    <row r="19049" spans="1:38">
      <c r="A19049" s="182"/>
      <c r="Q19049" s="183"/>
      <c r="R19049" s="183"/>
      <c r="S19049" s="183"/>
      <c r="AJ19049" s="183"/>
    </row>
    <row r="19050" spans="1:38">
      <c r="A19050" s="182"/>
      <c r="Q19050" s="183"/>
      <c r="R19050" s="183"/>
      <c r="S19050" s="183"/>
    </row>
    <row r="19051" spans="1:38">
      <c r="A19051" s="182"/>
      <c r="Q19051" s="183"/>
      <c r="R19051" s="183"/>
      <c r="S19051" s="183"/>
    </row>
    <row r="19052" spans="1:38">
      <c r="A19052" s="182"/>
      <c r="Q19052" s="183"/>
      <c r="R19052" s="183"/>
      <c r="S19052" s="183"/>
    </row>
    <row r="19053" spans="1:38">
      <c r="A19053" s="182"/>
      <c r="Q19053" s="183"/>
      <c r="R19053" s="183"/>
      <c r="S19053" s="183"/>
    </row>
    <row r="19054" spans="1:38">
      <c r="A19054" s="182"/>
      <c r="Q19054" s="183"/>
      <c r="R19054" s="183"/>
      <c r="S19054" s="183"/>
    </row>
    <row r="19055" spans="1:38">
      <c r="A19055" s="182"/>
      <c r="Q19055" s="183"/>
      <c r="R19055" s="183"/>
      <c r="S19055" s="183"/>
    </row>
    <row r="19056" spans="1:38">
      <c r="A19056" s="182"/>
      <c r="Q19056" s="183"/>
      <c r="R19056" s="183"/>
      <c r="S19056" s="183"/>
    </row>
    <row r="19057" spans="1:19">
      <c r="A19057" s="182"/>
      <c r="Q19057" s="183"/>
      <c r="R19057" s="183"/>
      <c r="S19057" s="183"/>
    </row>
    <row r="19058" spans="1:19">
      <c r="A19058" s="182"/>
      <c r="Q19058" s="183"/>
      <c r="R19058" s="183"/>
      <c r="S19058" s="183"/>
    </row>
    <row r="19059" spans="1:19">
      <c r="A19059" s="182"/>
      <c r="Q19059" s="183"/>
      <c r="R19059" s="183"/>
      <c r="S19059" s="183"/>
    </row>
    <row r="19060" spans="1:19">
      <c r="A19060" s="182"/>
      <c r="Q19060" s="183"/>
      <c r="R19060" s="183"/>
      <c r="S19060" s="183"/>
    </row>
    <row r="19061" spans="1:19">
      <c r="A19061" s="182"/>
      <c r="Q19061" s="183"/>
      <c r="R19061" s="183"/>
      <c r="S19061" s="183"/>
    </row>
    <row r="19062" spans="1:19">
      <c r="A19062" s="182"/>
      <c r="Q19062" s="183"/>
      <c r="R19062" s="183"/>
      <c r="S19062" s="183"/>
    </row>
    <row r="19063" spans="1:19">
      <c r="A19063" s="182"/>
      <c r="Q19063" s="183"/>
      <c r="R19063" s="183"/>
      <c r="S19063" s="183"/>
    </row>
    <row r="19064" spans="1:19">
      <c r="A19064" s="182"/>
      <c r="Q19064" s="183"/>
      <c r="R19064" s="183"/>
      <c r="S19064" s="183"/>
    </row>
    <row r="19065" spans="1:19">
      <c r="A19065" s="182"/>
      <c r="Q19065" s="183"/>
      <c r="R19065" s="183"/>
      <c r="S19065" s="183"/>
    </row>
    <row r="19066" spans="1:19">
      <c r="A19066" s="182"/>
      <c r="Q19066" s="183"/>
      <c r="R19066" s="183"/>
      <c r="S19066" s="183"/>
    </row>
    <row r="19067" spans="1:19">
      <c r="A19067" s="182"/>
      <c r="Q19067" s="183"/>
      <c r="R19067" s="183"/>
      <c r="S19067" s="183"/>
    </row>
    <row r="19068" spans="1:19">
      <c r="A19068" s="182"/>
      <c r="Q19068" s="183"/>
      <c r="R19068" s="183"/>
      <c r="S19068" s="183"/>
    </row>
    <row r="19069" spans="1:19">
      <c r="A19069" s="182"/>
      <c r="Q19069" s="183"/>
      <c r="R19069" s="183"/>
      <c r="S19069" s="183"/>
    </row>
    <row r="19070" spans="1:19">
      <c r="A19070" s="182"/>
      <c r="Q19070" s="183"/>
      <c r="R19070" s="183"/>
      <c r="S19070" s="183"/>
    </row>
    <row r="19071" spans="1:19">
      <c r="A19071" s="182"/>
      <c r="Q19071" s="183"/>
      <c r="R19071" s="183"/>
      <c r="S19071" s="183"/>
    </row>
    <row r="19072" spans="1:19">
      <c r="A19072" s="182"/>
      <c r="Q19072" s="183"/>
      <c r="R19072" s="183"/>
      <c r="S19072" s="183"/>
    </row>
    <row r="19073" spans="1:38">
      <c r="A19073" s="182"/>
      <c r="Q19073" s="183"/>
      <c r="R19073" s="183"/>
      <c r="S19073" s="183"/>
    </row>
    <row r="19074" spans="1:38">
      <c r="A19074" s="182"/>
      <c r="Q19074" s="183"/>
      <c r="R19074" s="183"/>
      <c r="S19074" s="183"/>
    </row>
    <row r="19075" spans="1:38">
      <c r="A19075" s="182"/>
      <c r="Q19075" s="183"/>
      <c r="R19075" s="183"/>
      <c r="S19075" s="183"/>
    </row>
    <row r="19076" spans="1:38">
      <c r="A19076" s="182"/>
      <c r="Q19076" s="183"/>
      <c r="R19076" s="183"/>
      <c r="S19076" s="183"/>
    </row>
    <row r="19077" spans="1:38">
      <c r="A19077" s="182"/>
      <c r="Q19077" s="183"/>
      <c r="R19077" s="183"/>
      <c r="S19077" s="183"/>
      <c r="AK19077" s="183"/>
      <c r="AL19077" s="183"/>
    </row>
    <row r="19078" spans="1:38">
      <c r="A19078" s="182"/>
      <c r="Q19078" s="183"/>
      <c r="R19078" s="183"/>
      <c r="S19078" s="183"/>
      <c r="AJ19078" s="183"/>
      <c r="AK19078" s="183"/>
      <c r="AL19078" s="183"/>
    </row>
    <row r="19079" spans="1:38">
      <c r="A19079" s="182"/>
      <c r="Q19079" s="183"/>
      <c r="R19079" s="183"/>
      <c r="S19079" s="183"/>
      <c r="AJ19079" s="183"/>
      <c r="AK19079" s="183"/>
      <c r="AL19079" s="183"/>
    </row>
    <row r="19080" spans="1:38">
      <c r="A19080" s="182"/>
      <c r="Q19080" s="183"/>
      <c r="R19080" s="183"/>
      <c r="S19080" s="183"/>
      <c r="AJ19080" s="183"/>
      <c r="AK19080" s="183"/>
      <c r="AL19080" s="183"/>
    </row>
    <row r="19081" spans="1:38">
      <c r="A19081" s="182"/>
      <c r="Q19081" s="183"/>
      <c r="R19081" s="183"/>
      <c r="S19081" s="183"/>
      <c r="AJ19081" s="183"/>
    </row>
    <row r="19082" spans="1:38">
      <c r="A19082" s="182"/>
      <c r="Q19082" s="183"/>
      <c r="R19082" s="183"/>
      <c r="S19082" s="183"/>
    </row>
    <row r="19083" spans="1:38">
      <c r="A19083" s="182"/>
      <c r="Q19083" s="183"/>
      <c r="R19083" s="183"/>
      <c r="S19083" s="183"/>
    </row>
    <row r="19084" spans="1:38">
      <c r="A19084" s="182"/>
      <c r="Q19084" s="183"/>
      <c r="R19084" s="183"/>
      <c r="S19084" s="183"/>
    </row>
    <row r="19085" spans="1:38">
      <c r="A19085" s="182"/>
      <c r="Q19085" s="183"/>
      <c r="R19085" s="183"/>
      <c r="S19085" s="183"/>
    </row>
    <row r="19086" spans="1:38">
      <c r="A19086" s="182"/>
      <c r="Q19086" s="183"/>
      <c r="R19086" s="183"/>
      <c r="S19086" s="183"/>
    </row>
    <row r="19087" spans="1:38">
      <c r="A19087" s="182"/>
      <c r="Q19087" s="183"/>
      <c r="R19087" s="183"/>
      <c r="S19087" s="183"/>
    </row>
    <row r="19088" spans="1:38">
      <c r="A19088" s="182"/>
      <c r="Q19088" s="183"/>
      <c r="R19088" s="183"/>
      <c r="S19088" s="183"/>
    </row>
    <row r="19089" spans="1:38">
      <c r="A19089" s="182"/>
      <c r="Q19089" s="183"/>
      <c r="R19089" s="183"/>
      <c r="S19089" s="183"/>
      <c r="AK19089" s="183"/>
      <c r="AL19089" s="183"/>
    </row>
    <row r="19090" spans="1:38">
      <c r="A19090" s="182"/>
      <c r="Q19090" s="183"/>
      <c r="R19090" s="183"/>
      <c r="S19090" s="183"/>
      <c r="AJ19090" s="183"/>
      <c r="AK19090" s="183"/>
      <c r="AL19090" s="183"/>
    </row>
    <row r="19091" spans="1:38">
      <c r="A19091" s="182"/>
      <c r="Q19091" s="183"/>
      <c r="R19091" s="183"/>
      <c r="S19091" s="183"/>
      <c r="AJ19091" s="183"/>
      <c r="AK19091" s="183"/>
      <c r="AL19091" s="183"/>
    </row>
    <row r="19092" spans="1:38">
      <c r="A19092" s="182"/>
      <c r="Q19092" s="183"/>
      <c r="R19092" s="183"/>
      <c r="S19092" s="183"/>
      <c r="AJ19092" s="183"/>
      <c r="AK19092" s="183"/>
      <c r="AL19092" s="183"/>
    </row>
    <row r="19093" spans="1:38">
      <c r="A19093" s="182"/>
      <c r="Q19093" s="183"/>
      <c r="R19093" s="183"/>
      <c r="S19093" s="183"/>
      <c r="AJ19093" s="183"/>
    </row>
    <row r="19094" spans="1:38">
      <c r="A19094" s="182"/>
      <c r="Q19094" s="183"/>
      <c r="R19094" s="183"/>
      <c r="S19094" s="183"/>
    </row>
    <row r="19095" spans="1:38">
      <c r="A19095" s="182"/>
      <c r="Q19095" s="183"/>
      <c r="R19095" s="183"/>
      <c r="S19095" s="183"/>
    </row>
    <row r="19096" spans="1:38">
      <c r="A19096" s="182"/>
      <c r="Q19096" s="183"/>
      <c r="R19096" s="183"/>
      <c r="S19096" s="183"/>
    </row>
    <row r="19097" spans="1:38">
      <c r="A19097" s="182"/>
      <c r="M19097" s="183"/>
      <c r="N19097" s="183"/>
      <c r="Q19097" s="183"/>
      <c r="R19097" s="183"/>
      <c r="S19097" s="183"/>
    </row>
    <row r="19098" spans="1:38">
      <c r="A19098" s="182"/>
      <c r="L19098" s="183"/>
      <c r="Q19098" s="183"/>
      <c r="R19098" s="183"/>
      <c r="S19098" s="183"/>
    </row>
    <row r="19099" spans="1:38">
      <c r="A19099" s="182"/>
      <c r="Q19099" s="183"/>
      <c r="R19099" s="183"/>
      <c r="S19099" s="183"/>
    </row>
    <row r="19100" spans="1:38">
      <c r="A19100" s="182"/>
      <c r="Q19100" s="183"/>
      <c r="R19100" s="183"/>
      <c r="S19100" s="183"/>
    </row>
    <row r="19101" spans="1:38">
      <c r="A19101" s="182"/>
      <c r="Q19101" s="183"/>
      <c r="R19101" s="183"/>
      <c r="S19101" s="183"/>
    </row>
    <row r="19102" spans="1:38">
      <c r="A19102" s="182"/>
      <c r="Q19102" s="183"/>
      <c r="R19102" s="183"/>
      <c r="S19102" s="183"/>
    </row>
    <row r="19103" spans="1:38">
      <c r="A19103" s="182"/>
      <c r="Q19103" s="183"/>
      <c r="R19103" s="183"/>
      <c r="S19103" s="183"/>
    </row>
    <row r="19104" spans="1:38">
      <c r="A19104" s="182"/>
      <c r="Q19104" s="183"/>
      <c r="R19104" s="183"/>
      <c r="S19104" s="183"/>
    </row>
    <row r="19105" spans="1:19">
      <c r="A19105" s="182"/>
      <c r="Q19105" s="183"/>
      <c r="R19105" s="183"/>
      <c r="S19105" s="183"/>
    </row>
    <row r="19106" spans="1:19">
      <c r="A19106" s="182"/>
      <c r="Q19106" s="183"/>
      <c r="R19106" s="183"/>
      <c r="S19106" s="183"/>
    </row>
    <row r="19107" spans="1:19">
      <c r="A19107" s="182"/>
      <c r="Q19107" s="183"/>
      <c r="R19107" s="183"/>
      <c r="S19107" s="183"/>
    </row>
    <row r="19108" spans="1:19">
      <c r="A19108" s="182"/>
      <c r="Q19108" s="183"/>
      <c r="R19108" s="183"/>
      <c r="S19108" s="183"/>
    </row>
    <row r="19109" spans="1:19">
      <c r="A19109" s="182"/>
      <c r="Q19109" s="183"/>
      <c r="R19109" s="183"/>
      <c r="S19109" s="183"/>
    </row>
    <row r="19110" spans="1:19">
      <c r="A19110" s="182"/>
      <c r="Q19110" s="183"/>
      <c r="R19110" s="183"/>
      <c r="S19110" s="183"/>
    </row>
    <row r="19111" spans="1:19">
      <c r="A19111" s="182"/>
      <c r="Q19111" s="183"/>
      <c r="R19111" s="183"/>
      <c r="S19111" s="183"/>
    </row>
    <row r="19112" spans="1:19">
      <c r="A19112" s="182"/>
      <c r="Q19112" s="183"/>
      <c r="R19112" s="183"/>
      <c r="S19112" s="183"/>
    </row>
    <row r="19113" spans="1:19">
      <c r="A19113" s="182"/>
      <c r="Q19113" s="183"/>
      <c r="R19113" s="183"/>
      <c r="S19113" s="183"/>
    </row>
    <row r="19114" spans="1:19">
      <c r="A19114" s="182"/>
      <c r="Q19114" s="183"/>
      <c r="R19114" s="183"/>
      <c r="S19114" s="183"/>
    </row>
    <row r="19115" spans="1:19">
      <c r="A19115" s="182"/>
      <c r="Q19115" s="183"/>
      <c r="R19115" s="183"/>
      <c r="S19115" s="183"/>
    </row>
    <row r="19116" spans="1:19">
      <c r="A19116" s="182"/>
      <c r="Q19116" s="183"/>
      <c r="R19116" s="183"/>
      <c r="S19116" s="183"/>
    </row>
    <row r="19117" spans="1:19">
      <c r="A19117" s="182"/>
      <c r="Q19117" s="183"/>
      <c r="R19117" s="183"/>
      <c r="S19117" s="183"/>
    </row>
    <row r="19118" spans="1:19">
      <c r="A19118" s="182"/>
      <c r="Q19118" s="183"/>
      <c r="R19118" s="183"/>
      <c r="S19118" s="183"/>
    </row>
    <row r="19119" spans="1:19">
      <c r="A19119" s="182"/>
      <c r="Q19119" s="183"/>
      <c r="R19119" s="183"/>
      <c r="S19119" s="183"/>
    </row>
    <row r="19120" spans="1:19">
      <c r="A19120" s="182"/>
      <c r="Q19120" s="183"/>
      <c r="R19120" s="183"/>
      <c r="S19120" s="183"/>
    </row>
    <row r="19121" spans="1:38">
      <c r="A19121" s="182"/>
      <c r="Q19121" s="183"/>
      <c r="R19121" s="183"/>
      <c r="S19121" s="183"/>
      <c r="AK19121" s="183"/>
      <c r="AL19121" s="183"/>
    </row>
    <row r="19122" spans="1:38">
      <c r="A19122" s="182"/>
      <c r="Q19122" s="183"/>
      <c r="R19122" s="183"/>
      <c r="S19122" s="183"/>
      <c r="AJ19122" s="183"/>
      <c r="AK19122" s="183"/>
      <c r="AL19122" s="183"/>
    </row>
    <row r="19123" spans="1:38">
      <c r="A19123" s="182"/>
      <c r="Q19123" s="183"/>
      <c r="R19123" s="183"/>
      <c r="S19123" s="183"/>
      <c r="AJ19123" s="183"/>
      <c r="AK19123" s="183"/>
      <c r="AL19123" s="183"/>
    </row>
    <row r="19124" spans="1:38">
      <c r="A19124" s="182"/>
      <c r="Q19124" s="183"/>
      <c r="R19124" s="183"/>
      <c r="S19124" s="183"/>
      <c r="AJ19124" s="183"/>
      <c r="AK19124" s="183"/>
      <c r="AL19124" s="183"/>
    </row>
    <row r="19125" spans="1:38">
      <c r="A19125" s="182"/>
      <c r="Q19125" s="183"/>
      <c r="R19125" s="183"/>
      <c r="S19125" s="183"/>
      <c r="AJ19125" s="183"/>
      <c r="AK19125" s="183"/>
      <c r="AL19125" s="183"/>
    </row>
    <row r="19126" spans="1:38">
      <c r="A19126" s="182"/>
      <c r="Q19126" s="183"/>
      <c r="R19126" s="183"/>
      <c r="S19126" s="183"/>
      <c r="AJ19126" s="183"/>
      <c r="AK19126" s="183"/>
      <c r="AL19126" s="183"/>
    </row>
    <row r="19127" spans="1:38">
      <c r="A19127" s="182"/>
      <c r="Q19127" s="183"/>
      <c r="R19127" s="183"/>
      <c r="S19127" s="183"/>
      <c r="AJ19127" s="183"/>
      <c r="AK19127" s="183"/>
      <c r="AL19127" s="183"/>
    </row>
    <row r="19128" spans="1:38">
      <c r="A19128" s="182"/>
      <c r="Q19128" s="183"/>
      <c r="R19128" s="183"/>
      <c r="S19128" s="183"/>
      <c r="AJ19128" s="183"/>
      <c r="AK19128" s="183"/>
      <c r="AL19128" s="183"/>
    </row>
    <row r="19129" spans="1:38">
      <c r="A19129" s="182"/>
      <c r="Q19129" s="183"/>
      <c r="R19129" s="183"/>
      <c r="S19129" s="183"/>
      <c r="AJ19129" s="183"/>
    </row>
    <row r="19130" spans="1:38">
      <c r="A19130" s="182"/>
      <c r="Q19130" s="183"/>
      <c r="R19130" s="183"/>
      <c r="S19130" s="183"/>
    </row>
    <row r="19131" spans="1:38">
      <c r="A19131" s="182"/>
      <c r="Q19131" s="183"/>
      <c r="R19131" s="183"/>
      <c r="S19131" s="183"/>
    </row>
    <row r="19132" spans="1:38">
      <c r="A19132" s="182"/>
      <c r="Q19132" s="183"/>
      <c r="R19132" s="183"/>
      <c r="S19132" s="183"/>
    </row>
    <row r="19133" spans="1:38">
      <c r="A19133" s="182"/>
      <c r="Q19133" s="183"/>
      <c r="R19133" s="183"/>
      <c r="S19133" s="183"/>
      <c r="AK19133" s="183"/>
      <c r="AL19133" s="183"/>
    </row>
    <row r="19134" spans="1:38">
      <c r="A19134" s="182"/>
      <c r="Q19134" s="183"/>
      <c r="R19134" s="183"/>
      <c r="S19134" s="183"/>
      <c r="AJ19134" s="183"/>
      <c r="AK19134" s="183"/>
      <c r="AL19134" s="183"/>
    </row>
    <row r="19135" spans="1:38">
      <c r="A19135" s="182"/>
      <c r="Q19135" s="183"/>
      <c r="R19135" s="183"/>
      <c r="S19135" s="183"/>
      <c r="AJ19135" s="183"/>
      <c r="AK19135" s="183"/>
      <c r="AL19135" s="183"/>
    </row>
    <row r="19136" spans="1:38">
      <c r="A19136" s="182"/>
      <c r="Q19136" s="183"/>
      <c r="R19136" s="183"/>
      <c r="S19136" s="183"/>
      <c r="AJ19136" s="183"/>
      <c r="AK19136" s="183"/>
      <c r="AL19136" s="183"/>
    </row>
    <row r="19137" spans="1:38">
      <c r="A19137" s="182"/>
      <c r="Q19137" s="183"/>
      <c r="R19137" s="183"/>
      <c r="S19137" s="183"/>
      <c r="AJ19137" s="183"/>
    </row>
    <row r="19138" spans="1:38">
      <c r="A19138" s="182"/>
      <c r="Q19138" s="183"/>
      <c r="R19138" s="183"/>
      <c r="S19138" s="183"/>
    </row>
    <row r="19139" spans="1:38">
      <c r="A19139" s="182"/>
      <c r="Q19139" s="183"/>
      <c r="R19139" s="183"/>
      <c r="S19139" s="183"/>
    </row>
    <row r="19140" spans="1:38">
      <c r="A19140" s="182"/>
      <c r="Q19140" s="183"/>
      <c r="R19140" s="183"/>
      <c r="S19140" s="183"/>
    </row>
    <row r="19141" spans="1:38">
      <c r="A19141" s="182"/>
      <c r="Q19141" s="183"/>
      <c r="R19141" s="183"/>
      <c r="S19141" s="183"/>
    </row>
    <row r="19142" spans="1:38">
      <c r="A19142" s="182"/>
      <c r="Q19142" s="183"/>
      <c r="R19142" s="183"/>
      <c r="S19142" s="183"/>
    </row>
    <row r="19143" spans="1:38">
      <c r="A19143" s="182"/>
      <c r="Q19143" s="183"/>
      <c r="R19143" s="183"/>
      <c r="S19143" s="183"/>
    </row>
    <row r="19144" spans="1:38">
      <c r="A19144" s="182"/>
      <c r="Q19144" s="183"/>
      <c r="R19144" s="183"/>
      <c r="S19144" s="183"/>
    </row>
    <row r="19145" spans="1:38">
      <c r="A19145" s="182"/>
      <c r="Q19145" s="183"/>
      <c r="R19145" s="183"/>
      <c r="S19145" s="183"/>
    </row>
    <row r="19146" spans="1:38">
      <c r="A19146" s="182"/>
      <c r="Q19146" s="183"/>
      <c r="R19146" s="183"/>
      <c r="S19146" s="183"/>
    </row>
    <row r="19147" spans="1:38">
      <c r="A19147" s="182"/>
      <c r="Q19147" s="183"/>
      <c r="R19147" s="183"/>
      <c r="S19147" s="183"/>
    </row>
    <row r="19148" spans="1:38">
      <c r="A19148" s="182"/>
      <c r="Q19148" s="183"/>
      <c r="R19148" s="183"/>
      <c r="S19148" s="183"/>
    </row>
    <row r="19149" spans="1:38">
      <c r="A19149" s="182"/>
      <c r="Q19149" s="183"/>
      <c r="R19149" s="183"/>
      <c r="S19149" s="183"/>
      <c r="AK19149" s="183"/>
      <c r="AL19149" s="183"/>
    </row>
    <row r="19150" spans="1:38">
      <c r="A19150" s="182"/>
      <c r="Q19150" s="183"/>
      <c r="R19150" s="183"/>
      <c r="S19150" s="183"/>
      <c r="AJ19150" s="183"/>
      <c r="AK19150" s="183"/>
      <c r="AL19150" s="183"/>
    </row>
    <row r="19151" spans="1:38">
      <c r="A19151" s="182"/>
      <c r="Q19151" s="183"/>
      <c r="R19151" s="183"/>
      <c r="S19151" s="183"/>
      <c r="AJ19151" s="183"/>
      <c r="AK19151" s="183"/>
      <c r="AL19151" s="183"/>
    </row>
    <row r="19152" spans="1:38">
      <c r="A19152" s="182"/>
      <c r="Q19152" s="183"/>
      <c r="R19152" s="183"/>
      <c r="S19152" s="183"/>
      <c r="AJ19152" s="183"/>
      <c r="AK19152" s="183"/>
      <c r="AL19152" s="183"/>
    </row>
    <row r="19153" spans="1:38">
      <c r="A19153" s="182"/>
      <c r="Q19153" s="183"/>
      <c r="R19153" s="183"/>
      <c r="S19153" s="183"/>
      <c r="AJ19153" s="183"/>
      <c r="AK19153" s="183"/>
      <c r="AL19153" s="183"/>
    </row>
    <row r="19154" spans="1:38">
      <c r="A19154" s="182"/>
      <c r="Q19154" s="183"/>
      <c r="R19154" s="183"/>
      <c r="S19154" s="183"/>
      <c r="AJ19154" s="183"/>
      <c r="AK19154" s="183"/>
      <c r="AL19154" s="183"/>
    </row>
    <row r="19155" spans="1:38">
      <c r="A19155" s="182"/>
      <c r="Q19155" s="183"/>
      <c r="R19155" s="183"/>
      <c r="S19155" s="183"/>
      <c r="AJ19155" s="183"/>
      <c r="AK19155" s="183"/>
      <c r="AL19155" s="183"/>
    </row>
    <row r="19156" spans="1:38">
      <c r="A19156" s="182"/>
      <c r="Q19156" s="183"/>
      <c r="R19156" s="183"/>
      <c r="S19156" s="183"/>
      <c r="AJ19156" s="183"/>
      <c r="AK19156" s="183"/>
      <c r="AL19156" s="183"/>
    </row>
    <row r="19157" spans="1:38">
      <c r="A19157" s="182"/>
      <c r="Q19157" s="183"/>
      <c r="R19157" s="183"/>
      <c r="S19157" s="183"/>
      <c r="AJ19157" s="183"/>
      <c r="AK19157" s="183"/>
      <c r="AL19157" s="183"/>
    </row>
    <row r="19158" spans="1:38">
      <c r="A19158" s="182"/>
      <c r="Q19158" s="183"/>
      <c r="R19158" s="183"/>
      <c r="S19158" s="183"/>
      <c r="AJ19158" s="183"/>
      <c r="AK19158" s="183"/>
      <c r="AL19158" s="183"/>
    </row>
    <row r="19159" spans="1:38">
      <c r="A19159" s="182"/>
      <c r="Q19159" s="183"/>
      <c r="R19159" s="183"/>
      <c r="S19159" s="183"/>
      <c r="AJ19159" s="183"/>
      <c r="AK19159" s="183"/>
      <c r="AL19159" s="183"/>
    </row>
    <row r="19160" spans="1:38">
      <c r="A19160" s="182"/>
      <c r="Q19160" s="183"/>
      <c r="R19160" s="183"/>
      <c r="S19160" s="183"/>
      <c r="AJ19160" s="183"/>
      <c r="AK19160" s="183"/>
      <c r="AL19160" s="183"/>
    </row>
    <row r="19161" spans="1:38">
      <c r="A19161" s="182"/>
      <c r="Q19161" s="183"/>
      <c r="R19161" s="183"/>
      <c r="S19161" s="183"/>
      <c r="AJ19161" s="183"/>
    </row>
    <row r="19162" spans="1:38">
      <c r="A19162" s="182"/>
      <c r="Q19162" s="183"/>
      <c r="R19162" s="183"/>
      <c r="S19162" s="183"/>
    </row>
    <row r="19163" spans="1:38">
      <c r="A19163" s="182"/>
      <c r="Q19163" s="183"/>
      <c r="R19163" s="183"/>
      <c r="S19163" s="183"/>
    </row>
    <row r="19164" spans="1:38">
      <c r="A19164" s="182"/>
      <c r="Q19164" s="183"/>
      <c r="R19164" s="183"/>
      <c r="S19164" s="183"/>
    </row>
    <row r="19165" spans="1:38">
      <c r="A19165" s="182"/>
      <c r="Q19165" s="183"/>
      <c r="R19165" s="183"/>
      <c r="S19165" s="183"/>
    </row>
    <row r="19166" spans="1:38">
      <c r="A19166" s="182"/>
      <c r="Q19166" s="183"/>
      <c r="R19166" s="183"/>
      <c r="S19166" s="183"/>
    </row>
    <row r="19167" spans="1:38">
      <c r="A19167" s="182"/>
      <c r="Q19167" s="183"/>
      <c r="R19167" s="183"/>
      <c r="S19167" s="183"/>
    </row>
    <row r="19168" spans="1:38">
      <c r="A19168" s="182"/>
      <c r="Q19168" s="183"/>
      <c r="R19168" s="183"/>
      <c r="S19168" s="183"/>
    </row>
    <row r="19169" spans="1:19">
      <c r="A19169" s="182"/>
      <c r="Q19169" s="183"/>
      <c r="R19169" s="183"/>
      <c r="S19169" s="183"/>
    </row>
    <row r="19170" spans="1:19">
      <c r="A19170" s="182"/>
      <c r="Q19170" s="183"/>
      <c r="R19170" s="183"/>
      <c r="S19170" s="183"/>
    </row>
    <row r="19171" spans="1:19">
      <c r="A19171" s="182"/>
      <c r="Q19171" s="183"/>
      <c r="R19171" s="183"/>
      <c r="S19171" s="183"/>
    </row>
    <row r="19172" spans="1:19">
      <c r="A19172" s="182"/>
      <c r="Q19172" s="183"/>
      <c r="R19172" s="183"/>
      <c r="S19172" s="183"/>
    </row>
    <row r="19173" spans="1:19">
      <c r="A19173" s="182"/>
      <c r="Q19173" s="183"/>
      <c r="R19173" s="183"/>
      <c r="S19173" s="183"/>
    </row>
    <row r="19174" spans="1:19">
      <c r="A19174" s="182"/>
      <c r="Q19174" s="183"/>
      <c r="R19174" s="183"/>
      <c r="S19174" s="183"/>
    </row>
    <row r="19175" spans="1:19">
      <c r="A19175" s="182"/>
      <c r="Q19175" s="183"/>
      <c r="R19175" s="183"/>
      <c r="S19175" s="183"/>
    </row>
    <row r="19176" spans="1:19">
      <c r="A19176" s="182"/>
      <c r="Q19176" s="183"/>
      <c r="R19176" s="183"/>
      <c r="S19176" s="183"/>
    </row>
    <row r="19177" spans="1:19">
      <c r="A19177" s="182"/>
      <c r="Q19177" s="183"/>
      <c r="R19177" s="183"/>
      <c r="S19177" s="183"/>
    </row>
    <row r="19178" spans="1:19">
      <c r="A19178" s="182"/>
      <c r="Q19178" s="183"/>
      <c r="R19178" s="183"/>
      <c r="S19178" s="183"/>
    </row>
    <row r="19179" spans="1:19">
      <c r="A19179" s="182"/>
      <c r="Q19179" s="183"/>
      <c r="R19179" s="183"/>
      <c r="S19179" s="183"/>
    </row>
    <row r="19180" spans="1:19">
      <c r="A19180" s="182"/>
      <c r="Q19180" s="183"/>
      <c r="R19180" s="183"/>
      <c r="S19180" s="183"/>
    </row>
    <row r="19181" spans="1:19">
      <c r="A19181" s="182"/>
      <c r="Q19181" s="183"/>
      <c r="R19181" s="183"/>
      <c r="S19181" s="183"/>
    </row>
    <row r="19182" spans="1:19">
      <c r="A19182" s="182"/>
      <c r="Q19182" s="183"/>
      <c r="R19182" s="183"/>
      <c r="S19182" s="183"/>
    </row>
    <row r="19183" spans="1:19">
      <c r="A19183" s="182"/>
      <c r="Q19183" s="183"/>
      <c r="R19183" s="183"/>
      <c r="S19183" s="183"/>
    </row>
    <row r="19184" spans="1:19">
      <c r="A19184" s="182"/>
      <c r="Q19184" s="183"/>
      <c r="R19184" s="183"/>
      <c r="S19184" s="183"/>
    </row>
    <row r="19185" spans="1:38">
      <c r="A19185" s="182"/>
      <c r="Q19185" s="183"/>
      <c r="R19185" s="183"/>
      <c r="S19185" s="183"/>
    </row>
    <row r="19186" spans="1:38">
      <c r="A19186" s="182"/>
      <c r="Q19186" s="183"/>
      <c r="R19186" s="183"/>
      <c r="S19186" s="183"/>
    </row>
    <row r="19187" spans="1:38">
      <c r="A19187" s="182"/>
      <c r="Q19187" s="183"/>
      <c r="R19187" s="183"/>
      <c r="S19187" s="183"/>
    </row>
    <row r="19188" spans="1:38">
      <c r="A19188" s="182"/>
      <c r="Q19188" s="183"/>
      <c r="R19188" s="183"/>
      <c r="S19188" s="183"/>
    </row>
    <row r="19189" spans="1:38">
      <c r="A19189" s="182"/>
      <c r="Q19189" s="183"/>
      <c r="R19189" s="183"/>
      <c r="S19189" s="183"/>
    </row>
    <row r="19190" spans="1:38">
      <c r="A19190" s="182"/>
      <c r="Q19190" s="183"/>
      <c r="R19190" s="183"/>
      <c r="S19190" s="183"/>
    </row>
    <row r="19191" spans="1:38">
      <c r="A19191" s="182"/>
      <c r="Q19191" s="183"/>
      <c r="R19191" s="183"/>
      <c r="S19191" s="183"/>
    </row>
    <row r="19192" spans="1:38">
      <c r="A19192" s="182"/>
      <c r="Q19192" s="183"/>
      <c r="R19192" s="183"/>
      <c r="S19192" s="183"/>
    </row>
    <row r="19193" spans="1:38">
      <c r="A19193" s="182"/>
      <c r="Q19193" s="183"/>
      <c r="R19193" s="183"/>
      <c r="S19193" s="183"/>
    </row>
    <row r="19194" spans="1:38">
      <c r="A19194" s="182"/>
      <c r="Q19194" s="183"/>
      <c r="R19194" s="183"/>
      <c r="S19194" s="183"/>
    </row>
    <row r="19195" spans="1:38">
      <c r="A19195" s="182"/>
      <c r="Q19195" s="183"/>
      <c r="R19195" s="183"/>
      <c r="S19195" s="183"/>
    </row>
    <row r="19196" spans="1:38">
      <c r="A19196" s="182"/>
      <c r="Q19196" s="183"/>
      <c r="R19196" s="183"/>
      <c r="S19196" s="183"/>
    </row>
    <row r="19197" spans="1:38">
      <c r="A19197" s="182"/>
      <c r="Q19197" s="183"/>
      <c r="R19197" s="183"/>
      <c r="S19197" s="183"/>
      <c r="AK19197" s="183"/>
      <c r="AL19197" s="183"/>
    </row>
    <row r="19198" spans="1:38">
      <c r="A19198" s="182"/>
      <c r="Q19198" s="183"/>
      <c r="R19198" s="183"/>
      <c r="S19198" s="183"/>
      <c r="AJ19198" s="183"/>
      <c r="AK19198" s="183"/>
      <c r="AL19198" s="183"/>
    </row>
    <row r="19199" spans="1:38">
      <c r="A19199" s="182"/>
      <c r="Q19199" s="183"/>
      <c r="R19199" s="183"/>
      <c r="S19199" s="183"/>
      <c r="AJ19199" s="183"/>
      <c r="AK19199" s="183"/>
      <c r="AL19199" s="183"/>
    </row>
    <row r="19200" spans="1:38">
      <c r="A19200" s="182"/>
      <c r="Q19200" s="183"/>
      <c r="R19200" s="183"/>
      <c r="S19200" s="183"/>
      <c r="AJ19200" s="183"/>
      <c r="AK19200" s="183"/>
      <c r="AL19200" s="183"/>
    </row>
    <row r="19201" spans="1:38">
      <c r="A19201" s="182"/>
      <c r="Q19201" s="183"/>
      <c r="R19201" s="183"/>
      <c r="S19201" s="183"/>
      <c r="AJ19201" s="183"/>
      <c r="AK19201" s="183"/>
      <c r="AL19201" s="183"/>
    </row>
    <row r="19202" spans="1:38">
      <c r="A19202" s="182"/>
      <c r="Q19202" s="183"/>
      <c r="R19202" s="183"/>
      <c r="S19202" s="183"/>
      <c r="AJ19202" s="183"/>
      <c r="AK19202" s="183"/>
      <c r="AL19202" s="183"/>
    </row>
    <row r="19203" spans="1:38">
      <c r="A19203" s="182"/>
      <c r="Q19203" s="183"/>
      <c r="R19203" s="183"/>
      <c r="S19203" s="183"/>
      <c r="AJ19203" s="183"/>
      <c r="AK19203" s="183"/>
      <c r="AL19203" s="183"/>
    </row>
    <row r="19204" spans="1:38">
      <c r="A19204" s="182"/>
      <c r="Q19204" s="183"/>
      <c r="R19204" s="183"/>
      <c r="S19204" s="183"/>
      <c r="AJ19204" s="183"/>
      <c r="AK19204" s="183"/>
      <c r="AL19204" s="183"/>
    </row>
    <row r="19205" spans="1:38">
      <c r="A19205" s="182"/>
      <c r="Q19205" s="183"/>
      <c r="R19205" s="183"/>
      <c r="S19205" s="183"/>
      <c r="AJ19205" s="183"/>
      <c r="AK19205" s="183"/>
      <c r="AL19205" s="183"/>
    </row>
    <row r="19206" spans="1:38">
      <c r="A19206" s="182"/>
      <c r="Q19206" s="183"/>
      <c r="R19206" s="183"/>
      <c r="S19206" s="183"/>
      <c r="AJ19206" s="183"/>
      <c r="AK19206" s="183"/>
      <c r="AL19206" s="183"/>
    </row>
    <row r="19207" spans="1:38">
      <c r="A19207" s="182"/>
      <c r="Q19207" s="183"/>
      <c r="R19207" s="183"/>
      <c r="S19207" s="183"/>
      <c r="AJ19207" s="183"/>
      <c r="AK19207" s="183"/>
      <c r="AL19207" s="183"/>
    </row>
    <row r="19208" spans="1:38">
      <c r="A19208" s="182"/>
      <c r="Q19208" s="183"/>
      <c r="R19208" s="183"/>
      <c r="S19208" s="183"/>
      <c r="AJ19208" s="183"/>
      <c r="AK19208" s="183"/>
      <c r="AL19208" s="183"/>
    </row>
    <row r="19209" spans="1:38">
      <c r="A19209" s="182"/>
      <c r="Q19209" s="183"/>
      <c r="R19209" s="183"/>
      <c r="S19209" s="183"/>
      <c r="AJ19209" s="183"/>
      <c r="AK19209" s="183"/>
      <c r="AL19209" s="183"/>
    </row>
    <row r="19210" spans="1:38">
      <c r="A19210" s="182"/>
      <c r="Q19210" s="183"/>
      <c r="R19210" s="183"/>
      <c r="S19210" s="183"/>
      <c r="AJ19210" s="183"/>
      <c r="AK19210" s="183"/>
      <c r="AL19210" s="183"/>
    </row>
    <row r="19211" spans="1:38">
      <c r="A19211" s="182"/>
      <c r="Q19211" s="183"/>
      <c r="R19211" s="183"/>
      <c r="S19211" s="183"/>
      <c r="AJ19211" s="183"/>
      <c r="AK19211" s="183"/>
      <c r="AL19211" s="183"/>
    </row>
    <row r="19212" spans="1:38">
      <c r="A19212" s="182"/>
      <c r="Q19212" s="183"/>
      <c r="R19212" s="183"/>
      <c r="S19212" s="183"/>
      <c r="AJ19212" s="183"/>
      <c r="AK19212" s="183"/>
      <c r="AL19212" s="183"/>
    </row>
    <row r="19213" spans="1:38">
      <c r="A19213" s="182"/>
      <c r="Q19213" s="183"/>
      <c r="R19213" s="183"/>
      <c r="S19213" s="183"/>
      <c r="AJ19213" s="183"/>
      <c r="AK19213" s="183"/>
      <c r="AL19213" s="183"/>
    </row>
    <row r="19214" spans="1:38">
      <c r="A19214" s="182"/>
      <c r="Q19214" s="183"/>
      <c r="R19214" s="183"/>
      <c r="S19214" s="183"/>
      <c r="AJ19214" s="183"/>
      <c r="AK19214" s="183"/>
      <c r="AL19214" s="183"/>
    </row>
    <row r="19215" spans="1:38">
      <c r="A19215" s="182"/>
      <c r="Q19215" s="183"/>
      <c r="R19215" s="183"/>
      <c r="S19215" s="183"/>
      <c r="AJ19215" s="183"/>
      <c r="AK19215" s="183"/>
      <c r="AL19215" s="183"/>
    </row>
    <row r="19216" spans="1:38">
      <c r="A19216" s="182"/>
      <c r="Q19216" s="183"/>
      <c r="R19216" s="183"/>
      <c r="S19216" s="183"/>
      <c r="AJ19216" s="183"/>
      <c r="AK19216" s="183"/>
      <c r="AL19216" s="183"/>
    </row>
    <row r="19217" spans="1:36">
      <c r="A19217" s="182"/>
      <c r="Q19217" s="183"/>
      <c r="R19217" s="183"/>
      <c r="S19217" s="183"/>
      <c r="AJ19217" s="183"/>
    </row>
    <row r="19218" spans="1:36">
      <c r="A19218" s="182"/>
      <c r="Q19218" s="183"/>
      <c r="R19218" s="183"/>
      <c r="S19218" s="183"/>
    </row>
    <row r="19219" spans="1:36">
      <c r="A19219" s="182"/>
      <c r="Q19219" s="183"/>
      <c r="R19219" s="183"/>
      <c r="S19219" s="183"/>
    </row>
    <row r="19220" spans="1:36">
      <c r="A19220" s="182"/>
      <c r="Q19220" s="183"/>
      <c r="R19220" s="183"/>
      <c r="S19220" s="183"/>
    </row>
    <row r="19221" spans="1:36">
      <c r="A19221" s="182"/>
      <c r="Q19221" s="183"/>
      <c r="R19221" s="183"/>
      <c r="S19221" s="183"/>
    </row>
    <row r="19222" spans="1:36">
      <c r="A19222" s="182"/>
      <c r="Q19222" s="183"/>
      <c r="R19222" s="183"/>
      <c r="S19222" s="183"/>
    </row>
    <row r="19223" spans="1:36">
      <c r="A19223" s="182"/>
      <c r="Q19223" s="183"/>
      <c r="R19223" s="183"/>
      <c r="S19223" s="183"/>
    </row>
    <row r="19224" spans="1:36">
      <c r="A19224" s="182"/>
      <c r="Q19224" s="183"/>
      <c r="R19224" s="183"/>
      <c r="S19224" s="183"/>
    </row>
    <row r="19225" spans="1:36">
      <c r="A19225" s="182"/>
      <c r="Q19225" s="183"/>
      <c r="R19225" s="183"/>
      <c r="S19225" s="183"/>
    </row>
    <row r="19226" spans="1:36">
      <c r="A19226" s="182"/>
      <c r="Q19226" s="183"/>
      <c r="R19226" s="183"/>
      <c r="S19226" s="183"/>
    </row>
    <row r="19227" spans="1:36">
      <c r="A19227" s="182"/>
      <c r="Q19227" s="183"/>
      <c r="R19227" s="183"/>
      <c r="S19227" s="183"/>
    </row>
    <row r="19228" spans="1:36">
      <c r="A19228" s="182"/>
      <c r="Q19228" s="183"/>
      <c r="R19228" s="183"/>
      <c r="S19228" s="183"/>
    </row>
    <row r="19229" spans="1:36">
      <c r="A19229" s="182"/>
      <c r="Q19229" s="183"/>
      <c r="R19229" s="183"/>
      <c r="S19229" s="183"/>
    </row>
    <row r="19230" spans="1:36">
      <c r="A19230" s="182"/>
      <c r="Q19230" s="183"/>
      <c r="R19230" s="183"/>
      <c r="S19230" s="183"/>
    </row>
    <row r="19231" spans="1:36">
      <c r="A19231" s="182"/>
      <c r="Q19231" s="183"/>
      <c r="R19231" s="183"/>
      <c r="S19231" s="183"/>
    </row>
    <row r="19232" spans="1:36">
      <c r="A19232" s="182"/>
      <c r="Q19232" s="183"/>
      <c r="R19232" s="183"/>
      <c r="S19232" s="183"/>
    </row>
    <row r="19233" spans="1:19">
      <c r="A19233" s="182"/>
      <c r="Q19233" s="183"/>
      <c r="R19233" s="183"/>
      <c r="S19233" s="183"/>
    </row>
    <row r="19234" spans="1:19">
      <c r="A19234" s="182"/>
      <c r="Q19234" s="183"/>
      <c r="R19234" s="183"/>
      <c r="S19234" s="183"/>
    </row>
    <row r="19235" spans="1:19">
      <c r="A19235" s="182"/>
      <c r="Q19235" s="183"/>
      <c r="R19235" s="183"/>
      <c r="S19235" s="183"/>
    </row>
    <row r="19236" spans="1:19">
      <c r="A19236" s="182"/>
      <c r="Q19236" s="183"/>
      <c r="R19236" s="183"/>
      <c r="S19236" s="183"/>
    </row>
    <row r="19237" spans="1:19">
      <c r="A19237" s="182"/>
      <c r="Q19237" s="183"/>
      <c r="R19237" s="183"/>
      <c r="S19237" s="183"/>
    </row>
    <row r="19238" spans="1:19">
      <c r="A19238" s="182"/>
      <c r="Q19238" s="183"/>
      <c r="R19238" s="183"/>
      <c r="S19238" s="183"/>
    </row>
    <row r="19239" spans="1:19">
      <c r="A19239" s="182"/>
      <c r="Q19239" s="183"/>
      <c r="R19239" s="183"/>
      <c r="S19239" s="183"/>
    </row>
    <row r="19240" spans="1:19">
      <c r="A19240" s="182"/>
      <c r="Q19240" s="183"/>
      <c r="R19240" s="183"/>
      <c r="S19240" s="183"/>
    </row>
    <row r="19241" spans="1:19">
      <c r="A19241" s="182"/>
      <c r="Q19241" s="183"/>
      <c r="R19241" s="183"/>
      <c r="S19241" s="183"/>
    </row>
    <row r="19242" spans="1:19">
      <c r="A19242" s="182"/>
      <c r="Q19242" s="183"/>
      <c r="R19242" s="183"/>
      <c r="S19242" s="183"/>
    </row>
    <row r="19243" spans="1:19">
      <c r="A19243" s="182"/>
      <c r="Q19243" s="183"/>
      <c r="R19243" s="183"/>
      <c r="S19243" s="183"/>
    </row>
    <row r="19244" spans="1:19">
      <c r="A19244" s="182"/>
      <c r="Q19244" s="183"/>
      <c r="R19244" s="183"/>
      <c r="S19244" s="183"/>
    </row>
    <row r="19245" spans="1:19">
      <c r="A19245" s="182"/>
      <c r="Q19245" s="183"/>
      <c r="R19245" s="183"/>
      <c r="S19245" s="183"/>
    </row>
    <row r="19246" spans="1:19">
      <c r="A19246" s="182"/>
      <c r="Q19246" s="183"/>
      <c r="R19246" s="183"/>
      <c r="S19246" s="183"/>
    </row>
    <row r="19247" spans="1:19">
      <c r="A19247" s="182"/>
      <c r="Q19247" s="183"/>
      <c r="R19247" s="183"/>
      <c r="S19247" s="183"/>
    </row>
    <row r="19248" spans="1:19">
      <c r="A19248" s="182"/>
      <c r="Q19248" s="183"/>
      <c r="R19248" s="183"/>
      <c r="S19248" s="183"/>
    </row>
    <row r="19249" spans="1:19">
      <c r="A19249" s="182"/>
      <c r="Q19249" s="183"/>
      <c r="R19249" s="183"/>
      <c r="S19249" s="183"/>
    </row>
    <row r="19250" spans="1:19">
      <c r="A19250" s="182"/>
      <c r="Q19250" s="183"/>
      <c r="R19250" s="183"/>
      <c r="S19250" s="183"/>
    </row>
    <row r="19251" spans="1:19">
      <c r="A19251" s="182"/>
      <c r="Q19251" s="183"/>
      <c r="R19251" s="183"/>
      <c r="S19251" s="183"/>
    </row>
    <row r="19252" spans="1:19">
      <c r="A19252" s="182"/>
      <c r="Q19252" s="183"/>
      <c r="R19252" s="183"/>
      <c r="S19252" s="183"/>
    </row>
    <row r="19253" spans="1:19">
      <c r="A19253" s="182"/>
      <c r="Q19253" s="183"/>
      <c r="R19253" s="183"/>
      <c r="S19253" s="183"/>
    </row>
    <row r="19254" spans="1:19">
      <c r="A19254" s="182"/>
      <c r="Q19254" s="183"/>
      <c r="R19254" s="183"/>
      <c r="S19254" s="183"/>
    </row>
    <row r="19255" spans="1:19">
      <c r="A19255" s="182"/>
      <c r="Q19255" s="183"/>
      <c r="R19255" s="183"/>
      <c r="S19255" s="183"/>
    </row>
    <row r="19256" spans="1:19">
      <c r="A19256" s="182"/>
      <c r="Q19256" s="183"/>
      <c r="R19256" s="183"/>
      <c r="S19256" s="183"/>
    </row>
    <row r="19257" spans="1:19">
      <c r="A19257" s="182"/>
      <c r="Q19257" s="183"/>
      <c r="R19257" s="183"/>
      <c r="S19257" s="183"/>
    </row>
    <row r="19258" spans="1:19">
      <c r="A19258" s="182"/>
      <c r="Q19258" s="183"/>
      <c r="R19258" s="183"/>
      <c r="S19258" s="183"/>
    </row>
    <row r="19259" spans="1:19">
      <c r="A19259" s="182"/>
      <c r="Q19259" s="183"/>
      <c r="R19259" s="183"/>
      <c r="S19259" s="183"/>
    </row>
    <row r="19260" spans="1:19">
      <c r="A19260" s="182"/>
      <c r="Q19260" s="183"/>
      <c r="R19260" s="183"/>
      <c r="S19260" s="183"/>
    </row>
    <row r="19261" spans="1:19">
      <c r="A19261" s="182"/>
      <c r="Q19261" s="183"/>
      <c r="R19261" s="183"/>
      <c r="S19261" s="183"/>
    </row>
    <row r="19262" spans="1:19">
      <c r="A19262" s="182"/>
      <c r="Q19262" s="183"/>
      <c r="R19262" s="183"/>
      <c r="S19262" s="183"/>
    </row>
    <row r="19263" spans="1:19">
      <c r="A19263" s="182"/>
      <c r="Q19263" s="183"/>
      <c r="R19263" s="183"/>
      <c r="S19263" s="183"/>
    </row>
    <row r="19264" spans="1:19">
      <c r="A19264" s="182"/>
      <c r="Q19264" s="183"/>
      <c r="R19264" s="183"/>
      <c r="S19264" s="183"/>
    </row>
    <row r="19265" spans="1:38">
      <c r="A19265" s="182"/>
      <c r="Q19265" s="183"/>
      <c r="R19265" s="183"/>
      <c r="S19265" s="183"/>
      <c r="AK19265" s="183"/>
      <c r="AL19265" s="183"/>
    </row>
    <row r="19266" spans="1:38">
      <c r="A19266" s="182"/>
      <c r="Q19266" s="183"/>
      <c r="R19266" s="183"/>
      <c r="S19266" s="183"/>
      <c r="AJ19266" s="183"/>
      <c r="AK19266" s="183"/>
      <c r="AL19266" s="183"/>
    </row>
    <row r="19267" spans="1:38">
      <c r="A19267" s="182"/>
      <c r="Q19267" s="183"/>
      <c r="R19267" s="183"/>
      <c r="S19267" s="183"/>
      <c r="AJ19267" s="183"/>
      <c r="AK19267" s="183"/>
      <c r="AL19267" s="183"/>
    </row>
    <row r="19268" spans="1:38">
      <c r="A19268" s="182"/>
      <c r="Q19268" s="183"/>
      <c r="R19268" s="183"/>
      <c r="S19268" s="183"/>
      <c r="AJ19268" s="183"/>
      <c r="AK19268" s="183"/>
      <c r="AL19268" s="183"/>
    </row>
    <row r="19269" spans="1:38">
      <c r="A19269" s="182"/>
      <c r="Q19269" s="183"/>
      <c r="R19269" s="183"/>
      <c r="S19269" s="183"/>
      <c r="AJ19269" s="183"/>
    </row>
    <row r="19270" spans="1:38">
      <c r="A19270" s="182"/>
      <c r="Q19270" s="183"/>
      <c r="R19270" s="183"/>
      <c r="S19270" s="183"/>
    </row>
    <row r="19271" spans="1:38">
      <c r="A19271" s="182"/>
      <c r="Q19271" s="183"/>
      <c r="R19271" s="183"/>
      <c r="S19271" s="183"/>
    </row>
    <row r="19272" spans="1:38">
      <c r="A19272" s="182"/>
      <c r="Q19272" s="183"/>
      <c r="R19272" s="183"/>
      <c r="S19272" s="183"/>
    </row>
    <row r="19273" spans="1:38">
      <c r="A19273" s="182"/>
      <c r="Q19273" s="183"/>
      <c r="R19273" s="183"/>
      <c r="S19273" s="183"/>
    </row>
    <row r="19274" spans="1:38">
      <c r="A19274" s="182"/>
      <c r="Q19274" s="183"/>
      <c r="R19274" s="183"/>
      <c r="S19274" s="183"/>
    </row>
    <row r="19275" spans="1:38">
      <c r="A19275" s="182"/>
      <c r="Q19275" s="183"/>
      <c r="R19275" s="183"/>
      <c r="S19275" s="183"/>
    </row>
    <row r="19276" spans="1:38">
      <c r="A19276" s="182"/>
      <c r="Q19276" s="183"/>
      <c r="R19276" s="183"/>
      <c r="S19276" s="183"/>
    </row>
    <row r="19277" spans="1:38">
      <c r="A19277" s="182"/>
      <c r="Q19277" s="183"/>
      <c r="R19277" s="183"/>
      <c r="S19277" s="183"/>
    </row>
    <row r="19278" spans="1:38">
      <c r="A19278" s="182"/>
      <c r="Q19278" s="183"/>
      <c r="R19278" s="183"/>
      <c r="S19278" s="183"/>
    </row>
    <row r="19279" spans="1:38">
      <c r="A19279" s="182"/>
      <c r="Q19279" s="183"/>
      <c r="R19279" s="183"/>
      <c r="S19279" s="183"/>
    </row>
    <row r="19280" spans="1:38">
      <c r="A19280" s="182"/>
      <c r="Q19280" s="183"/>
      <c r="R19280" s="183"/>
      <c r="S19280" s="183"/>
    </row>
    <row r="19281" spans="1:38">
      <c r="A19281" s="182"/>
      <c r="Q19281" s="183"/>
      <c r="R19281" s="183"/>
      <c r="S19281" s="183"/>
      <c r="AK19281" s="183"/>
      <c r="AL19281" s="183"/>
    </row>
    <row r="19282" spans="1:38">
      <c r="A19282" s="182"/>
      <c r="Q19282" s="183"/>
      <c r="R19282" s="183"/>
      <c r="S19282" s="183"/>
      <c r="AJ19282" s="183"/>
      <c r="AK19282" s="183"/>
      <c r="AL19282" s="183"/>
    </row>
    <row r="19283" spans="1:38">
      <c r="A19283" s="182"/>
      <c r="Q19283" s="183"/>
      <c r="R19283" s="183"/>
      <c r="S19283" s="183"/>
      <c r="AJ19283" s="183"/>
      <c r="AK19283" s="183"/>
      <c r="AL19283" s="183"/>
    </row>
    <row r="19284" spans="1:38">
      <c r="A19284" s="182"/>
      <c r="Q19284" s="183"/>
      <c r="R19284" s="183"/>
      <c r="S19284" s="183"/>
      <c r="AJ19284" s="183"/>
      <c r="AK19284" s="183"/>
      <c r="AL19284" s="183"/>
    </row>
    <row r="19285" spans="1:38">
      <c r="A19285" s="182"/>
      <c r="Q19285" s="183"/>
      <c r="R19285" s="183"/>
      <c r="S19285" s="183"/>
      <c r="AJ19285" s="183"/>
      <c r="AK19285" s="183"/>
      <c r="AL19285" s="183"/>
    </row>
    <row r="19286" spans="1:38">
      <c r="A19286" s="182"/>
      <c r="Q19286" s="183"/>
      <c r="R19286" s="183"/>
      <c r="S19286" s="183"/>
      <c r="AJ19286" s="183"/>
      <c r="AK19286" s="183"/>
      <c r="AL19286" s="183"/>
    </row>
    <row r="19287" spans="1:38">
      <c r="A19287" s="182"/>
      <c r="Q19287" s="183"/>
      <c r="R19287" s="183"/>
      <c r="S19287" s="183"/>
      <c r="AJ19287" s="183"/>
      <c r="AK19287" s="183"/>
      <c r="AL19287" s="183"/>
    </row>
    <row r="19288" spans="1:38">
      <c r="A19288" s="182"/>
      <c r="Q19288" s="183"/>
      <c r="R19288" s="183"/>
      <c r="S19288" s="183"/>
      <c r="AJ19288" s="183"/>
      <c r="AK19288" s="183"/>
      <c r="AL19288" s="183"/>
    </row>
    <row r="19289" spans="1:38">
      <c r="A19289" s="182"/>
      <c r="Q19289" s="183"/>
      <c r="R19289" s="183"/>
      <c r="S19289" s="183"/>
      <c r="AJ19289" s="183"/>
      <c r="AK19289" s="183"/>
      <c r="AL19289" s="183"/>
    </row>
    <row r="19290" spans="1:38">
      <c r="A19290" s="182"/>
      <c r="Q19290" s="183"/>
      <c r="R19290" s="183"/>
      <c r="S19290" s="183"/>
      <c r="AJ19290" s="183"/>
      <c r="AK19290" s="183"/>
      <c r="AL19290" s="183"/>
    </row>
    <row r="19291" spans="1:38">
      <c r="A19291" s="182"/>
      <c r="Q19291" s="183"/>
      <c r="R19291" s="183"/>
      <c r="S19291" s="183"/>
      <c r="AJ19291" s="183"/>
      <c r="AK19291" s="183"/>
      <c r="AL19291" s="183"/>
    </row>
    <row r="19292" spans="1:38">
      <c r="A19292" s="182"/>
      <c r="Q19292" s="183"/>
      <c r="R19292" s="183"/>
      <c r="S19292" s="183"/>
      <c r="AJ19292" s="183"/>
      <c r="AK19292" s="183"/>
      <c r="AL19292" s="183"/>
    </row>
    <row r="19293" spans="1:38">
      <c r="A19293" s="182"/>
      <c r="M19293" s="183"/>
      <c r="N19293" s="183"/>
      <c r="Q19293" s="183"/>
      <c r="R19293" s="183"/>
      <c r="S19293" s="183"/>
      <c r="AJ19293" s="183"/>
      <c r="AK19293" s="183"/>
      <c r="AL19293" s="183"/>
    </row>
    <row r="19294" spans="1:38">
      <c r="A19294" s="182"/>
      <c r="L19294" s="183"/>
      <c r="Q19294" s="183"/>
      <c r="R19294" s="183"/>
      <c r="S19294" s="183"/>
      <c r="AJ19294" s="183"/>
      <c r="AK19294" s="183"/>
      <c r="AL19294" s="183"/>
    </row>
    <row r="19295" spans="1:38">
      <c r="A19295" s="182"/>
      <c r="Q19295" s="183"/>
      <c r="R19295" s="183"/>
      <c r="S19295" s="183"/>
      <c r="AJ19295" s="183"/>
      <c r="AK19295" s="183"/>
      <c r="AL19295" s="183"/>
    </row>
    <row r="19296" spans="1:38">
      <c r="A19296" s="182"/>
      <c r="Q19296" s="183"/>
      <c r="R19296" s="183"/>
      <c r="S19296" s="183"/>
      <c r="AJ19296" s="183"/>
      <c r="AK19296" s="183"/>
      <c r="AL19296" s="183"/>
    </row>
    <row r="19297" spans="1:36">
      <c r="A19297" s="182"/>
      <c r="Q19297" s="183"/>
      <c r="R19297" s="183"/>
      <c r="S19297" s="183"/>
      <c r="AJ19297" s="183"/>
    </row>
    <row r="19298" spans="1:36">
      <c r="A19298" s="182"/>
      <c r="Q19298" s="183"/>
      <c r="R19298" s="183"/>
      <c r="S19298" s="183"/>
    </row>
    <row r="19299" spans="1:36">
      <c r="A19299" s="182"/>
      <c r="Q19299" s="183"/>
      <c r="R19299" s="183"/>
      <c r="S19299" s="183"/>
    </row>
    <row r="19300" spans="1:36">
      <c r="A19300" s="182"/>
      <c r="Q19300" s="183"/>
      <c r="R19300" s="183"/>
      <c r="S19300" s="183"/>
    </row>
    <row r="19301" spans="1:36">
      <c r="A19301" s="182"/>
      <c r="Q19301" s="183"/>
      <c r="R19301" s="183"/>
      <c r="S19301" s="183"/>
    </row>
    <row r="19302" spans="1:36">
      <c r="A19302" s="182"/>
      <c r="Q19302" s="183"/>
      <c r="R19302" s="183"/>
      <c r="S19302" s="183"/>
    </row>
    <row r="19303" spans="1:36">
      <c r="A19303" s="182"/>
      <c r="Q19303" s="183"/>
      <c r="R19303" s="183"/>
      <c r="S19303" s="183"/>
    </row>
    <row r="19304" spans="1:36">
      <c r="A19304" s="182"/>
      <c r="Q19304" s="183"/>
      <c r="R19304" s="183"/>
      <c r="S19304" s="183"/>
    </row>
    <row r="19305" spans="1:36">
      <c r="A19305" s="182"/>
      <c r="Q19305" s="183"/>
      <c r="R19305" s="183"/>
      <c r="S19305" s="183"/>
    </row>
    <row r="19306" spans="1:36">
      <c r="A19306" s="182"/>
      <c r="Q19306" s="183"/>
      <c r="R19306" s="183"/>
      <c r="S19306" s="183"/>
    </row>
    <row r="19307" spans="1:36">
      <c r="A19307" s="182"/>
      <c r="Q19307" s="183"/>
      <c r="R19307" s="183"/>
      <c r="S19307" s="183"/>
    </row>
    <row r="19308" spans="1:36">
      <c r="A19308" s="182"/>
      <c r="Q19308" s="183"/>
      <c r="R19308" s="183"/>
      <c r="S19308" s="183"/>
    </row>
    <row r="19309" spans="1:36">
      <c r="A19309" s="182"/>
      <c r="Q19309" s="183"/>
      <c r="R19309" s="183"/>
      <c r="S19309" s="183"/>
    </row>
    <row r="19310" spans="1:36">
      <c r="A19310" s="182"/>
      <c r="Q19310" s="183"/>
      <c r="R19310" s="183"/>
      <c r="S19310" s="183"/>
    </row>
    <row r="19311" spans="1:36">
      <c r="A19311" s="182"/>
      <c r="Q19311" s="183"/>
      <c r="R19311" s="183"/>
      <c r="S19311" s="183"/>
    </row>
    <row r="19312" spans="1:36">
      <c r="A19312" s="182"/>
      <c r="Q19312" s="183"/>
      <c r="R19312" s="183"/>
      <c r="S19312" s="183"/>
    </row>
    <row r="19313" spans="1:19">
      <c r="A19313" s="182"/>
      <c r="Q19313" s="183"/>
      <c r="R19313" s="183"/>
      <c r="S19313" s="183"/>
    </row>
    <row r="19314" spans="1:19">
      <c r="A19314" s="182"/>
      <c r="M19314" s="183"/>
      <c r="N19314" s="183"/>
      <c r="Q19314" s="183"/>
      <c r="R19314" s="183"/>
      <c r="S19314" s="183"/>
    </row>
    <row r="19315" spans="1:19">
      <c r="A19315" s="182"/>
      <c r="L19315" s="183"/>
      <c r="Q19315" s="183"/>
      <c r="R19315" s="183"/>
      <c r="S19315" s="183"/>
    </row>
    <row r="19316" spans="1:19">
      <c r="A19316" s="182"/>
      <c r="Q19316" s="183"/>
      <c r="R19316" s="183"/>
      <c r="S19316" s="183"/>
    </row>
    <row r="19317" spans="1:19">
      <c r="A19317" s="182"/>
      <c r="Q19317" s="183"/>
      <c r="R19317" s="183"/>
      <c r="S19317" s="183"/>
    </row>
    <row r="19318" spans="1:19">
      <c r="A19318" s="182"/>
      <c r="Q19318" s="183"/>
      <c r="R19318" s="183"/>
      <c r="S19318" s="183"/>
    </row>
    <row r="19319" spans="1:19">
      <c r="A19319" s="182"/>
      <c r="Q19319" s="183"/>
      <c r="R19319" s="183"/>
      <c r="S19319" s="183"/>
    </row>
    <row r="19320" spans="1:19">
      <c r="A19320" s="182"/>
      <c r="Q19320" s="183"/>
      <c r="R19320" s="183"/>
      <c r="S19320" s="183"/>
    </row>
    <row r="19321" spans="1:19">
      <c r="A19321" s="182"/>
      <c r="Q19321" s="183"/>
      <c r="R19321" s="183"/>
      <c r="S19321" s="183"/>
    </row>
    <row r="19322" spans="1:19">
      <c r="A19322" s="182"/>
      <c r="Q19322" s="183"/>
      <c r="R19322" s="183"/>
      <c r="S19322" s="183"/>
    </row>
    <row r="19323" spans="1:19">
      <c r="A19323" s="182"/>
      <c r="Q19323" s="183"/>
      <c r="R19323" s="183"/>
      <c r="S19323" s="183"/>
    </row>
    <row r="19324" spans="1:19">
      <c r="A19324" s="182"/>
      <c r="Q19324" s="183"/>
      <c r="R19324" s="183"/>
      <c r="S19324" s="183"/>
    </row>
    <row r="19325" spans="1:19">
      <c r="A19325" s="182"/>
      <c r="Q19325" s="183"/>
      <c r="R19325" s="183"/>
      <c r="S19325" s="183"/>
    </row>
    <row r="19326" spans="1:19">
      <c r="A19326" s="182"/>
      <c r="Q19326" s="183"/>
      <c r="R19326" s="183"/>
      <c r="S19326" s="183"/>
    </row>
    <row r="19327" spans="1:19">
      <c r="A19327" s="182"/>
      <c r="Q19327" s="183"/>
      <c r="R19327" s="183"/>
      <c r="S19327" s="183"/>
    </row>
    <row r="19328" spans="1:19">
      <c r="A19328" s="182"/>
      <c r="Q19328" s="183"/>
      <c r="R19328" s="183"/>
      <c r="S19328" s="183"/>
    </row>
    <row r="19329" spans="1:19">
      <c r="A19329" s="182"/>
      <c r="Q19329" s="183"/>
      <c r="R19329" s="183"/>
      <c r="S19329" s="183"/>
    </row>
    <row r="19330" spans="1:19">
      <c r="A19330" s="182"/>
      <c r="Q19330" s="183"/>
      <c r="R19330" s="183"/>
      <c r="S19330" s="183"/>
    </row>
    <row r="19331" spans="1:19">
      <c r="A19331" s="182"/>
      <c r="Q19331" s="183"/>
      <c r="R19331" s="183"/>
      <c r="S19331" s="183"/>
    </row>
    <row r="19332" spans="1:19">
      <c r="A19332" s="182"/>
      <c r="Q19332" s="183"/>
      <c r="R19332" s="183"/>
      <c r="S19332" s="183"/>
    </row>
    <row r="19333" spans="1:19">
      <c r="A19333" s="182"/>
      <c r="Q19333" s="183"/>
      <c r="R19333" s="183"/>
      <c r="S19333" s="183"/>
    </row>
    <row r="19334" spans="1:19">
      <c r="A19334" s="182"/>
      <c r="Q19334" s="183"/>
      <c r="R19334" s="183"/>
      <c r="S19334" s="183"/>
    </row>
    <row r="19335" spans="1:19">
      <c r="A19335" s="182"/>
      <c r="Q19335" s="183"/>
      <c r="R19335" s="183"/>
      <c r="S19335" s="183"/>
    </row>
    <row r="19336" spans="1:19">
      <c r="A19336" s="182"/>
      <c r="Q19336" s="183"/>
      <c r="R19336" s="183"/>
      <c r="S19336" s="183"/>
    </row>
    <row r="19337" spans="1:19">
      <c r="A19337" s="182"/>
      <c r="Q19337" s="183"/>
      <c r="R19337" s="183"/>
      <c r="S19337" s="183"/>
    </row>
    <row r="19338" spans="1:19">
      <c r="A19338" s="182"/>
      <c r="Q19338" s="183"/>
      <c r="R19338" s="183"/>
      <c r="S19338" s="183"/>
    </row>
    <row r="19339" spans="1:19">
      <c r="A19339" s="182"/>
      <c r="Q19339" s="183"/>
      <c r="R19339" s="183"/>
      <c r="S19339" s="183"/>
    </row>
    <row r="19340" spans="1:19">
      <c r="A19340" s="182"/>
      <c r="Q19340" s="183"/>
      <c r="R19340" s="183"/>
      <c r="S19340" s="183"/>
    </row>
    <row r="19341" spans="1:19">
      <c r="A19341" s="182"/>
      <c r="Q19341" s="183"/>
      <c r="R19341" s="183"/>
      <c r="S19341" s="183"/>
    </row>
    <row r="19342" spans="1:19">
      <c r="A19342" s="182"/>
      <c r="Q19342" s="183"/>
      <c r="R19342" s="183"/>
      <c r="S19342" s="183"/>
    </row>
    <row r="19343" spans="1:19">
      <c r="A19343" s="182"/>
      <c r="Q19343" s="183"/>
      <c r="R19343" s="183"/>
      <c r="S19343" s="183"/>
    </row>
    <row r="19344" spans="1:19">
      <c r="A19344" s="182"/>
      <c r="Q19344" s="183"/>
      <c r="R19344" s="183"/>
      <c r="S19344" s="183"/>
    </row>
    <row r="19345" spans="1:19">
      <c r="A19345" s="182"/>
      <c r="Q19345" s="183"/>
      <c r="R19345" s="183"/>
      <c r="S19345" s="183"/>
    </row>
    <row r="19346" spans="1:19">
      <c r="A19346" s="182"/>
      <c r="Q19346" s="183"/>
      <c r="R19346" s="183"/>
      <c r="S19346" s="183"/>
    </row>
    <row r="19347" spans="1:19">
      <c r="A19347" s="182"/>
      <c r="Q19347" s="183"/>
      <c r="R19347" s="183"/>
      <c r="S19347" s="183"/>
    </row>
    <row r="19348" spans="1:19">
      <c r="A19348" s="182"/>
      <c r="Q19348" s="183"/>
      <c r="R19348" s="183"/>
      <c r="S19348" s="183"/>
    </row>
    <row r="19349" spans="1:19">
      <c r="A19349" s="182"/>
      <c r="Q19349" s="183"/>
      <c r="R19349" s="183"/>
      <c r="S19349" s="183"/>
    </row>
    <row r="19350" spans="1:19">
      <c r="A19350" s="182"/>
      <c r="Q19350" s="183"/>
      <c r="R19350" s="183"/>
      <c r="S19350" s="183"/>
    </row>
    <row r="19351" spans="1:19">
      <c r="A19351" s="182"/>
      <c r="Q19351" s="183"/>
      <c r="R19351" s="183"/>
      <c r="S19351" s="183"/>
    </row>
    <row r="19352" spans="1:19">
      <c r="A19352" s="182"/>
      <c r="Q19352" s="183"/>
      <c r="R19352" s="183"/>
      <c r="S19352" s="183"/>
    </row>
    <row r="19353" spans="1:19">
      <c r="A19353" s="182"/>
      <c r="Q19353" s="183"/>
      <c r="R19353" s="183"/>
      <c r="S19353" s="183"/>
    </row>
    <row r="19354" spans="1:19">
      <c r="A19354" s="182"/>
      <c r="Q19354" s="183"/>
      <c r="R19354" s="183"/>
      <c r="S19354" s="183"/>
    </row>
    <row r="19355" spans="1:19">
      <c r="A19355" s="182"/>
      <c r="Q19355" s="183"/>
      <c r="R19355" s="183"/>
      <c r="S19355" s="183"/>
    </row>
    <row r="19356" spans="1:19">
      <c r="A19356" s="182"/>
      <c r="Q19356" s="183"/>
      <c r="R19356" s="183"/>
      <c r="S19356" s="183"/>
    </row>
    <row r="19357" spans="1:19">
      <c r="A19357" s="182"/>
      <c r="Q19357" s="183"/>
      <c r="R19357" s="183"/>
      <c r="S19357" s="183"/>
    </row>
    <row r="19358" spans="1:19">
      <c r="A19358" s="182"/>
      <c r="Q19358" s="183"/>
      <c r="R19358" s="183"/>
      <c r="S19358" s="183"/>
    </row>
    <row r="19359" spans="1:19">
      <c r="A19359" s="182"/>
      <c r="Q19359" s="183"/>
      <c r="R19359" s="183"/>
      <c r="S19359" s="183"/>
    </row>
    <row r="19360" spans="1:19">
      <c r="A19360" s="182"/>
      <c r="Q19360" s="183"/>
      <c r="R19360" s="183"/>
      <c r="S19360" s="183"/>
    </row>
    <row r="19361" spans="1:38">
      <c r="A19361" s="182"/>
      <c r="Q19361" s="183"/>
      <c r="R19361" s="183"/>
      <c r="S19361" s="183"/>
      <c r="AK19361" s="183"/>
      <c r="AL19361" s="183"/>
    </row>
    <row r="19362" spans="1:38">
      <c r="A19362" s="182"/>
      <c r="Q19362" s="183"/>
      <c r="R19362" s="183"/>
      <c r="S19362" s="183"/>
      <c r="AJ19362" s="183"/>
      <c r="AK19362" s="183"/>
      <c r="AL19362" s="183"/>
    </row>
    <row r="19363" spans="1:38">
      <c r="A19363" s="182"/>
      <c r="Q19363" s="183"/>
      <c r="R19363" s="183"/>
      <c r="S19363" s="183"/>
      <c r="AJ19363" s="183"/>
      <c r="AK19363" s="183"/>
      <c r="AL19363" s="183"/>
    </row>
    <row r="19364" spans="1:38">
      <c r="A19364" s="182"/>
      <c r="Q19364" s="183"/>
      <c r="R19364" s="183"/>
      <c r="S19364" s="183"/>
      <c r="AJ19364" s="183"/>
      <c r="AK19364" s="183"/>
      <c r="AL19364" s="183"/>
    </row>
    <row r="19365" spans="1:38">
      <c r="A19365" s="182"/>
      <c r="Q19365" s="183"/>
      <c r="R19365" s="183"/>
      <c r="S19365" s="183"/>
      <c r="AJ19365" s="183"/>
    </row>
    <row r="19366" spans="1:38">
      <c r="A19366" s="182"/>
      <c r="Q19366" s="183"/>
      <c r="R19366" s="183"/>
      <c r="S19366" s="183"/>
    </row>
    <row r="19367" spans="1:38">
      <c r="A19367" s="182"/>
      <c r="Q19367" s="183"/>
      <c r="R19367" s="183"/>
      <c r="S19367" s="183"/>
    </row>
    <row r="19368" spans="1:38">
      <c r="A19368" s="182"/>
      <c r="Q19368" s="183"/>
      <c r="R19368" s="183"/>
      <c r="S19368" s="183"/>
    </row>
    <row r="19369" spans="1:38">
      <c r="A19369" s="182"/>
      <c r="Q19369" s="183"/>
      <c r="R19369" s="183"/>
      <c r="S19369" s="183"/>
    </row>
    <row r="19370" spans="1:38">
      <c r="A19370" s="182"/>
      <c r="Q19370" s="183"/>
      <c r="R19370" s="183"/>
      <c r="S19370" s="183"/>
    </row>
    <row r="19371" spans="1:38">
      <c r="A19371" s="182"/>
      <c r="M19371" s="183"/>
      <c r="N19371" s="183"/>
      <c r="Q19371" s="183"/>
      <c r="R19371" s="183"/>
      <c r="S19371" s="183"/>
    </row>
    <row r="19372" spans="1:38">
      <c r="A19372" s="182"/>
      <c r="L19372" s="183"/>
      <c r="Q19372" s="183"/>
      <c r="R19372" s="183"/>
      <c r="S19372" s="183"/>
    </row>
    <row r="19373" spans="1:38">
      <c r="A19373" s="182"/>
      <c r="Q19373" s="183"/>
      <c r="R19373" s="183"/>
      <c r="S19373" s="183"/>
      <c r="AK19373" s="183"/>
      <c r="AL19373" s="183"/>
    </row>
    <row r="19374" spans="1:38">
      <c r="A19374" s="182"/>
      <c r="Q19374" s="183"/>
      <c r="R19374" s="183"/>
      <c r="S19374" s="183"/>
      <c r="AJ19374" s="183"/>
      <c r="AK19374" s="183"/>
      <c r="AL19374" s="183"/>
    </row>
    <row r="19375" spans="1:38">
      <c r="A19375" s="182"/>
      <c r="Q19375" s="183"/>
      <c r="R19375" s="183"/>
      <c r="S19375" s="183"/>
      <c r="AJ19375" s="183"/>
      <c r="AK19375" s="183"/>
      <c r="AL19375" s="183"/>
    </row>
    <row r="19376" spans="1:38">
      <c r="A19376" s="182"/>
      <c r="Q19376" s="183"/>
      <c r="R19376" s="183"/>
      <c r="S19376" s="183"/>
      <c r="AJ19376" s="183"/>
      <c r="AK19376" s="183"/>
      <c r="AL19376" s="183"/>
    </row>
    <row r="19377" spans="1:38">
      <c r="A19377" s="182"/>
      <c r="Q19377" s="183"/>
      <c r="R19377" s="183"/>
      <c r="S19377" s="183"/>
      <c r="AJ19377" s="183"/>
      <c r="AK19377" s="183"/>
      <c r="AL19377" s="183"/>
    </row>
    <row r="19378" spans="1:38">
      <c r="A19378" s="182"/>
      <c r="Q19378" s="183"/>
      <c r="R19378" s="183"/>
      <c r="S19378" s="183"/>
      <c r="AJ19378" s="183"/>
      <c r="AK19378" s="183"/>
      <c r="AL19378" s="183"/>
    </row>
    <row r="19379" spans="1:38">
      <c r="A19379" s="182"/>
      <c r="Q19379" s="183"/>
      <c r="R19379" s="183"/>
      <c r="S19379" s="183"/>
      <c r="AJ19379" s="183"/>
      <c r="AK19379" s="183"/>
      <c r="AL19379" s="183"/>
    </row>
    <row r="19380" spans="1:38">
      <c r="A19380" s="182"/>
      <c r="Q19380" s="183"/>
      <c r="R19380" s="183"/>
      <c r="S19380" s="183"/>
      <c r="AJ19380" s="183"/>
      <c r="AK19380" s="183"/>
      <c r="AL19380" s="183"/>
    </row>
    <row r="19381" spans="1:38">
      <c r="A19381" s="182"/>
      <c r="Q19381" s="183"/>
      <c r="R19381" s="183"/>
      <c r="S19381" s="183"/>
      <c r="AJ19381" s="183"/>
    </row>
    <row r="19382" spans="1:38">
      <c r="A19382" s="182"/>
      <c r="Q19382" s="183"/>
      <c r="R19382" s="183"/>
      <c r="S19382" s="183"/>
    </row>
    <row r="19383" spans="1:38">
      <c r="A19383" s="182"/>
      <c r="Q19383" s="183"/>
      <c r="R19383" s="183"/>
      <c r="S19383" s="183"/>
    </row>
    <row r="19384" spans="1:38">
      <c r="A19384" s="182"/>
      <c r="Q19384" s="183"/>
      <c r="R19384" s="183"/>
      <c r="S19384" s="183"/>
    </row>
    <row r="19385" spans="1:38">
      <c r="A19385" s="182"/>
      <c r="Q19385" s="183"/>
      <c r="R19385" s="183"/>
      <c r="S19385" s="183"/>
    </row>
    <row r="19386" spans="1:38">
      <c r="A19386" s="182"/>
      <c r="Q19386" s="183"/>
      <c r="R19386" s="183"/>
      <c r="S19386" s="183"/>
    </row>
    <row r="19387" spans="1:38">
      <c r="A19387" s="182"/>
      <c r="Q19387" s="183"/>
      <c r="R19387" s="183"/>
      <c r="S19387" s="183"/>
    </row>
    <row r="19388" spans="1:38">
      <c r="A19388" s="182"/>
      <c r="Q19388" s="183"/>
      <c r="R19388" s="183"/>
      <c r="S19388" s="183"/>
    </row>
    <row r="19389" spans="1:38">
      <c r="A19389" s="182"/>
      <c r="Q19389" s="183"/>
      <c r="R19389" s="183"/>
      <c r="S19389" s="183"/>
      <c r="AK19389" s="183"/>
      <c r="AL19389" s="183"/>
    </row>
    <row r="19390" spans="1:38">
      <c r="A19390" s="182"/>
      <c r="Q19390" s="183"/>
      <c r="R19390" s="183"/>
      <c r="S19390" s="183"/>
      <c r="AJ19390" s="183"/>
      <c r="AK19390" s="183"/>
      <c r="AL19390" s="183"/>
    </row>
    <row r="19391" spans="1:38">
      <c r="A19391" s="182"/>
      <c r="Q19391" s="183"/>
      <c r="R19391" s="183"/>
      <c r="S19391" s="183"/>
      <c r="AJ19391" s="183"/>
      <c r="AK19391" s="183"/>
      <c r="AL19391" s="183"/>
    </row>
    <row r="19392" spans="1:38">
      <c r="A19392" s="182"/>
      <c r="Q19392" s="183"/>
      <c r="R19392" s="183"/>
      <c r="S19392" s="183"/>
      <c r="AJ19392" s="183"/>
      <c r="AK19392" s="183"/>
      <c r="AL19392" s="183"/>
    </row>
    <row r="19393" spans="1:38">
      <c r="A19393" s="182"/>
      <c r="Q19393" s="183"/>
      <c r="R19393" s="183"/>
      <c r="S19393" s="183"/>
      <c r="AJ19393" s="183"/>
      <c r="AK19393" s="183"/>
      <c r="AL19393" s="183"/>
    </row>
    <row r="19394" spans="1:38">
      <c r="A19394" s="182"/>
      <c r="Q19394" s="183"/>
      <c r="R19394" s="183"/>
      <c r="S19394" s="183"/>
      <c r="AJ19394" s="183"/>
      <c r="AK19394" s="183"/>
      <c r="AL19394" s="183"/>
    </row>
    <row r="19395" spans="1:38">
      <c r="A19395" s="182"/>
      <c r="Q19395" s="183"/>
      <c r="R19395" s="183"/>
      <c r="S19395" s="183"/>
      <c r="AJ19395" s="183"/>
      <c r="AK19395" s="183"/>
      <c r="AL19395" s="183"/>
    </row>
    <row r="19396" spans="1:38">
      <c r="A19396" s="182"/>
      <c r="Q19396" s="183"/>
      <c r="R19396" s="183"/>
      <c r="S19396" s="183"/>
      <c r="AJ19396" s="183"/>
      <c r="AK19396" s="183"/>
      <c r="AL19396" s="183"/>
    </row>
    <row r="19397" spans="1:38">
      <c r="A19397" s="182"/>
      <c r="Q19397" s="183"/>
      <c r="R19397" s="183"/>
      <c r="S19397" s="183"/>
      <c r="AJ19397" s="183"/>
    </row>
    <row r="19398" spans="1:38">
      <c r="A19398" s="182"/>
      <c r="Q19398" s="183"/>
      <c r="R19398" s="183"/>
      <c r="S19398" s="183"/>
    </row>
    <row r="19399" spans="1:38">
      <c r="A19399" s="182"/>
      <c r="Q19399" s="183"/>
      <c r="R19399" s="183"/>
      <c r="S19399" s="183"/>
    </row>
    <row r="19400" spans="1:38">
      <c r="A19400" s="182"/>
      <c r="Q19400" s="183"/>
      <c r="R19400" s="183"/>
      <c r="S19400" s="183"/>
    </row>
    <row r="19401" spans="1:38">
      <c r="A19401" s="182"/>
      <c r="Q19401" s="183"/>
      <c r="R19401" s="183"/>
      <c r="S19401" s="183"/>
    </row>
    <row r="19402" spans="1:38">
      <c r="A19402" s="182"/>
      <c r="Q19402" s="183"/>
      <c r="R19402" s="183"/>
      <c r="S19402" s="183"/>
    </row>
    <row r="19403" spans="1:38">
      <c r="A19403" s="182"/>
      <c r="Q19403" s="183"/>
      <c r="R19403" s="183"/>
      <c r="S19403" s="183"/>
    </row>
    <row r="19404" spans="1:38">
      <c r="A19404" s="182"/>
      <c r="Q19404" s="183"/>
      <c r="R19404" s="183"/>
      <c r="S19404" s="183"/>
    </row>
    <row r="19405" spans="1:38">
      <c r="A19405" s="182"/>
      <c r="Q19405" s="183"/>
      <c r="R19405" s="183"/>
      <c r="S19405" s="183"/>
      <c r="AK19405" s="183"/>
      <c r="AL19405" s="183"/>
    </row>
    <row r="19406" spans="1:38">
      <c r="A19406" s="182"/>
      <c r="Q19406" s="183"/>
      <c r="R19406" s="183"/>
      <c r="S19406" s="183"/>
      <c r="AJ19406" s="183"/>
      <c r="AK19406" s="183"/>
      <c r="AL19406" s="183"/>
    </row>
    <row r="19407" spans="1:38">
      <c r="A19407" s="182"/>
      <c r="Q19407" s="183"/>
      <c r="R19407" s="183"/>
      <c r="S19407" s="183"/>
      <c r="AJ19407" s="183"/>
      <c r="AK19407" s="183"/>
      <c r="AL19407" s="183"/>
    </row>
    <row r="19408" spans="1:38">
      <c r="A19408" s="182"/>
      <c r="Q19408" s="183"/>
      <c r="R19408" s="183"/>
      <c r="S19408" s="183"/>
      <c r="AJ19408" s="183"/>
      <c r="AK19408" s="183"/>
      <c r="AL19408" s="183"/>
    </row>
    <row r="19409" spans="1:38">
      <c r="A19409" s="182"/>
      <c r="Q19409" s="183"/>
      <c r="R19409" s="183"/>
      <c r="S19409" s="183"/>
      <c r="AJ19409" s="183"/>
    </row>
    <row r="19410" spans="1:38">
      <c r="A19410" s="182"/>
      <c r="Q19410" s="183"/>
      <c r="R19410" s="183"/>
      <c r="S19410" s="183"/>
    </row>
    <row r="19411" spans="1:38">
      <c r="A19411" s="182"/>
      <c r="Q19411" s="183"/>
      <c r="R19411" s="183"/>
      <c r="S19411" s="183"/>
    </row>
    <row r="19412" spans="1:38">
      <c r="A19412" s="182"/>
      <c r="Q19412" s="183"/>
      <c r="R19412" s="183"/>
      <c r="S19412" s="183"/>
    </row>
    <row r="19413" spans="1:38">
      <c r="A19413" s="182"/>
      <c r="Q19413" s="183"/>
      <c r="R19413" s="183"/>
      <c r="S19413" s="183"/>
      <c r="AK19413" s="183"/>
      <c r="AL19413" s="183"/>
    </row>
    <row r="19414" spans="1:38">
      <c r="A19414" s="182"/>
      <c r="Q19414" s="183"/>
      <c r="R19414" s="183"/>
      <c r="S19414" s="183"/>
      <c r="AJ19414" s="183"/>
      <c r="AK19414" s="183"/>
      <c r="AL19414" s="183"/>
    </row>
    <row r="19415" spans="1:38">
      <c r="A19415" s="182"/>
      <c r="Q19415" s="183"/>
      <c r="R19415" s="183"/>
      <c r="S19415" s="183"/>
      <c r="AJ19415" s="183"/>
      <c r="AK19415" s="183"/>
      <c r="AL19415" s="183"/>
    </row>
    <row r="19416" spans="1:38">
      <c r="A19416" s="182"/>
      <c r="Q19416" s="183"/>
      <c r="R19416" s="183"/>
      <c r="S19416" s="183"/>
      <c r="AJ19416" s="183"/>
      <c r="AK19416" s="183"/>
      <c r="AL19416" s="183"/>
    </row>
    <row r="19417" spans="1:38">
      <c r="A19417" s="182"/>
      <c r="Q19417" s="183"/>
      <c r="R19417" s="183"/>
      <c r="S19417" s="183"/>
      <c r="AJ19417" s="183"/>
      <c r="AK19417" s="183"/>
      <c r="AL19417" s="183"/>
    </row>
    <row r="19418" spans="1:38">
      <c r="A19418" s="182"/>
      <c r="Q19418" s="183"/>
      <c r="R19418" s="183"/>
      <c r="S19418" s="183"/>
      <c r="AJ19418" s="183"/>
      <c r="AK19418" s="183"/>
      <c r="AL19418" s="183"/>
    </row>
    <row r="19419" spans="1:38">
      <c r="A19419" s="182"/>
      <c r="Q19419" s="183"/>
      <c r="R19419" s="183"/>
      <c r="S19419" s="183"/>
      <c r="AJ19419" s="183"/>
      <c r="AK19419" s="183"/>
      <c r="AL19419" s="183"/>
    </row>
    <row r="19420" spans="1:38">
      <c r="A19420" s="182"/>
      <c r="Q19420" s="183"/>
      <c r="R19420" s="183"/>
      <c r="S19420" s="183"/>
      <c r="AJ19420" s="183"/>
      <c r="AK19420" s="183"/>
      <c r="AL19420" s="183"/>
    </row>
    <row r="19421" spans="1:38">
      <c r="A19421" s="182"/>
      <c r="Q19421" s="183"/>
      <c r="R19421" s="183"/>
      <c r="S19421" s="183"/>
      <c r="AJ19421" s="183"/>
    </row>
    <row r="19422" spans="1:38">
      <c r="A19422" s="182"/>
      <c r="Q19422" s="183"/>
      <c r="R19422" s="183"/>
      <c r="S19422" s="183"/>
    </row>
    <row r="19423" spans="1:38">
      <c r="A19423" s="182"/>
      <c r="Q19423" s="183"/>
      <c r="R19423" s="183"/>
      <c r="S19423" s="183"/>
    </row>
    <row r="19424" spans="1:38">
      <c r="A19424" s="182"/>
      <c r="Q19424" s="183"/>
      <c r="R19424" s="183"/>
      <c r="S19424" s="183"/>
    </row>
    <row r="19425" spans="1:38">
      <c r="A19425" s="182"/>
      <c r="Q19425" s="183"/>
      <c r="R19425" s="183"/>
      <c r="S19425" s="183"/>
    </row>
    <row r="19426" spans="1:38">
      <c r="A19426" s="182"/>
      <c r="Q19426" s="183"/>
      <c r="R19426" s="183"/>
      <c r="S19426" s="183"/>
    </row>
    <row r="19427" spans="1:38">
      <c r="A19427" s="182"/>
      <c r="Q19427" s="183"/>
      <c r="R19427" s="183"/>
      <c r="S19427" s="183"/>
    </row>
    <row r="19428" spans="1:38">
      <c r="A19428" s="182"/>
      <c r="Q19428" s="183"/>
      <c r="R19428" s="183"/>
      <c r="S19428" s="183"/>
    </row>
    <row r="19429" spans="1:38">
      <c r="A19429" s="182"/>
      <c r="Q19429" s="183"/>
      <c r="R19429" s="183"/>
      <c r="S19429" s="183"/>
    </row>
    <row r="19430" spans="1:38">
      <c r="A19430" s="182"/>
      <c r="Q19430" s="183"/>
      <c r="R19430" s="183"/>
      <c r="S19430" s="183"/>
    </row>
    <row r="19431" spans="1:38">
      <c r="A19431" s="182"/>
      <c r="Q19431" s="183"/>
      <c r="R19431" s="183"/>
      <c r="S19431" s="183"/>
    </row>
    <row r="19432" spans="1:38">
      <c r="A19432" s="182"/>
      <c r="Q19432" s="183"/>
      <c r="R19432" s="183"/>
      <c r="S19432" s="183"/>
    </row>
    <row r="19433" spans="1:38">
      <c r="A19433" s="182"/>
      <c r="Q19433" s="183"/>
      <c r="R19433" s="183"/>
      <c r="S19433" s="183"/>
      <c r="AK19433" s="183"/>
      <c r="AL19433" s="183"/>
    </row>
    <row r="19434" spans="1:38">
      <c r="A19434" s="182"/>
      <c r="Q19434" s="183"/>
      <c r="R19434" s="183"/>
      <c r="S19434" s="183"/>
      <c r="AJ19434" s="183"/>
      <c r="AK19434" s="183"/>
      <c r="AL19434" s="183"/>
    </row>
    <row r="19435" spans="1:38">
      <c r="A19435" s="182"/>
      <c r="Q19435" s="183"/>
      <c r="R19435" s="183"/>
      <c r="S19435" s="183"/>
      <c r="AJ19435" s="183"/>
      <c r="AK19435" s="183"/>
      <c r="AL19435" s="183"/>
    </row>
    <row r="19436" spans="1:38">
      <c r="A19436" s="182"/>
      <c r="Q19436" s="183"/>
      <c r="R19436" s="183"/>
      <c r="S19436" s="183"/>
      <c r="AJ19436" s="183"/>
      <c r="AK19436" s="183"/>
      <c r="AL19436" s="183"/>
    </row>
    <row r="19437" spans="1:38">
      <c r="A19437" s="182"/>
      <c r="Q19437" s="183"/>
      <c r="R19437" s="183"/>
      <c r="S19437" s="183"/>
      <c r="AJ19437" s="183"/>
    </row>
    <row r="19438" spans="1:38">
      <c r="A19438" s="182"/>
      <c r="Q19438" s="183"/>
      <c r="R19438" s="183"/>
      <c r="S19438" s="183"/>
    </row>
    <row r="19439" spans="1:38">
      <c r="A19439" s="182"/>
      <c r="Q19439" s="183"/>
      <c r="R19439" s="183"/>
      <c r="S19439" s="183"/>
    </row>
    <row r="19440" spans="1:38">
      <c r="A19440" s="182"/>
      <c r="Q19440" s="183"/>
      <c r="R19440" s="183"/>
      <c r="S19440" s="183"/>
    </row>
    <row r="19441" spans="1:19">
      <c r="A19441" s="182"/>
      <c r="Q19441" s="183"/>
      <c r="R19441" s="183"/>
      <c r="S19441" s="183"/>
    </row>
    <row r="19442" spans="1:19">
      <c r="A19442" s="182"/>
      <c r="Q19442" s="183"/>
      <c r="R19442" s="183"/>
      <c r="S19442" s="183"/>
    </row>
    <row r="19443" spans="1:19">
      <c r="A19443" s="182"/>
      <c r="Q19443" s="183"/>
      <c r="R19443" s="183"/>
      <c r="S19443" s="183"/>
    </row>
    <row r="19444" spans="1:19">
      <c r="A19444" s="182"/>
      <c r="Q19444" s="183"/>
      <c r="R19444" s="183"/>
      <c r="S19444" s="183"/>
    </row>
    <row r="19445" spans="1:19">
      <c r="A19445" s="182"/>
      <c r="Q19445" s="183"/>
      <c r="R19445" s="183"/>
      <c r="S19445" s="183"/>
    </row>
    <row r="19446" spans="1:19">
      <c r="A19446" s="182"/>
      <c r="Q19446" s="183"/>
      <c r="R19446" s="183"/>
      <c r="S19446" s="183"/>
    </row>
    <row r="19447" spans="1:19">
      <c r="A19447" s="182"/>
      <c r="Q19447" s="183"/>
      <c r="R19447" s="183"/>
      <c r="S19447" s="183"/>
    </row>
    <row r="19448" spans="1:19">
      <c r="A19448" s="182"/>
      <c r="Q19448" s="183"/>
      <c r="R19448" s="183"/>
      <c r="S19448" s="183"/>
    </row>
    <row r="19449" spans="1:19">
      <c r="A19449" s="182"/>
      <c r="Q19449" s="183"/>
      <c r="R19449" s="183"/>
      <c r="S19449" s="183"/>
    </row>
    <row r="19450" spans="1:19">
      <c r="A19450" s="182"/>
      <c r="Q19450" s="183"/>
      <c r="R19450" s="183"/>
      <c r="S19450" s="183"/>
    </row>
    <row r="19451" spans="1:19">
      <c r="A19451" s="182"/>
      <c r="Q19451" s="183"/>
      <c r="R19451" s="183"/>
      <c r="S19451" s="183"/>
    </row>
    <row r="19452" spans="1:19">
      <c r="A19452" s="182"/>
      <c r="Q19452" s="183"/>
      <c r="R19452" s="183"/>
      <c r="S19452" s="183"/>
    </row>
    <row r="19453" spans="1:19">
      <c r="A19453" s="182"/>
      <c r="Q19453" s="183"/>
      <c r="R19453" s="183"/>
      <c r="S19453" s="183"/>
    </row>
    <row r="19454" spans="1:19">
      <c r="A19454" s="182"/>
      <c r="Q19454" s="183"/>
      <c r="R19454" s="183"/>
      <c r="S19454" s="183"/>
    </row>
    <row r="19455" spans="1:19">
      <c r="A19455" s="182"/>
      <c r="Q19455" s="183"/>
      <c r="R19455" s="183"/>
      <c r="S19455" s="183"/>
    </row>
    <row r="19456" spans="1:19">
      <c r="A19456" s="182"/>
      <c r="Q19456" s="183"/>
      <c r="R19456" s="183"/>
      <c r="S19456" s="183"/>
    </row>
    <row r="19457" spans="1:19">
      <c r="A19457" s="182"/>
      <c r="Q19457" s="183"/>
      <c r="R19457" s="183"/>
      <c r="S19457" s="183"/>
    </row>
    <row r="19458" spans="1:19">
      <c r="A19458" s="182"/>
      <c r="Q19458" s="183"/>
      <c r="R19458" s="183"/>
      <c r="S19458" s="183"/>
    </row>
    <row r="19459" spans="1:19">
      <c r="A19459" s="182"/>
      <c r="Q19459" s="183"/>
      <c r="R19459" s="183"/>
      <c r="S19459" s="183"/>
    </row>
    <row r="19460" spans="1:19">
      <c r="A19460" s="182"/>
      <c r="Q19460" s="183"/>
      <c r="R19460" s="183"/>
      <c r="S19460" s="183"/>
    </row>
    <row r="19461" spans="1:19">
      <c r="A19461" s="182"/>
      <c r="Q19461" s="183"/>
      <c r="R19461" s="183"/>
      <c r="S19461" s="183"/>
    </row>
    <row r="19462" spans="1:19">
      <c r="A19462" s="182"/>
      <c r="Q19462" s="183"/>
      <c r="R19462" s="183"/>
      <c r="S19462" s="183"/>
    </row>
    <row r="19463" spans="1:19">
      <c r="A19463" s="182"/>
      <c r="Q19463" s="183"/>
      <c r="R19463" s="183"/>
      <c r="S19463" s="183"/>
    </row>
    <row r="19464" spans="1:19">
      <c r="A19464" s="182"/>
      <c r="Q19464" s="183"/>
      <c r="R19464" s="183"/>
      <c r="S19464" s="183"/>
    </row>
    <row r="19465" spans="1:19">
      <c r="A19465" s="182"/>
      <c r="Q19465" s="183"/>
      <c r="R19465" s="183"/>
      <c r="S19465" s="183"/>
    </row>
    <row r="19466" spans="1:19">
      <c r="A19466" s="182"/>
      <c r="Q19466" s="183"/>
      <c r="R19466" s="183"/>
      <c r="S19466" s="183"/>
    </row>
    <row r="19467" spans="1:19">
      <c r="A19467" s="182"/>
      <c r="Q19467" s="183"/>
      <c r="R19467" s="183"/>
      <c r="S19467" s="183"/>
    </row>
    <row r="19468" spans="1:19">
      <c r="A19468" s="182"/>
      <c r="Q19468" s="183"/>
      <c r="R19468" s="183"/>
      <c r="S19468" s="183"/>
    </row>
    <row r="19469" spans="1:19">
      <c r="A19469" s="182"/>
      <c r="Q19469" s="183"/>
      <c r="R19469" s="183"/>
      <c r="S19469" s="183"/>
    </row>
    <row r="19470" spans="1:19">
      <c r="A19470" s="182"/>
      <c r="Q19470" s="183"/>
      <c r="R19470" s="183"/>
      <c r="S19470" s="183"/>
    </row>
    <row r="19471" spans="1:19">
      <c r="A19471" s="182"/>
      <c r="Q19471" s="183"/>
      <c r="R19471" s="183"/>
      <c r="S19471" s="183"/>
    </row>
    <row r="19472" spans="1:19">
      <c r="A19472" s="182"/>
      <c r="Q19472" s="183"/>
      <c r="R19472" s="183"/>
      <c r="S19472" s="183"/>
    </row>
    <row r="19473" spans="1:38">
      <c r="A19473" s="182"/>
      <c r="Q19473" s="183"/>
      <c r="R19473" s="183"/>
      <c r="S19473" s="183"/>
      <c r="AK19473" s="183"/>
      <c r="AL19473" s="183"/>
    </row>
    <row r="19474" spans="1:38">
      <c r="A19474" s="182"/>
      <c r="Q19474" s="183"/>
      <c r="R19474" s="183"/>
      <c r="S19474" s="183"/>
      <c r="AJ19474" s="183"/>
      <c r="AK19474" s="183"/>
      <c r="AL19474" s="183"/>
    </row>
    <row r="19475" spans="1:38">
      <c r="A19475" s="182"/>
      <c r="Q19475" s="183"/>
      <c r="R19475" s="183"/>
      <c r="S19475" s="183"/>
      <c r="AJ19475" s="183"/>
      <c r="AK19475" s="183"/>
      <c r="AL19475" s="183"/>
    </row>
    <row r="19476" spans="1:38">
      <c r="A19476" s="182"/>
      <c r="Q19476" s="183"/>
      <c r="R19476" s="183"/>
      <c r="S19476" s="183"/>
      <c r="AJ19476" s="183"/>
      <c r="AK19476" s="183"/>
      <c r="AL19476" s="183"/>
    </row>
    <row r="19477" spans="1:38">
      <c r="A19477" s="182"/>
      <c r="Q19477" s="183"/>
      <c r="R19477" s="183"/>
      <c r="S19477" s="183"/>
      <c r="AJ19477" s="183"/>
    </row>
    <row r="19478" spans="1:38">
      <c r="A19478" s="182"/>
      <c r="Q19478" s="183"/>
      <c r="R19478" s="183"/>
      <c r="S19478" s="183"/>
    </row>
    <row r="19479" spans="1:38">
      <c r="A19479" s="182"/>
      <c r="Q19479" s="183"/>
      <c r="R19479" s="183"/>
      <c r="S19479" s="183"/>
    </row>
    <row r="19480" spans="1:38">
      <c r="A19480" s="182"/>
      <c r="M19480" s="183"/>
      <c r="N19480" s="183"/>
      <c r="O19480" s="183"/>
      <c r="Q19480" s="183"/>
      <c r="R19480" s="183"/>
      <c r="S19480" s="183"/>
    </row>
    <row r="19481" spans="1:38">
      <c r="A19481" s="182"/>
      <c r="L19481" s="183"/>
      <c r="M19481" s="183"/>
      <c r="Q19481" s="183"/>
      <c r="R19481" s="183"/>
      <c r="S19481" s="183"/>
      <c r="AK19481" s="183"/>
      <c r="AL19481" s="183"/>
    </row>
    <row r="19482" spans="1:38">
      <c r="A19482" s="182"/>
      <c r="Q19482" s="183"/>
      <c r="R19482" s="183"/>
      <c r="S19482" s="183"/>
      <c r="AJ19482" s="183"/>
      <c r="AK19482" s="183"/>
      <c r="AL19482" s="183"/>
    </row>
    <row r="19483" spans="1:38">
      <c r="A19483" s="182"/>
      <c r="Q19483" s="183"/>
      <c r="R19483" s="183"/>
      <c r="S19483" s="183"/>
      <c r="AJ19483" s="183"/>
      <c r="AK19483" s="183"/>
      <c r="AL19483" s="183"/>
    </row>
    <row r="19484" spans="1:38">
      <c r="A19484" s="182"/>
      <c r="Q19484" s="183"/>
      <c r="R19484" s="183"/>
      <c r="S19484" s="183"/>
      <c r="AJ19484" s="183"/>
      <c r="AK19484" s="183"/>
      <c r="AL19484" s="183"/>
    </row>
    <row r="19485" spans="1:38">
      <c r="A19485" s="182"/>
      <c r="Q19485" s="183"/>
      <c r="R19485" s="183"/>
      <c r="S19485" s="183"/>
      <c r="AJ19485" s="183"/>
      <c r="AK19485" s="183"/>
      <c r="AL19485" s="183"/>
    </row>
    <row r="19486" spans="1:38">
      <c r="A19486" s="182"/>
      <c r="Q19486" s="183"/>
      <c r="R19486" s="183"/>
      <c r="S19486" s="183"/>
      <c r="AJ19486" s="183"/>
      <c r="AK19486" s="183"/>
      <c r="AL19486" s="183"/>
    </row>
    <row r="19487" spans="1:38">
      <c r="A19487" s="182"/>
      <c r="Q19487" s="183"/>
      <c r="R19487" s="183"/>
      <c r="S19487" s="183"/>
      <c r="AJ19487" s="183"/>
      <c r="AK19487" s="183"/>
      <c r="AL19487" s="183"/>
    </row>
    <row r="19488" spans="1:38">
      <c r="A19488" s="182"/>
      <c r="Q19488" s="183"/>
      <c r="R19488" s="183"/>
      <c r="S19488" s="183"/>
      <c r="AJ19488" s="183"/>
      <c r="AK19488" s="183"/>
      <c r="AL19488" s="183"/>
    </row>
    <row r="19489" spans="1:38">
      <c r="A19489" s="182"/>
      <c r="Q19489" s="183"/>
      <c r="R19489" s="183"/>
      <c r="S19489" s="183"/>
      <c r="AJ19489" s="183"/>
      <c r="AK19489" s="183"/>
      <c r="AL19489" s="183"/>
    </row>
    <row r="19490" spans="1:38">
      <c r="A19490" s="182"/>
      <c r="Q19490" s="183"/>
      <c r="R19490" s="183"/>
      <c r="S19490" s="183"/>
      <c r="AJ19490" s="183"/>
      <c r="AK19490" s="183"/>
      <c r="AL19490" s="183"/>
    </row>
    <row r="19491" spans="1:38">
      <c r="A19491" s="182"/>
      <c r="M19491" s="183"/>
      <c r="N19491" s="183"/>
      <c r="Q19491" s="183"/>
      <c r="R19491" s="183"/>
      <c r="S19491" s="183"/>
      <c r="AJ19491" s="183"/>
      <c r="AK19491" s="183"/>
      <c r="AL19491" s="183"/>
    </row>
    <row r="19492" spans="1:38">
      <c r="A19492" s="182"/>
      <c r="L19492" s="183"/>
      <c r="Q19492" s="183"/>
      <c r="R19492" s="183"/>
      <c r="S19492" s="183"/>
      <c r="AJ19492" s="183"/>
      <c r="AK19492" s="183"/>
      <c r="AL19492" s="183"/>
    </row>
    <row r="19493" spans="1:38">
      <c r="A19493" s="182"/>
      <c r="Q19493" s="183"/>
      <c r="R19493" s="183"/>
      <c r="S19493" s="183"/>
      <c r="AJ19493" s="183"/>
    </row>
    <row r="19494" spans="1:38">
      <c r="A19494" s="182"/>
      <c r="Q19494" s="183"/>
      <c r="R19494" s="183"/>
      <c r="S19494" s="183"/>
    </row>
    <row r="19495" spans="1:38">
      <c r="A19495" s="182"/>
      <c r="Q19495" s="183"/>
      <c r="R19495" s="183"/>
      <c r="S19495" s="183"/>
    </row>
    <row r="19496" spans="1:38">
      <c r="A19496" s="182"/>
      <c r="Q19496" s="183"/>
      <c r="R19496" s="183"/>
      <c r="S19496" s="183"/>
    </row>
    <row r="19497" spans="1:38">
      <c r="A19497" s="182"/>
      <c r="Q19497" s="183"/>
      <c r="R19497" s="183"/>
      <c r="S19497" s="183"/>
      <c r="AK19497" s="183"/>
      <c r="AL19497" s="183"/>
    </row>
    <row r="19498" spans="1:38">
      <c r="A19498" s="182"/>
      <c r="Q19498" s="183"/>
      <c r="R19498" s="183"/>
      <c r="S19498" s="183"/>
      <c r="AJ19498" s="183"/>
      <c r="AK19498" s="183"/>
      <c r="AL19498" s="183"/>
    </row>
    <row r="19499" spans="1:38">
      <c r="A19499" s="182"/>
      <c r="Q19499" s="183"/>
      <c r="R19499" s="183"/>
      <c r="S19499" s="183"/>
      <c r="AJ19499" s="183"/>
      <c r="AK19499" s="183"/>
      <c r="AL19499" s="183"/>
    </row>
    <row r="19500" spans="1:38">
      <c r="A19500" s="182"/>
      <c r="Q19500" s="183"/>
      <c r="R19500" s="183"/>
      <c r="S19500" s="183"/>
      <c r="AJ19500" s="183"/>
      <c r="AK19500" s="183"/>
      <c r="AL19500" s="183"/>
    </row>
    <row r="19501" spans="1:38">
      <c r="A19501" s="182"/>
      <c r="Q19501" s="183"/>
      <c r="R19501" s="183"/>
      <c r="S19501" s="183"/>
      <c r="AJ19501" s="183"/>
      <c r="AK19501" s="183"/>
      <c r="AL19501" s="183"/>
    </row>
    <row r="19502" spans="1:38">
      <c r="A19502" s="182"/>
      <c r="Q19502" s="183"/>
      <c r="R19502" s="183"/>
      <c r="S19502" s="183"/>
      <c r="AJ19502" s="183"/>
      <c r="AK19502" s="183"/>
      <c r="AL19502" s="183"/>
    </row>
    <row r="19503" spans="1:38">
      <c r="A19503" s="182"/>
      <c r="Q19503" s="183"/>
      <c r="R19503" s="183"/>
      <c r="S19503" s="183"/>
      <c r="AJ19503" s="183"/>
      <c r="AK19503" s="183"/>
      <c r="AL19503" s="183"/>
    </row>
    <row r="19504" spans="1:38">
      <c r="A19504" s="182"/>
      <c r="M19504" s="183"/>
      <c r="N19504" s="183"/>
      <c r="O19504" s="183"/>
      <c r="Q19504" s="183"/>
      <c r="R19504" s="183"/>
      <c r="S19504" s="183"/>
      <c r="AJ19504" s="183"/>
      <c r="AK19504" s="183"/>
      <c r="AL19504" s="183"/>
    </row>
    <row r="19505" spans="1:38">
      <c r="A19505" s="182"/>
      <c r="L19505" s="183"/>
      <c r="M19505" s="183"/>
      <c r="Q19505" s="183"/>
      <c r="R19505" s="183"/>
      <c r="S19505" s="183"/>
      <c r="AJ19505" s="183"/>
    </row>
    <row r="19506" spans="1:38">
      <c r="A19506" s="182"/>
      <c r="Q19506" s="183"/>
      <c r="R19506" s="183"/>
      <c r="S19506" s="183"/>
    </row>
    <row r="19507" spans="1:38">
      <c r="A19507" s="182"/>
      <c r="Q19507" s="183"/>
      <c r="R19507" s="183"/>
      <c r="S19507" s="183"/>
    </row>
    <row r="19508" spans="1:38">
      <c r="A19508" s="182"/>
      <c r="Q19508" s="183"/>
      <c r="R19508" s="183"/>
      <c r="S19508" s="183"/>
    </row>
    <row r="19509" spans="1:38">
      <c r="A19509" s="182"/>
      <c r="Q19509" s="183"/>
      <c r="R19509" s="183"/>
      <c r="S19509" s="183"/>
      <c r="AK19509" s="183"/>
      <c r="AL19509" s="183"/>
    </row>
    <row r="19510" spans="1:38">
      <c r="A19510" s="182"/>
      <c r="Q19510" s="183"/>
      <c r="R19510" s="183"/>
      <c r="S19510" s="183"/>
      <c r="AJ19510" s="183"/>
      <c r="AK19510" s="183"/>
      <c r="AL19510" s="183"/>
    </row>
    <row r="19511" spans="1:38">
      <c r="A19511" s="182"/>
      <c r="Q19511" s="183"/>
      <c r="R19511" s="183"/>
      <c r="S19511" s="183"/>
      <c r="AJ19511" s="183"/>
      <c r="AK19511" s="183"/>
      <c r="AL19511" s="183"/>
    </row>
    <row r="19512" spans="1:38">
      <c r="A19512" s="182"/>
      <c r="Q19512" s="183"/>
      <c r="R19512" s="183"/>
      <c r="S19512" s="183"/>
      <c r="AJ19512" s="183"/>
      <c r="AK19512" s="183"/>
      <c r="AL19512" s="183"/>
    </row>
    <row r="19513" spans="1:38">
      <c r="A19513" s="182"/>
      <c r="Q19513" s="183"/>
      <c r="R19513" s="183"/>
      <c r="S19513" s="183"/>
      <c r="AJ19513" s="183"/>
    </row>
    <row r="19514" spans="1:38">
      <c r="A19514" s="182"/>
      <c r="Q19514" s="183"/>
      <c r="R19514" s="183"/>
      <c r="S19514" s="183"/>
    </row>
    <row r="19515" spans="1:38">
      <c r="A19515" s="182"/>
      <c r="Q19515" s="183"/>
      <c r="R19515" s="183"/>
      <c r="S19515" s="183"/>
    </row>
    <row r="19516" spans="1:38">
      <c r="A19516" s="182"/>
      <c r="Q19516" s="183"/>
      <c r="R19516" s="183"/>
      <c r="S19516" s="183"/>
    </row>
    <row r="19517" spans="1:38">
      <c r="A19517" s="182"/>
      <c r="Q19517" s="183"/>
      <c r="R19517" s="183"/>
      <c r="S19517" s="183"/>
    </row>
    <row r="19518" spans="1:38">
      <c r="A19518" s="182"/>
      <c r="Q19518" s="183"/>
      <c r="R19518" s="183"/>
      <c r="S19518" s="183"/>
    </row>
    <row r="19519" spans="1:38">
      <c r="A19519" s="182"/>
      <c r="Q19519" s="183"/>
      <c r="R19519" s="183"/>
      <c r="S19519" s="183"/>
    </row>
    <row r="19520" spans="1:38">
      <c r="A19520" s="182"/>
      <c r="Q19520" s="183"/>
      <c r="R19520" s="183"/>
      <c r="S19520" s="183"/>
    </row>
    <row r="19521" spans="1:19">
      <c r="A19521" s="182"/>
      <c r="Q19521" s="183"/>
      <c r="R19521" s="183"/>
      <c r="S19521" s="183"/>
    </row>
    <row r="19522" spans="1:19">
      <c r="A19522" s="182"/>
      <c r="Q19522" s="183"/>
      <c r="R19522" s="183"/>
      <c r="S19522" s="183"/>
    </row>
    <row r="19523" spans="1:19">
      <c r="A19523" s="182"/>
      <c r="Q19523" s="183"/>
      <c r="R19523" s="183"/>
      <c r="S19523" s="183"/>
    </row>
    <row r="19524" spans="1:19">
      <c r="A19524" s="182"/>
      <c r="Q19524" s="183"/>
      <c r="R19524" s="183"/>
      <c r="S19524" s="183"/>
    </row>
    <row r="19525" spans="1:19">
      <c r="A19525" s="182"/>
      <c r="Q19525" s="183"/>
      <c r="R19525" s="183"/>
      <c r="S19525" s="183"/>
    </row>
    <row r="19526" spans="1:19">
      <c r="A19526" s="182"/>
      <c r="Q19526" s="183"/>
      <c r="R19526" s="183"/>
      <c r="S19526" s="183"/>
    </row>
    <row r="19527" spans="1:19">
      <c r="A19527" s="182"/>
      <c r="Q19527" s="183"/>
      <c r="R19527" s="183"/>
      <c r="S19527" s="183"/>
    </row>
    <row r="19528" spans="1:19">
      <c r="A19528" s="182"/>
      <c r="Q19528" s="183"/>
      <c r="R19528" s="183"/>
      <c r="S19528" s="183"/>
    </row>
    <row r="19529" spans="1:19">
      <c r="A19529" s="182"/>
      <c r="Q19529" s="183"/>
      <c r="R19529" s="183"/>
      <c r="S19529" s="183"/>
    </row>
    <row r="19530" spans="1:19">
      <c r="A19530" s="182"/>
      <c r="Q19530" s="183"/>
      <c r="R19530" s="183"/>
      <c r="S19530" s="183"/>
    </row>
    <row r="19531" spans="1:19">
      <c r="A19531" s="182"/>
      <c r="Q19531" s="183"/>
      <c r="R19531" s="183"/>
      <c r="S19531" s="183"/>
    </row>
    <row r="19532" spans="1:19">
      <c r="A19532" s="182"/>
      <c r="Q19532" s="183"/>
      <c r="R19532" s="183"/>
      <c r="S19532" s="183"/>
    </row>
    <row r="19533" spans="1:19">
      <c r="A19533" s="182"/>
      <c r="Q19533" s="183"/>
      <c r="R19533" s="183"/>
      <c r="S19533" s="183"/>
    </row>
    <row r="19534" spans="1:19">
      <c r="A19534" s="182"/>
      <c r="Q19534" s="183"/>
      <c r="R19534" s="183"/>
      <c r="S19534" s="183"/>
    </row>
    <row r="19535" spans="1:19">
      <c r="A19535" s="182"/>
      <c r="Q19535" s="183"/>
      <c r="R19535" s="183"/>
      <c r="S19535" s="183"/>
    </row>
    <row r="19536" spans="1:19">
      <c r="A19536" s="182"/>
      <c r="Q19536" s="183"/>
      <c r="R19536" s="183"/>
      <c r="S19536" s="183"/>
    </row>
    <row r="19537" spans="1:38">
      <c r="A19537" s="182"/>
      <c r="Q19537" s="183"/>
      <c r="R19537" s="183"/>
      <c r="S19537" s="183"/>
      <c r="AK19537" s="183"/>
      <c r="AL19537" s="183"/>
    </row>
    <row r="19538" spans="1:38">
      <c r="A19538" s="182"/>
      <c r="Q19538" s="183"/>
      <c r="R19538" s="183"/>
      <c r="S19538" s="183"/>
      <c r="AJ19538" s="183"/>
      <c r="AK19538" s="183"/>
      <c r="AL19538" s="183"/>
    </row>
    <row r="19539" spans="1:38">
      <c r="A19539" s="182"/>
      <c r="Q19539" s="183"/>
      <c r="R19539" s="183"/>
      <c r="S19539" s="183"/>
      <c r="AJ19539" s="183"/>
      <c r="AK19539" s="183"/>
      <c r="AL19539" s="183"/>
    </row>
    <row r="19540" spans="1:38">
      <c r="A19540" s="182"/>
      <c r="Q19540" s="183"/>
      <c r="R19540" s="183"/>
      <c r="S19540" s="183"/>
      <c r="AJ19540" s="183"/>
      <c r="AK19540" s="183"/>
      <c r="AL19540" s="183"/>
    </row>
    <row r="19541" spans="1:38">
      <c r="A19541" s="182"/>
      <c r="Q19541" s="183"/>
      <c r="R19541" s="183"/>
      <c r="S19541" s="183"/>
      <c r="AJ19541" s="183"/>
    </row>
    <row r="19542" spans="1:38">
      <c r="A19542" s="182"/>
      <c r="Q19542" s="183"/>
      <c r="R19542" s="183"/>
      <c r="S19542" s="183"/>
    </row>
    <row r="19543" spans="1:38">
      <c r="A19543" s="182"/>
      <c r="Q19543" s="183"/>
      <c r="R19543" s="183"/>
      <c r="S19543" s="183"/>
    </row>
    <row r="19544" spans="1:38">
      <c r="A19544" s="182"/>
      <c r="Q19544" s="183"/>
      <c r="R19544" s="183"/>
      <c r="S19544" s="183"/>
    </row>
    <row r="19545" spans="1:38">
      <c r="A19545" s="182"/>
      <c r="Q19545" s="183"/>
      <c r="R19545" s="183"/>
      <c r="S19545" s="183"/>
      <c r="AK19545" s="183"/>
      <c r="AL19545" s="183"/>
    </row>
    <row r="19546" spans="1:38">
      <c r="A19546" s="182"/>
      <c r="Q19546" s="183"/>
      <c r="R19546" s="183"/>
      <c r="S19546" s="183"/>
      <c r="AJ19546" s="183"/>
      <c r="AK19546" s="183"/>
      <c r="AL19546" s="183"/>
    </row>
    <row r="19547" spans="1:38">
      <c r="A19547" s="182"/>
      <c r="Q19547" s="183"/>
      <c r="R19547" s="183"/>
      <c r="S19547" s="183"/>
      <c r="AJ19547" s="183"/>
      <c r="AK19547" s="183"/>
      <c r="AL19547" s="183"/>
    </row>
    <row r="19548" spans="1:38">
      <c r="A19548" s="182"/>
      <c r="Q19548" s="183"/>
      <c r="R19548" s="183"/>
      <c r="S19548" s="183"/>
      <c r="AJ19548" s="183"/>
      <c r="AK19548" s="183"/>
      <c r="AL19548" s="183"/>
    </row>
    <row r="19549" spans="1:38">
      <c r="A19549" s="182"/>
      <c r="Q19549" s="183"/>
      <c r="R19549" s="183"/>
      <c r="S19549" s="183"/>
      <c r="AJ19549" s="183"/>
    </row>
    <row r="19550" spans="1:38">
      <c r="A19550" s="182"/>
      <c r="Q19550" s="183"/>
      <c r="R19550" s="183"/>
      <c r="S19550" s="183"/>
    </row>
    <row r="19551" spans="1:38">
      <c r="A19551" s="182"/>
      <c r="Q19551" s="183"/>
      <c r="R19551" s="183"/>
      <c r="S19551" s="183"/>
    </row>
    <row r="19552" spans="1:38">
      <c r="A19552" s="182"/>
      <c r="Q19552" s="183"/>
      <c r="R19552" s="183"/>
      <c r="S19552" s="183"/>
    </row>
    <row r="19553" spans="1:38">
      <c r="A19553" s="182"/>
      <c r="Q19553" s="183"/>
      <c r="R19553" s="183"/>
      <c r="S19553" s="183"/>
      <c r="AK19553" s="183"/>
      <c r="AL19553" s="183"/>
    </row>
    <row r="19554" spans="1:38">
      <c r="A19554" s="182"/>
      <c r="Q19554" s="183"/>
      <c r="R19554" s="183"/>
      <c r="S19554" s="183"/>
      <c r="AJ19554" s="183"/>
      <c r="AK19554" s="183"/>
      <c r="AL19554" s="183"/>
    </row>
    <row r="19555" spans="1:38">
      <c r="A19555" s="182"/>
      <c r="Q19555" s="183"/>
      <c r="R19555" s="183"/>
      <c r="S19555" s="183"/>
      <c r="AJ19555" s="183"/>
      <c r="AK19555" s="183"/>
      <c r="AL19555" s="183"/>
    </row>
    <row r="19556" spans="1:38">
      <c r="A19556" s="182"/>
      <c r="Q19556" s="183"/>
      <c r="R19556" s="183"/>
      <c r="S19556" s="183"/>
      <c r="AJ19556" s="183"/>
      <c r="AK19556" s="183"/>
      <c r="AL19556" s="183"/>
    </row>
    <row r="19557" spans="1:38">
      <c r="A19557" s="182"/>
      <c r="Q19557" s="183"/>
      <c r="R19557" s="183"/>
      <c r="S19557" s="183"/>
      <c r="AJ19557" s="183"/>
      <c r="AK19557" s="183"/>
      <c r="AL19557" s="183"/>
    </row>
    <row r="19558" spans="1:38">
      <c r="A19558" s="182"/>
      <c r="Q19558" s="183"/>
      <c r="R19558" s="183"/>
      <c r="S19558" s="183"/>
      <c r="AJ19558" s="183"/>
      <c r="AK19558" s="183"/>
      <c r="AL19558" s="183"/>
    </row>
    <row r="19559" spans="1:38">
      <c r="A19559" s="182"/>
      <c r="Q19559" s="183"/>
      <c r="R19559" s="183"/>
      <c r="S19559" s="183"/>
      <c r="AJ19559" s="183"/>
      <c r="AK19559" s="183"/>
      <c r="AL19559" s="183"/>
    </row>
    <row r="19560" spans="1:38">
      <c r="A19560" s="182"/>
      <c r="Q19560" s="183"/>
      <c r="R19560" s="183"/>
      <c r="S19560" s="183"/>
      <c r="AJ19560" s="183"/>
      <c r="AK19560" s="183"/>
      <c r="AL19560" s="183"/>
    </row>
    <row r="19561" spans="1:38">
      <c r="A19561" s="182"/>
      <c r="Q19561" s="183"/>
      <c r="R19561" s="183"/>
      <c r="S19561" s="183"/>
      <c r="AJ19561" s="183"/>
      <c r="AK19561" s="183"/>
      <c r="AL19561" s="183"/>
    </row>
    <row r="19562" spans="1:38">
      <c r="A19562" s="182"/>
      <c r="Q19562" s="183"/>
      <c r="R19562" s="183"/>
      <c r="S19562" s="183"/>
      <c r="AJ19562" s="183"/>
      <c r="AK19562" s="183"/>
      <c r="AL19562" s="183"/>
    </row>
    <row r="19563" spans="1:38">
      <c r="A19563" s="182"/>
      <c r="Q19563" s="183"/>
      <c r="R19563" s="183"/>
      <c r="S19563" s="183"/>
      <c r="AJ19563" s="183"/>
      <c r="AK19563" s="183"/>
      <c r="AL19563" s="183"/>
    </row>
    <row r="19564" spans="1:38">
      <c r="A19564" s="182"/>
      <c r="Q19564" s="183"/>
      <c r="R19564" s="183"/>
      <c r="S19564" s="183"/>
      <c r="AJ19564" s="183"/>
      <c r="AK19564" s="183"/>
      <c r="AL19564" s="183"/>
    </row>
    <row r="19565" spans="1:38">
      <c r="A19565" s="182"/>
      <c r="Q19565" s="183"/>
      <c r="R19565" s="183"/>
      <c r="S19565" s="183"/>
      <c r="AJ19565" s="183"/>
    </row>
    <row r="19566" spans="1:38">
      <c r="A19566" s="182"/>
      <c r="Q19566" s="183"/>
      <c r="R19566" s="183"/>
      <c r="S19566" s="183"/>
    </row>
    <row r="19567" spans="1:38">
      <c r="A19567" s="182"/>
      <c r="Q19567" s="183"/>
      <c r="R19567" s="183"/>
      <c r="S19567" s="183"/>
    </row>
    <row r="19568" spans="1:38">
      <c r="A19568" s="182"/>
      <c r="Q19568" s="183"/>
      <c r="R19568" s="183"/>
      <c r="S19568" s="183"/>
    </row>
    <row r="19569" spans="1:38">
      <c r="A19569" s="182"/>
      <c r="Q19569" s="183"/>
      <c r="R19569" s="183"/>
      <c r="S19569" s="183"/>
      <c r="AK19569" s="183"/>
      <c r="AL19569" s="183"/>
    </row>
    <row r="19570" spans="1:38">
      <c r="A19570" s="182"/>
      <c r="Q19570" s="183"/>
      <c r="R19570" s="183"/>
      <c r="S19570" s="183"/>
      <c r="AJ19570" s="183"/>
      <c r="AK19570" s="183"/>
      <c r="AL19570" s="183"/>
    </row>
    <row r="19571" spans="1:38">
      <c r="A19571" s="182"/>
      <c r="N19571" s="183"/>
      <c r="O19571" s="183"/>
      <c r="Q19571" s="183"/>
      <c r="R19571" s="183"/>
      <c r="S19571" s="183"/>
      <c r="AJ19571" s="183"/>
      <c r="AK19571" s="183"/>
      <c r="AL19571" s="183"/>
    </row>
    <row r="19572" spans="1:38">
      <c r="A19572" s="182"/>
      <c r="M19572" s="183"/>
      <c r="Q19572" s="183"/>
      <c r="R19572" s="183"/>
      <c r="S19572" s="183"/>
      <c r="AJ19572" s="183"/>
      <c r="AK19572" s="183"/>
      <c r="AL19572" s="183"/>
    </row>
    <row r="19573" spans="1:38">
      <c r="A19573" s="182"/>
      <c r="Q19573" s="183"/>
      <c r="R19573" s="183"/>
      <c r="S19573" s="183"/>
      <c r="AJ19573" s="183"/>
    </row>
    <row r="19574" spans="1:38">
      <c r="A19574" s="182"/>
      <c r="Q19574" s="183"/>
      <c r="R19574" s="183"/>
      <c r="S19574" s="183"/>
    </row>
    <row r="19575" spans="1:38">
      <c r="A19575" s="182"/>
      <c r="Q19575" s="183"/>
      <c r="R19575" s="183"/>
      <c r="S19575" s="183"/>
    </row>
    <row r="19576" spans="1:38">
      <c r="A19576" s="182"/>
      <c r="Q19576" s="183"/>
      <c r="R19576" s="183"/>
      <c r="S19576" s="183"/>
    </row>
    <row r="19577" spans="1:38">
      <c r="A19577" s="182"/>
      <c r="Q19577" s="183"/>
      <c r="R19577" s="183"/>
      <c r="S19577" s="183"/>
    </row>
    <row r="19578" spans="1:38">
      <c r="A19578" s="182"/>
      <c r="Q19578" s="183"/>
      <c r="R19578" s="183"/>
      <c r="S19578" s="183"/>
    </row>
    <row r="19579" spans="1:38">
      <c r="A19579" s="182"/>
      <c r="Q19579" s="183"/>
      <c r="R19579" s="183"/>
      <c r="S19579" s="183"/>
    </row>
    <row r="19580" spans="1:38">
      <c r="A19580" s="182"/>
      <c r="Q19580" s="183"/>
      <c r="R19580" s="183"/>
      <c r="S19580" s="183"/>
    </row>
    <row r="19581" spans="1:38">
      <c r="A19581" s="182"/>
      <c r="Q19581" s="183"/>
      <c r="R19581" s="183"/>
      <c r="S19581" s="183"/>
    </row>
    <row r="19582" spans="1:38">
      <c r="A19582" s="182"/>
      <c r="Q19582" s="183"/>
      <c r="R19582" s="183"/>
      <c r="S19582" s="183"/>
    </row>
    <row r="19583" spans="1:38">
      <c r="A19583" s="182"/>
      <c r="Q19583" s="183"/>
      <c r="R19583" s="183"/>
      <c r="S19583" s="183"/>
    </row>
    <row r="19584" spans="1:38">
      <c r="A19584" s="182"/>
      <c r="Q19584" s="183"/>
      <c r="R19584" s="183"/>
      <c r="S19584" s="183"/>
    </row>
    <row r="19585" spans="1:38">
      <c r="A19585" s="182"/>
      <c r="Q19585" s="183"/>
      <c r="R19585" s="183"/>
      <c r="S19585" s="183"/>
      <c r="AK19585" s="183"/>
      <c r="AL19585" s="183"/>
    </row>
    <row r="19586" spans="1:38">
      <c r="A19586" s="182"/>
      <c r="Q19586" s="183"/>
      <c r="R19586" s="183"/>
      <c r="S19586" s="183"/>
      <c r="AJ19586" s="183"/>
      <c r="AK19586" s="183"/>
      <c r="AL19586" s="183"/>
    </row>
    <row r="19587" spans="1:38">
      <c r="A19587" s="182"/>
      <c r="Q19587" s="183"/>
      <c r="R19587" s="183"/>
      <c r="S19587" s="183"/>
      <c r="AJ19587" s="183"/>
      <c r="AK19587" s="183"/>
      <c r="AL19587" s="183"/>
    </row>
    <row r="19588" spans="1:38">
      <c r="A19588" s="182"/>
      <c r="Q19588" s="183"/>
      <c r="R19588" s="183"/>
      <c r="S19588" s="183"/>
      <c r="AJ19588" s="183"/>
      <c r="AK19588" s="183"/>
      <c r="AL19588" s="183"/>
    </row>
    <row r="19589" spans="1:38">
      <c r="A19589" s="182"/>
      <c r="Q19589" s="183"/>
      <c r="R19589" s="183"/>
      <c r="S19589" s="183"/>
      <c r="AJ19589" s="183"/>
      <c r="AK19589" s="183"/>
      <c r="AL19589" s="183"/>
    </row>
    <row r="19590" spans="1:38">
      <c r="A19590" s="182"/>
      <c r="Q19590" s="183"/>
      <c r="R19590" s="183"/>
      <c r="S19590" s="183"/>
      <c r="AJ19590" s="183"/>
      <c r="AK19590" s="183"/>
      <c r="AL19590" s="183"/>
    </row>
    <row r="19591" spans="1:38">
      <c r="A19591" s="182"/>
      <c r="Q19591" s="183"/>
      <c r="R19591" s="183"/>
      <c r="S19591" s="183"/>
      <c r="AJ19591" s="183"/>
      <c r="AK19591" s="183"/>
      <c r="AL19591" s="183"/>
    </row>
    <row r="19592" spans="1:38">
      <c r="A19592" s="182"/>
      <c r="Q19592" s="183"/>
      <c r="R19592" s="183"/>
      <c r="S19592" s="183"/>
      <c r="AJ19592" s="183"/>
      <c r="AK19592" s="183"/>
      <c r="AL19592" s="183"/>
    </row>
    <row r="19593" spans="1:38">
      <c r="A19593" s="182"/>
      <c r="Q19593" s="183"/>
      <c r="R19593" s="183"/>
      <c r="S19593" s="183"/>
      <c r="AJ19593" s="183"/>
      <c r="AK19593" s="183"/>
      <c r="AL19593" s="183"/>
    </row>
    <row r="19594" spans="1:38">
      <c r="A19594" s="182"/>
      <c r="Q19594" s="183"/>
      <c r="R19594" s="183"/>
      <c r="S19594" s="183"/>
      <c r="AJ19594" s="183"/>
      <c r="AK19594" s="183"/>
      <c r="AL19594" s="183"/>
    </row>
    <row r="19595" spans="1:38">
      <c r="A19595" s="182"/>
      <c r="Q19595" s="183"/>
      <c r="R19595" s="183"/>
      <c r="S19595" s="183"/>
      <c r="AJ19595" s="183"/>
      <c r="AK19595" s="183"/>
      <c r="AL19595" s="183"/>
    </row>
    <row r="19596" spans="1:38">
      <c r="A19596" s="182"/>
      <c r="Q19596" s="183"/>
      <c r="R19596" s="183"/>
      <c r="S19596" s="183"/>
      <c r="AJ19596" s="183"/>
      <c r="AK19596" s="183"/>
      <c r="AL19596" s="183"/>
    </row>
    <row r="19597" spans="1:38">
      <c r="A19597" s="182"/>
      <c r="Q19597" s="183"/>
      <c r="R19597" s="183"/>
      <c r="S19597" s="183"/>
      <c r="AJ19597" s="183"/>
      <c r="AK19597" s="183"/>
      <c r="AL19597" s="183"/>
    </row>
    <row r="19598" spans="1:38">
      <c r="A19598" s="182"/>
      <c r="Q19598" s="183"/>
      <c r="R19598" s="183"/>
      <c r="S19598" s="183"/>
      <c r="AJ19598" s="183"/>
      <c r="AK19598" s="183"/>
      <c r="AL19598" s="183"/>
    </row>
    <row r="19599" spans="1:38">
      <c r="A19599" s="182"/>
      <c r="Q19599" s="183"/>
      <c r="R19599" s="183"/>
      <c r="S19599" s="183"/>
      <c r="AJ19599" s="183"/>
      <c r="AK19599" s="183"/>
      <c r="AL19599" s="183"/>
    </row>
    <row r="19600" spans="1:38">
      <c r="A19600" s="182"/>
      <c r="Q19600" s="183"/>
      <c r="R19600" s="183"/>
      <c r="S19600" s="183"/>
      <c r="AJ19600" s="183"/>
      <c r="AK19600" s="183"/>
      <c r="AL19600" s="183"/>
    </row>
    <row r="19601" spans="1:38">
      <c r="A19601" s="182"/>
      <c r="Q19601" s="183"/>
      <c r="R19601" s="183"/>
      <c r="S19601" s="183"/>
      <c r="AJ19601" s="183"/>
      <c r="AK19601" s="183"/>
      <c r="AL19601" s="183"/>
    </row>
    <row r="19602" spans="1:38">
      <c r="A19602" s="182"/>
      <c r="Q19602" s="183"/>
      <c r="R19602" s="183"/>
      <c r="S19602" s="183"/>
      <c r="AJ19602" s="183"/>
      <c r="AK19602" s="183"/>
      <c r="AL19602" s="183"/>
    </row>
    <row r="19603" spans="1:38">
      <c r="A19603" s="182"/>
      <c r="Q19603" s="183"/>
      <c r="R19603" s="183"/>
      <c r="S19603" s="183"/>
      <c r="AJ19603" s="183"/>
      <c r="AK19603" s="183"/>
      <c r="AL19603" s="183"/>
    </row>
    <row r="19604" spans="1:38">
      <c r="A19604" s="182"/>
      <c r="N19604" s="183"/>
      <c r="O19604" s="183"/>
      <c r="Q19604" s="183"/>
      <c r="R19604" s="183"/>
      <c r="S19604" s="183"/>
      <c r="AJ19604" s="183"/>
      <c r="AK19604" s="183"/>
      <c r="AL19604" s="183"/>
    </row>
    <row r="19605" spans="1:38">
      <c r="A19605" s="182"/>
      <c r="M19605" s="183"/>
      <c r="Q19605" s="183"/>
      <c r="R19605" s="183"/>
      <c r="S19605" s="183"/>
      <c r="AJ19605" s="183"/>
    </row>
    <row r="19606" spans="1:38">
      <c r="A19606" s="182"/>
      <c r="Q19606" s="183"/>
      <c r="R19606" s="183"/>
      <c r="S19606" s="183"/>
    </row>
    <row r="19607" spans="1:38">
      <c r="A19607" s="182"/>
      <c r="Q19607" s="183"/>
      <c r="R19607" s="183"/>
      <c r="S19607" s="183"/>
    </row>
    <row r="19608" spans="1:38">
      <c r="A19608" s="182"/>
      <c r="Q19608" s="183"/>
      <c r="R19608" s="183"/>
      <c r="S19608" s="183"/>
    </row>
    <row r="19609" spans="1:38">
      <c r="A19609" s="182"/>
      <c r="Q19609" s="183"/>
      <c r="R19609" s="183"/>
      <c r="S19609" s="183"/>
    </row>
    <row r="19610" spans="1:38">
      <c r="A19610" s="182"/>
      <c r="Q19610" s="183"/>
      <c r="R19610" s="183"/>
      <c r="S19610" s="183"/>
    </row>
    <row r="19611" spans="1:38">
      <c r="A19611" s="182"/>
      <c r="Q19611" s="183"/>
      <c r="R19611" s="183"/>
      <c r="S19611" s="183"/>
    </row>
    <row r="19612" spans="1:38">
      <c r="A19612" s="182"/>
      <c r="Q19612" s="183"/>
      <c r="R19612" s="183"/>
      <c r="S19612" s="183"/>
    </row>
    <row r="19613" spans="1:38">
      <c r="A19613" s="182"/>
      <c r="Q19613" s="183"/>
      <c r="R19613" s="183"/>
      <c r="S19613" s="183"/>
      <c r="AK19613" s="183"/>
      <c r="AL19613" s="183"/>
    </row>
    <row r="19614" spans="1:38">
      <c r="A19614" s="182"/>
      <c r="Q19614" s="183"/>
      <c r="R19614" s="183"/>
      <c r="S19614" s="183"/>
      <c r="AJ19614" s="183"/>
      <c r="AK19614" s="183"/>
      <c r="AL19614" s="183"/>
    </row>
    <row r="19615" spans="1:38">
      <c r="A19615" s="182"/>
      <c r="Q19615" s="183"/>
      <c r="R19615" s="183"/>
      <c r="S19615" s="183"/>
      <c r="AJ19615" s="183"/>
      <c r="AK19615" s="183"/>
      <c r="AL19615" s="183"/>
    </row>
    <row r="19616" spans="1:38">
      <c r="A19616" s="182"/>
      <c r="Q19616" s="183"/>
      <c r="R19616" s="183"/>
      <c r="S19616" s="183"/>
      <c r="AJ19616" s="183"/>
      <c r="AK19616" s="183"/>
      <c r="AL19616" s="183"/>
    </row>
    <row r="19617" spans="1:38">
      <c r="A19617" s="182"/>
      <c r="Q19617" s="183"/>
      <c r="R19617" s="183"/>
      <c r="S19617" s="183"/>
      <c r="AJ19617" s="183"/>
    </row>
    <row r="19618" spans="1:38">
      <c r="A19618" s="182"/>
      <c r="Q19618" s="183"/>
      <c r="R19618" s="183"/>
      <c r="S19618" s="183"/>
    </row>
    <row r="19619" spans="1:38">
      <c r="A19619" s="182"/>
      <c r="Q19619" s="183"/>
      <c r="R19619" s="183"/>
      <c r="S19619" s="183"/>
    </row>
    <row r="19620" spans="1:38">
      <c r="A19620" s="182"/>
      <c r="Q19620" s="183"/>
      <c r="R19620" s="183"/>
      <c r="S19620" s="183"/>
    </row>
    <row r="19621" spans="1:38">
      <c r="A19621" s="182"/>
      <c r="Q19621" s="183"/>
      <c r="R19621" s="183"/>
      <c r="S19621" s="183"/>
      <c r="AK19621" s="183"/>
      <c r="AL19621" s="183"/>
    </row>
    <row r="19622" spans="1:38">
      <c r="A19622" s="182"/>
      <c r="Q19622" s="183"/>
      <c r="R19622" s="183"/>
      <c r="S19622" s="183"/>
      <c r="AJ19622" s="183"/>
      <c r="AK19622" s="183"/>
      <c r="AL19622" s="183"/>
    </row>
    <row r="19623" spans="1:38">
      <c r="A19623" s="182"/>
      <c r="Q19623" s="183"/>
      <c r="R19623" s="183"/>
      <c r="S19623" s="183"/>
      <c r="AJ19623" s="183"/>
      <c r="AK19623" s="183"/>
      <c r="AL19623" s="183"/>
    </row>
    <row r="19624" spans="1:38">
      <c r="A19624" s="182"/>
      <c r="Q19624" s="183"/>
      <c r="R19624" s="183"/>
      <c r="S19624" s="183"/>
      <c r="AJ19624" s="183"/>
      <c r="AK19624" s="183"/>
      <c r="AL19624" s="183"/>
    </row>
    <row r="19625" spans="1:38">
      <c r="A19625" s="182"/>
      <c r="Q19625" s="183"/>
      <c r="R19625" s="183"/>
      <c r="S19625" s="183"/>
      <c r="AJ19625" s="183"/>
    </row>
    <row r="19626" spans="1:38">
      <c r="A19626" s="182"/>
      <c r="Q19626" s="183"/>
      <c r="R19626" s="183"/>
      <c r="S19626" s="183"/>
    </row>
    <row r="19627" spans="1:38">
      <c r="A19627" s="182"/>
      <c r="Q19627" s="183"/>
      <c r="R19627" s="183"/>
      <c r="S19627" s="183"/>
    </row>
    <row r="19628" spans="1:38">
      <c r="A19628" s="182"/>
      <c r="Q19628" s="183"/>
      <c r="R19628" s="183"/>
      <c r="S19628" s="183"/>
    </row>
    <row r="19629" spans="1:38">
      <c r="A19629" s="182"/>
      <c r="Q19629" s="183"/>
      <c r="R19629" s="183"/>
      <c r="S19629" s="183"/>
    </row>
    <row r="19630" spans="1:38">
      <c r="A19630" s="182"/>
      <c r="Q19630" s="183"/>
      <c r="R19630" s="183"/>
      <c r="S19630" s="183"/>
    </row>
    <row r="19631" spans="1:38">
      <c r="A19631" s="182"/>
      <c r="Q19631" s="183"/>
      <c r="R19631" s="183"/>
      <c r="S19631" s="183"/>
    </row>
    <row r="19632" spans="1:38">
      <c r="A19632" s="182"/>
      <c r="Q19632" s="183"/>
      <c r="R19632" s="183"/>
      <c r="S19632" s="183"/>
    </row>
    <row r="19633" spans="1:19">
      <c r="A19633" s="182"/>
      <c r="Q19633" s="183"/>
      <c r="R19633" s="183"/>
      <c r="S19633" s="183"/>
    </row>
    <row r="19634" spans="1:19">
      <c r="A19634" s="182"/>
      <c r="Q19634" s="183"/>
      <c r="R19634" s="183"/>
      <c r="S19634" s="183"/>
    </row>
    <row r="19635" spans="1:19">
      <c r="A19635" s="182"/>
      <c r="Q19635" s="183"/>
      <c r="R19635" s="183"/>
      <c r="S19635" s="183"/>
    </row>
    <row r="19636" spans="1:19">
      <c r="A19636" s="182"/>
      <c r="Q19636" s="183"/>
      <c r="R19636" s="183"/>
      <c r="S19636" s="183"/>
    </row>
    <row r="19637" spans="1:19">
      <c r="A19637" s="182"/>
      <c r="Q19637" s="183"/>
      <c r="R19637" s="183"/>
      <c r="S19637" s="183"/>
    </row>
    <row r="19638" spans="1:19">
      <c r="A19638" s="182"/>
      <c r="Q19638" s="183"/>
      <c r="R19638" s="183"/>
      <c r="S19638" s="183"/>
    </row>
    <row r="19639" spans="1:19">
      <c r="A19639" s="182"/>
      <c r="Q19639" s="183"/>
      <c r="R19639" s="183"/>
      <c r="S19639" s="183"/>
    </row>
    <row r="19640" spans="1:19">
      <c r="A19640" s="182"/>
      <c r="Q19640" s="183"/>
      <c r="R19640" s="183"/>
      <c r="S19640" s="183"/>
    </row>
    <row r="19641" spans="1:19">
      <c r="A19641" s="182"/>
      <c r="Q19641" s="183"/>
      <c r="R19641" s="183"/>
      <c r="S19641" s="183"/>
    </row>
    <row r="19642" spans="1:19">
      <c r="A19642" s="182"/>
      <c r="Q19642" s="183"/>
      <c r="R19642" s="183"/>
      <c r="S19642" s="183"/>
    </row>
    <row r="19643" spans="1:19">
      <c r="A19643" s="182"/>
      <c r="Q19643" s="183"/>
      <c r="R19643" s="183"/>
      <c r="S19643" s="183"/>
    </row>
    <row r="19644" spans="1:19">
      <c r="A19644" s="182"/>
      <c r="Q19644" s="183"/>
      <c r="R19644" s="183"/>
      <c r="S19644" s="183"/>
    </row>
    <row r="19645" spans="1:19">
      <c r="A19645" s="182"/>
      <c r="Q19645" s="183"/>
      <c r="R19645" s="183"/>
      <c r="S19645" s="183"/>
    </row>
    <row r="19646" spans="1:19">
      <c r="A19646" s="182"/>
      <c r="Q19646" s="183"/>
      <c r="R19646" s="183"/>
      <c r="S19646" s="183"/>
    </row>
    <row r="19647" spans="1:19">
      <c r="A19647" s="182"/>
      <c r="Q19647" s="183"/>
      <c r="R19647" s="183"/>
      <c r="S19647" s="183"/>
    </row>
    <row r="19648" spans="1:19">
      <c r="A19648" s="182"/>
      <c r="Q19648" s="183"/>
      <c r="R19648" s="183"/>
      <c r="S19648" s="183"/>
    </row>
    <row r="19649" spans="1:38">
      <c r="A19649" s="182"/>
      <c r="Q19649" s="183"/>
      <c r="R19649" s="183"/>
      <c r="S19649" s="183"/>
      <c r="AK19649" s="183"/>
      <c r="AL19649" s="183"/>
    </row>
    <row r="19650" spans="1:38">
      <c r="A19650" s="182"/>
      <c r="Q19650" s="183"/>
      <c r="R19650" s="183"/>
      <c r="S19650" s="183"/>
      <c r="AJ19650" s="183"/>
      <c r="AK19650" s="183"/>
      <c r="AL19650" s="183"/>
    </row>
    <row r="19651" spans="1:38">
      <c r="A19651" s="182"/>
      <c r="Q19651" s="183"/>
      <c r="R19651" s="183"/>
      <c r="S19651" s="183"/>
      <c r="AJ19651" s="183"/>
      <c r="AK19651" s="183"/>
      <c r="AL19651" s="183"/>
    </row>
    <row r="19652" spans="1:38">
      <c r="A19652" s="182"/>
      <c r="Q19652" s="183"/>
      <c r="R19652" s="183"/>
      <c r="S19652" s="183"/>
      <c r="AJ19652" s="183"/>
      <c r="AK19652" s="183"/>
      <c r="AL19652" s="183"/>
    </row>
    <row r="19653" spans="1:38">
      <c r="A19653" s="182"/>
      <c r="Q19653" s="183"/>
      <c r="R19653" s="183"/>
      <c r="S19653" s="183"/>
      <c r="AJ19653" s="183"/>
    </row>
    <row r="19654" spans="1:38">
      <c r="A19654" s="182"/>
      <c r="Q19654" s="183"/>
      <c r="R19654" s="183"/>
      <c r="S19654" s="183"/>
    </row>
    <row r="19655" spans="1:38">
      <c r="A19655" s="182"/>
      <c r="Q19655" s="183"/>
      <c r="R19655" s="183"/>
      <c r="S19655" s="183"/>
    </row>
    <row r="19656" spans="1:38">
      <c r="A19656" s="182"/>
      <c r="Q19656" s="183"/>
      <c r="R19656" s="183"/>
      <c r="S19656" s="183"/>
    </row>
    <row r="19657" spans="1:38">
      <c r="A19657" s="182"/>
      <c r="Q19657" s="183"/>
      <c r="R19657" s="183"/>
      <c r="S19657" s="183"/>
    </row>
    <row r="19658" spans="1:38">
      <c r="A19658" s="182"/>
      <c r="Q19658" s="183"/>
      <c r="R19658" s="183"/>
      <c r="S19658" s="183"/>
    </row>
    <row r="19659" spans="1:38">
      <c r="A19659" s="182"/>
      <c r="Q19659" s="183"/>
      <c r="R19659" s="183"/>
      <c r="S19659" s="183"/>
    </row>
    <row r="19660" spans="1:38">
      <c r="A19660" s="182"/>
      <c r="Q19660" s="183"/>
      <c r="R19660" s="183"/>
      <c r="S19660" s="183"/>
    </row>
    <row r="19661" spans="1:38">
      <c r="A19661" s="182"/>
      <c r="Q19661" s="183"/>
      <c r="R19661" s="183"/>
      <c r="S19661" s="183"/>
    </row>
    <row r="19662" spans="1:38">
      <c r="A19662" s="182"/>
      <c r="Q19662" s="183"/>
      <c r="R19662" s="183"/>
      <c r="S19662" s="183"/>
    </row>
    <row r="19663" spans="1:38">
      <c r="A19663" s="182"/>
      <c r="Q19663" s="183"/>
      <c r="R19663" s="183"/>
      <c r="S19663" s="183"/>
    </row>
    <row r="19664" spans="1:38">
      <c r="A19664" s="182"/>
      <c r="Q19664" s="183"/>
      <c r="R19664" s="183"/>
      <c r="S19664" s="183"/>
    </row>
    <row r="19665" spans="1:38">
      <c r="A19665" s="182"/>
      <c r="Q19665" s="183"/>
      <c r="R19665" s="183"/>
      <c r="S19665" s="183"/>
    </row>
    <row r="19666" spans="1:38">
      <c r="A19666" s="182"/>
      <c r="Q19666" s="183"/>
      <c r="R19666" s="183"/>
      <c r="S19666" s="183"/>
    </row>
    <row r="19667" spans="1:38">
      <c r="A19667" s="182"/>
      <c r="Q19667" s="183"/>
      <c r="R19667" s="183"/>
      <c r="S19667" s="183"/>
    </row>
    <row r="19668" spans="1:38">
      <c r="A19668" s="182"/>
      <c r="Q19668" s="183"/>
      <c r="R19668" s="183"/>
      <c r="S19668" s="183"/>
    </row>
    <row r="19669" spans="1:38">
      <c r="A19669" s="182"/>
      <c r="Q19669" s="183"/>
      <c r="R19669" s="183"/>
      <c r="S19669" s="183"/>
    </row>
    <row r="19670" spans="1:38">
      <c r="A19670" s="182"/>
      <c r="Q19670" s="183"/>
      <c r="R19670" s="183"/>
      <c r="S19670" s="183"/>
    </row>
    <row r="19671" spans="1:38">
      <c r="A19671" s="182"/>
      <c r="Q19671" s="183"/>
      <c r="R19671" s="183"/>
      <c r="S19671" s="183"/>
    </row>
    <row r="19672" spans="1:38">
      <c r="A19672" s="182"/>
      <c r="Q19672" s="183"/>
      <c r="R19672" s="183"/>
      <c r="S19672" s="183"/>
    </row>
    <row r="19673" spans="1:38">
      <c r="A19673" s="182"/>
      <c r="Q19673" s="183"/>
      <c r="R19673" s="183"/>
      <c r="S19673" s="183"/>
      <c r="AK19673" s="183"/>
      <c r="AL19673" s="183"/>
    </row>
    <row r="19674" spans="1:38">
      <c r="A19674" s="182"/>
      <c r="Q19674" s="183"/>
      <c r="R19674" s="183"/>
      <c r="S19674" s="183"/>
      <c r="AJ19674" s="183"/>
      <c r="AK19674" s="183"/>
      <c r="AL19674" s="183"/>
    </row>
    <row r="19675" spans="1:38">
      <c r="A19675" s="182"/>
      <c r="Q19675" s="183"/>
      <c r="R19675" s="183"/>
      <c r="S19675" s="183"/>
      <c r="AJ19675" s="183"/>
      <c r="AK19675" s="183"/>
      <c r="AL19675" s="183"/>
    </row>
    <row r="19676" spans="1:38">
      <c r="A19676" s="182"/>
      <c r="Q19676" s="183"/>
      <c r="R19676" s="183"/>
      <c r="S19676" s="183"/>
      <c r="AJ19676" s="183"/>
      <c r="AK19676" s="183"/>
      <c r="AL19676" s="183"/>
    </row>
    <row r="19677" spans="1:38">
      <c r="A19677" s="182"/>
      <c r="Q19677" s="183"/>
      <c r="R19677" s="183"/>
      <c r="S19677" s="183"/>
      <c r="AJ19677" s="183"/>
    </row>
    <row r="19678" spans="1:38">
      <c r="A19678" s="182"/>
      <c r="Q19678" s="183"/>
      <c r="R19678" s="183"/>
      <c r="S19678" s="183"/>
    </row>
    <row r="19679" spans="1:38">
      <c r="A19679" s="182"/>
      <c r="Q19679" s="183"/>
      <c r="R19679" s="183"/>
      <c r="S19679" s="183"/>
    </row>
    <row r="19680" spans="1:38">
      <c r="A19680" s="182"/>
      <c r="Q19680" s="183"/>
      <c r="R19680" s="183"/>
      <c r="S19680" s="183"/>
    </row>
    <row r="19681" spans="1:38">
      <c r="A19681" s="182"/>
      <c r="Q19681" s="183"/>
      <c r="R19681" s="183"/>
      <c r="S19681" s="183"/>
      <c r="AK19681" s="183"/>
      <c r="AL19681" s="183"/>
    </row>
    <row r="19682" spans="1:38">
      <c r="A19682" s="182"/>
      <c r="Q19682" s="183"/>
      <c r="R19682" s="183"/>
      <c r="S19682" s="183"/>
      <c r="AJ19682" s="183"/>
      <c r="AK19682" s="183"/>
      <c r="AL19682" s="183"/>
    </row>
    <row r="19683" spans="1:38">
      <c r="A19683" s="182"/>
      <c r="Q19683" s="183"/>
      <c r="R19683" s="183"/>
      <c r="S19683" s="183"/>
      <c r="AJ19683" s="183"/>
      <c r="AK19683" s="183"/>
      <c r="AL19683" s="183"/>
    </row>
    <row r="19684" spans="1:38">
      <c r="A19684" s="182"/>
      <c r="Q19684" s="183"/>
      <c r="R19684" s="183"/>
      <c r="S19684" s="183"/>
      <c r="AJ19684" s="183"/>
      <c r="AK19684" s="183"/>
      <c r="AL19684" s="183"/>
    </row>
    <row r="19685" spans="1:38">
      <c r="A19685" s="182"/>
      <c r="Q19685" s="183"/>
      <c r="R19685" s="183"/>
      <c r="S19685" s="183"/>
      <c r="AJ19685" s="183"/>
      <c r="AK19685" s="183"/>
      <c r="AL19685" s="183"/>
    </row>
    <row r="19686" spans="1:38">
      <c r="A19686" s="182"/>
      <c r="Q19686" s="183"/>
      <c r="R19686" s="183"/>
      <c r="S19686" s="183"/>
      <c r="AJ19686" s="183"/>
      <c r="AK19686" s="183"/>
      <c r="AL19686" s="183"/>
    </row>
    <row r="19687" spans="1:38">
      <c r="A19687" s="182"/>
      <c r="Q19687" s="183"/>
      <c r="R19687" s="183"/>
      <c r="S19687" s="183"/>
      <c r="AJ19687" s="183"/>
      <c r="AK19687" s="183"/>
      <c r="AL19687" s="183"/>
    </row>
    <row r="19688" spans="1:38">
      <c r="A19688" s="182"/>
      <c r="Q19688" s="183"/>
      <c r="R19688" s="183"/>
      <c r="S19688" s="183"/>
      <c r="AJ19688" s="183"/>
      <c r="AK19688" s="183"/>
      <c r="AL19688" s="183"/>
    </row>
    <row r="19689" spans="1:38">
      <c r="A19689" s="182"/>
      <c r="Q19689" s="183"/>
      <c r="R19689" s="183"/>
      <c r="S19689" s="183"/>
      <c r="AJ19689" s="183"/>
    </row>
    <row r="19690" spans="1:38">
      <c r="A19690" s="182"/>
      <c r="Q19690" s="183"/>
      <c r="R19690" s="183"/>
      <c r="S19690" s="183"/>
    </row>
    <row r="19691" spans="1:38">
      <c r="A19691" s="182"/>
      <c r="Q19691" s="183"/>
      <c r="R19691" s="183"/>
      <c r="S19691" s="183"/>
    </row>
    <row r="19692" spans="1:38">
      <c r="A19692" s="182"/>
      <c r="Q19692" s="183"/>
      <c r="R19692" s="183"/>
      <c r="S19692" s="183"/>
    </row>
    <row r="19693" spans="1:38">
      <c r="A19693" s="182"/>
      <c r="Q19693" s="183"/>
      <c r="R19693" s="183"/>
      <c r="S19693" s="183"/>
      <c r="AK19693" s="183"/>
      <c r="AL19693" s="183"/>
    </row>
    <row r="19694" spans="1:38">
      <c r="A19694" s="182"/>
      <c r="Q19694" s="183"/>
      <c r="R19694" s="183"/>
      <c r="S19694" s="183"/>
      <c r="AJ19694" s="183"/>
      <c r="AK19694" s="183"/>
      <c r="AL19694" s="183"/>
    </row>
    <row r="19695" spans="1:38">
      <c r="A19695" s="182"/>
      <c r="Q19695" s="183"/>
      <c r="R19695" s="183"/>
      <c r="S19695" s="183"/>
      <c r="AJ19695" s="183"/>
      <c r="AK19695" s="183"/>
      <c r="AL19695" s="183"/>
    </row>
    <row r="19696" spans="1:38">
      <c r="A19696" s="182"/>
      <c r="Q19696" s="183"/>
      <c r="R19696" s="183"/>
      <c r="S19696" s="183"/>
      <c r="AJ19696" s="183"/>
      <c r="AK19696" s="183"/>
      <c r="AL19696" s="183"/>
    </row>
    <row r="19697" spans="1:38">
      <c r="A19697" s="182"/>
      <c r="Q19697" s="183"/>
      <c r="R19697" s="183"/>
      <c r="S19697" s="183"/>
      <c r="AJ19697" s="183"/>
      <c r="AK19697" s="183"/>
      <c r="AL19697" s="183"/>
    </row>
    <row r="19698" spans="1:38">
      <c r="A19698" s="182"/>
      <c r="Q19698" s="183"/>
      <c r="R19698" s="183"/>
      <c r="S19698" s="183"/>
      <c r="AJ19698" s="183"/>
      <c r="AK19698" s="183"/>
      <c r="AL19698" s="183"/>
    </row>
    <row r="19699" spans="1:38">
      <c r="A19699" s="182"/>
      <c r="Q19699" s="183"/>
      <c r="R19699" s="183"/>
      <c r="S19699" s="183"/>
      <c r="AJ19699" s="183"/>
      <c r="AK19699" s="183"/>
      <c r="AL19699" s="183"/>
    </row>
    <row r="19700" spans="1:38">
      <c r="A19700" s="182"/>
      <c r="Q19700" s="183"/>
      <c r="R19700" s="183"/>
      <c r="S19700" s="183"/>
      <c r="AJ19700" s="183"/>
      <c r="AK19700" s="183"/>
      <c r="AL19700" s="183"/>
    </row>
    <row r="19701" spans="1:38">
      <c r="A19701" s="182"/>
      <c r="Q19701" s="183"/>
      <c r="R19701" s="183"/>
      <c r="S19701" s="183"/>
      <c r="AJ19701" s="183"/>
      <c r="AK19701" s="183"/>
      <c r="AL19701" s="183"/>
    </row>
    <row r="19702" spans="1:38">
      <c r="A19702" s="182"/>
      <c r="Q19702" s="183"/>
      <c r="R19702" s="183"/>
      <c r="S19702" s="183"/>
      <c r="AJ19702" s="183"/>
      <c r="AK19702" s="183"/>
      <c r="AL19702" s="183"/>
    </row>
    <row r="19703" spans="1:38">
      <c r="A19703" s="182"/>
      <c r="Q19703" s="183"/>
      <c r="R19703" s="183"/>
      <c r="S19703" s="183"/>
      <c r="AJ19703" s="183"/>
      <c r="AK19703" s="183"/>
      <c r="AL19703" s="183"/>
    </row>
    <row r="19704" spans="1:38">
      <c r="A19704" s="182"/>
      <c r="Q19704" s="183"/>
      <c r="R19704" s="183"/>
      <c r="S19704" s="183"/>
      <c r="AJ19704" s="183"/>
      <c r="AK19704" s="183"/>
      <c r="AL19704" s="183"/>
    </row>
    <row r="19705" spans="1:38">
      <c r="A19705" s="182"/>
      <c r="Q19705" s="183"/>
      <c r="R19705" s="183"/>
      <c r="S19705" s="183"/>
      <c r="AJ19705" s="183"/>
    </row>
    <row r="19706" spans="1:38">
      <c r="A19706" s="182"/>
      <c r="Q19706" s="183"/>
      <c r="R19706" s="183"/>
      <c r="S19706" s="183"/>
    </row>
    <row r="19707" spans="1:38">
      <c r="A19707" s="182"/>
      <c r="Q19707" s="183"/>
      <c r="R19707" s="183"/>
      <c r="S19707" s="183"/>
    </row>
    <row r="19708" spans="1:38">
      <c r="A19708" s="182"/>
      <c r="Q19708" s="183"/>
      <c r="R19708" s="183"/>
      <c r="S19708" s="183"/>
    </row>
    <row r="19709" spans="1:38">
      <c r="A19709" s="182"/>
      <c r="Q19709" s="183"/>
      <c r="R19709" s="183"/>
      <c r="S19709" s="183"/>
    </row>
    <row r="19710" spans="1:38">
      <c r="A19710" s="182"/>
      <c r="Q19710" s="183"/>
      <c r="R19710" s="183"/>
      <c r="S19710" s="183"/>
    </row>
    <row r="19711" spans="1:38">
      <c r="A19711" s="182"/>
      <c r="Q19711" s="183"/>
      <c r="R19711" s="183"/>
      <c r="S19711" s="183"/>
    </row>
    <row r="19712" spans="1:38">
      <c r="A19712" s="182"/>
      <c r="Q19712" s="183"/>
      <c r="R19712" s="183"/>
      <c r="S19712" s="183"/>
    </row>
    <row r="19713" spans="1:38">
      <c r="A19713" s="182"/>
      <c r="Q19713" s="183"/>
      <c r="R19713" s="183"/>
      <c r="S19713" s="183"/>
    </row>
    <row r="19714" spans="1:38">
      <c r="A19714" s="182"/>
      <c r="Q19714" s="183"/>
      <c r="R19714" s="183"/>
      <c r="S19714" s="183"/>
    </row>
    <row r="19715" spans="1:38">
      <c r="A19715" s="182"/>
      <c r="Q19715" s="183"/>
      <c r="R19715" s="183"/>
      <c r="S19715" s="183"/>
    </row>
    <row r="19716" spans="1:38">
      <c r="A19716" s="182"/>
      <c r="Q19716" s="183"/>
      <c r="R19716" s="183"/>
      <c r="S19716" s="183"/>
    </row>
    <row r="19717" spans="1:38">
      <c r="A19717" s="182"/>
      <c r="Q19717" s="183"/>
      <c r="R19717" s="183"/>
      <c r="S19717" s="183"/>
      <c r="AK19717" s="183"/>
      <c r="AL19717" s="183"/>
    </row>
    <row r="19718" spans="1:38">
      <c r="A19718" s="182"/>
      <c r="Q19718" s="183"/>
      <c r="R19718" s="183"/>
      <c r="S19718" s="183"/>
      <c r="AJ19718" s="183"/>
      <c r="AK19718" s="183"/>
      <c r="AL19718" s="183"/>
    </row>
    <row r="19719" spans="1:38">
      <c r="A19719" s="182"/>
      <c r="Q19719" s="183"/>
      <c r="R19719" s="183"/>
      <c r="S19719" s="183"/>
      <c r="AJ19719" s="183"/>
      <c r="AK19719" s="183"/>
      <c r="AL19719" s="183"/>
    </row>
    <row r="19720" spans="1:38">
      <c r="A19720" s="182"/>
      <c r="Q19720" s="183"/>
      <c r="R19720" s="183"/>
      <c r="S19720" s="183"/>
      <c r="AJ19720" s="183"/>
      <c r="AK19720" s="183"/>
      <c r="AL19720" s="183"/>
    </row>
    <row r="19721" spans="1:38">
      <c r="A19721" s="182"/>
      <c r="Q19721" s="183"/>
      <c r="R19721" s="183"/>
      <c r="S19721" s="183"/>
      <c r="AJ19721" s="183"/>
    </row>
    <row r="19722" spans="1:38">
      <c r="A19722" s="182"/>
      <c r="Q19722" s="183"/>
      <c r="R19722" s="183"/>
      <c r="S19722" s="183"/>
    </row>
    <row r="19723" spans="1:38">
      <c r="A19723" s="182"/>
      <c r="Q19723" s="183"/>
      <c r="R19723" s="183"/>
      <c r="S19723" s="183"/>
    </row>
    <row r="19724" spans="1:38">
      <c r="A19724" s="182"/>
      <c r="Q19724" s="183"/>
      <c r="R19724" s="183"/>
      <c r="S19724" s="183"/>
    </row>
    <row r="19725" spans="1:38">
      <c r="A19725" s="182"/>
      <c r="Q19725" s="183"/>
      <c r="R19725" s="183"/>
      <c r="S19725" s="183"/>
    </row>
    <row r="19726" spans="1:38">
      <c r="A19726" s="182"/>
      <c r="Q19726" s="183"/>
      <c r="R19726" s="183"/>
      <c r="S19726" s="183"/>
    </row>
    <row r="19727" spans="1:38">
      <c r="A19727" s="182"/>
      <c r="Q19727" s="183"/>
      <c r="R19727" s="183"/>
      <c r="S19727" s="183"/>
    </row>
    <row r="19728" spans="1:38">
      <c r="A19728" s="182"/>
      <c r="Q19728" s="183"/>
      <c r="R19728" s="183"/>
      <c r="S19728" s="183"/>
    </row>
    <row r="19729" spans="1:38">
      <c r="A19729" s="182"/>
      <c r="Q19729" s="183"/>
      <c r="R19729" s="183"/>
      <c r="S19729" s="183"/>
    </row>
    <row r="19730" spans="1:38">
      <c r="A19730" s="182"/>
      <c r="Q19730" s="183"/>
      <c r="R19730" s="183"/>
      <c r="S19730" s="183"/>
    </row>
    <row r="19731" spans="1:38">
      <c r="A19731" s="182"/>
      <c r="Q19731" s="183"/>
      <c r="R19731" s="183"/>
      <c r="S19731" s="183"/>
      <c r="AK19731" s="183"/>
      <c r="AL19731" s="183"/>
    </row>
    <row r="19732" spans="1:38">
      <c r="A19732" s="182"/>
      <c r="Q19732" s="183"/>
      <c r="R19732" s="183"/>
      <c r="S19732" s="183"/>
      <c r="AJ19732" s="183"/>
      <c r="AK19732" s="183"/>
      <c r="AL19732" s="183"/>
    </row>
    <row r="19733" spans="1:38">
      <c r="A19733" s="182"/>
      <c r="Q19733" s="183"/>
      <c r="R19733" s="183"/>
      <c r="S19733" s="183"/>
      <c r="AJ19733" s="183"/>
      <c r="AK19733" s="183"/>
      <c r="AL19733" s="183"/>
    </row>
    <row r="19734" spans="1:38">
      <c r="A19734" s="182"/>
      <c r="Q19734" s="183"/>
      <c r="R19734" s="183"/>
      <c r="S19734" s="183"/>
      <c r="AJ19734" s="183"/>
      <c r="AK19734" s="183"/>
      <c r="AL19734" s="183"/>
    </row>
    <row r="19735" spans="1:38">
      <c r="A19735" s="182"/>
      <c r="Q19735" s="183"/>
      <c r="R19735" s="183"/>
      <c r="S19735" s="183"/>
      <c r="AJ19735" s="183"/>
    </row>
    <row r="19736" spans="1:38">
      <c r="A19736" s="182"/>
      <c r="Q19736" s="183"/>
      <c r="R19736" s="183"/>
      <c r="S19736" s="183"/>
    </row>
    <row r="19737" spans="1:38">
      <c r="A19737" s="182"/>
      <c r="Q19737" s="183"/>
      <c r="R19737" s="183"/>
      <c r="S19737" s="183"/>
    </row>
    <row r="19738" spans="1:38">
      <c r="A19738" s="182"/>
      <c r="Q19738" s="183"/>
      <c r="R19738" s="183"/>
      <c r="S19738" s="183"/>
    </row>
    <row r="19739" spans="1:38">
      <c r="A19739" s="182"/>
      <c r="Q19739" s="183"/>
      <c r="R19739" s="183"/>
      <c r="S19739" s="183"/>
    </row>
    <row r="19740" spans="1:38">
      <c r="A19740" s="182"/>
      <c r="Q19740" s="183"/>
      <c r="R19740" s="183"/>
      <c r="S19740" s="183"/>
    </row>
    <row r="19741" spans="1:38">
      <c r="A19741" s="182"/>
      <c r="Q19741" s="183"/>
      <c r="R19741" s="183"/>
      <c r="S19741" s="183"/>
    </row>
    <row r="19742" spans="1:38">
      <c r="A19742" s="182"/>
      <c r="Q19742" s="183"/>
      <c r="R19742" s="183"/>
      <c r="S19742" s="183"/>
    </row>
    <row r="19743" spans="1:38">
      <c r="A19743" s="182"/>
      <c r="Q19743" s="183"/>
      <c r="R19743" s="183"/>
      <c r="S19743" s="183"/>
    </row>
    <row r="19744" spans="1:38">
      <c r="A19744" s="182"/>
      <c r="Q19744" s="183"/>
      <c r="R19744" s="183"/>
      <c r="S19744" s="183"/>
    </row>
    <row r="19745" spans="1:38">
      <c r="A19745" s="182"/>
      <c r="Q19745" s="183"/>
      <c r="R19745" s="183"/>
      <c r="S19745" s="183"/>
    </row>
    <row r="19746" spans="1:38">
      <c r="A19746" s="182"/>
      <c r="Q19746" s="183"/>
      <c r="R19746" s="183"/>
      <c r="S19746" s="183"/>
    </row>
    <row r="19747" spans="1:38">
      <c r="A19747" s="182"/>
      <c r="Q19747" s="183"/>
      <c r="R19747" s="183"/>
      <c r="S19747" s="183"/>
    </row>
    <row r="19748" spans="1:38">
      <c r="A19748" s="182"/>
      <c r="Q19748" s="183"/>
      <c r="R19748" s="183"/>
      <c r="S19748" s="183"/>
    </row>
    <row r="19749" spans="1:38">
      <c r="A19749" s="182"/>
      <c r="Q19749" s="183"/>
      <c r="R19749" s="183"/>
      <c r="S19749" s="183"/>
    </row>
    <row r="19750" spans="1:38">
      <c r="A19750" s="182"/>
      <c r="Q19750" s="183"/>
      <c r="R19750" s="183"/>
      <c r="S19750" s="183"/>
    </row>
    <row r="19751" spans="1:38">
      <c r="A19751" s="182"/>
      <c r="Q19751" s="183"/>
      <c r="R19751" s="183"/>
      <c r="S19751" s="183"/>
    </row>
    <row r="19752" spans="1:38">
      <c r="A19752" s="182"/>
      <c r="Q19752" s="183"/>
      <c r="R19752" s="183"/>
      <c r="S19752" s="183"/>
    </row>
    <row r="19753" spans="1:38">
      <c r="A19753" s="182"/>
      <c r="Q19753" s="183"/>
      <c r="R19753" s="183"/>
      <c r="S19753" s="183"/>
    </row>
    <row r="19754" spans="1:38">
      <c r="A19754" s="182"/>
      <c r="Q19754" s="183"/>
      <c r="R19754" s="183"/>
      <c r="S19754" s="183"/>
    </row>
    <row r="19755" spans="1:38">
      <c r="A19755" s="182"/>
      <c r="Q19755" s="183"/>
      <c r="R19755" s="183"/>
      <c r="S19755" s="183"/>
    </row>
    <row r="19756" spans="1:38">
      <c r="A19756" s="182"/>
      <c r="Q19756" s="183"/>
      <c r="R19756" s="183"/>
      <c r="S19756" s="183"/>
    </row>
    <row r="19757" spans="1:38">
      <c r="A19757" s="182"/>
      <c r="Q19757" s="183"/>
      <c r="R19757" s="183"/>
      <c r="S19757" s="183"/>
    </row>
    <row r="19758" spans="1:38">
      <c r="A19758" s="182"/>
      <c r="Q19758" s="183"/>
      <c r="R19758" s="183"/>
      <c r="S19758" s="183"/>
    </row>
    <row r="19759" spans="1:38">
      <c r="A19759" s="182"/>
      <c r="Q19759" s="183"/>
      <c r="R19759" s="183"/>
      <c r="S19759" s="183"/>
      <c r="AK19759" s="183"/>
      <c r="AL19759" s="183"/>
    </row>
    <row r="19760" spans="1:38">
      <c r="A19760" s="182"/>
      <c r="Q19760" s="183"/>
      <c r="R19760" s="183"/>
      <c r="S19760" s="183"/>
      <c r="AJ19760" s="183"/>
      <c r="AK19760" s="183"/>
      <c r="AL19760" s="183"/>
    </row>
    <row r="19761" spans="1:38">
      <c r="A19761" s="182"/>
      <c r="Q19761" s="183"/>
      <c r="R19761" s="183"/>
      <c r="S19761" s="183"/>
      <c r="AJ19761" s="183"/>
      <c r="AK19761" s="183"/>
      <c r="AL19761" s="183"/>
    </row>
    <row r="19762" spans="1:38">
      <c r="A19762" s="182"/>
      <c r="Q19762" s="183"/>
      <c r="R19762" s="183"/>
      <c r="S19762" s="183"/>
      <c r="AJ19762" s="183"/>
      <c r="AK19762" s="183"/>
      <c r="AL19762" s="183"/>
    </row>
    <row r="19763" spans="1:38">
      <c r="A19763" s="182"/>
      <c r="Q19763" s="183"/>
      <c r="R19763" s="183"/>
      <c r="S19763" s="183"/>
      <c r="AJ19763" s="183"/>
    </row>
    <row r="19764" spans="1:38">
      <c r="A19764" s="182"/>
      <c r="Q19764" s="183"/>
      <c r="R19764" s="183"/>
      <c r="S19764" s="183"/>
    </row>
    <row r="19765" spans="1:38">
      <c r="A19765" s="182"/>
      <c r="Q19765" s="183"/>
      <c r="R19765" s="183"/>
      <c r="S19765" s="183"/>
    </row>
    <row r="19766" spans="1:38">
      <c r="A19766" s="182"/>
      <c r="Q19766" s="183"/>
      <c r="R19766" s="183"/>
      <c r="S19766" s="183"/>
    </row>
    <row r="19767" spans="1:38">
      <c r="A19767" s="182"/>
      <c r="Q19767" s="183"/>
      <c r="R19767" s="183"/>
      <c r="S19767" s="183"/>
    </row>
    <row r="19768" spans="1:38">
      <c r="A19768" s="182"/>
      <c r="Q19768" s="183"/>
      <c r="R19768" s="183"/>
      <c r="S19768" s="183"/>
    </row>
    <row r="19769" spans="1:38">
      <c r="A19769" s="182"/>
      <c r="Q19769" s="183"/>
      <c r="R19769" s="183"/>
      <c r="S19769" s="183"/>
    </row>
    <row r="19770" spans="1:38">
      <c r="A19770" s="182"/>
      <c r="Q19770" s="183"/>
      <c r="R19770" s="183"/>
      <c r="S19770" s="183"/>
    </row>
    <row r="19771" spans="1:38">
      <c r="A19771" s="182"/>
      <c r="Q19771" s="183"/>
      <c r="R19771" s="183"/>
      <c r="S19771" s="183"/>
      <c r="AK19771" s="183"/>
      <c r="AL19771" s="183"/>
    </row>
    <row r="19772" spans="1:38">
      <c r="A19772" s="182"/>
      <c r="Q19772" s="183"/>
      <c r="R19772" s="183"/>
      <c r="S19772" s="183"/>
      <c r="AJ19772" s="183"/>
      <c r="AK19772" s="183"/>
      <c r="AL19772" s="183"/>
    </row>
    <row r="19773" spans="1:38">
      <c r="A19773" s="182"/>
      <c r="Q19773" s="183"/>
      <c r="R19773" s="183"/>
      <c r="S19773" s="183"/>
      <c r="AJ19773" s="183"/>
      <c r="AK19773" s="183"/>
      <c r="AL19773" s="183"/>
    </row>
    <row r="19774" spans="1:38">
      <c r="A19774" s="182"/>
      <c r="Q19774" s="183"/>
      <c r="R19774" s="183"/>
      <c r="S19774" s="183"/>
      <c r="AJ19774" s="183"/>
      <c r="AK19774" s="183"/>
      <c r="AL19774" s="183"/>
    </row>
    <row r="19775" spans="1:38">
      <c r="A19775" s="182"/>
      <c r="Q19775" s="183"/>
      <c r="R19775" s="183"/>
      <c r="S19775" s="183"/>
      <c r="AJ19775" s="183"/>
    </row>
    <row r="19776" spans="1:38">
      <c r="A19776" s="182"/>
      <c r="Q19776" s="183"/>
      <c r="R19776" s="183"/>
      <c r="S19776" s="183"/>
    </row>
    <row r="19777" spans="1:38">
      <c r="A19777" s="182"/>
      <c r="Q19777" s="183"/>
      <c r="R19777" s="183"/>
      <c r="S19777" s="183"/>
    </row>
    <row r="19778" spans="1:38">
      <c r="A19778" s="182"/>
      <c r="Q19778" s="183"/>
      <c r="R19778" s="183"/>
      <c r="S19778" s="183"/>
    </row>
    <row r="19779" spans="1:38">
      <c r="A19779" s="182"/>
      <c r="Q19779" s="183"/>
      <c r="R19779" s="183"/>
      <c r="S19779" s="183"/>
      <c r="AK19779" s="183"/>
      <c r="AL19779" s="183"/>
    </row>
    <row r="19780" spans="1:38">
      <c r="A19780" s="182"/>
      <c r="Q19780" s="183"/>
      <c r="R19780" s="183"/>
      <c r="S19780" s="183"/>
      <c r="AJ19780" s="183"/>
      <c r="AK19780" s="183"/>
      <c r="AL19780" s="183"/>
    </row>
    <row r="19781" spans="1:38">
      <c r="A19781" s="182"/>
      <c r="Q19781" s="183"/>
      <c r="R19781" s="183"/>
      <c r="S19781" s="183"/>
      <c r="AJ19781" s="183"/>
      <c r="AK19781" s="183"/>
      <c r="AL19781" s="183"/>
    </row>
    <row r="19782" spans="1:38">
      <c r="A19782" s="182"/>
      <c r="Q19782" s="183"/>
      <c r="R19782" s="183"/>
      <c r="S19782" s="183"/>
      <c r="AJ19782" s="183"/>
      <c r="AK19782" s="183"/>
      <c r="AL19782" s="183"/>
    </row>
    <row r="19783" spans="1:38">
      <c r="A19783" s="182"/>
      <c r="Q19783" s="183"/>
      <c r="R19783" s="183"/>
      <c r="S19783" s="183"/>
      <c r="AJ19783" s="183"/>
      <c r="AK19783" s="183"/>
      <c r="AL19783" s="183"/>
    </row>
    <row r="19784" spans="1:38">
      <c r="A19784" s="182"/>
      <c r="Q19784" s="183"/>
      <c r="R19784" s="183"/>
      <c r="S19784" s="183"/>
      <c r="AJ19784" s="183"/>
      <c r="AK19784" s="183"/>
      <c r="AL19784" s="183"/>
    </row>
    <row r="19785" spans="1:38">
      <c r="A19785" s="182"/>
      <c r="Q19785" s="183"/>
      <c r="R19785" s="183"/>
      <c r="S19785" s="183"/>
      <c r="AJ19785" s="183"/>
      <c r="AK19785" s="183"/>
      <c r="AL19785" s="183"/>
    </row>
    <row r="19786" spans="1:38">
      <c r="A19786" s="182"/>
      <c r="Q19786" s="183"/>
      <c r="R19786" s="183"/>
      <c r="S19786" s="183"/>
      <c r="AJ19786" s="183"/>
      <c r="AK19786" s="183"/>
      <c r="AL19786" s="183"/>
    </row>
    <row r="19787" spans="1:38">
      <c r="A19787" s="182"/>
      <c r="Q19787" s="183"/>
      <c r="R19787" s="183"/>
      <c r="S19787" s="183"/>
      <c r="AJ19787" s="183"/>
      <c r="AK19787" s="183"/>
      <c r="AL19787" s="183"/>
    </row>
    <row r="19788" spans="1:38">
      <c r="A19788" s="182"/>
      <c r="Q19788" s="183"/>
      <c r="R19788" s="183"/>
      <c r="S19788" s="183"/>
      <c r="AJ19788" s="183"/>
      <c r="AK19788" s="183"/>
      <c r="AL19788" s="183"/>
    </row>
    <row r="19789" spans="1:38">
      <c r="A19789" s="182"/>
      <c r="Q19789" s="183"/>
      <c r="R19789" s="183"/>
      <c r="S19789" s="183"/>
      <c r="AJ19789" s="183"/>
      <c r="AK19789" s="183"/>
      <c r="AL19789" s="183"/>
    </row>
    <row r="19790" spans="1:38">
      <c r="A19790" s="182"/>
      <c r="Q19790" s="183"/>
      <c r="R19790" s="183"/>
      <c r="S19790" s="183"/>
      <c r="AJ19790" s="183"/>
      <c r="AK19790" s="183"/>
      <c r="AL19790" s="183"/>
    </row>
    <row r="19791" spans="1:38">
      <c r="A19791" s="182"/>
      <c r="Q19791" s="183"/>
      <c r="R19791" s="183"/>
      <c r="S19791" s="183"/>
      <c r="AJ19791" s="183"/>
      <c r="AK19791" s="183"/>
      <c r="AL19791" s="183"/>
    </row>
    <row r="19792" spans="1:38">
      <c r="A19792" s="182"/>
      <c r="Q19792" s="183"/>
      <c r="R19792" s="183"/>
      <c r="S19792" s="183"/>
      <c r="AJ19792" s="183"/>
      <c r="AK19792" s="183"/>
      <c r="AL19792" s="183"/>
    </row>
    <row r="19793" spans="1:38">
      <c r="A19793" s="182"/>
      <c r="Q19793" s="183"/>
      <c r="R19793" s="183"/>
      <c r="S19793" s="183"/>
      <c r="AJ19793" s="183"/>
      <c r="AK19793" s="183"/>
      <c r="AL19793" s="183"/>
    </row>
    <row r="19794" spans="1:38">
      <c r="A19794" s="182"/>
      <c r="Q19794" s="183"/>
      <c r="R19794" s="183"/>
      <c r="S19794" s="183"/>
      <c r="AJ19794" s="183"/>
      <c r="AK19794" s="183"/>
      <c r="AL19794" s="183"/>
    </row>
    <row r="19795" spans="1:38">
      <c r="A19795" s="182"/>
      <c r="Q19795" s="183"/>
      <c r="R19795" s="183"/>
      <c r="S19795" s="183"/>
      <c r="AJ19795" s="183"/>
    </row>
    <row r="19796" spans="1:38">
      <c r="A19796" s="182"/>
      <c r="Q19796" s="183"/>
      <c r="R19796" s="183"/>
      <c r="S19796" s="183"/>
    </row>
    <row r="19797" spans="1:38">
      <c r="A19797" s="182"/>
      <c r="Q19797" s="183"/>
      <c r="R19797" s="183"/>
      <c r="S19797" s="183"/>
    </row>
    <row r="19798" spans="1:38">
      <c r="A19798" s="182"/>
      <c r="Q19798" s="183"/>
      <c r="R19798" s="183"/>
      <c r="S19798" s="183"/>
    </row>
    <row r="19799" spans="1:38">
      <c r="A19799" s="182"/>
      <c r="Q19799" s="183"/>
      <c r="R19799" s="183"/>
      <c r="S19799" s="183"/>
    </row>
    <row r="19800" spans="1:38">
      <c r="A19800" s="182"/>
      <c r="Q19800" s="183"/>
      <c r="R19800" s="183"/>
      <c r="S19800" s="183"/>
    </row>
    <row r="19801" spans="1:38">
      <c r="A19801" s="182"/>
      <c r="Q19801" s="183"/>
      <c r="R19801" s="183"/>
      <c r="S19801" s="183"/>
    </row>
    <row r="19802" spans="1:38">
      <c r="A19802" s="182"/>
      <c r="Q19802" s="183"/>
      <c r="R19802" s="183"/>
      <c r="S19802" s="183"/>
    </row>
    <row r="19803" spans="1:38">
      <c r="A19803" s="182"/>
      <c r="Q19803" s="183"/>
      <c r="R19803" s="183"/>
      <c r="S19803" s="183"/>
    </row>
    <row r="19804" spans="1:38">
      <c r="A19804" s="182"/>
      <c r="Q19804" s="183"/>
      <c r="R19804" s="183"/>
      <c r="S19804" s="183"/>
    </row>
    <row r="19805" spans="1:38">
      <c r="A19805" s="182"/>
      <c r="Q19805" s="183"/>
      <c r="R19805" s="183"/>
      <c r="S19805" s="183"/>
    </row>
    <row r="19806" spans="1:38">
      <c r="A19806" s="182"/>
      <c r="Q19806" s="183"/>
      <c r="R19806" s="183"/>
      <c r="S19806" s="183"/>
    </row>
    <row r="19807" spans="1:38">
      <c r="A19807" s="182"/>
      <c r="Q19807" s="183"/>
      <c r="R19807" s="183"/>
      <c r="S19807" s="183"/>
      <c r="AK19807" s="183"/>
      <c r="AL19807" s="183"/>
    </row>
    <row r="19808" spans="1:38">
      <c r="A19808" s="182"/>
      <c r="Q19808" s="183"/>
      <c r="R19808" s="183"/>
      <c r="S19808" s="183"/>
      <c r="AJ19808" s="183"/>
      <c r="AK19808" s="183"/>
      <c r="AL19808" s="183"/>
    </row>
    <row r="19809" spans="1:38">
      <c r="A19809" s="182"/>
      <c r="Q19809" s="183"/>
      <c r="R19809" s="183"/>
      <c r="S19809" s="183"/>
      <c r="AJ19809" s="183"/>
      <c r="AK19809" s="183"/>
      <c r="AL19809" s="183"/>
    </row>
    <row r="19810" spans="1:38">
      <c r="A19810" s="182"/>
      <c r="Q19810" s="183"/>
      <c r="R19810" s="183"/>
      <c r="S19810" s="183"/>
      <c r="AJ19810" s="183"/>
      <c r="AK19810" s="183"/>
      <c r="AL19810" s="183"/>
    </row>
    <row r="19811" spans="1:38">
      <c r="A19811" s="182"/>
      <c r="Q19811" s="183"/>
      <c r="R19811" s="183"/>
      <c r="S19811" s="183"/>
      <c r="AJ19811" s="183"/>
      <c r="AK19811" s="183"/>
      <c r="AL19811" s="183"/>
    </row>
    <row r="19812" spans="1:38">
      <c r="A19812" s="182"/>
      <c r="Q19812" s="183"/>
      <c r="R19812" s="183"/>
      <c r="S19812" s="183"/>
      <c r="AJ19812" s="183"/>
      <c r="AK19812" s="183"/>
      <c r="AL19812" s="183"/>
    </row>
    <row r="19813" spans="1:38">
      <c r="A19813" s="182"/>
      <c r="Q19813" s="183"/>
      <c r="R19813" s="183"/>
      <c r="S19813" s="183"/>
      <c r="AJ19813" s="183"/>
      <c r="AK19813" s="183"/>
      <c r="AL19813" s="183"/>
    </row>
    <row r="19814" spans="1:38">
      <c r="A19814" s="182"/>
      <c r="Q19814" s="183"/>
      <c r="R19814" s="183"/>
      <c r="S19814" s="183"/>
      <c r="AJ19814" s="183"/>
      <c r="AK19814" s="183"/>
      <c r="AL19814" s="183"/>
    </row>
    <row r="19815" spans="1:38">
      <c r="A19815" s="182"/>
      <c r="Q19815" s="183"/>
      <c r="R19815" s="183"/>
      <c r="S19815" s="183"/>
      <c r="AJ19815" s="183"/>
      <c r="AK19815" s="183"/>
      <c r="AL19815" s="183"/>
    </row>
    <row r="19816" spans="1:38">
      <c r="A19816" s="182"/>
      <c r="Q19816" s="183"/>
      <c r="R19816" s="183"/>
      <c r="S19816" s="183"/>
      <c r="AJ19816" s="183"/>
      <c r="AK19816" s="183"/>
      <c r="AL19816" s="183"/>
    </row>
    <row r="19817" spans="1:38">
      <c r="A19817" s="182"/>
      <c r="Q19817" s="183"/>
      <c r="R19817" s="183"/>
      <c r="S19817" s="183"/>
      <c r="AJ19817" s="183"/>
      <c r="AK19817" s="183"/>
      <c r="AL19817" s="183"/>
    </row>
    <row r="19818" spans="1:38">
      <c r="A19818" s="182"/>
      <c r="Q19818" s="183"/>
      <c r="R19818" s="183"/>
      <c r="S19818" s="183"/>
      <c r="AJ19818" s="183"/>
      <c r="AK19818" s="183"/>
      <c r="AL19818" s="183"/>
    </row>
    <row r="19819" spans="1:38">
      <c r="A19819" s="182"/>
      <c r="Q19819" s="183"/>
      <c r="R19819" s="183"/>
      <c r="S19819" s="183"/>
      <c r="AJ19819" s="183"/>
    </row>
    <row r="19820" spans="1:38">
      <c r="A19820" s="182"/>
      <c r="Q19820" s="183"/>
      <c r="R19820" s="183"/>
      <c r="S19820" s="183"/>
    </row>
    <row r="19821" spans="1:38">
      <c r="A19821" s="182"/>
      <c r="Q19821" s="183"/>
      <c r="R19821" s="183"/>
      <c r="S19821" s="183"/>
    </row>
    <row r="19822" spans="1:38">
      <c r="A19822" s="182"/>
      <c r="Q19822" s="183"/>
      <c r="R19822" s="183"/>
      <c r="S19822" s="183"/>
    </row>
    <row r="19823" spans="1:38">
      <c r="A19823" s="182"/>
      <c r="Q19823" s="183"/>
      <c r="R19823" s="183"/>
      <c r="S19823" s="183"/>
    </row>
    <row r="19824" spans="1:38">
      <c r="A19824" s="182"/>
      <c r="Q19824" s="183"/>
      <c r="R19824" s="183"/>
      <c r="S19824" s="183"/>
    </row>
    <row r="19825" spans="1:19">
      <c r="A19825" s="182"/>
      <c r="Q19825" s="183"/>
      <c r="R19825" s="183"/>
      <c r="S19825" s="183"/>
    </row>
    <row r="19826" spans="1:19">
      <c r="A19826" s="182"/>
      <c r="Q19826" s="183"/>
      <c r="R19826" s="183"/>
      <c r="S19826" s="183"/>
    </row>
    <row r="19827" spans="1:19">
      <c r="A19827" s="182"/>
      <c r="Q19827" s="183"/>
      <c r="R19827" s="183"/>
      <c r="S19827" s="183"/>
    </row>
    <row r="19828" spans="1:19">
      <c r="A19828" s="182"/>
      <c r="Q19828" s="183"/>
      <c r="R19828" s="183"/>
      <c r="S19828" s="183"/>
    </row>
    <row r="19829" spans="1:19">
      <c r="A19829" s="182"/>
      <c r="Q19829" s="183"/>
      <c r="R19829" s="183"/>
      <c r="S19829" s="183"/>
    </row>
    <row r="19830" spans="1:19">
      <c r="A19830" s="182"/>
      <c r="Q19830" s="183"/>
      <c r="R19830" s="183"/>
      <c r="S19830" s="183"/>
    </row>
    <row r="19831" spans="1:19">
      <c r="A19831" s="182"/>
      <c r="Q19831" s="183"/>
      <c r="R19831" s="183"/>
      <c r="S19831" s="183"/>
    </row>
    <row r="19832" spans="1:19">
      <c r="A19832" s="182"/>
      <c r="Q19832" s="183"/>
      <c r="R19832" s="183"/>
      <c r="S19832" s="183"/>
    </row>
    <row r="19833" spans="1:19">
      <c r="A19833" s="182"/>
      <c r="Q19833" s="183"/>
      <c r="R19833" s="183"/>
      <c r="S19833" s="183"/>
    </row>
    <row r="19834" spans="1:19">
      <c r="A19834" s="182"/>
      <c r="Q19834" s="183"/>
      <c r="R19834" s="183"/>
      <c r="S19834" s="183"/>
    </row>
    <row r="19835" spans="1:19">
      <c r="A19835" s="182"/>
      <c r="Q19835" s="183"/>
      <c r="R19835" s="183"/>
      <c r="S19835" s="183"/>
    </row>
    <row r="19836" spans="1:19">
      <c r="A19836" s="182"/>
      <c r="Q19836" s="183"/>
      <c r="R19836" s="183"/>
      <c r="S19836" s="183"/>
    </row>
    <row r="19837" spans="1:19">
      <c r="A19837" s="182"/>
      <c r="Q19837" s="183"/>
      <c r="R19837" s="183"/>
      <c r="S19837" s="183"/>
    </row>
    <row r="19838" spans="1:19">
      <c r="A19838" s="182"/>
      <c r="Q19838" s="183"/>
      <c r="R19838" s="183"/>
      <c r="S19838" s="183"/>
    </row>
    <row r="19839" spans="1:19">
      <c r="A19839" s="182"/>
      <c r="Q19839" s="183"/>
      <c r="R19839" s="183"/>
      <c r="S19839" s="183"/>
    </row>
    <row r="19840" spans="1:19">
      <c r="A19840" s="182"/>
      <c r="Q19840" s="183"/>
      <c r="R19840" s="183"/>
      <c r="S19840" s="183"/>
    </row>
    <row r="19841" spans="1:38">
      <c r="A19841" s="182"/>
      <c r="Q19841" s="183"/>
      <c r="R19841" s="183"/>
      <c r="S19841" s="183"/>
    </row>
    <row r="19842" spans="1:38">
      <c r="A19842" s="182"/>
      <c r="Q19842" s="183"/>
      <c r="R19842" s="183"/>
      <c r="S19842" s="183"/>
    </row>
    <row r="19843" spans="1:38">
      <c r="A19843" s="182"/>
      <c r="Q19843" s="183"/>
      <c r="R19843" s="183"/>
      <c r="S19843" s="183"/>
    </row>
    <row r="19844" spans="1:38">
      <c r="A19844" s="182"/>
      <c r="Q19844" s="183"/>
      <c r="R19844" s="183"/>
      <c r="S19844" s="183"/>
    </row>
    <row r="19845" spans="1:38">
      <c r="A19845" s="182"/>
      <c r="Q19845" s="183"/>
      <c r="R19845" s="183"/>
      <c r="S19845" s="183"/>
    </row>
    <row r="19846" spans="1:38">
      <c r="A19846" s="182"/>
      <c r="Q19846" s="183"/>
      <c r="R19846" s="183"/>
      <c r="S19846" s="183"/>
    </row>
    <row r="19847" spans="1:38">
      <c r="A19847" s="182"/>
      <c r="Q19847" s="183"/>
      <c r="R19847" s="183"/>
      <c r="S19847" s="183"/>
    </row>
    <row r="19848" spans="1:38">
      <c r="A19848" s="182"/>
      <c r="Q19848" s="183"/>
      <c r="R19848" s="183"/>
      <c r="S19848" s="183"/>
    </row>
    <row r="19849" spans="1:38">
      <c r="A19849" s="182"/>
      <c r="Q19849" s="183"/>
      <c r="R19849" s="183"/>
      <c r="S19849" s="183"/>
    </row>
    <row r="19850" spans="1:38">
      <c r="A19850" s="182"/>
      <c r="Q19850" s="183"/>
      <c r="R19850" s="183"/>
      <c r="S19850" s="183"/>
    </row>
    <row r="19851" spans="1:38">
      <c r="A19851" s="182"/>
      <c r="Q19851" s="183"/>
      <c r="R19851" s="183"/>
      <c r="S19851" s="183"/>
    </row>
    <row r="19852" spans="1:38">
      <c r="A19852" s="182"/>
      <c r="Q19852" s="183"/>
      <c r="R19852" s="183"/>
      <c r="S19852" s="183"/>
    </row>
    <row r="19853" spans="1:38">
      <c r="A19853" s="182"/>
      <c r="Q19853" s="183"/>
      <c r="R19853" s="183"/>
      <c r="S19853" s="183"/>
    </row>
    <row r="19854" spans="1:38">
      <c r="A19854" s="182"/>
      <c r="Q19854" s="183"/>
      <c r="R19854" s="183"/>
      <c r="S19854" s="183"/>
    </row>
    <row r="19855" spans="1:38">
      <c r="A19855" s="182"/>
      <c r="Q19855" s="183"/>
      <c r="R19855" s="183"/>
      <c r="S19855" s="183"/>
      <c r="AK19855" s="183"/>
      <c r="AL19855" s="183"/>
    </row>
    <row r="19856" spans="1:38">
      <c r="A19856" s="182"/>
      <c r="Q19856" s="183"/>
      <c r="R19856" s="183"/>
      <c r="S19856" s="183"/>
      <c r="AJ19856" s="183"/>
      <c r="AK19856" s="183"/>
      <c r="AL19856" s="183"/>
    </row>
    <row r="19857" spans="1:38">
      <c r="A19857" s="182"/>
      <c r="Q19857" s="183"/>
      <c r="R19857" s="183"/>
      <c r="S19857" s="183"/>
      <c r="AJ19857" s="183"/>
      <c r="AK19857" s="183"/>
      <c r="AL19857" s="183"/>
    </row>
    <row r="19858" spans="1:38">
      <c r="A19858" s="182"/>
      <c r="Q19858" s="183"/>
      <c r="R19858" s="183"/>
      <c r="S19858" s="183"/>
      <c r="AJ19858" s="183"/>
      <c r="AK19858" s="183"/>
      <c r="AL19858" s="183"/>
    </row>
    <row r="19859" spans="1:38">
      <c r="A19859" s="182"/>
      <c r="Q19859" s="183"/>
      <c r="R19859" s="183"/>
      <c r="S19859" s="183"/>
      <c r="AJ19859" s="183"/>
      <c r="AK19859" s="183"/>
      <c r="AL19859" s="183"/>
    </row>
    <row r="19860" spans="1:38">
      <c r="A19860" s="182"/>
      <c r="Q19860" s="183"/>
      <c r="R19860" s="183"/>
      <c r="S19860" s="183"/>
      <c r="AJ19860" s="183"/>
      <c r="AK19860" s="183"/>
      <c r="AL19860" s="183"/>
    </row>
    <row r="19861" spans="1:38">
      <c r="A19861" s="182"/>
      <c r="Q19861" s="183"/>
      <c r="R19861" s="183"/>
      <c r="S19861" s="183"/>
      <c r="AJ19861" s="183"/>
      <c r="AK19861" s="183"/>
      <c r="AL19861" s="183"/>
    </row>
    <row r="19862" spans="1:38">
      <c r="A19862" s="182"/>
      <c r="Q19862" s="183"/>
      <c r="R19862" s="183"/>
      <c r="S19862" s="183"/>
      <c r="AJ19862" s="183"/>
      <c r="AK19862" s="183"/>
      <c r="AL19862" s="183"/>
    </row>
    <row r="19863" spans="1:38">
      <c r="A19863" s="182"/>
      <c r="Q19863" s="183"/>
      <c r="R19863" s="183"/>
      <c r="S19863" s="183"/>
      <c r="AJ19863" s="183"/>
    </row>
    <row r="19864" spans="1:38">
      <c r="A19864" s="182"/>
      <c r="Q19864" s="183"/>
      <c r="R19864" s="183"/>
      <c r="S19864" s="183"/>
    </row>
    <row r="19865" spans="1:38">
      <c r="A19865" s="182"/>
      <c r="Q19865" s="183"/>
      <c r="R19865" s="183"/>
      <c r="S19865" s="183"/>
    </row>
    <row r="19866" spans="1:38">
      <c r="A19866" s="182"/>
      <c r="Q19866" s="183"/>
      <c r="R19866" s="183"/>
      <c r="S19866" s="183"/>
    </row>
    <row r="19867" spans="1:38">
      <c r="A19867" s="182"/>
      <c r="Q19867" s="183"/>
      <c r="R19867" s="183"/>
      <c r="S19867" s="183"/>
    </row>
    <row r="19868" spans="1:38">
      <c r="A19868" s="182"/>
      <c r="Q19868" s="183"/>
      <c r="R19868" s="183"/>
      <c r="S19868" s="183"/>
    </row>
    <row r="19869" spans="1:38">
      <c r="A19869" s="182"/>
      <c r="Q19869" s="183"/>
      <c r="R19869" s="183"/>
      <c r="S19869" s="183"/>
    </row>
    <row r="19870" spans="1:38">
      <c r="A19870" s="182"/>
      <c r="Q19870" s="183"/>
      <c r="R19870" s="183"/>
      <c r="S19870" s="183"/>
    </row>
    <row r="19871" spans="1:38">
      <c r="A19871" s="182"/>
      <c r="Q19871" s="183"/>
      <c r="R19871" s="183"/>
      <c r="S19871" s="183"/>
      <c r="AK19871" s="183"/>
      <c r="AL19871" s="183"/>
    </row>
    <row r="19872" spans="1:38">
      <c r="A19872" s="182"/>
      <c r="Q19872" s="183"/>
      <c r="R19872" s="183"/>
      <c r="S19872" s="183"/>
      <c r="AJ19872" s="183"/>
      <c r="AK19872" s="183"/>
      <c r="AL19872" s="183"/>
    </row>
    <row r="19873" spans="1:38">
      <c r="A19873" s="182"/>
      <c r="Q19873" s="183"/>
      <c r="R19873" s="183"/>
      <c r="S19873" s="183"/>
      <c r="AJ19873" s="183"/>
      <c r="AK19873" s="183"/>
      <c r="AL19873" s="183"/>
    </row>
    <row r="19874" spans="1:38">
      <c r="A19874" s="182"/>
      <c r="Q19874" s="183"/>
      <c r="R19874" s="183"/>
      <c r="S19874" s="183"/>
      <c r="AJ19874" s="183"/>
      <c r="AK19874" s="183"/>
      <c r="AL19874" s="183"/>
    </row>
    <row r="19875" spans="1:38">
      <c r="A19875" s="182"/>
      <c r="Q19875" s="183"/>
      <c r="R19875" s="183"/>
      <c r="S19875" s="183"/>
      <c r="AJ19875" s="183"/>
    </row>
    <row r="19876" spans="1:38">
      <c r="A19876" s="182"/>
      <c r="Q19876" s="183"/>
      <c r="R19876" s="183"/>
      <c r="S19876" s="183"/>
    </row>
    <row r="19877" spans="1:38">
      <c r="A19877" s="182"/>
      <c r="Q19877" s="183"/>
      <c r="R19877" s="183"/>
      <c r="S19877" s="183"/>
    </row>
    <row r="19878" spans="1:38">
      <c r="A19878" s="182"/>
      <c r="Q19878" s="183"/>
      <c r="R19878" s="183"/>
      <c r="S19878" s="183"/>
    </row>
    <row r="19879" spans="1:38">
      <c r="A19879" s="182"/>
      <c r="Q19879" s="183"/>
      <c r="R19879" s="183"/>
      <c r="S19879" s="183"/>
    </row>
    <row r="19880" spans="1:38">
      <c r="A19880" s="182"/>
      <c r="Q19880" s="183"/>
      <c r="R19880" s="183"/>
      <c r="S19880" s="183"/>
    </row>
    <row r="19881" spans="1:38">
      <c r="A19881" s="182"/>
      <c r="Q19881" s="183"/>
      <c r="R19881" s="183"/>
      <c r="S19881" s="183"/>
    </row>
    <row r="19882" spans="1:38">
      <c r="A19882" s="182"/>
      <c r="Q19882" s="183"/>
      <c r="R19882" s="183"/>
      <c r="S19882" s="183"/>
    </row>
    <row r="19883" spans="1:38">
      <c r="A19883" s="182"/>
      <c r="Q19883" s="183"/>
      <c r="R19883" s="183"/>
      <c r="S19883" s="183"/>
    </row>
    <row r="19884" spans="1:38">
      <c r="A19884" s="182"/>
      <c r="Q19884" s="183"/>
      <c r="R19884" s="183"/>
      <c r="S19884" s="183"/>
    </row>
    <row r="19885" spans="1:38">
      <c r="A19885" s="182"/>
      <c r="Q19885" s="183"/>
      <c r="R19885" s="183"/>
      <c r="S19885" s="183"/>
    </row>
    <row r="19886" spans="1:38">
      <c r="A19886" s="182"/>
      <c r="Q19886" s="183"/>
      <c r="R19886" s="183"/>
      <c r="S19886" s="183"/>
    </row>
    <row r="19887" spans="1:38">
      <c r="A19887" s="182"/>
      <c r="Q19887" s="183"/>
      <c r="R19887" s="183"/>
      <c r="S19887" s="183"/>
    </row>
    <row r="19888" spans="1:38">
      <c r="A19888" s="182"/>
      <c r="Q19888" s="183"/>
      <c r="R19888" s="183"/>
      <c r="S19888" s="183"/>
    </row>
    <row r="19889" spans="1:38">
      <c r="A19889" s="182"/>
      <c r="Q19889" s="183"/>
      <c r="R19889" s="183"/>
      <c r="S19889" s="183"/>
    </row>
    <row r="19890" spans="1:38">
      <c r="A19890" s="182"/>
      <c r="Q19890" s="183"/>
      <c r="R19890" s="183"/>
      <c r="S19890" s="183"/>
    </row>
    <row r="19891" spans="1:38">
      <c r="A19891" s="182"/>
      <c r="Q19891" s="183"/>
      <c r="R19891" s="183"/>
      <c r="S19891" s="183"/>
    </row>
    <row r="19892" spans="1:38">
      <c r="A19892" s="182"/>
      <c r="Q19892" s="183"/>
      <c r="R19892" s="183"/>
      <c r="S19892" s="183"/>
    </row>
    <row r="19893" spans="1:38">
      <c r="A19893" s="182"/>
      <c r="Q19893" s="183"/>
      <c r="R19893" s="183"/>
      <c r="S19893" s="183"/>
    </row>
    <row r="19894" spans="1:38">
      <c r="A19894" s="182"/>
      <c r="Q19894" s="183"/>
      <c r="R19894" s="183"/>
      <c r="S19894" s="183"/>
    </row>
    <row r="19895" spans="1:38">
      <c r="A19895" s="182"/>
      <c r="Q19895" s="183"/>
      <c r="R19895" s="183"/>
      <c r="S19895" s="183"/>
    </row>
    <row r="19896" spans="1:38">
      <c r="A19896" s="182"/>
      <c r="Q19896" s="183"/>
      <c r="R19896" s="183"/>
      <c r="S19896" s="183"/>
    </row>
    <row r="19897" spans="1:38">
      <c r="A19897" s="182"/>
      <c r="Q19897" s="183"/>
      <c r="R19897" s="183"/>
      <c r="S19897" s="183"/>
    </row>
    <row r="19898" spans="1:38">
      <c r="A19898" s="182"/>
      <c r="Q19898" s="183"/>
      <c r="R19898" s="183"/>
      <c r="S19898" s="183"/>
    </row>
    <row r="19899" spans="1:38">
      <c r="A19899" s="182"/>
      <c r="Q19899" s="183"/>
      <c r="R19899" s="183"/>
      <c r="S19899" s="183"/>
      <c r="AK19899" s="183"/>
      <c r="AL19899" s="183"/>
    </row>
    <row r="19900" spans="1:38">
      <c r="A19900" s="182"/>
      <c r="Q19900" s="183"/>
      <c r="R19900" s="183"/>
      <c r="S19900" s="183"/>
      <c r="AJ19900" s="183"/>
      <c r="AK19900" s="183"/>
      <c r="AL19900" s="183"/>
    </row>
    <row r="19901" spans="1:38">
      <c r="A19901" s="182"/>
      <c r="Q19901" s="183"/>
      <c r="R19901" s="183"/>
      <c r="S19901" s="183"/>
      <c r="AJ19901" s="183"/>
      <c r="AK19901" s="183"/>
      <c r="AL19901" s="183"/>
    </row>
    <row r="19902" spans="1:38">
      <c r="A19902" s="182"/>
      <c r="Q19902" s="183"/>
      <c r="R19902" s="183"/>
      <c r="S19902" s="183"/>
      <c r="AJ19902" s="183"/>
      <c r="AK19902" s="183"/>
      <c r="AL19902" s="183"/>
    </row>
    <row r="19903" spans="1:38">
      <c r="A19903" s="182"/>
      <c r="Q19903" s="183"/>
      <c r="R19903" s="183"/>
      <c r="S19903" s="183"/>
      <c r="AJ19903" s="183"/>
    </row>
    <row r="19904" spans="1:38">
      <c r="A19904" s="182"/>
      <c r="Q19904" s="183"/>
      <c r="R19904" s="183"/>
      <c r="S19904" s="183"/>
    </row>
    <row r="19905" spans="1:19">
      <c r="A19905" s="182"/>
      <c r="Q19905" s="183"/>
      <c r="R19905" s="183"/>
      <c r="S19905" s="183"/>
    </row>
    <row r="19906" spans="1:19">
      <c r="A19906" s="182"/>
      <c r="Q19906" s="183"/>
      <c r="R19906" s="183"/>
      <c r="S19906" s="183"/>
    </row>
    <row r="19907" spans="1:19">
      <c r="A19907" s="182"/>
      <c r="Q19907" s="183"/>
      <c r="R19907" s="183"/>
      <c r="S19907" s="183"/>
    </row>
    <row r="19908" spans="1:19">
      <c r="A19908" s="182"/>
      <c r="Q19908" s="183"/>
      <c r="R19908" s="183"/>
      <c r="S19908" s="183"/>
    </row>
    <row r="19909" spans="1:19">
      <c r="A19909" s="182"/>
      <c r="Q19909" s="183"/>
      <c r="R19909" s="183"/>
      <c r="S19909" s="183"/>
    </row>
    <row r="19910" spans="1:19">
      <c r="A19910" s="182"/>
      <c r="Q19910" s="183"/>
      <c r="R19910" s="183"/>
      <c r="S19910" s="183"/>
    </row>
    <row r="19911" spans="1:19">
      <c r="A19911" s="182"/>
      <c r="Q19911" s="183"/>
      <c r="R19911" s="183"/>
      <c r="S19911" s="183"/>
    </row>
    <row r="19912" spans="1:19">
      <c r="A19912" s="182"/>
      <c r="Q19912" s="183"/>
      <c r="R19912" s="183"/>
      <c r="S19912" s="183"/>
    </row>
    <row r="19913" spans="1:19">
      <c r="A19913" s="182"/>
      <c r="Q19913" s="183"/>
      <c r="R19913" s="183"/>
      <c r="S19913" s="183"/>
    </row>
    <row r="19914" spans="1:19">
      <c r="A19914" s="182"/>
      <c r="Q19914" s="183"/>
      <c r="R19914" s="183"/>
      <c r="S19914" s="183"/>
    </row>
    <row r="19915" spans="1:19">
      <c r="A19915" s="182"/>
      <c r="Q19915" s="183"/>
      <c r="R19915" s="183"/>
      <c r="S19915" s="183"/>
    </row>
    <row r="19916" spans="1:19">
      <c r="A19916" s="182"/>
      <c r="Q19916" s="183"/>
      <c r="R19916" s="183"/>
      <c r="S19916" s="183"/>
    </row>
    <row r="19917" spans="1:19">
      <c r="A19917" s="182"/>
      <c r="Q19917" s="183"/>
      <c r="R19917" s="183"/>
      <c r="S19917" s="183"/>
    </row>
    <row r="19918" spans="1:19">
      <c r="A19918" s="182"/>
      <c r="Q19918" s="183"/>
      <c r="R19918" s="183"/>
      <c r="S19918" s="183"/>
    </row>
    <row r="19919" spans="1:19">
      <c r="A19919" s="182"/>
      <c r="Q19919" s="183"/>
      <c r="R19919" s="183"/>
      <c r="S19919" s="183"/>
    </row>
    <row r="19920" spans="1:19">
      <c r="A19920" s="182"/>
      <c r="Q19920" s="183"/>
      <c r="R19920" s="183"/>
      <c r="S19920" s="183"/>
    </row>
    <row r="19921" spans="1:38">
      <c r="A19921" s="182"/>
      <c r="Q19921" s="183"/>
      <c r="R19921" s="183"/>
      <c r="S19921" s="183"/>
    </row>
    <row r="19922" spans="1:38">
      <c r="A19922" s="182"/>
      <c r="Q19922" s="183"/>
      <c r="R19922" s="183"/>
      <c r="S19922" s="183"/>
    </row>
    <row r="19923" spans="1:38">
      <c r="A19923" s="182"/>
      <c r="Q19923" s="183"/>
      <c r="R19923" s="183"/>
      <c r="S19923" s="183"/>
      <c r="AK19923" s="183"/>
      <c r="AL19923" s="183"/>
    </row>
    <row r="19924" spans="1:38">
      <c r="A19924" s="182"/>
      <c r="Q19924" s="183"/>
      <c r="R19924" s="183"/>
      <c r="S19924" s="183"/>
      <c r="AJ19924" s="183"/>
      <c r="AK19924" s="183"/>
      <c r="AL19924" s="183"/>
    </row>
    <row r="19925" spans="1:38">
      <c r="A19925" s="182"/>
      <c r="Q19925" s="183"/>
      <c r="R19925" s="183"/>
      <c r="S19925" s="183"/>
      <c r="AJ19925" s="183"/>
      <c r="AK19925" s="183"/>
      <c r="AL19925" s="183"/>
    </row>
    <row r="19926" spans="1:38">
      <c r="A19926" s="182"/>
      <c r="Q19926" s="183"/>
      <c r="R19926" s="183"/>
      <c r="S19926" s="183"/>
      <c r="AJ19926" s="183"/>
      <c r="AK19926" s="183"/>
      <c r="AL19926" s="183"/>
    </row>
    <row r="19927" spans="1:38">
      <c r="A19927" s="182"/>
      <c r="Q19927" s="183"/>
      <c r="R19927" s="183"/>
      <c r="S19927" s="183"/>
      <c r="AJ19927" s="183"/>
    </row>
    <row r="19928" spans="1:38">
      <c r="A19928" s="182"/>
      <c r="Q19928" s="183"/>
      <c r="R19928" s="183"/>
      <c r="S19928" s="183"/>
    </row>
    <row r="19929" spans="1:38">
      <c r="A19929" s="182"/>
      <c r="Q19929" s="183"/>
      <c r="R19929" s="183"/>
      <c r="S19929" s="183"/>
    </row>
    <row r="19930" spans="1:38">
      <c r="A19930" s="182"/>
      <c r="Q19930" s="183"/>
      <c r="R19930" s="183"/>
      <c r="S19930" s="183"/>
    </row>
    <row r="19931" spans="1:38">
      <c r="A19931" s="182"/>
      <c r="Q19931" s="183"/>
      <c r="R19931" s="183"/>
      <c r="S19931" s="183"/>
    </row>
    <row r="19932" spans="1:38">
      <c r="A19932" s="182"/>
      <c r="Q19932" s="183"/>
      <c r="R19932" s="183"/>
      <c r="S19932" s="183"/>
    </row>
    <row r="19933" spans="1:38">
      <c r="A19933" s="182"/>
      <c r="Q19933" s="183"/>
      <c r="R19933" s="183"/>
      <c r="S19933" s="183"/>
    </row>
    <row r="19934" spans="1:38">
      <c r="A19934" s="182"/>
      <c r="Q19934" s="183"/>
      <c r="R19934" s="183"/>
      <c r="S19934" s="183"/>
    </row>
    <row r="19935" spans="1:38">
      <c r="A19935" s="182"/>
      <c r="Q19935" s="183"/>
      <c r="R19935" s="183"/>
      <c r="S19935" s="183"/>
      <c r="AK19935" s="183"/>
      <c r="AL19935" s="183"/>
    </row>
    <row r="19936" spans="1:38">
      <c r="A19936" s="182"/>
      <c r="Q19936" s="183"/>
      <c r="R19936" s="183"/>
      <c r="S19936" s="183"/>
      <c r="AJ19936" s="183"/>
      <c r="AK19936" s="183"/>
      <c r="AL19936" s="183"/>
    </row>
    <row r="19937" spans="1:38">
      <c r="A19937" s="182"/>
      <c r="Q19937" s="183"/>
      <c r="R19937" s="183"/>
      <c r="S19937" s="183"/>
      <c r="AJ19937" s="183"/>
      <c r="AK19937" s="183"/>
      <c r="AL19937" s="183"/>
    </row>
    <row r="19938" spans="1:38">
      <c r="A19938" s="182"/>
      <c r="Q19938" s="183"/>
      <c r="R19938" s="183"/>
      <c r="S19938" s="183"/>
      <c r="AJ19938" s="183"/>
      <c r="AK19938" s="183"/>
      <c r="AL19938" s="183"/>
    </row>
    <row r="19939" spans="1:38">
      <c r="A19939" s="182"/>
      <c r="Q19939" s="183"/>
      <c r="R19939" s="183"/>
      <c r="S19939" s="183"/>
      <c r="AJ19939" s="183"/>
    </row>
    <row r="19940" spans="1:38">
      <c r="A19940" s="182"/>
      <c r="Q19940" s="183"/>
      <c r="R19940" s="183"/>
      <c r="S19940" s="183"/>
    </row>
    <row r="19941" spans="1:38">
      <c r="A19941" s="182"/>
      <c r="Q19941" s="183"/>
      <c r="R19941" s="183"/>
      <c r="S19941" s="183"/>
    </row>
    <row r="19942" spans="1:38">
      <c r="A19942" s="182"/>
      <c r="Q19942" s="183"/>
      <c r="R19942" s="183"/>
      <c r="S19942" s="183"/>
    </row>
    <row r="19943" spans="1:38">
      <c r="A19943" s="182"/>
      <c r="Q19943" s="183"/>
      <c r="R19943" s="183"/>
      <c r="S19943" s="183"/>
      <c r="AK19943" s="183"/>
      <c r="AL19943" s="183"/>
    </row>
    <row r="19944" spans="1:38">
      <c r="A19944" s="182"/>
      <c r="Q19944" s="183"/>
      <c r="R19944" s="183"/>
      <c r="S19944" s="183"/>
      <c r="AJ19944" s="183"/>
      <c r="AK19944" s="183"/>
      <c r="AL19944" s="183"/>
    </row>
    <row r="19945" spans="1:38">
      <c r="A19945" s="182"/>
      <c r="Q19945" s="183"/>
      <c r="R19945" s="183"/>
      <c r="S19945" s="183"/>
      <c r="AJ19945" s="183"/>
      <c r="AK19945" s="183"/>
      <c r="AL19945" s="183"/>
    </row>
    <row r="19946" spans="1:38">
      <c r="A19946" s="182"/>
      <c r="Q19946" s="183"/>
      <c r="R19946" s="183"/>
      <c r="S19946" s="183"/>
      <c r="AJ19946" s="183"/>
      <c r="AK19946" s="183"/>
      <c r="AL19946" s="183"/>
    </row>
    <row r="19947" spans="1:38">
      <c r="A19947" s="182"/>
      <c r="Q19947" s="183"/>
      <c r="R19947" s="183"/>
      <c r="S19947" s="183"/>
      <c r="AJ19947" s="183"/>
    </row>
    <row r="19948" spans="1:38">
      <c r="A19948" s="182"/>
      <c r="Q19948" s="183"/>
      <c r="R19948" s="183"/>
      <c r="S19948" s="183"/>
    </row>
    <row r="19949" spans="1:38">
      <c r="A19949" s="182"/>
      <c r="Q19949" s="183"/>
      <c r="R19949" s="183"/>
      <c r="S19949" s="183"/>
    </row>
    <row r="19950" spans="1:38">
      <c r="A19950" s="182"/>
      <c r="Q19950" s="183"/>
      <c r="R19950" s="183"/>
      <c r="S19950" s="183"/>
    </row>
    <row r="19951" spans="1:38">
      <c r="A19951" s="182"/>
      <c r="Q19951" s="183"/>
      <c r="R19951" s="183"/>
      <c r="S19951" s="183"/>
      <c r="AK19951" s="183"/>
      <c r="AL19951" s="183"/>
    </row>
    <row r="19952" spans="1:38">
      <c r="A19952" s="182"/>
      <c r="Q19952" s="183"/>
      <c r="R19952" s="183"/>
      <c r="S19952" s="183"/>
      <c r="AJ19952" s="183"/>
      <c r="AK19952" s="183"/>
      <c r="AL19952" s="183"/>
    </row>
    <row r="19953" spans="1:38">
      <c r="A19953" s="182"/>
      <c r="Q19953" s="183"/>
      <c r="R19953" s="183"/>
      <c r="S19953" s="183"/>
      <c r="AJ19953" s="183"/>
      <c r="AK19953" s="183"/>
      <c r="AL19953" s="183"/>
    </row>
    <row r="19954" spans="1:38">
      <c r="A19954" s="182"/>
      <c r="Q19954" s="183"/>
      <c r="R19954" s="183"/>
      <c r="S19954" s="183"/>
      <c r="AJ19954" s="183"/>
      <c r="AK19954" s="183"/>
      <c r="AL19954" s="183"/>
    </row>
    <row r="19955" spans="1:38">
      <c r="A19955" s="182"/>
      <c r="Q19955" s="183"/>
      <c r="R19955" s="183"/>
      <c r="S19955" s="183"/>
      <c r="AJ19955" s="183"/>
      <c r="AK19955" s="183"/>
      <c r="AL19955" s="183"/>
    </row>
    <row r="19956" spans="1:38">
      <c r="A19956" s="182"/>
      <c r="Q19956" s="183"/>
      <c r="R19956" s="183"/>
      <c r="S19956" s="183"/>
      <c r="AJ19956" s="183"/>
      <c r="AK19956" s="183"/>
      <c r="AL19956" s="183"/>
    </row>
    <row r="19957" spans="1:38">
      <c r="A19957" s="182"/>
      <c r="Q19957" s="183"/>
      <c r="R19957" s="183"/>
      <c r="S19957" s="183"/>
      <c r="AJ19957" s="183"/>
      <c r="AK19957" s="183"/>
      <c r="AL19957" s="183"/>
    </row>
    <row r="19958" spans="1:38">
      <c r="A19958" s="182"/>
      <c r="Q19958" s="183"/>
      <c r="R19958" s="183"/>
      <c r="S19958" s="183"/>
      <c r="AJ19958" s="183"/>
      <c r="AK19958" s="183"/>
      <c r="AL19958" s="183"/>
    </row>
    <row r="19959" spans="1:38">
      <c r="A19959" s="182"/>
      <c r="Q19959" s="183"/>
      <c r="R19959" s="183"/>
      <c r="S19959" s="183"/>
      <c r="AJ19959" s="183"/>
    </row>
    <row r="19960" spans="1:38">
      <c r="A19960" s="182"/>
      <c r="Q19960" s="183"/>
      <c r="R19960" s="183"/>
      <c r="S19960" s="183"/>
    </row>
    <row r="19961" spans="1:38">
      <c r="A19961" s="182"/>
      <c r="Q19961" s="183"/>
      <c r="R19961" s="183"/>
      <c r="S19961" s="183"/>
    </row>
    <row r="19962" spans="1:38">
      <c r="A19962" s="182"/>
      <c r="Q19962" s="183"/>
      <c r="R19962" s="183"/>
      <c r="S19962" s="183"/>
    </row>
    <row r="19963" spans="1:38">
      <c r="A19963" s="182"/>
      <c r="Q19963" s="183"/>
      <c r="R19963" s="183"/>
      <c r="S19963" s="183"/>
      <c r="AK19963" s="183"/>
      <c r="AL19963" s="183"/>
    </row>
    <row r="19964" spans="1:38">
      <c r="A19964" s="182"/>
      <c r="Q19964" s="183"/>
      <c r="R19964" s="183"/>
      <c r="S19964" s="183"/>
      <c r="AJ19964" s="183"/>
      <c r="AK19964" s="183"/>
      <c r="AL19964" s="183"/>
    </row>
    <row r="19965" spans="1:38">
      <c r="A19965" s="182"/>
      <c r="Q19965" s="183"/>
      <c r="R19965" s="183"/>
      <c r="S19965" s="183"/>
      <c r="AJ19965" s="183"/>
      <c r="AK19965" s="183"/>
      <c r="AL19965" s="183"/>
    </row>
    <row r="19966" spans="1:38">
      <c r="A19966" s="182"/>
      <c r="Q19966" s="183"/>
      <c r="R19966" s="183"/>
      <c r="S19966" s="183"/>
      <c r="AJ19966" s="183"/>
      <c r="AK19966" s="183"/>
      <c r="AL19966" s="183"/>
    </row>
    <row r="19967" spans="1:38">
      <c r="A19967" s="182"/>
      <c r="Q19967" s="183"/>
      <c r="R19967" s="183"/>
      <c r="S19967" s="183"/>
      <c r="AJ19967" s="183"/>
    </row>
    <row r="19968" spans="1:38">
      <c r="A19968" s="182"/>
      <c r="Q19968" s="183"/>
      <c r="R19968" s="183"/>
      <c r="S19968" s="183"/>
    </row>
    <row r="19969" spans="1:38">
      <c r="A19969" s="182"/>
      <c r="Q19969" s="183"/>
      <c r="R19969" s="183"/>
      <c r="S19969" s="183"/>
    </row>
    <row r="19970" spans="1:38">
      <c r="A19970" s="182"/>
      <c r="Q19970" s="183"/>
      <c r="R19970" s="183"/>
      <c r="S19970" s="183"/>
    </row>
    <row r="19971" spans="1:38">
      <c r="A19971" s="182"/>
      <c r="Q19971" s="183"/>
      <c r="R19971" s="183"/>
      <c r="S19971" s="183"/>
      <c r="AK19971" s="183"/>
      <c r="AL19971" s="183"/>
    </row>
    <row r="19972" spans="1:38">
      <c r="A19972" s="182"/>
      <c r="Q19972" s="183"/>
      <c r="R19972" s="183"/>
      <c r="S19972" s="183"/>
      <c r="AJ19972" s="183"/>
      <c r="AK19972" s="183"/>
      <c r="AL19972" s="183"/>
    </row>
    <row r="19973" spans="1:38">
      <c r="A19973" s="182"/>
      <c r="Q19973" s="183"/>
      <c r="R19973" s="183"/>
      <c r="S19973" s="183"/>
      <c r="AJ19973" s="183"/>
      <c r="AK19973" s="183"/>
      <c r="AL19973" s="183"/>
    </row>
    <row r="19974" spans="1:38">
      <c r="A19974" s="182"/>
      <c r="Q19974" s="183"/>
      <c r="R19974" s="183"/>
      <c r="S19974" s="183"/>
      <c r="AJ19974" s="183"/>
      <c r="AK19974" s="183"/>
      <c r="AL19974" s="183"/>
    </row>
    <row r="19975" spans="1:38">
      <c r="A19975" s="182"/>
      <c r="Q19975" s="183"/>
      <c r="R19975" s="183"/>
      <c r="S19975" s="183"/>
      <c r="AJ19975" s="183"/>
    </row>
    <row r="19976" spans="1:38">
      <c r="A19976" s="182"/>
      <c r="Q19976" s="183"/>
      <c r="R19976" s="183"/>
      <c r="S19976" s="183"/>
    </row>
    <row r="19977" spans="1:38">
      <c r="A19977" s="182"/>
      <c r="Q19977" s="183"/>
      <c r="R19977" s="183"/>
      <c r="S19977" s="183"/>
    </row>
    <row r="19978" spans="1:38">
      <c r="A19978" s="182"/>
      <c r="Q19978" s="183"/>
      <c r="R19978" s="183"/>
      <c r="S19978" s="183"/>
    </row>
    <row r="19979" spans="1:38">
      <c r="A19979" s="182"/>
      <c r="Q19979" s="183"/>
      <c r="R19979" s="183"/>
      <c r="S19979" s="183"/>
    </row>
    <row r="19980" spans="1:38">
      <c r="A19980" s="182"/>
      <c r="Q19980" s="183"/>
      <c r="R19980" s="183"/>
      <c r="S19980" s="183"/>
    </row>
    <row r="19981" spans="1:38">
      <c r="A19981" s="182"/>
      <c r="Q19981" s="183"/>
      <c r="R19981" s="183"/>
      <c r="S19981" s="183"/>
    </row>
    <row r="19982" spans="1:38">
      <c r="A19982" s="182"/>
      <c r="Q19982" s="183"/>
      <c r="R19982" s="183"/>
      <c r="S19982" s="183"/>
    </row>
    <row r="19983" spans="1:38">
      <c r="A19983" s="182"/>
      <c r="Q19983" s="183"/>
      <c r="R19983" s="183"/>
      <c r="S19983" s="183"/>
    </row>
    <row r="19984" spans="1:38">
      <c r="A19984" s="182"/>
      <c r="Q19984" s="183"/>
      <c r="R19984" s="183"/>
      <c r="S19984" s="183"/>
    </row>
    <row r="19985" spans="1:38">
      <c r="A19985" s="182"/>
      <c r="Q19985" s="183"/>
      <c r="R19985" s="183"/>
      <c r="S19985" s="183"/>
    </row>
    <row r="19986" spans="1:38">
      <c r="A19986" s="182"/>
      <c r="Q19986" s="183"/>
      <c r="R19986" s="183"/>
      <c r="S19986" s="183"/>
    </row>
    <row r="19987" spans="1:38">
      <c r="A19987" s="182"/>
      <c r="Q19987" s="183"/>
      <c r="R19987" s="183"/>
      <c r="S19987" s="183"/>
      <c r="AK19987" s="183"/>
      <c r="AL19987" s="183"/>
    </row>
    <row r="19988" spans="1:38">
      <c r="A19988" s="182"/>
      <c r="Q19988" s="183"/>
      <c r="R19988" s="183"/>
      <c r="S19988" s="183"/>
      <c r="AJ19988" s="183"/>
      <c r="AK19988" s="183"/>
      <c r="AL19988" s="183"/>
    </row>
    <row r="19989" spans="1:38">
      <c r="A19989" s="182"/>
      <c r="Q19989" s="183"/>
      <c r="R19989" s="183"/>
      <c r="S19989" s="183"/>
      <c r="AJ19989" s="183"/>
      <c r="AK19989" s="183"/>
      <c r="AL19989" s="183"/>
    </row>
    <row r="19990" spans="1:38">
      <c r="A19990" s="182"/>
      <c r="Q19990" s="183"/>
      <c r="R19990" s="183"/>
      <c r="S19990" s="183"/>
      <c r="AJ19990" s="183"/>
      <c r="AK19990" s="183"/>
      <c r="AL19990" s="183"/>
    </row>
    <row r="19991" spans="1:38">
      <c r="A19991" s="182"/>
      <c r="Q19991" s="183"/>
      <c r="R19991" s="183"/>
      <c r="S19991" s="183"/>
      <c r="AJ19991" s="183"/>
    </row>
    <row r="19992" spans="1:38">
      <c r="A19992" s="182"/>
      <c r="Q19992" s="183"/>
      <c r="R19992" s="183"/>
      <c r="S19992" s="183"/>
    </row>
    <row r="19993" spans="1:38">
      <c r="A19993" s="182"/>
      <c r="Q19993" s="183"/>
      <c r="R19993" s="183"/>
      <c r="S19993" s="183"/>
    </row>
    <row r="19994" spans="1:38">
      <c r="A19994" s="182"/>
      <c r="Q19994" s="183"/>
      <c r="R19994" s="183"/>
      <c r="S19994" s="183"/>
    </row>
    <row r="19995" spans="1:38">
      <c r="A19995" s="182"/>
      <c r="Q19995" s="183"/>
      <c r="R19995" s="183"/>
      <c r="S19995" s="183"/>
    </row>
    <row r="19996" spans="1:38">
      <c r="A19996" s="182"/>
      <c r="Q19996" s="183"/>
      <c r="R19996" s="183"/>
      <c r="S19996" s="183"/>
    </row>
    <row r="19997" spans="1:38">
      <c r="A19997" s="182"/>
      <c r="Q19997" s="183"/>
      <c r="R19997" s="183"/>
      <c r="S19997" s="183"/>
    </row>
    <row r="19998" spans="1:38">
      <c r="A19998" s="182"/>
      <c r="Q19998" s="183"/>
      <c r="R19998" s="183"/>
      <c r="S19998" s="183"/>
    </row>
    <row r="19999" spans="1:38">
      <c r="A19999" s="182"/>
      <c r="Q19999" s="183"/>
      <c r="R19999" s="183"/>
      <c r="S19999" s="183"/>
    </row>
    <row r="20000" spans="1:38">
      <c r="A20000" s="182"/>
      <c r="Q20000" s="183"/>
      <c r="R20000" s="183"/>
      <c r="S20000" s="183"/>
    </row>
    <row r="20001" spans="1:38">
      <c r="A20001" s="182"/>
      <c r="Q20001" s="183"/>
      <c r="R20001" s="183"/>
      <c r="S20001" s="183"/>
    </row>
    <row r="20002" spans="1:38">
      <c r="A20002" s="182"/>
      <c r="Q20002" s="183"/>
      <c r="R20002" s="183"/>
      <c r="S20002" s="183"/>
    </row>
    <row r="20003" spans="1:38">
      <c r="A20003" s="182"/>
      <c r="Q20003" s="183"/>
      <c r="R20003" s="183"/>
      <c r="S20003" s="183"/>
    </row>
    <row r="20004" spans="1:38">
      <c r="A20004" s="182"/>
      <c r="Q20004" s="183"/>
      <c r="R20004" s="183"/>
      <c r="S20004" s="183"/>
    </row>
    <row r="20005" spans="1:38">
      <c r="A20005" s="182"/>
      <c r="Q20005" s="183"/>
      <c r="R20005" s="183"/>
      <c r="S20005" s="183"/>
    </row>
    <row r="20006" spans="1:38">
      <c r="A20006" s="182"/>
      <c r="Q20006" s="183"/>
      <c r="R20006" s="183"/>
      <c r="S20006" s="183"/>
    </row>
    <row r="20007" spans="1:38">
      <c r="A20007" s="182"/>
      <c r="Q20007" s="183"/>
      <c r="R20007" s="183"/>
      <c r="S20007" s="183"/>
    </row>
    <row r="20008" spans="1:38">
      <c r="A20008" s="182"/>
      <c r="Q20008" s="183"/>
      <c r="R20008" s="183"/>
      <c r="S20008" s="183"/>
    </row>
    <row r="20009" spans="1:38">
      <c r="A20009" s="182"/>
      <c r="Q20009" s="183"/>
      <c r="R20009" s="183"/>
      <c r="S20009" s="183"/>
    </row>
    <row r="20010" spans="1:38">
      <c r="A20010" s="182"/>
      <c r="Q20010" s="183"/>
      <c r="R20010" s="183"/>
      <c r="S20010" s="183"/>
    </row>
    <row r="20011" spans="1:38">
      <c r="A20011" s="182"/>
      <c r="Q20011" s="183"/>
      <c r="R20011" s="183"/>
      <c r="S20011" s="183"/>
    </row>
    <row r="20012" spans="1:38">
      <c r="A20012" s="182"/>
      <c r="Q20012" s="183"/>
      <c r="R20012" s="183"/>
      <c r="S20012" s="183"/>
    </row>
    <row r="20013" spans="1:38">
      <c r="A20013" s="182"/>
      <c r="Q20013" s="183"/>
      <c r="R20013" s="183"/>
      <c r="S20013" s="183"/>
    </row>
    <row r="20014" spans="1:38">
      <c r="A20014" s="182"/>
      <c r="Q20014" s="183"/>
      <c r="R20014" s="183"/>
      <c r="S20014" s="183"/>
    </row>
    <row r="20015" spans="1:38">
      <c r="A20015" s="182"/>
      <c r="Q20015" s="183"/>
      <c r="R20015" s="183"/>
      <c r="S20015" s="183"/>
      <c r="AK20015" s="183"/>
      <c r="AL20015" s="183"/>
    </row>
    <row r="20016" spans="1:38">
      <c r="A20016" s="182"/>
      <c r="Q20016" s="183"/>
      <c r="R20016" s="183"/>
      <c r="S20016" s="183"/>
      <c r="AJ20016" s="183"/>
      <c r="AK20016" s="183"/>
      <c r="AL20016" s="183"/>
    </row>
    <row r="20017" spans="1:38">
      <c r="A20017" s="182"/>
      <c r="Q20017" s="183"/>
      <c r="R20017" s="183"/>
      <c r="S20017" s="183"/>
      <c r="AJ20017" s="183"/>
      <c r="AK20017" s="183"/>
      <c r="AL20017" s="183"/>
    </row>
    <row r="20018" spans="1:38">
      <c r="A20018" s="182"/>
      <c r="Q20018" s="183"/>
      <c r="R20018" s="183"/>
      <c r="S20018" s="183"/>
      <c r="AJ20018" s="183"/>
      <c r="AK20018" s="183"/>
      <c r="AL20018" s="183"/>
    </row>
    <row r="20019" spans="1:38">
      <c r="A20019" s="182"/>
      <c r="Q20019" s="183"/>
      <c r="R20019" s="183"/>
      <c r="S20019" s="183"/>
      <c r="AJ20019" s="183"/>
      <c r="AK20019" s="183"/>
      <c r="AL20019" s="183"/>
    </row>
    <row r="20020" spans="1:38">
      <c r="A20020" s="182"/>
      <c r="Q20020" s="183"/>
      <c r="R20020" s="183"/>
      <c r="S20020" s="183"/>
      <c r="AJ20020" s="183"/>
      <c r="AK20020" s="183"/>
      <c r="AL20020" s="183"/>
    </row>
    <row r="20021" spans="1:38">
      <c r="A20021" s="182"/>
      <c r="Q20021" s="183"/>
      <c r="R20021" s="183"/>
      <c r="S20021" s="183"/>
      <c r="AJ20021" s="183"/>
      <c r="AK20021" s="183"/>
      <c r="AL20021" s="183"/>
    </row>
    <row r="20022" spans="1:38">
      <c r="A20022" s="182"/>
      <c r="Q20022" s="183"/>
      <c r="R20022" s="183"/>
      <c r="S20022" s="183"/>
      <c r="AJ20022" s="183"/>
      <c r="AK20022" s="183"/>
      <c r="AL20022" s="183"/>
    </row>
    <row r="20023" spans="1:38">
      <c r="A20023" s="182"/>
      <c r="Q20023" s="183"/>
      <c r="R20023" s="183"/>
      <c r="S20023" s="183"/>
      <c r="AJ20023" s="183"/>
      <c r="AK20023" s="183"/>
      <c r="AL20023" s="183"/>
    </row>
    <row r="20024" spans="1:38">
      <c r="A20024" s="182"/>
      <c r="Q20024" s="183"/>
      <c r="R20024" s="183"/>
      <c r="S20024" s="183"/>
      <c r="AJ20024" s="183"/>
      <c r="AK20024" s="183"/>
      <c r="AL20024" s="183"/>
    </row>
    <row r="20025" spans="1:38">
      <c r="A20025" s="182"/>
      <c r="Q20025" s="183"/>
      <c r="R20025" s="183"/>
      <c r="S20025" s="183"/>
      <c r="AJ20025" s="183"/>
      <c r="AK20025" s="183"/>
      <c r="AL20025" s="183"/>
    </row>
    <row r="20026" spans="1:38">
      <c r="A20026" s="182"/>
      <c r="Q20026" s="183"/>
      <c r="R20026" s="183"/>
      <c r="S20026" s="183"/>
      <c r="AJ20026" s="183"/>
      <c r="AK20026" s="183"/>
      <c r="AL20026" s="183"/>
    </row>
    <row r="20027" spans="1:38">
      <c r="A20027" s="182"/>
      <c r="Q20027" s="183"/>
      <c r="R20027" s="183"/>
      <c r="S20027" s="183"/>
      <c r="AJ20027" s="183"/>
      <c r="AK20027" s="183"/>
      <c r="AL20027" s="183"/>
    </row>
    <row r="20028" spans="1:38">
      <c r="A20028" s="182"/>
      <c r="Q20028" s="183"/>
      <c r="R20028" s="183"/>
      <c r="S20028" s="183"/>
      <c r="AJ20028" s="183"/>
      <c r="AK20028" s="183"/>
      <c r="AL20028" s="183"/>
    </row>
    <row r="20029" spans="1:38">
      <c r="A20029" s="182"/>
      <c r="Q20029" s="183"/>
      <c r="R20029" s="183"/>
      <c r="S20029" s="183"/>
      <c r="AJ20029" s="183"/>
      <c r="AK20029" s="183"/>
      <c r="AL20029" s="183"/>
    </row>
    <row r="20030" spans="1:38">
      <c r="A20030" s="182"/>
      <c r="Q20030" s="183"/>
      <c r="R20030" s="183"/>
      <c r="S20030" s="183"/>
      <c r="AJ20030" s="183"/>
      <c r="AK20030" s="183"/>
      <c r="AL20030" s="183"/>
    </row>
    <row r="20031" spans="1:38">
      <c r="A20031" s="182"/>
      <c r="Q20031" s="183"/>
      <c r="R20031" s="183"/>
      <c r="S20031" s="183"/>
      <c r="AJ20031" s="183"/>
      <c r="AK20031" s="183"/>
      <c r="AL20031" s="183"/>
    </row>
    <row r="20032" spans="1:38">
      <c r="A20032" s="182"/>
      <c r="Q20032" s="183"/>
      <c r="R20032" s="183"/>
      <c r="S20032" s="183"/>
      <c r="AJ20032" s="183"/>
      <c r="AK20032" s="183"/>
      <c r="AL20032" s="183"/>
    </row>
    <row r="20033" spans="1:38">
      <c r="A20033" s="182"/>
      <c r="Q20033" s="183"/>
      <c r="R20033" s="183"/>
      <c r="S20033" s="183"/>
      <c r="AJ20033" s="183"/>
      <c r="AK20033" s="183"/>
      <c r="AL20033" s="183"/>
    </row>
    <row r="20034" spans="1:38">
      <c r="A20034" s="182"/>
      <c r="Q20034" s="183"/>
      <c r="R20034" s="183"/>
      <c r="S20034" s="183"/>
      <c r="AJ20034" s="183"/>
      <c r="AK20034" s="183"/>
      <c r="AL20034" s="183"/>
    </row>
    <row r="20035" spans="1:38">
      <c r="A20035" s="182"/>
      <c r="Q20035" s="183"/>
      <c r="R20035" s="183"/>
      <c r="S20035" s="183"/>
      <c r="AJ20035" s="183"/>
    </row>
    <row r="20036" spans="1:38">
      <c r="A20036" s="182"/>
      <c r="Q20036" s="183"/>
      <c r="R20036" s="183"/>
      <c r="S20036" s="183"/>
    </row>
    <row r="20037" spans="1:38">
      <c r="A20037" s="182"/>
      <c r="Q20037" s="183"/>
      <c r="R20037" s="183"/>
      <c r="S20037" s="183"/>
    </row>
    <row r="20038" spans="1:38">
      <c r="A20038" s="182"/>
      <c r="Q20038" s="183"/>
      <c r="R20038" s="183"/>
      <c r="S20038" s="183"/>
    </row>
    <row r="20039" spans="1:38">
      <c r="A20039" s="182"/>
      <c r="Q20039" s="183"/>
      <c r="R20039" s="183"/>
      <c r="S20039" s="183"/>
      <c r="AK20039" s="183"/>
      <c r="AL20039" s="183"/>
    </row>
    <row r="20040" spans="1:38">
      <c r="A20040" s="182"/>
      <c r="Q20040" s="183"/>
      <c r="R20040" s="183"/>
      <c r="S20040" s="183"/>
      <c r="AJ20040" s="183"/>
      <c r="AK20040" s="183"/>
      <c r="AL20040" s="183"/>
    </row>
    <row r="20041" spans="1:38">
      <c r="A20041" s="182"/>
      <c r="Q20041" s="183"/>
      <c r="R20041" s="183"/>
      <c r="S20041" s="183"/>
      <c r="AJ20041" s="183"/>
      <c r="AK20041" s="183"/>
      <c r="AL20041" s="183"/>
    </row>
    <row r="20042" spans="1:38">
      <c r="A20042" s="182"/>
      <c r="Q20042" s="183"/>
      <c r="R20042" s="183"/>
      <c r="S20042" s="183"/>
      <c r="AJ20042" s="183"/>
      <c r="AK20042" s="183"/>
      <c r="AL20042" s="183"/>
    </row>
    <row r="20043" spans="1:38">
      <c r="A20043" s="182"/>
      <c r="Q20043" s="183"/>
      <c r="R20043" s="183"/>
      <c r="S20043" s="183"/>
      <c r="AJ20043" s="183"/>
    </row>
    <row r="20044" spans="1:38">
      <c r="A20044" s="182"/>
      <c r="Q20044" s="183"/>
      <c r="R20044" s="183"/>
      <c r="S20044" s="183"/>
    </row>
    <row r="20045" spans="1:38">
      <c r="A20045" s="182"/>
      <c r="N20045" s="183"/>
      <c r="O20045" s="183"/>
      <c r="Q20045" s="183"/>
      <c r="R20045" s="183"/>
      <c r="S20045" s="183"/>
    </row>
    <row r="20046" spans="1:38">
      <c r="A20046" s="182"/>
      <c r="M20046" s="183"/>
      <c r="N20046" s="183"/>
      <c r="Q20046" s="183"/>
      <c r="R20046" s="183"/>
      <c r="S20046" s="183"/>
    </row>
    <row r="20047" spans="1:38">
      <c r="A20047" s="182"/>
      <c r="L20047" s="183"/>
      <c r="Q20047" s="183"/>
      <c r="R20047" s="183"/>
      <c r="S20047" s="183"/>
      <c r="AK20047" s="183"/>
      <c r="AL20047" s="183"/>
    </row>
    <row r="20048" spans="1:38">
      <c r="A20048" s="182"/>
      <c r="Q20048" s="183"/>
      <c r="R20048" s="183"/>
      <c r="S20048" s="183"/>
      <c r="AJ20048" s="183"/>
      <c r="AK20048" s="183"/>
      <c r="AL20048" s="183"/>
    </row>
    <row r="20049" spans="1:38">
      <c r="A20049" s="182"/>
      <c r="Q20049" s="183"/>
      <c r="R20049" s="183"/>
      <c r="S20049" s="183"/>
      <c r="AJ20049" s="183"/>
      <c r="AK20049" s="183"/>
      <c r="AL20049" s="183"/>
    </row>
    <row r="20050" spans="1:38">
      <c r="A20050" s="182"/>
      <c r="Q20050" s="183"/>
      <c r="R20050" s="183"/>
      <c r="S20050" s="183"/>
      <c r="AJ20050" s="183"/>
      <c r="AK20050" s="183"/>
      <c r="AL20050" s="183"/>
    </row>
    <row r="20051" spans="1:38">
      <c r="A20051" s="182"/>
      <c r="Q20051" s="183"/>
      <c r="R20051" s="183"/>
      <c r="S20051" s="183"/>
      <c r="AJ20051" s="183"/>
      <c r="AK20051" s="183"/>
      <c r="AL20051" s="183"/>
    </row>
    <row r="20052" spans="1:38">
      <c r="A20052" s="182"/>
      <c r="M20052" s="183"/>
      <c r="N20052" s="183"/>
      <c r="Q20052" s="183"/>
      <c r="R20052" s="183"/>
      <c r="S20052" s="183"/>
      <c r="AJ20052" s="183"/>
      <c r="AK20052" s="183"/>
      <c r="AL20052" s="183"/>
    </row>
    <row r="20053" spans="1:38">
      <c r="A20053" s="182"/>
      <c r="L20053" s="183"/>
      <c r="Q20053" s="183"/>
      <c r="R20053" s="183"/>
      <c r="S20053" s="183"/>
      <c r="AJ20053" s="183"/>
      <c r="AK20053" s="183"/>
      <c r="AL20053" s="183"/>
    </row>
    <row r="20054" spans="1:38">
      <c r="A20054" s="182"/>
      <c r="Q20054" s="183"/>
      <c r="R20054" s="183"/>
      <c r="S20054" s="183"/>
      <c r="AJ20054" s="183"/>
      <c r="AK20054" s="183"/>
      <c r="AL20054" s="183"/>
    </row>
    <row r="20055" spans="1:38">
      <c r="A20055" s="182"/>
      <c r="Q20055" s="183"/>
      <c r="R20055" s="183"/>
      <c r="S20055" s="183"/>
      <c r="AJ20055" s="183"/>
      <c r="AK20055" s="183"/>
      <c r="AL20055" s="183"/>
    </row>
    <row r="20056" spans="1:38">
      <c r="A20056" s="182"/>
      <c r="M20056" s="183"/>
      <c r="N20056" s="183"/>
      <c r="Q20056" s="183"/>
      <c r="R20056" s="183"/>
      <c r="S20056" s="183"/>
      <c r="AJ20056" s="183"/>
      <c r="AK20056" s="183"/>
      <c r="AL20056" s="183"/>
    </row>
    <row r="20057" spans="1:38">
      <c r="A20057" s="182"/>
      <c r="L20057" s="183"/>
      <c r="Q20057" s="183"/>
      <c r="R20057" s="183"/>
      <c r="S20057" s="183"/>
      <c r="AJ20057" s="183"/>
      <c r="AK20057" s="183"/>
      <c r="AL20057" s="183"/>
    </row>
    <row r="20058" spans="1:38">
      <c r="A20058" s="182"/>
      <c r="Q20058" s="183"/>
      <c r="R20058" s="183"/>
      <c r="S20058" s="183"/>
      <c r="AJ20058" s="183"/>
      <c r="AK20058" s="183"/>
      <c r="AL20058" s="183"/>
    </row>
    <row r="20059" spans="1:38">
      <c r="A20059" s="182"/>
      <c r="M20059" s="183"/>
      <c r="N20059" s="183"/>
      <c r="O20059" s="183"/>
      <c r="Q20059" s="183"/>
      <c r="R20059" s="183"/>
      <c r="S20059" s="183"/>
      <c r="AJ20059" s="183"/>
      <c r="AK20059" s="183"/>
      <c r="AL20059" s="183"/>
    </row>
    <row r="20060" spans="1:38">
      <c r="A20060" s="182"/>
      <c r="L20060" s="183"/>
      <c r="M20060" s="183"/>
      <c r="Q20060" s="183"/>
      <c r="R20060" s="183"/>
      <c r="S20060" s="183"/>
      <c r="AJ20060" s="183"/>
      <c r="AK20060" s="183"/>
      <c r="AL20060" s="183"/>
    </row>
    <row r="20061" spans="1:38">
      <c r="A20061" s="182"/>
      <c r="Q20061" s="183"/>
      <c r="R20061" s="183"/>
      <c r="S20061" s="183"/>
      <c r="AJ20061" s="183"/>
      <c r="AK20061" s="183"/>
      <c r="AL20061" s="183"/>
    </row>
    <row r="20062" spans="1:38">
      <c r="A20062" s="182"/>
      <c r="Q20062" s="183"/>
      <c r="R20062" s="183"/>
      <c r="S20062" s="183"/>
      <c r="AJ20062" s="183"/>
      <c r="AK20062" s="183"/>
      <c r="AL20062" s="183"/>
    </row>
    <row r="20063" spans="1:38">
      <c r="A20063" s="182"/>
      <c r="Q20063" s="183"/>
      <c r="R20063" s="183"/>
      <c r="S20063" s="183"/>
      <c r="AJ20063" s="183"/>
    </row>
    <row r="20064" spans="1:38">
      <c r="A20064" s="182"/>
      <c r="Q20064" s="183"/>
      <c r="R20064" s="183"/>
      <c r="S20064" s="183"/>
    </row>
    <row r="20065" spans="1:38">
      <c r="A20065" s="182"/>
      <c r="Q20065" s="183"/>
      <c r="R20065" s="183"/>
      <c r="S20065" s="183"/>
    </row>
    <row r="20066" spans="1:38">
      <c r="A20066" s="182"/>
      <c r="Q20066" s="183"/>
      <c r="R20066" s="183"/>
      <c r="S20066" s="183"/>
    </row>
    <row r="20067" spans="1:38">
      <c r="A20067" s="182"/>
      <c r="M20067" s="183"/>
      <c r="N20067" s="183"/>
      <c r="Q20067" s="183"/>
      <c r="R20067" s="183"/>
      <c r="S20067" s="183"/>
    </row>
    <row r="20068" spans="1:38">
      <c r="A20068" s="182"/>
      <c r="L20068" s="183"/>
      <c r="Q20068" s="183"/>
      <c r="R20068" s="183"/>
      <c r="S20068" s="183"/>
    </row>
    <row r="20069" spans="1:38">
      <c r="A20069" s="182"/>
      <c r="M20069" s="183"/>
      <c r="N20069" s="183"/>
      <c r="Q20069" s="183"/>
      <c r="R20069" s="183"/>
      <c r="S20069" s="183"/>
    </row>
    <row r="20070" spans="1:38">
      <c r="A20070" s="182"/>
      <c r="L20070" s="183"/>
      <c r="Q20070" s="183"/>
      <c r="R20070" s="183"/>
      <c r="S20070" s="183"/>
    </row>
    <row r="20071" spans="1:38">
      <c r="A20071" s="182"/>
      <c r="Q20071" s="183"/>
      <c r="R20071" s="183"/>
      <c r="S20071" s="183"/>
      <c r="AK20071" s="183"/>
      <c r="AL20071" s="183"/>
    </row>
    <row r="20072" spans="1:38">
      <c r="A20072" s="182"/>
      <c r="Q20072" s="183"/>
      <c r="R20072" s="183"/>
      <c r="S20072" s="183"/>
      <c r="AJ20072" s="183"/>
      <c r="AK20072" s="183"/>
      <c r="AL20072" s="183"/>
    </row>
    <row r="20073" spans="1:38">
      <c r="A20073" s="182"/>
      <c r="Q20073" s="183"/>
      <c r="R20073" s="183"/>
      <c r="S20073" s="183"/>
      <c r="AJ20073" s="183"/>
      <c r="AK20073" s="183"/>
      <c r="AL20073" s="183"/>
    </row>
    <row r="20074" spans="1:38">
      <c r="A20074" s="182"/>
      <c r="Q20074" s="183"/>
      <c r="R20074" s="183"/>
      <c r="S20074" s="183"/>
      <c r="AJ20074" s="183"/>
      <c r="AK20074" s="183"/>
      <c r="AL20074" s="183"/>
    </row>
    <row r="20075" spans="1:38">
      <c r="A20075" s="182"/>
      <c r="M20075" s="183"/>
      <c r="N20075" s="183"/>
      <c r="Q20075" s="183"/>
      <c r="R20075" s="183"/>
      <c r="S20075" s="183"/>
      <c r="AJ20075" s="183"/>
    </row>
    <row r="20076" spans="1:38">
      <c r="A20076" s="182"/>
      <c r="L20076" s="183"/>
      <c r="Q20076" s="183"/>
      <c r="R20076" s="183"/>
      <c r="S20076" s="183"/>
    </row>
    <row r="20077" spans="1:38">
      <c r="A20077" s="182"/>
      <c r="Q20077" s="183"/>
      <c r="R20077" s="183"/>
      <c r="S20077" s="183"/>
    </row>
    <row r="20078" spans="1:38">
      <c r="A20078" s="182"/>
      <c r="M20078" s="183"/>
      <c r="N20078" s="183"/>
      <c r="Q20078" s="183"/>
      <c r="R20078" s="183"/>
      <c r="S20078" s="183"/>
    </row>
    <row r="20079" spans="1:38">
      <c r="A20079" s="182"/>
      <c r="L20079" s="183"/>
      <c r="Q20079" s="183"/>
      <c r="R20079" s="183"/>
      <c r="S20079" s="183"/>
      <c r="AK20079" s="183"/>
      <c r="AL20079" s="183"/>
    </row>
    <row r="20080" spans="1:38">
      <c r="A20080" s="182"/>
      <c r="Q20080" s="183"/>
      <c r="R20080" s="183"/>
      <c r="S20080" s="183"/>
      <c r="AJ20080" s="183"/>
      <c r="AK20080" s="183"/>
      <c r="AL20080" s="183"/>
    </row>
    <row r="20081" spans="1:38">
      <c r="A20081" s="182"/>
      <c r="Q20081" s="183"/>
      <c r="R20081" s="183"/>
      <c r="S20081" s="183"/>
      <c r="AJ20081" s="183"/>
      <c r="AK20081" s="183"/>
      <c r="AL20081" s="183"/>
    </row>
    <row r="20082" spans="1:38">
      <c r="A20082" s="182"/>
      <c r="Q20082" s="183"/>
      <c r="R20082" s="183"/>
      <c r="S20082" s="183"/>
      <c r="AJ20082" s="183"/>
      <c r="AK20082" s="183"/>
      <c r="AL20082" s="183"/>
    </row>
    <row r="20083" spans="1:38">
      <c r="A20083" s="182"/>
      <c r="Q20083" s="183"/>
      <c r="R20083" s="183"/>
      <c r="S20083" s="183"/>
      <c r="AJ20083" s="183"/>
    </row>
    <row r="20084" spans="1:38">
      <c r="A20084" s="182"/>
      <c r="Q20084" s="183"/>
      <c r="R20084" s="183"/>
      <c r="S20084" s="183"/>
    </row>
    <row r="20085" spans="1:38">
      <c r="A20085" s="182"/>
      <c r="Q20085" s="183"/>
      <c r="R20085" s="183"/>
      <c r="S20085" s="183"/>
    </row>
    <row r="20086" spans="1:38">
      <c r="A20086" s="182"/>
      <c r="Q20086" s="183"/>
      <c r="R20086" s="183"/>
      <c r="S20086" s="183"/>
    </row>
    <row r="20087" spans="1:38">
      <c r="A20087" s="182"/>
      <c r="Q20087" s="183"/>
      <c r="R20087" s="183"/>
      <c r="S20087" s="183"/>
    </row>
    <row r="20088" spans="1:38">
      <c r="A20088" s="182"/>
      <c r="Q20088" s="183"/>
      <c r="R20088" s="183"/>
      <c r="S20088" s="183"/>
    </row>
    <row r="20089" spans="1:38">
      <c r="A20089" s="182"/>
      <c r="Q20089" s="183"/>
      <c r="R20089" s="183"/>
      <c r="S20089" s="183"/>
    </row>
    <row r="20090" spans="1:38">
      <c r="A20090" s="182"/>
      <c r="Q20090" s="183"/>
      <c r="R20090" s="183"/>
      <c r="S20090" s="183"/>
    </row>
    <row r="20091" spans="1:38">
      <c r="A20091" s="182"/>
      <c r="Q20091" s="183"/>
      <c r="R20091" s="183"/>
      <c r="S20091" s="183"/>
    </row>
    <row r="20092" spans="1:38">
      <c r="A20092" s="182"/>
      <c r="Q20092" s="183"/>
      <c r="R20092" s="183"/>
      <c r="S20092" s="183"/>
    </row>
    <row r="20093" spans="1:38">
      <c r="A20093" s="182"/>
      <c r="Q20093" s="183"/>
      <c r="R20093" s="183"/>
      <c r="S20093" s="183"/>
    </row>
    <row r="20094" spans="1:38">
      <c r="A20094" s="182"/>
      <c r="Q20094" s="183"/>
      <c r="R20094" s="183"/>
      <c r="S20094" s="183"/>
    </row>
    <row r="20095" spans="1:38">
      <c r="A20095" s="182"/>
      <c r="Q20095" s="183"/>
      <c r="R20095" s="183"/>
      <c r="S20095" s="183"/>
    </row>
    <row r="20096" spans="1:38">
      <c r="A20096" s="182"/>
      <c r="Q20096" s="183"/>
      <c r="R20096" s="183"/>
      <c r="S20096" s="183"/>
    </row>
    <row r="20097" spans="1:38">
      <c r="A20097" s="182"/>
      <c r="Q20097" s="183"/>
      <c r="R20097" s="183"/>
      <c r="S20097" s="183"/>
    </row>
    <row r="20098" spans="1:38">
      <c r="A20098" s="182"/>
      <c r="Q20098" s="183"/>
      <c r="R20098" s="183"/>
      <c r="S20098" s="183"/>
    </row>
    <row r="20099" spans="1:38">
      <c r="A20099" s="182"/>
      <c r="Q20099" s="183"/>
      <c r="R20099" s="183"/>
      <c r="S20099" s="183"/>
      <c r="AK20099" s="183"/>
      <c r="AL20099" s="183"/>
    </row>
    <row r="20100" spans="1:38">
      <c r="A20100" s="182"/>
      <c r="Q20100" s="183"/>
      <c r="R20100" s="183"/>
      <c r="S20100" s="183"/>
      <c r="AJ20100" s="183"/>
      <c r="AK20100" s="183"/>
      <c r="AL20100" s="183"/>
    </row>
    <row r="20101" spans="1:38">
      <c r="A20101" s="182"/>
      <c r="Q20101" s="183"/>
      <c r="R20101" s="183"/>
      <c r="S20101" s="183"/>
      <c r="AJ20101" s="183"/>
      <c r="AK20101" s="183"/>
      <c r="AL20101" s="183"/>
    </row>
    <row r="20102" spans="1:38">
      <c r="A20102" s="182"/>
      <c r="Q20102" s="183"/>
      <c r="R20102" s="183"/>
      <c r="S20102" s="183"/>
      <c r="AJ20102" s="183"/>
      <c r="AK20102" s="183"/>
      <c r="AL20102" s="183"/>
    </row>
    <row r="20103" spans="1:38">
      <c r="A20103" s="182"/>
      <c r="Q20103" s="183"/>
      <c r="R20103" s="183"/>
      <c r="S20103" s="183"/>
      <c r="AJ20103" s="183"/>
    </row>
    <row r="20104" spans="1:38">
      <c r="A20104" s="182"/>
      <c r="Q20104" s="183"/>
      <c r="R20104" s="183"/>
      <c r="S20104" s="183"/>
    </row>
    <row r="20105" spans="1:38">
      <c r="A20105" s="182"/>
      <c r="Q20105" s="183"/>
      <c r="R20105" s="183"/>
      <c r="S20105" s="183"/>
    </row>
    <row r="20106" spans="1:38">
      <c r="A20106" s="182"/>
      <c r="Q20106" s="183"/>
      <c r="R20106" s="183"/>
      <c r="S20106" s="183"/>
    </row>
    <row r="20107" spans="1:38">
      <c r="A20107" s="182"/>
      <c r="Q20107" s="183"/>
      <c r="R20107" s="183"/>
      <c r="S20107" s="183"/>
    </row>
    <row r="20108" spans="1:38">
      <c r="A20108" s="182"/>
      <c r="Q20108" s="183"/>
      <c r="R20108" s="183"/>
      <c r="S20108" s="183"/>
    </row>
    <row r="20109" spans="1:38">
      <c r="A20109" s="182"/>
      <c r="Q20109" s="183"/>
      <c r="R20109" s="183"/>
      <c r="S20109" s="183"/>
    </row>
    <row r="20110" spans="1:38">
      <c r="A20110" s="182"/>
      <c r="Q20110" s="183"/>
      <c r="R20110" s="183"/>
      <c r="S20110" s="183"/>
    </row>
    <row r="20111" spans="1:38">
      <c r="A20111" s="182"/>
      <c r="Q20111" s="183"/>
      <c r="R20111" s="183"/>
      <c r="S20111" s="183"/>
      <c r="AK20111" s="183"/>
      <c r="AL20111" s="183"/>
    </row>
    <row r="20112" spans="1:38">
      <c r="A20112" s="182"/>
      <c r="Q20112" s="183"/>
      <c r="R20112" s="183"/>
      <c r="S20112" s="183"/>
      <c r="AJ20112" s="183"/>
      <c r="AK20112" s="183"/>
      <c r="AL20112" s="183"/>
    </row>
    <row r="20113" spans="1:38">
      <c r="A20113" s="182"/>
      <c r="Q20113" s="183"/>
      <c r="R20113" s="183"/>
      <c r="S20113" s="183"/>
      <c r="AJ20113" s="183"/>
      <c r="AK20113" s="183"/>
      <c r="AL20113" s="183"/>
    </row>
    <row r="20114" spans="1:38">
      <c r="A20114" s="182"/>
      <c r="Q20114" s="183"/>
      <c r="R20114" s="183"/>
      <c r="S20114" s="183"/>
      <c r="AJ20114" s="183"/>
      <c r="AK20114" s="183"/>
      <c r="AL20114" s="183"/>
    </row>
    <row r="20115" spans="1:38">
      <c r="A20115" s="182"/>
      <c r="Q20115" s="183"/>
      <c r="R20115" s="183"/>
      <c r="S20115" s="183"/>
      <c r="AJ20115" s="183"/>
    </row>
    <row r="20116" spans="1:38">
      <c r="A20116" s="182"/>
      <c r="Q20116" s="183"/>
      <c r="R20116" s="183"/>
      <c r="S20116" s="183"/>
    </row>
    <row r="20117" spans="1:38">
      <c r="A20117" s="182"/>
      <c r="Q20117" s="183"/>
      <c r="R20117" s="183"/>
      <c r="S20117" s="183"/>
    </row>
    <row r="20118" spans="1:38">
      <c r="A20118" s="182"/>
      <c r="Q20118" s="183"/>
      <c r="R20118" s="183"/>
      <c r="S20118" s="183"/>
    </row>
    <row r="20119" spans="1:38">
      <c r="A20119" s="182"/>
      <c r="Q20119" s="183"/>
      <c r="R20119" s="183"/>
      <c r="S20119" s="183"/>
    </row>
    <row r="20120" spans="1:38">
      <c r="A20120" s="182"/>
      <c r="Q20120" s="183"/>
      <c r="R20120" s="183"/>
      <c r="S20120" s="183"/>
    </row>
    <row r="20121" spans="1:38">
      <c r="A20121" s="182"/>
      <c r="Q20121" s="183"/>
      <c r="R20121" s="183"/>
      <c r="S20121" s="183"/>
    </row>
    <row r="20122" spans="1:38">
      <c r="A20122" s="182"/>
      <c r="Q20122" s="183"/>
      <c r="R20122" s="183"/>
      <c r="S20122" s="183"/>
    </row>
    <row r="20123" spans="1:38">
      <c r="A20123" s="182"/>
      <c r="Q20123" s="183"/>
      <c r="R20123" s="183"/>
      <c r="S20123" s="183"/>
      <c r="AK20123" s="183"/>
      <c r="AL20123" s="183"/>
    </row>
    <row r="20124" spans="1:38">
      <c r="A20124" s="182"/>
      <c r="Q20124" s="183"/>
      <c r="R20124" s="183"/>
      <c r="S20124" s="183"/>
      <c r="AJ20124" s="183"/>
      <c r="AK20124" s="183"/>
      <c r="AL20124" s="183"/>
    </row>
    <row r="20125" spans="1:38">
      <c r="A20125" s="182"/>
      <c r="Q20125" s="183"/>
      <c r="R20125" s="183"/>
      <c r="S20125" s="183"/>
      <c r="AJ20125" s="183"/>
      <c r="AK20125" s="183"/>
      <c r="AL20125" s="183"/>
    </row>
    <row r="20126" spans="1:38">
      <c r="A20126" s="182"/>
      <c r="Q20126" s="183"/>
      <c r="R20126" s="183"/>
      <c r="S20126" s="183"/>
      <c r="AJ20126" s="183"/>
      <c r="AK20126" s="183"/>
      <c r="AL20126" s="183"/>
    </row>
    <row r="20127" spans="1:38">
      <c r="A20127" s="182"/>
      <c r="Q20127" s="183"/>
      <c r="R20127" s="183"/>
      <c r="S20127" s="183"/>
      <c r="AJ20127" s="183"/>
      <c r="AK20127" s="183"/>
      <c r="AL20127" s="183"/>
    </row>
    <row r="20128" spans="1:38">
      <c r="A20128" s="182"/>
      <c r="Q20128" s="183"/>
      <c r="R20128" s="183"/>
      <c r="S20128" s="183"/>
      <c r="AJ20128" s="183"/>
      <c r="AK20128" s="183"/>
      <c r="AL20128" s="183"/>
    </row>
    <row r="20129" spans="1:38">
      <c r="A20129" s="182"/>
      <c r="Q20129" s="183"/>
      <c r="R20129" s="183"/>
      <c r="S20129" s="183"/>
      <c r="AJ20129" s="183"/>
      <c r="AK20129" s="183"/>
      <c r="AL20129" s="183"/>
    </row>
    <row r="20130" spans="1:38">
      <c r="A20130" s="182"/>
      <c r="Q20130" s="183"/>
      <c r="R20130" s="183"/>
      <c r="S20130" s="183"/>
      <c r="AJ20130" s="183"/>
      <c r="AK20130" s="183"/>
      <c r="AL20130" s="183"/>
    </row>
    <row r="20131" spans="1:38">
      <c r="A20131" s="182"/>
      <c r="Q20131" s="183"/>
      <c r="R20131" s="183"/>
      <c r="S20131" s="183"/>
      <c r="AJ20131" s="183"/>
    </row>
    <row r="20132" spans="1:38">
      <c r="A20132" s="182"/>
      <c r="Q20132" s="183"/>
      <c r="R20132" s="183"/>
      <c r="S20132" s="183"/>
    </row>
    <row r="20133" spans="1:38">
      <c r="A20133" s="182"/>
      <c r="Q20133" s="183"/>
      <c r="R20133" s="183"/>
      <c r="S20133" s="183"/>
    </row>
    <row r="20134" spans="1:38">
      <c r="A20134" s="182"/>
      <c r="Q20134" s="183"/>
      <c r="R20134" s="183"/>
      <c r="S20134" s="183"/>
    </row>
    <row r="20135" spans="1:38">
      <c r="A20135" s="182"/>
      <c r="Q20135" s="183"/>
      <c r="R20135" s="183"/>
      <c r="S20135" s="183"/>
      <c r="AK20135" s="183"/>
      <c r="AL20135" s="183"/>
    </row>
    <row r="20136" spans="1:38">
      <c r="A20136" s="182"/>
      <c r="Q20136" s="183"/>
      <c r="R20136" s="183"/>
      <c r="S20136" s="183"/>
      <c r="AJ20136" s="183"/>
      <c r="AK20136" s="183"/>
      <c r="AL20136" s="183"/>
    </row>
    <row r="20137" spans="1:38">
      <c r="A20137" s="182"/>
      <c r="Q20137" s="183"/>
      <c r="R20137" s="183"/>
      <c r="S20137" s="183"/>
      <c r="AJ20137" s="183"/>
      <c r="AK20137" s="183"/>
      <c r="AL20137" s="183"/>
    </row>
    <row r="20138" spans="1:38">
      <c r="A20138" s="182"/>
      <c r="Q20138" s="183"/>
      <c r="R20138" s="183"/>
      <c r="S20138" s="183"/>
      <c r="AJ20138" s="183"/>
      <c r="AK20138" s="183"/>
      <c r="AL20138" s="183"/>
    </row>
    <row r="20139" spans="1:38">
      <c r="A20139" s="182"/>
      <c r="Q20139" s="183"/>
      <c r="R20139" s="183"/>
      <c r="S20139" s="183"/>
      <c r="AJ20139" s="183"/>
      <c r="AK20139" s="183"/>
      <c r="AL20139" s="183"/>
    </row>
    <row r="20140" spans="1:38">
      <c r="A20140" s="182"/>
      <c r="Q20140" s="183"/>
      <c r="R20140" s="183"/>
      <c r="S20140" s="183"/>
      <c r="AJ20140" s="183"/>
      <c r="AK20140" s="183"/>
      <c r="AL20140" s="183"/>
    </row>
    <row r="20141" spans="1:38">
      <c r="A20141" s="182"/>
      <c r="Q20141" s="183"/>
      <c r="R20141" s="183"/>
      <c r="S20141" s="183"/>
      <c r="AJ20141" s="183"/>
      <c r="AK20141" s="183"/>
      <c r="AL20141" s="183"/>
    </row>
    <row r="20142" spans="1:38">
      <c r="A20142" s="182"/>
      <c r="Q20142" s="183"/>
      <c r="R20142" s="183"/>
      <c r="S20142" s="183"/>
      <c r="AJ20142" s="183"/>
      <c r="AK20142" s="183"/>
      <c r="AL20142" s="183"/>
    </row>
    <row r="20143" spans="1:38">
      <c r="A20143" s="182"/>
      <c r="Q20143" s="183"/>
      <c r="R20143" s="183"/>
      <c r="S20143" s="183"/>
      <c r="AJ20143" s="183"/>
      <c r="AK20143" s="183"/>
      <c r="AL20143" s="183"/>
    </row>
    <row r="20144" spans="1:38">
      <c r="A20144" s="182"/>
      <c r="Q20144" s="183"/>
      <c r="R20144" s="183"/>
      <c r="S20144" s="183"/>
      <c r="AJ20144" s="183"/>
      <c r="AK20144" s="183"/>
      <c r="AL20144" s="183"/>
    </row>
    <row r="20145" spans="1:38">
      <c r="A20145" s="182"/>
      <c r="Q20145" s="183"/>
      <c r="R20145" s="183"/>
      <c r="S20145" s="183"/>
      <c r="AJ20145" s="183"/>
      <c r="AK20145" s="183"/>
      <c r="AL20145" s="183"/>
    </row>
    <row r="20146" spans="1:38">
      <c r="A20146" s="182"/>
      <c r="Q20146" s="183"/>
      <c r="R20146" s="183"/>
      <c r="S20146" s="183"/>
      <c r="AJ20146" s="183"/>
      <c r="AK20146" s="183"/>
      <c r="AL20146" s="183"/>
    </row>
    <row r="20147" spans="1:38">
      <c r="A20147" s="182"/>
      <c r="Q20147" s="183"/>
      <c r="R20147" s="183"/>
      <c r="S20147" s="183"/>
      <c r="AJ20147" s="183"/>
    </row>
    <row r="20148" spans="1:38">
      <c r="A20148" s="182"/>
      <c r="Q20148" s="183"/>
      <c r="R20148" s="183"/>
      <c r="S20148" s="183"/>
    </row>
    <row r="20149" spans="1:38">
      <c r="A20149" s="182"/>
      <c r="Q20149" s="183"/>
      <c r="R20149" s="183"/>
      <c r="S20149" s="183"/>
    </row>
    <row r="20150" spans="1:38">
      <c r="A20150" s="182"/>
      <c r="Q20150" s="183"/>
      <c r="R20150" s="183"/>
      <c r="S20150" s="183"/>
    </row>
    <row r="20151" spans="1:38">
      <c r="A20151" s="182"/>
      <c r="Q20151" s="183"/>
      <c r="R20151" s="183"/>
      <c r="S20151" s="183"/>
    </row>
    <row r="20152" spans="1:38">
      <c r="A20152" s="182"/>
      <c r="Q20152" s="183"/>
      <c r="R20152" s="183"/>
      <c r="S20152" s="183"/>
    </row>
    <row r="20153" spans="1:38">
      <c r="A20153" s="182"/>
      <c r="Q20153" s="183"/>
      <c r="R20153" s="183"/>
      <c r="S20153" s="183"/>
    </row>
    <row r="20154" spans="1:38">
      <c r="A20154" s="182"/>
      <c r="Q20154" s="183"/>
      <c r="R20154" s="183"/>
      <c r="S20154" s="183"/>
    </row>
    <row r="20155" spans="1:38">
      <c r="A20155" s="182"/>
      <c r="Q20155" s="183"/>
      <c r="R20155" s="183"/>
      <c r="S20155" s="183"/>
      <c r="AK20155" s="183"/>
      <c r="AL20155" s="183"/>
    </row>
    <row r="20156" spans="1:38">
      <c r="A20156" s="182"/>
      <c r="Q20156" s="183"/>
      <c r="R20156" s="183"/>
      <c r="S20156" s="183"/>
      <c r="AJ20156" s="183"/>
      <c r="AK20156" s="183"/>
      <c r="AL20156" s="183"/>
    </row>
    <row r="20157" spans="1:38">
      <c r="A20157" s="182"/>
      <c r="Q20157" s="183"/>
      <c r="R20157" s="183"/>
      <c r="S20157" s="183"/>
      <c r="AJ20157" s="183"/>
      <c r="AK20157" s="183"/>
      <c r="AL20157" s="183"/>
    </row>
    <row r="20158" spans="1:38">
      <c r="A20158" s="182"/>
      <c r="Q20158" s="183"/>
      <c r="R20158" s="183"/>
      <c r="S20158" s="183"/>
      <c r="AJ20158" s="183"/>
      <c r="AK20158" s="183"/>
      <c r="AL20158" s="183"/>
    </row>
    <row r="20159" spans="1:38">
      <c r="A20159" s="182"/>
      <c r="Q20159" s="183"/>
      <c r="R20159" s="183"/>
      <c r="S20159" s="183"/>
      <c r="AJ20159" s="183"/>
      <c r="AK20159" s="183"/>
      <c r="AL20159" s="183"/>
    </row>
    <row r="20160" spans="1:38">
      <c r="A20160" s="182"/>
      <c r="Q20160" s="183"/>
      <c r="R20160" s="183"/>
      <c r="S20160" s="183"/>
      <c r="AJ20160" s="183"/>
      <c r="AK20160" s="183"/>
      <c r="AL20160" s="183"/>
    </row>
    <row r="20161" spans="1:38">
      <c r="A20161" s="182"/>
      <c r="Q20161" s="183"/>
      <c r="R20161" s="183"/>
      <c r="S20161" s="183"/>
      <c r="AJ20161" s="183"/>
      <c r="AK20161" s="183"/>
      <c r="AL20161" s="183"/>
    </row>
    <row r="20162" spans="1:38">
      <c r="A20162" s="182"/>
      <c r="Q20162" s="183"/>
      <c r="R20162" s="183"/>
      <c r="S20162" s="183"/>
      <c r="AJ20162" s="183"/>
      <c r="AK20162" s="183"/>
      <c r="AL20162" s="183"/>
    </row>
    <row r="20163" spans="1:38">
      <c r="A20163" s="182"/>
      <c r="Q20163" s="183"/>
      <c r="R20163" s="183"/>
      <c r="S20163" s="183"/>
      <c r="AJ20163" s="183"/>
      <c r="AK20163" s="183"/>
      <c r="AL20163" s="183"/>
    </row>
    <row r="20164" spans="1:38">
      <c r="A20164" s="182"/>
      <c r="Q20164" s="183"/>
      <c r="R20164" s="183"/>
      <c r="S20164" s="183"/>
      <c r="AJ20164" s="183"/>
      <c r="AK20164" s="183"/>
      <c r="AL20164" s="183"/>
    </row>
    <row r="20165" spans="1:38">
      <c r="A20165" s="182"/>
      <c r="Q20165" s="183"/>
      <c r="R20165" s="183"/>
      <c r="S20165" s="183"/>
      <c r="AJ20165" s="183"/>
      <c r="AK20165" s="183"/>
      <c r="AL20165" s="183"/>
    </row>
    <row r="20166" spans="1:38">
      <c r="A20166" s="182"/>
      <c r="Q20166" s="183"/>
      <c r="R20166" s="183"/>
      <c r="S20166" s="183"/>
      <c r="AJ20166" s="183"/>
      <c r="AK20166" s="183"/>
      <c r="AL20166" s="183"/>
    </row>
    <row r="20167" spans="1:38">
      <c r="A20167" s="182"/>
      <c r="Q20167" s="183"/>
      <c r="R20167" s="183"/>
      <c r="S20167" s="183"/>
      <c r="AJ20167" s="183"/>
      <c r="AK20167" s="183"/>
      <c r="AL20167" s="183"/>
    </row>
    <row r="20168" spans="1:38">
      <c r="A20168" s="182"/>
      <c r="Q20168" s="183"/>
      <c r="R20168" s="183"/>
      <c r="S20168" s="183"/>
      <c r="AJ20168" s="183"/>
      <c r="AK20168" s="183"/>
      <c r="AL20168" s="183"/>
    </row>
    <row r="20169" spans="1:38">
      <c r="A20169" s="182"/>
      <c r="Q20169" s="183"/>
      <c r="R20169" s="183"/>
      <c r="S20169" s="183"/>
      <c r="AJ20169" s="183"/>
      <c r="AK20169" s="183"/>
      <c r="AL20169" s="183"/>
    </row>
    <row r="20170" spans="1:38">
      <c r="A20170" s="182"/>
      <c r="Q20170" s="183"/>
      <c r="R20170" s="183"/>
      <c r="S20170" s="183"/>
      <c r="AJ20170" s="183"/>
      <c r="AK20170" s="183"/>
      <c r="AL20170" s="183"/>
    </row>
    <row r="20171" spans="1:38">
      <c r="A20171" s="182"/>
      <c r="Q20171" s="183"/>
      <c r="R20171" s="183"/>
      <c r="S20171" s="183"/>
      <c r="AJ20171" s="183"/>
    </row>
    <row r="20172" spans="1:38">
      <c r="A20172" s="182"/>
      <c r="Q20172" s="183"/>
      <c r="R20172" s="183"/>
      <c r="S20172" s="183"/>
    </row>
    <row r="20173" spans="1:38">
      <c r="A20173" s="182"/>
      <c r="Q20173" s="183"/>
      <c r="R20173" s="183"/>
      <c r="S20173" s="183"/>
    </row>
    <row r="20174" spans="1:38">
      <c r="A20174" s="182"/>
      <c r="Q20174" s="183"/>
      <c r="R20174" s="183"/>
      <c r="S20174" s="183"/>
    </row>
    <row r="20175" spans="1:38">
      <c r="A20175" s="182"/>
      <c r="Q20175" s="183"/>
      <c r="R20175" s="183"/>
      <c r="S20175" s="183"/>
    </row>
    <row r="20176" spans="1:38">
      <c r="A20176" s="182"/>
      <c r="Q20176" s="183"/>
      <c r="R20176" s="183"/>
      <c r="S20176" s="183"/>
    </row>
    <row r="20177" spans="1:38">
      <c r="A20177" s="182"/>
      <c r="Q20177" s="183"/>
      <c r="R20177" s="183"/>
      <c r="S20177" s="183"/>
    </row>
    <row r="20178" spans="1:38">
      <c r="A20178" s="182"/>
      <c r="Q20178" s="183"/>
      <c r="R20178" s="183"/>
      <c r="S20178" s="183"/>
    </row>
    <row r="20179" spans="1:38">
      <c r="A20179" s="182"/>
      <c r="Q20179" s="183"/>
      <c r="R20179" s="183"/>
      <c r="S20179" s="183"/>
      <c r="AK20179" s="183"/>
      <c r="AL20179" s="183"/>
    </row>
    <row r="20180" spans="1:38">
      <c r="A20180" s="182"/>
      <c r="Q20180" s="183"/>
      <c r="R20180" s="183"/>
      <c r="S20180" s="183"/>
      <c r="AJ20180" s="183"/>
      <c r="AK20180" s="183"/>
      <c r="AL20180" s="183"/>
    </row>
    <row r="20181" spans="1:38">
      <c r="A20181" s="182"/>
      <c r="Q20181" s="183"/>
      <c r="R20181" s="183"/>
      <c r="S20181" s="183"/>
      <c r="AJ20181" s="183"/>
      <c r="AK20181" s="183"/>
      <c r="AL20181" s="183"/>
    </row>
    <row r="20182" spans="1:38">
      <c r="A20182" s="182"/>
      <c r="Q20182" s="183"/>
      <c r="R20182" s="183"/>
      <c r="S20182" s="183"/>
      <c r="AJ20182" s="183"/>
      <c r="AK20182" s="183"/>
      <c r="AL20182" s="183"/>
    </row>
    <row r="20183" spans="1:38">
      <c r="A20183" s="182"/>
      <c r="Q20183" s="183"/>
      <c r="R20183" s="183"/>
      <c r="S20183" s="183"/>
      <c r="AJ20183" s="183"/>
    </row>
    <row r="20184" spans="1:38">
      <c r="A20184" s="182"/>
      <c r="Q20184" s="183"/>
      <c r="R20184" s="183"/>
      <c r="S20184" s="183"/>
    </row>
    <row r="20185" spans="1:38">
      <c r="A20185" s="182"/>
      <c r="Q20185" s="183"/>
      <c r="R20185" s="183"/>
      <c r="S20185" s="183"/>
    </row>
    <row r="20186" spans="1:38">
      <c r="A20186" s="182"/>
      <c r="Q20186" s="183"/>
      <c r="R20186" s="183"/>
      <c r="S20186" s="183"/>
    </row>
    <row r="20187" spans="1:38">
      <c r="A20187" s="182"/>
      <c r="Q20187" s="183"/>
      <c r="R20187" s="183"/>
      <c r="S20187" s="183"/>
    </row>
    <row r="20188" spans="1:38">
      <c r="A20188" s="182"/>
      <c r="Q20188" s="183"/>
      <c r="R20188" s="183"/>
      <c r="S20188" s="183"/>
    </row>
    <row r="20189" spans="1:38">
      <c r="A20189" s="182"/>
      <c r="Q20189" s="183"/>
      <c r="R20189" s="183"/>
      <c r="S20189" s="183"/>
    </row>
    <row r="20190" spans="1:38">
      <c r="A20190" s="182"/>
      <c r="Q20190" s="183"/>
      <c r="R20190" s="183"/>
      <c r="S20190" s="183"/>
    </row>
    <row r="20191" spans="1:38">
      <c r="A20191" s="182"/>
      <c r="Q20191" s="183"/>
      <c r="R20191" s="183"/>
      <c r="S20191" s="183"/>
    </row>
    <row r="20192" spans="1:38">
      <c r="A20192" s="182"/>
      <c r="Q20192" s="183"/>
      <c r="R20192" s="183"/>
      <c r="S20192" s="183"/>
    </row>
    <row r="20193" spans="1:38">
      <c r="A20193" s="182"/>
      <c r="Q20193" s="183"/>
      <c r="R20193" s="183"/>
      <c r="S20193" s="183"/>
    </row>
    <row r="20194" spans="1:38">
      <c r="A20194" s="182"/>
      <c r="Q20194" s="183"/>
      <c r="R20194" s="183"/>
      <c r="S20194" s="183"/>
    </row>
    <row r="20195" spans="1:38">
      <c r="A20195" s="182"/>
      <c r="Q20195" s="183"/>
      <c r="R20195" s="183"/>
      <c r="S20195" s="183"/>
    </row>
    <row r="20196" spans="1:38">
      <c r="A20196" s="182"/>
      <c r="Q20196" s="183"/>
      <c r="R20196" s="183"/>
      <c r="S20196" s="183"/>
    </row>
    <row r="20197" spans="1:38">
      <c r="A20197" s="182"/>
      <c r="Q20197" s="183"/>
      <c r="R20197" s="183"/>
      <c r="S20197" s="183"/>
    </row>
    <row r="20198" spans="1:38">
      <c r="A20198" s="182"/>
      <c r="Q20198" s="183"/>
      <c r="R20198" s="183"/>
      <c r="S20198" s="183"/>
    </row>
    <row r="20199" spans="1:38">
      <c r="A20199" s="182"/>
      <c r="Q20199" s="183"/>
      <c r="R20199" s="183"/>
      <c r="S20199" s="183"/>
      <c r="AK20199" s="183"/>
      <c r="AL20199" s="183"/>
    </row>
    <row r="20200" spans="1:38">
      <c r="A20200" s="182"/>
      <c r="Q20200" s="183"/>
      <c r="R20200" s="183"/>
      <c r="S20200" s="183"/>
      <c r="AJ20200" s="183"/>
      <c r="AK20200" s="183"/>
      <c r="AL20200" s="183"/>
    </row>
    <row r="20201" spans="1:38">
      <c r="A20201" s="182"/>
      <c r="Q20201" s="183"/>
      <c r="R20201" s="183"/>
      <c r="S20201" s="183"/>
      <c r="AJ20201" s="183"/>
      <c r="AK20201" s="183"/>
      <c r="AL20201" s="183"/>
    </row>
    <row r="20202" spans="1:38">
      <c r="A20202" s="182"/>
      <c r="Q20202" s="183"/>
      <c r="R20202" s="183"/>
      <c r="S20202" s="183"/>
      <c r="AJ20202" s="183"/>
      <c r="AK20202" s="183"/>
      <c r="AL20202" s="183"/>
    </row>
    <row r="20203" spans="1:38">
      <c r="A20203" s="182"/>
      <c r="Q20203" s="183"/>
      <c r="R20203" s="183"/>
      <c r="S20203" s="183"/>
      <c r="AJ20203" s="183"/>
    </row>
    <row r="20204" spans="1:38">
      <c r="A20204" s="182"/>
      <c r="Q20204" s="183"/>
      <c r="R20204" s="183"/>
      <c r="S20204" s="183"/>
    </row>
    <row r="20205" spans="1:38">
      <c r="A20205" s="182"/>
      <c r="Q20205" s="183"/>
      <c r="R20205" s="183"/>
      <c r="S20205" s="183"/>
    </row>
    <row r="20206" spans="1:38">
      <c r="A20206" s="182"/>
      <c r="Q20206" s="183"/>
      <c r="R20206" s="183"/>
      <c r="S20206" s="183"/>
    </row>
    <row r="20207" spans="1:38">
      <c r="A20207" s="182"/>
      <c r="Q20207" s="183"/>
      <c r="R20207" s="183"/>
      <c r="S20207" s="183"/>
      <c r="AK20207" s="183"/>
      <c r="AL20207" s="183"/>
    </row>
    <row r="20208" spans="1:38">
      <c r="A20208" s="182"/>
      <c r="Q20208" s="183"/>
      <c r="R20208" s="183"/>
      <c r="S20208" s="183"/>
      <c r="AJ20208" s="183"/>
      <c r="AK20208" s="183"/>
      <c r="AL20208" s="183"/>
    </row>
    <row r="20209" spans="1:38">
      <c r="A20209" s="182"/>
      <c r="Q20209" s="183"/>
      <c r="R20209" s="183"/>
      <c r="S20209" s="183"/>
      <c r="AJ20209" s="183"/>
      <c r="AK20209" s="183"/>
      <c r="AL20209" s="183"/>
    </row>
    <row r="20210" spans="1:38">
      <c r="A20210" s="182"/>
      <c r="Q20210" s="183"/>
      <c r="R20210" s="183"/>
      <c r="S20210" s="183"/>
      <c r="AJ20210" s="183"/>
      <c r="AK20210" s="183"/>
      <c r="AL20210" s="183"/>
    </row>
    <row r="20211" spans="1:38">
      <c r="A20211" s="182"/>
      <c r="Q20211" s="183"/>
      <c r="R20211" s="183"/>
      <c r="S20211" s="183"/>
      <c r="AJ20211" s="183"/>
    </row>
    <row r="20212" spans="1:38">
      <c r="A20212" s="182"/>
      <c r="Q20212" s="183"/>
      <c r="R20212" s="183"/>
      <c r="S20212" s="183"/>
    </row>
    <row r="20213" spans="1:38">
      <c r="A20213" s="182"/>
      <c r="Q20213" s="183"/>
      <c r="R20213" s="183"/>
      <c r="S20213" s="183"/>
    </row>
    <row r="20214" spans="1:38">
      <c r="A20214" s="182"/>
      <c r="Q20214" s="183"/>
      <c r="R20214" s="183"/>
      <c r="S20214" s="183"/>
    </row>
    <row r="20215" spans="1:38">
      <c r="A20215" s="182"/>
      <c r="Q20215" s="183"/>
      <c r="R20215" s="183"/>
      <c r="S20215" s="183"/>
    </row>
    <row r="20216" spans="1:38">
      <c r="A20216" s="182"/>
      <c r="Q20216" s="183"/>
      <c r="R20216" s="183"/>
      <c r="S20216" s="183"/>
    </row>
    <row r="20217" spans="1:38">
      <c r="A20217" s="182"/>
      <c r="Q20217" s="183"/>
      <c r="R20217" s="183"/>
      <c r="S20217" s="183"/>
    </row>
    <row r="20218" spans="1:38">
      <c r="A20218" s="182"/>
      <c r="Q20218" s="183"/>
      <c r="R20218" s="183"/>
      <c r="S20218" s="183"/>
    </row>
    <row r="20219" spans="1:38">
      <c r="A20219" s="182"/>
      <c r="Q20219" s="183"/>
      <c r="R20219" s="183"/>
      <c r="S20219" s="183"/>
    </row>
    <row r="20220" spans="1:38">
      <c r="A20220" s="182"/>
      <c r="Q20220" s="183"/>
      <c r="R20220" s="183"/>
      <c r="S20220" s="183"/>
    </row>
    <row r="20221" spans="1:38">
      <c r="A20221" s="182"/>
      <c r="Q20221" s="183"/>
      <c r="R20221" s="183"/>
      <c r="S20221" s="183"/>
    </row>
    <row r="20222" spans="1:38">
      <c r="A20222" s="182"/>
      <c r="Q20222" s="183"/>
      <c r="R20222" s="183"/>
      <c r="S20222" s="183"/>
    </row>
    <row r="20223" spans="1:38">
      <c r="A20223" s="182"/>
      <c r="Q20223" s="183"/>
      <c r="R20223" s="183"/>
      <c r="S20223" s="183"/>
      <c r="AK20223" s="183"/>
      <c r="AL20223" s="183"/>
    </row>
    <row r="20224" spans="1:38">
      <c r="A20224" s="182"/>
      <c r="Q20224" s="183"/>
      <c r="R20224" s="183"/>
      <c r="S20224" s="183"/>
      <c r="AJ20224" s="183"/>
      <c r="AK20224" s="183"/>
      <c r="AL20224" s="183"/>
    </row>
    <row r="20225" spans="1:38">
      <c r="A20225" s="182"/>
      <c r="Q20225" s="183"/>
      <c r="R20225" s="183"/>
      <c r="S20225" s="183"/>
      <c r="AJ20225" s="183"/>
      <c r="AK20225" s="183"/>
      <c r="AL20225" s="183"/>
    </row>
    <row r="20226" spans="1:38">
      <c r="A20226" s="182"/>
      <c r="Q20226" s="183"/>
      <c r="R20226" s="183"/>
      <c r="S20226" s="183"/>
      <c r="AJ20226" s="183"/>
      <c r="AK20226" s="183"/>
      <c r="AL20226" s="183"/>
    </row>
    <row r="20227" spans="1:38">
      <c r="A20227" s="182"/>
      <c r="Q20227" s="183"/>
      <c r="R20227" s="183"/>
      <c r="S20227" s="183"/>
      <c r="AJ20227" s="183"/>
    </row>
    <row r="20228" spans="1:38">
      <c r="A20228" s="182"/>
      <c r="Q20228" s="183"/>
      <c r="R20228" s="183"/>
      <c r="S20228" s="183"/>
    </row>
    <row r="20229" spans="1:38">
      <c r="A20229" s="182"/>
      <c r="Q20229" s="183"/>
      <c r="R20229" s="183"/>
      <c r="S20229" s="183"/>
    </row>
    <row r="20230" spans="1:38">
      <c r="A20230" s="182"/>
      <c r="Q20230" s="183"/>
      <c r="R20230" s="183"/>
      <c r="S20230" s="183"/>
    </row>
    <row r="20231" spans="1:38">
      <c r="A20231" s="182"/>
      <c r="Q20231" s="183"/>
      <c r="R20231" s="183"/>
      <c r="S20231" s="183"/>
    </row>
    <row r="20232" spans="1:38">
      <c r="A20232" s="182"/>
      <c r="Q20232" s="183"/>
      <c r="R20232" s="183"/>
      <c r="S20232" s="183"/>
    </row>
    <row r="20233" spans="1:38">
      <c r="A20233" s="182"/>
      <c r="Q20233" s="183"/>
      <c r="R20233" s="183"/>
      <c r="S20233" s="183"/>
    </row>
    <row r="20234" spans="1:38">
      <c r="A20234" s="182"/>
      <c r="Q20234" s="183"/>
      <c r="R20234" s="183"/>
      <c r="S20234" s="183"/>
    </row>
    <row r="20235" spans="1:38">
      <c r="A20235" s="182"/>
      <c r="Q20235" s="183"/>
      <c r="R20235" s="183"/>
      <c r="S20235" s="183"/>
    </row>
    <row r="20236" spans="1:38">
      <c r="A20236" s="182"/>
      <c r="Q20236" s="183"/>
      <c r="R20236" s="183"/>
      <c r="S20236" s="183"/>
    </row>
    <row r="20237" spans="1:38">
      <c r="A20237" s="182"/>
      <c r="Q20237" s="183"/>
      <c r="R20237" s="183"/>
      <c r="S20237" s="183"/>
    </row>
    <row r="20238" spans="1:38">
      <c r="A20238" s="182"/>
      <c r="Q20238" s="183"/>
      <c r="R20238" s="183"/>
      <c r="S20238" s="183"/>
    </row>
    <row r="20239" spans="1:38">
      <c r="A20239" s="182"/>
      <c r="Q20239" s="183"/>
      <c r="R20239" s="183"/>
      <c r="S20239" s="183"/>
      <c r="AK20239" s="183"/>
      <c r="AL20239" s="183"/>
    </row>
    <row r="20240" spans="1:38">
      <c r="A20240" s="182"/>
      <c r="Q20240" s="183"/>
      <c r="R20240" s="183"/>
      <c r="S20240" s="183"/>
      <c r="AJ20240" s="183"/>
      <c r="AK20240" s="183"/>
      <c r="AL20240" s="183"/>
    </row>
    <row r="20241" spans="1:38">
      <c r="A20241" s="182"/>
      <c r="Q20241" s="183"/>
      <c r="R20241" s="183"/>
      <c r="S20241" s="183"/>
      <c r="AJ20241" s="183"/>
      <c r="AK20241" s="183"/>
      <c r="AL20241" s="183"/>
    </row>
    <row r="20242" spans="1:38">
      <c r="A20242" s="182"/>
      <c r="Q20242" s="183"/>
      <c r="R20242" s="183"/>
      <c r="S20242" s="183"/>
      <c r="AJ20242" s="183"/>
      <c r="AK20242" s="183"/>
      <c r="AL20242" s="183"/>
    </row>
    <row r="20243" spans="1:38">
      <c r="A20243" s="182"/>
      <c r="Q20243" s="183"/>
      <c r="R20243" s="183"/>
      <c r="S20243" s="183"/>
      <c r="AJ20243" s="183"/>
      <c r="AK20243" s="183"/>
      <c r="AL20243" s="183"/>
    </row>
    <row r="20244" spans="1:38">
      <c r="A20244" s="182"/>
      <c r="Q20244" s="183"/>
      <c r="R20244" s="183"/>
      <c r="S20244" s="183"/>
      <c r="AJ20244" s="183"/>
      <c r="AK20244" s="183"/>
      <c r="AL20244" s="183"/>
    </row>
    <row r="20245" spans="1:38">
      <c r="A20245" s="182"/>
      <c r="Q20245" s="183"/>
      <c r="R20245" s="183"/>
      <c r="S20245" s="183"/>
      <c r="AJ20245" s="183"/>
      <c r="AK20245" s="183"/>
      <c r="AL20245" s="183"/>
    </row>
    <row r="20246" spans="1:38">
      <c r="A20246" s="182"/>
      <c r="N20246" s="183"/>
      <c r="O20246" s="183"/>
      <c r="Q20246" s="183"/>
      <c r="R20246" s="183"/>
      <c r="S20246" s="183"/>
      <c r="AJ20246" s="183"/>
      <c r="AK20246" s="183"/>
      <c r="AL20246" s="183"/>
    </row>
    <row r="20247" spans="1:38">
      <c r="A20247" s="182"/>
      <c r="M20247" s="183"/>
      <c r="Q20247" s="183"/>
      <c r="R20247" s="183"/>
      <c r="S20247" s="183"/>
      <c r="AJ20247" s="183"/>
    </row>
    <row r="20248" spans="1:38">
      <c r="A20248" s="182"/>
      <c r="Q20248" s="183"/>
      <c r="R20248" s="183"/>
      <c r="S20248" s="183"/>
    </row>
    <row r="20249" spans="1:38">
      <c r="A20249" s="182"/>
      <c r="Q20249" s="183"/>
      <c r="R20249" s="183"/>
      <c r="S20249" s="183"/>
    </row>
    <row r="20250" spans="1:38">
      <c r="A20250" s="182"/>
      <c r="Q20250" s="183"/>
      <c r="R20250" s="183"/>
      <c r="S20250" s="183"/>
    </row>
    <row r="20251" spans="1:38">
      <c r="A20251" s="182"/>
      <c r="Q20251" s="183"/>
      <c r="R20251" s="183"/>
      <c r="S20251" s="183"/>
      <c r="AK20251" s="183"/>
      <c r="AL20251" s="183"/>
    </row>
    <row r="20252" spans="1:38">
      <c r="A20252" s="182"/>
      <c r="Q20252" s="183"/>
      <c r="R20252" s="183"/>
      <c r="S20252" s="183"/>
      <c r="AJ20252" s="183"/>
      <c r="AK20252" s="183"/>
      <c r="AL20252" s="183"/>
    </row>
    <row r="20253" spans="1:38">
      <c r="A20253" s="182"/>
      <c r="Q20253" s="183"/>
      <c r="R20253" s="183"/>
      <c r="S20253" s="183"/>
      <c r="AJ20253" s="183"/>
      <c r="AK20253" s="183"/>
      <c r="AL20253" s="183"/>
    </row>
    <row r="20254" spans="1:38">
      <c r="A20254" s="182"/>
      <c r="Q20254" s="183"/>
      <c r="R20254" s="183"/>
      <c r="S20254" s="183"/>
      <c r="AJ20254" s="183"/>
      <c r="AK20254" s="183"/>
      <c r="AL20254" s="183"/>
    </row>
    <row r="20255" spans="1:38">
      <c r="A20255" s="182"/>
      <c r="Q20255" s="183"/>
      <c r="R20255" s="183"/>
      <c r="S20255" s="183"/>
      <c r="AJ20255" s="183"/>
    </row>
    <row r="20256" spans="1:38">
      <c r="A20256" s="182"/>
      <c r="Q20256" s="183"/>
      <c r="R20256" s="183"/>
      <c r="S20256" s="183"/>
    </row>
    <row r="20257" spans="1:19">
      <c r="A20257" s="182"/>
      <c r="Q20257" s="183"/>
      <c r="R20257" s="183"/>
      <c r="S20257" s="183"/>
    </row>
    <row r="20258" spans="1:19">
      <c r="A20258" s="182"/>
      <c r="Q20258" s="183"/>
      <c r="R20258" s="183"/>
      <c r="S20258" s="183"/>
    </row>
    <row r="20259" spans="1:19">
      <c r="A20259" s="182"/>
      <c r="Q20259" s="183"/>
      <c r="R20259" s="183"/>
      <c r="S20259" s="183"/>
    </row>
    <row r="20260" spans="1:19">
      <c r="A20260" s="182"/>
      <c r="Q20260" s="183"/>
      <c r="R20260" s="183"/>
      <c r="S20260" s="183"/>
    </row>
    <row r="20261" spans="1:19">
      <c r="A20261" s="182"/>
      <c r="Q20261" s="183"/>
      <c r="R20261" s="183"/>
      <c r="S20261" s="183"/>
    </row>
    <row r="20262" spans="1:19">
      <c r="A20262" s="182"/>
      <c r="Q20262" s="183"/>
      <c r="R20262" s="183"/>
      <c r="S20262" s="183"/>
    </row>
    <row r="20263" spans="1:19">
      <c r="A20263" s="182"/>
      <c r="Q20263" s="183"/>
      <c r="R20263" s="183"/>
      <c r="S20263" s="183"/>
    </row>
    <row r="20264" spans="1:19">
      <c r="A20264" s="182"/>
      <c r="Q20264" s="183"/>
      <c r="R20264" s="183"/>
      <c r="S20264" s="183"/>
    </row>
    <row r="20265" spans="1:19">
      <c r="A20265" s="182"/>
      <c r="Q20265" s="183"/>
      <c r="R20265" s="183"/>
      <c r="S20265" s="183"/>
    </row>
    <row r="20266" spans="1:19">
      <c r="A20266" s="182"/>
      <c r="Q20266" s="183"/>
      <c r="R20266" s="183"/>
      <c r="S20266" s="183"/>
    </row>
    <row r="20267" spans="1:19">
      <c r="A20267" s="182"/>
      <c r="Q20267" s="183"/>
      <c r="R20267" s="183"/>
      <c r="S20267" s="183"/>
    </row>
    <row r="20268" spans="1:19">
      <c r="A20268" s="182"/>
      <c r="Q20268" s="183"/>
      <c r="R20268" s="183"/>
      <c r="S20268" s="183"/>
    </row>
    <row r="20269" spans="1:19">
      <c r="A20269" s="182"/>
      <c r="Q20269" s="183"/>
      <c r="R20269" s="183"/>
      <c r="S20269" s="183"/>
    </row>
    <row r="20270" spans="1:19">
      <c r="A20270" s="182"/>
      <c r="Q20270" s="183"/>
      <c r="R20270" s="183"/>
      <c r="S20270" s="183"/>
    </row>
    <row r="20271" spans="1:19">
      <c r="A20271" s="182"/>
      <c r="Q20271" s="183"/>
      <c r="R20271" s="183"/>
      <c r="S20271" s="183"/>
    </row>
    <row r="20272" spans="1:19">
      <c r="A20272" s="182"/>
      <c r="Q20272" s="183"/>
      <c r="R20272" s="183"/>
      <c r="S20272" s="183"/>
    </row>
    <row r="20273" spans="1:19">
      <c r="A20273" s="182"/>
      <c r="Q20273" s="183"/>
      <c r="R20273" s="183"/>
      <c r="S20273" s="183"/>
    </row>
    <row r="20274" spans="1:19">
      <c r="A20274" s="182"/>
      <c r="M20274" s="183"/>
      <c r="N20274" s="183"/>
      <c r="Q20274" s="183"/>
      <c r="R20274" s="183"/>
      <c r="S20274" s="183"/>
    </row>
    <row r="20275" spans="1:19">
      <c r="A20275" s="182"/>
      <c r="L20275" s="183"/>
      <c r="Q20275" s="183"/>
      <c r="R20275" s="183"/>
      <c r="S20275" s="183"/>
    </row>
    <row r="20276" spans="1:19">
      <c r="A20276" s="182"/>
      <c r="Q20276" s="183"/>
      <c r="R20276" s="183"/>
      <c r="S20276" s="183"/>
    </row>
    <row r="20277" spans="1:19">
      <c r="A20277" s="182"/>
      <c r="Q20277" s="183"/>
      <c r="R20277" s="183"/>
      <c r="S20277" s="183"/>
    </row>
    <row r="20278" spans="1:19">
      <c r="A20278" s="182"/>
      <c r="Q20278" s="183"/>
      <c r="R20278" s="183"/>
      <c r="S20278" s="183"/>
    </row>
    <row r="20279" spans="1:19">
      <c r="A20279" s="182"/>
      <c r="Q20279" s="183"/>
      <c r="R20279" s="183"/>
      <c r="S20279" s="183"/>
    </row>
    <row r="20280" spans="1:19">
      <c r="A20280" s="182"/>
      <c r="Q20280" s="183"/>
      <c r="R20280" s="183"/>
      <c r="S20280" s="183"/>
    </row>
    <row r="20281" spans="1:19">
      <c r="A20281" s="182"/>
      <c r="Q20281" s="183"/>
      <c r="R20281" s="183"/>
      <c r="S20281" s="183"/>
    </row>
    <row r="20282" spans="1:19">
      <c r="A20282" s="182"/>
      <c r="Q20282" s="183"/>
      <c r="R20282" s="183"/>
      <c r="S20282" s="183"/>
    </row>
    <row r="20283" spans="1:19">
      <c r="A20283" s="182"/>
      <c r="Q20283" s="183"/>
      <c r="R20283" s="183"/>
      <c r="S20283" s="183"/>
    </row>
    <row r="20284" spans="1:19">
      <c r="A20284" s="182"/>
      <c r="Q20284" s="183"/>
      <c r="R20284" s="183"/>
      <c r="S20284" s="183"/>
    </row>
    <row r="20285" spans="1:19">
      <c r="A20285" s="182"/>
      <c r="Q20285" s="183"/>
      <c r="R20285" s="183"/>
      <c r="S20285" s="183"/>
    </row>
    <row r="20286" spans="1:19">
      <c r="A20286" s="182"/>
      <c r="Q20286" s="183"/>
      <c r="R20286" s="183"/>
      <c r="S20286" s="183"/>
    </row>
    <row r="20287" spans="1:19">
      <c r="A20287" s="182"/>
      <c r="Q20287" s="183"/>
      <c r="R20287" s="183"/>
      <c r="S20287" s="183"/>
    </row>
    <row r="20288" spans="1:19">
      <c r="A20288" s="182"/>
      <c r="Q20288" s="183"/>
      <c r="R20288" s="183"/>
      <c r="S20288" s="183"/>
    </row>
    <row r="20289" spans="1:38">
      <c r="A20289" s="182"/>
      <c r="Q20289" s="183"/>
      <c r="R20289" s="183"/>
      <c r="S20289" s="183"/>
    </row>
    <row r="20290" spans="1:38">
      <c r="A20290" s="182"/>
      <c r="Q20290" s="183"/>
      <c r="R20290" s="183"/>
      <c r="S20290" s="183"/>
    </row>
    <row r="20291" spans="1:38">
      <c r="A20291" s="182"/>
      <c r="Q20291" s="183"/>
      <c r="R20291" s="183"/>
      <c r="S20291" s="183"/>
    </row>
    <row r="20292" spans="1:38">
      <c r="A20292" s="182"/>
      <c r="Q20292" s="183"/>
      <c r="R20292" s="183"/>
      <c r="S20292" s="183"/>
    </row>
    <row r="20293" spans="1:38">
      <c r="A20293" s="182"/>
      <c r="Q20293" s="183"/>
      <c r="R20293" s="183"/>
      <c r="S20293" s="183"/>
    </row>
    <row r="20294" spans="1:38">
      <c r="A20294" s="182"/>
      <c r="Q20294" s="183"/>
      <c r="R20294" s="183"/>
      <c r="S20294" s="183"/>
    </row>
    <row r="20295" spans="1:38">
      <c r="A20295" s="182"/>
      <c r="Q20295" s="183"/>
      <c r="R20295" s="183"/>
      <c r="S20295" s="183"/>
      <c r="AK20295" s="183"/>
      <c r="AL20295" s="183"/>
    </row>
    <row r="20296" spans="1:38">
      <c r="A20296" s="182"/>
      <c r="Q20296" s="183"/>
      <c r="R20296" s="183"/>
      <c r="S20296" s="183"/>
      <c r="AJ20296" s="183"/>
      <c r="AK20296" s="183"/>
      <c r="AL20296" s="183"/>
    </row>
    <row r="20297" spans="1:38">
      <c r="A20297" s="182"/>
      <c r="Q20297" s="183"/>
      <c r="R20297" s="183"/>
      <c r="S20297" s="183"/>
      <c r="AJ20297" s="183"/>
      <c r="AK20297" s="183"/>
      <c r="AL20297" s="183"/>
    </row>
    <row r="20298" spans="1:38">
      <c r="A20298" s="182"/>
      <c r="Q20298" s="183"/>
      <c r="R20298" s="183"/>
      <c r="S20298" s="183"/>
      <c r="AJ20298" s="183"/>
      <c r="AK20298" s="183"/>
      <c r="AL20298" s="183"/>
    </row>
    <row r="20299" spans="1:38">
      <c r="A20299" s="182"/>
      <c r="Q20299" s="183"/>
      <c r="R20299" s="183"/>
      <c r="S20299" s="183"/>
      <c r="AJ20299" s="183"/>
    </row>
    <row r="20300" spans="1:38">
      <c r="A20300" s="182"/>
      <c r="Q20300" s="183"/>
      <c r="R20300" s="183"/>
      <c r="S20300" s="183"/>
    </row>
    <row r="20301" spans="1:38">
      <c r="A20301" s="182"/>
      <c r="Q20301" s="183"/>
      <c r="R20301" s="183"/>
      <c r="S20301" s="183"/>
    </row>
    <row r="20302" spans="1:38">
      <c r="A20302" s="182"/>
      <c r="Q20302" s="183"/>
      <c r="R20302" s="183"/>
      <c r="S20302" s="183"/>
    </row>
    <row r="20303" spans="1:38">
      <c r="A20303" s="182"/>
      <c r="Q20303" s="183"/>
      <c r="R20303" s="183"/>
      <c r="S20303" s="183"/>
    </row>
    <row r="20304" spans="1:38">
      <c r="A20304" s="182"/>
      <c r="Q20304" s="183"/>
      <c r="R20304" s="183"/>
      <c r="S20304" s="183"/>
    </row>
    <row r="20305" spans="1:38">
      <c r="A20305" s="182"/>
      <c r="Q20305" s="183"/>
      <c r="R20305" s="183"/>
      <c r="S20305" s="183"/>
    </row>
    <row r="20306" spans="1:38">
      <c r="A20306" s="182"/>
      <c r="Q20306" s="183"/>
      <c r="R20306" s="183"/>
      <c r="S20306" s="183"/>
    </row>
    <row r="20307" spans="1:38">
      <c r="A20307" s="182"/>
      <c r="Q20307" s="183"/>
      <c r="R20307" s="183"/>
      <c r="S20307" s="183"/>
      <c r="AK20307" s="183"/>
      <c r="AL20307" s="183"/>
    </row>
    <row r="20308" spans="1:38">
      <c r="A20308" s="182"/>
      <c r="Q20308" s="183"/>
      <c r="R20308" s="183"/>
      <c r="S20308" s="183"/>
      <c r="AJ20308" s="183"/>
      <c r="AK20308" s="183"/>
      <c r="AL20308" s="183"/>
    </row>
    <row r="20309" spans="1:38">
      <c r="A20309" s="182"/>
      <c r="Q20309" s="183"/>
      <c r="R20309" s="183"/>
      <c r="S20309" s="183"/>
      <c r="AJ20309" s="183"/>
      <c r="AK20309" s="183"/>
      <c r="AL20309" s="183"/>
    </row>
    <row r="20310" spans="1:38">
      <c r="A20310" s="182"/>
      <c r="Q20310" s="183"/>
      <c r="R20310" s="183"/>
      <c r="S20310" s="183"/>
      <c r="AJ20310" s="183"/>
      <c r="AK20310" s="183"/>
      <c r="AL20310" s="183"/>
    </row>
    <row r="20311" spans="1:38">
      <c r="A20311" s="182"/>
      <c r="Q20311" s="183"/>
      <c r="R20311" s="183"/>
      <c r="S20311" s="183"/>
      <c r="AJ20311" s="183"/>
    </row>
    <row r="20312" spans="1:38">
      <c r="A20312" s="182"/>
      <c r="Q20312" s="183"/>
      <c r="R20312" s="183"/>
      <c r="S20312" s="183"/>
    </row>
    <row r="20313" spans="1:38">
      <c r="A20313" s="182"/>
      <c r="Q20313" s="183"/>
      <c r="R20313" s="183"/>
      <c r="S20313" s="183"/>
    </row>
    <row r="20314" spans="1:38">
      <c r="A20314" s="182"/>
      <c r="Q20314" s="183"/>
      <c r="R20314" s="183"/>
      <c r="S20314" s="183"/>
    </row>
    <row r="20315" spans="1:38">
      <c r="A20315" s="182"/>
      <c r="Q20315" s="183"/>
      <c r="R20315" s="183"/>
      <c r="S20315" s="183"/>
      <c r="AK20315" s="183"/>
      <c r="AL20315" s="183"/>
    </row>
    <row r="20316" spans="1:38">
      <c r="A20316" s="182"/>
      <c r="Q20316" s="183"/>
      <c r="R20316" s="183"/>
      <c r="S20316" s="183"/>
      <c r="AJ20316" s="183"/>
      <c r="AK20316" s="183"/>
      <c r="AL20316" s="183"/>
    </row>
    <row r="20317" spans="1:38">
      <c r="A20317" s="182"/>
      <c r="Q20317" s="183"/>
      <c r="R20317" s="183"/>
      <c r="S20317" s="183"/>
      <c r="AJ20317" s="183"/>
      <c r="AK20317" s="183"/>
      <c r="AL20317" s="183"/>
    </row>
    <row r="20318" spans="1:38">
      <c r="A20318" s="182"/>
      <c r="Q20318" s="183"/>
      <c r="R20318" s="183"/>
      <c r="S20318" s="183"/>
      <c r="AJ20318" s="183"/>
      <c r="AK20318" s="183"/>
      <c r="AL20318" s="183"/>
    </row>
    <row r="20319" spans="1:38">
      <c r="A20319" s="182"/>
      <c r="Q20319" s="183"/>
      <c r="R20319" s="183"/>
      <c r="S20319" s="183"/>
      <c r="AJ20319" s="183"/>
      <c r="AK20319" s="183"/>
      <c r="AL20319" s="183"/>
    </row>
    <row r="20320" spans="1:38">
      <c r="A20320" s="182"/>
      <c r="Q20320" s="183"/>
      <c r="R20320" s="183"/>
      <c r="S20320" s="183"/>
      <c r="AJ20320" s="183"/>
      <c r="AK20320" s="183"/>
      <c r="AL20320" s="183"/>
    </row>
    <row r="20321" spans="1:38">
      <c r="A20321" s="182"/>
      <c r="Q20321" s="183"/>
      <c r="R20321" s="183"/>
      <c r="S20321" s="183"/>
      <c r="AJ20321" s="183"/>
      <c r="AK20321" s="183"/>
      <c r="AL20321" s="183"/>
    </row>
    <row r="20322" spans="1:38">
      <c r="A20322" s="182"/>
      <c r="Q20322" s="183"/>
      <c r="R20322" s="183"/>
      <c r="S20322" s="183"/>
      <c r="AJ20322" s="183"/>
      <c r="AK20322" s="183"/>
      <c r="AL20322" s="183"/>
    </row>
    <row r="20323" spans="1:38">
      <c r="A20323" s="182"/>
      <c r="Q20323" s="183"/>
      <c r="R20323" s="183"/>
      <c r="S20323" s="183"/>
      <c r="AJ20323" s="183"/>
      <c r="AK20323" s="183"/>
      <c r="AL20323" s="183"/>
    </row>
    <row r="20324" spans="1:38">
      <c r="A20324" s="182"/>
      <c r="Q20324" s="183"/>
      <c r="R20324" s="183"/>
      <c r="S20324" s="183"/>
      <c r="AJ20324" s="183"/>
      <c r="AK20324" s="183"/>
      <c r="AL20324" s="183"/>
    </row>
    <row r="20325" spans="1:38">
      <c r="A20325" s="182"/>
      <c r="Q20325" s="183"/>
      <c r="R20325" s="183"/>
      <c r="S20325" s="183"/>
      <c r="AJ20325" s="183"/>
      <c r="AK20325" s="183"/>
      <c r="AL20325" s="183"/>
    </row>
    <row r="20326" spans="1:38">
      <c r="A20326" s="182"/>
      <c r="Q20326" s="183"/>
      <c r="R20326" s="183"/>
      <c r="S20326" s="183"/>
      <c r="AJ20326" s="183"/>
      <c r="AK20326" s="183"/>
      <c r="AL20326" s="183"/>
    </row>
    <row r="20327" spans="1:38">
      <c r="A20327" s="182"/>
      <c r="Q20327" s="183"/>
      <c r="R20327" s="183"/>
      <c r="S20327" s="183"/>
      <c r="AJ20327" s="183"/>
    </row>
    <row r="20328" spans="1:38">
      <c r="A20328" s="182"/>
      <c r="Q20328" s="183"/>
      <c r="R20328" s="183"/>
      <c r="S20328" s="183"/>
    </row>
    <row r="20329" spans="1:38">
      <c r="A20329" s="182"/>
      <c r="Q20329" s="183"/>
      <c r="R20329" s="183"/>
      <c r="S20329" s="183"/>
    </row>
    <row r="20330" spans="1:38">
      <c r="A20330" s="182"/>
      <c r="Q20330" s="183"/>
      <c r="R20330" s="183"/>
      <c r="S20330" s="183"/>
    </row>
    <row r="20331" spans="1:38">
      <c r="A20331" s="182"/>
      <c r="Q20331" s="183"/>
      <c r="R20331" s="183"/>
      <c r="S20331" s="183"/>
    </row>
    <row r="20332" spans="1:38">
      <c r="A20332" s="182"/>
      <c r="Q20332" s="183"/>
      <c r="R20332" s="183"/>
      <c r="S20332" s="183"/>
    </row>
    <row r="20333" spans="1:38">
      <c r="A20333" s="182"/>
      <c r="Q20333" s="183"/>
      <c r="R20333" s="183"/>
      <c r="S20333" s="183"/>
    </row>
    <row r="20334" spans="1:38">
      <c r="A20334" s="182"/>
      <c r="Q20334" s="183"/>
      <c r="R20334" s="183"/>
      <c r="S20334" s="183"/>
    </row>
    <row r="20335" spans="1:38">
      <c r="A20335" s="182"/>
      <c r="Q20335" s="183"/>
      <c r="R20335" s="183"/>
      <c r="S20335" s="183"/>
    </row>
    <row r="20336" spans="1:38">
      <c r="A20336" s="182"/>
      <c r="Q20336" s="183"/>
      <c r="R20336" s="183"/>
      <c r="S20336" s="183"/>
    </row>
    <row r="20337" spans="1:38">
      <c r="A20337" s="182"/>
      <c r="Q20337" s="183"/>
      <c r="R20337" s="183"/>
      <c r="S20337" s="183"/>
    </row>
    <row r="20338" spans="1:38">
      <c r="A20338" s="182"/>
      <c r="Q20338" s="183"/>
      <c r="R20338" s="183"/>
      <c r="S20338" s="183"/>
    </row>
    <row r="20339" spans="1:38">
      <c r="A20339" s="182"/>
      <c r="Q20339" s="183"/>
      <c r="R20339" s="183"/>
      <c r="S20339" s="183"/>
    </row>
    <row r="20340" spans="1:38">
      <c r="A20340" s="182"/>
      <c r="Q20340" s="183"/>
      <c r="R20340" s="183"/>
      <c r="S20340" s="183"/>
    </row>
    <row r="20341" spans="1:38">
      <c r="A20341" s="182"/>
      <c r="Q20341" s="183"/>
      <c r="R20341" s="183"/>
      <c r="S20341" s="183"/>
    </row>
    <row r="20342" spans="1:38">
      <c r="A20342" s="182"/>
      <c r="Q20342" s="183"/>
      <c r="R20342" s="183"/>
      <c r="S20342" s="183"/>
    </row>
    <row r="20343" spans="1:38">
      <c r="A20343" s="182"/>
      <c r="Q20343" s="183"/>
      <c r="R20343" s="183"/>
      <c r="S20343" s="183"/>
      <c r="AK20343" s="183"/>
      <c r="AL20343" s="183"/>
    </row>
    <row r="20344" spans="1:38">
      <c r="A20344" s="182"/>
      <c r="Q20344" s="183"/>
      <c r="R20344" s="183"/>
      <c r="S20344" s="183"/>
      <c r="AJ20344" s="183"/>
      <c r="AK20344" s="183"/>
      <c r="AL20344" s="183"/>
    </row>
    <row r="20345" spans="1:38">
      <c r="A20345" s="182"/>
      <c r="Q20345" s="183"/>
      <c r="R20345" s="183"/>
      <c r="S20345" s="183"/>
      <c r="AJ20345" s="183"/>
      <c r="AK20345" s="183"/>
      <c r="AL20345" s="183"/>
    </row>
    <row r="20346" spans="1:38">
      <c r="A20346" s="182"/>
      <c r="Q20346" s="183"/>
      <c r="R20346" s="183"/>
      <c r="S20346" s="183"/>
      <c r="AJ20346" s="183"/>
      <c r="AK20346" s="183"/>
      <c r="AL20346" s="183"/>
    </row>
    <row r="20347" spans="1:38">
      <c r="A20347" s="182"/>
      <c r="Q20347" s="183"/>
      <c r="R20347" s="183"/>
      <c r="S20347" s="183"/>
      <c r="AJ20347" s="183"/>
      <c r="AK20347" s="183"/>
      <c r="AL20347" s="183"/>
    </row>
    <row r="20348" spans="1:38">
      <c r="A20348" s="182"/>
      <c r="Q20348" s="183"/>
      <c r="R20348" s="183"/>
      <c r="S20348" s="183"/>
      <c r="AJ20348" s="183"/>
      <c r="AK20348" s="183"/>
      <c r="AL20348" s="183"/>
    </row>
    <row r="20349" spans="1:38">
      <c r="A20349" s="182"/>
      <c r="Q20349" s="183"/>
      <c r="R20349" s="183"/>
      <c r="S20349" s="183"/>
      <c r="AJ20349" s="183"/>
      <c r="AK20349" s="183"/>
      <c r="AL20349" s="183"/>
    </row>
    <row r="20350" spans="1:38">
      <c r="A20350" s="182"/>
      <c r="Q20350" s="183"/>
      <c r="R20350" s="183"/>
      <c r="S20350" s="183"/>
      <c r="AJ20350" s="183"/>
      <c r="AK20350" s="183"/>
      <c r="AL20350" s="183"/>
    </row>
    <row r="20351" spans="1:38">
      <c r="A20351" s="182"/>
      <c r="Q20351" s="183"/>
      <c r="R20351" s="183"/>
      <c r="S20351" s="183"/>
      <c r="AJ20351" s="183"/>
    </row>
    <row r="20352" spans="1:38">
      <c r="A20352" s="182"/>
      <c r="Q20352" s="183"/>
      <c r="R20352" s="183"/>
      <c r="S20352" s="183"/>
    </row>
    <row r="20353" spans="1:38">
      <c r="A20353" s="182"/>
      <c r="Q20353" s="183"/>
      <c r="R20353" s="183"/>
      <c r="S20353" s="183"/>
    </row>
    <row r="20354" spans="1:38">
      <c r="A20354" s="182"/>
      <c r="Q20354" s="183"/>
      <c r="R20354" s="183"/>
      <c r="S20354" s="183"/>
    </row>
    <row r="20355" spans="1:38">
      <c r="A20355" s="182"/>
      <c r="Q20355" s="183"/>
      <c r="R20355" s="183"/>
      <c r="S20355" s="183"/>
    </row>
    <row r="20356" spans="1:38">
      <c r="A20356" s="182"/>
      <c r="Q20356" s="183"/>
      <c r="R20356" s="183"/>
      <c r="S20356" s="183"/>
    </row>
    <row r="20357" spans="1:38">
      <c r="A20357" s="182"/>
      <c r="Q20357" s="183"/>
      <c r="R20357" s="183"/>
      <c r="S20357" s="183"/>
    </row>
    <row r="20358" spans="1:38">
      <c r="A20358" s="182"/>
      <c r="Q20358" s="183"/>
      <c r="R20358" s="183"/>
      <c r="S20358" s="183"/>
    </row>
    <row r="20359" spans="1:38">
      <c r="A20359" s="182"/>
      <c r="Q20359" s="183"/>
      <c r="R20359" s="183"/>
      <c r="S20359" s="183"/>
    </row>
    <row r="20360" spans="1:38">
      <c r="A20360" s="182"/>
      <c r="Q20360" s="183"/>
      <c r="R20360" s="183"/>
      <c r="S20360" s="183"/>
    </row>
    <row r="20361" spans="1:38">
      <c r="A20361" s="182"/>
      <c r="Q20361" s="183"/>
      <c r="R20361" s="183"/>
      <c r="S20361" s="183"/>
    </row>
    <row r="20362" spans="1:38">
      <c r="A20362" s="182"/>
      <c r="Q20362" s="183"/>
      <c r="R20362" s="183"/>
      <c r="S20362" s="183"/>
    </row>
    <row r="20363" spans="1:38">
      <c r="A20363" s="182"/>
      <c r="Q20363" s="183"/>
      <c r="R20363" s="183"/>
      <c r="S20363" s="183"/>
    </row>
    <row r="20364" spans="1:38">
      <c r="A20364" s="182"/>
      <c r="Q20364" s="183"/>
      <c r="R20364" s="183"/>
      <c r="S20364" s="183"/>
    </row>
    <row r="20365" spans="1:38">
      <c r="A20365" s="182"/>
      <c r="Q20365" s="183"/>
      <c r="R20365" s="183"/>
      <c r="S20365" s="183"/>
    </row>
    <row r="20366" spans="1:38">
      <c r="A20366" s="182"/>
      <c r="Q20366" s="183"/>
      <c r="R20366" s="183"/>
      <c r="S20366" s="183"/>
    </row>
    <row r="20367" spans="1:38">
      <c r="A20367" s="182"/>
      <c r="Q20367" s="183"/>
      <c r="R20367" s="183"/>
      <c r="S20367" s="183"/>
      <c r="AK20367" s="183"/>
      <c r="AL20367" s="183"/>
    </row>
    <row r="20368" spans="1:38">
      <c r="A20368" s="182"/>
      <c r="Q20368" s="183"/>
      <c r="R20368" s="183"/>
      <c r="S20368" s="183"/>
      <c r="AJ20368" s="183"/>
      <c r="AK20368" s="183"/>
      <c r="AL20368" s="183"/>
    </row>
    <row r="20369" spans="1:38">
      <c r="A20369" s="182"/>
      <c r="Q20369" s="183"/>
      <c r="R20369" s="183"/>
      <c r="S20369" s="183"/>
      <c r="AJ20369" s="183"/>
      <c r="AK20369" s="183"/>
      <c r="AL20369" s="183"/>
    </row>
    <row r="20370" spans="1:38">
      <c r="A20370" s="182"/>
      <c r="Q20370" s="183"/>
      <c r="R20370" s="183"/>
      <c r="S20370" s="183"/>
      <c r="AJ20370" s="183"/>
      <c r="AK20370" s="183"/>
      <c r="AL20370" s="183"/>
    </row>
    <row r="20371" spans="1:38">
      <c r="A20371" s="182"/>
      <c r="Q20371" s="183"/>
      <c r="R20371" s="183"/>
      <c r="S20371" s="183"/>
      <c r="AJ20371" s="183"/>
    </row>
    <row r="20372" spans="1:38">
      <c r="A20372" s="182"/>
      <c r="Q20372" s="183"/>
      <c r="R20372" s="183"/>
      <c r="S20372" s="183"/>
    </row>
    <row r="20373" spans="1:38">
      <c r="A20373" s="182"/>
      <c r="Q20373" s="183"/>
      <c r="R20373" s="183"/>
      <c r="S20373" s="183"/>
    </row>
    <row r="20374" spans="1:38">
      <c r="A20374" s="182"/>
      <c r="Q20374" s="183"/>
      <c r="R20374" s="183"/>
      <c r="S20374" s="183"/>
    </row>
    <row r="20375" spans="1:38">
      <c r="A20375" s="182"/>
      <c r="Q20375" s="183"/>
      <c r="R20375" s="183"/>
      <c r="S20375" s="183"/>
      <c r="AK20375" s="183"/>
      <c r="AL20375" s="183"/>
    </row>
    <row r="20376" spans="1:38">
      <c r="A20376" s="182"/>
      <c r="Q20376" s="183"/>
      <c r="R20376" s="183"/>
      <c r="S20376" s="183"/>
      <c r="AJ20376" s="183"/>
      <c r="AK20376" s="183"/>
      <c r="AL20376" s="183"/>
    </row>
    <row r="20377" spans="1:38">
      <c r="A20377" s="182"/>
      <c r="Q20377" s="183"/>
      <c r="R20377" s="183"/>
      <c r="S20377" s="183"/>
      <c r="AJ20377" s="183"/>
      <c r="AK20377" s="183"/>
      <c r="AL20377" s="183"/>
    </row>
    <row r="20378" spans="1:38">
      <c r="A20378" s="182"/>
      <c r="Q20378" s="183"/>
      <c r="R20378" s="183"/>
      <c r="S20378" s="183"/>
      <c r="AJ20378" s="183"/>
      <c r="AK20378" s="183"/>
      <c r="AL20378" s="183"/>
    </row>
    <row r="20379" spans="1:38">
      <c r="A20379" s="182"/>
      <c r="Q20379" s="183"/>
      <c r="R20379" s="183"/>
      <c r="S20379" s="183"/>
      <c r="AJ20379" s="183"/>
    </row>
    <row r="20380" spans="1:38">
      <c r="A20380" s="182"/>
      <c r="Q20380" s="183"/>
      <c r="R20380" s="183"/>
      <c r="S20380" s="183"/>
    </row>
    <row r="20381" spans="1:38">
      <c r="A20381" s="182"/>
      <c r="Q20381" s="183"/>
      <c r="R20381" s="183"/>
      <c r="S20381" s="183"/>
    </row>
    <row r="20382" spans="1:38">
      <c r="A20382" s="182"/>
      <c r="Q20382" s="183"/>
      <c r="R20382" s="183"/>
      <c r="S20382" s="183"/>
    </row>
    <row r="20383" spans="1:38">
      <c r="A20383" s="182"/>
      <c r="Q20383" s="183"/>
      <c r="R20383" s="183"/>
      <c r="S20383" s="183"/>
    </row>
    <row r="20384" spans="1:38">
      <c r="A20384" s="182"/>
      <c r="Q20384" s="183"/>
      <c r="R20384" s="183"/>
      <c r="S20384" s="183"/>
    </row>
    <row r="20385" spans="1:19">
      <c r="A20385" s="182"/>
      <c r="Q20385" s="183"/>
      <c r="R20385" s="183"/>
      <c r="S20385" s="183"/>
    </row>
    <row r="20386" spans="1:19">
      <c r="A20386" s="182"/>
      <c r="Q20386" s="183"/>
      <c r="R20386" s="183"/>
      <c r="S20386" s="183"/>
    </row>
    <row r="20387" spans="1:19">
      <c r="A20387" s="182"/>
      <c r="Q20387" s="183"/>
      <c r="R20387" s="183"/>
      <c r="S20387" s="183"/>
    </row>
    <row r="20388" spans="1:19">
      <c r="A20388" s="182"/>
      <c r="Q20388" s="183"/>
      <c r="R20388" s="183"/>
      <c r="S20388" s="183"/>
    </row>
    <row r="20389" spans="1:19">
      <c r="A20389" s="182"/>
      <c r="Q20389" s="183"/>
      <c r="R20389" s="183"/>
      <c r="S20389" s="183"/>
    </row>
    <row r="20390" spans="1:19">
      <c r="A20390" s="182"/>
      <c r="Q20390" s="183"/>
      <c r="R20390" s="183"/>
      <c r="S20390" s="183"/>
    </row>
    <row r="20391" spans="1:19">
      <c r="A20391" s="182"/>
      <c r="Q20391" s="183"/>
      <c r="R20391" s="183"/>
      <c r="S20391" s="183"/>
    </row>
    <row r="20392" spans="1:19">
      <c r="A20392" s="182"/>
      <c r="Q20392" s="183"/>
      <c r="R20392" s="183"/>
      <c r="S20392" s="183"/>
    </row>
    <row r="20393" spans="1:19">
      <c r="A20393" s="182"/>
      <c r="Q20393" s="183"/>
      <c r="R20393" s="183"/>
      <c r="S20393" s="183"/>
    </row>
    <row r="20394" spans="1:19">
      <c r="A20394" s="182"/>
      <c r="Q20394" s="183"/>
      <c r="R20394" s="183"/>
      <c r="S20394" s="183"/>
    </row>
    <row r="20395" spans="1:19">
      <c r="A20395" s="182"/>
      <c r="Q20395" s="183"/>
      <c r="R20395" s="183"/>
      <c r="S20395" s="183"/>
    </row>
    <row r="20396" spans="1:19">
      <c r="A20396" s="182"/>
      <c r="Q20396" s="183"/>
      <c r="R20396" s="183"/>
      <c r="S20396" s="183"/>
    </row>
    <row r="20397" spans="1:19">
      <c r="A20397" s="182"/>
      <c r="Q20397" s="183"/>
      <c r="R20397" s="183"/>
      <c r="S20397" s="183"/>
    </row>
    <row r="20398" spans="1:19">
      <c r="A20398" s="182"/>
      <c r="Q20398" s="183"/>
      <c r="R20398" s="183"/>
      <c r="S20398" s="183"/>
    </row>
    <row r="20399" spans="1:19">
      <c r="A20399" s="182"/>
      <c r="Q20399" s="183"/>
      <c r="R20399" s="183"/>
      <c r="S20399" s="183"/>
    </row>
    <row r="20400" spans="1:19">
      <c r="A20400" s="182"/>
      <c r="Q20400" s="183"/>
      <c r="R20400" s="183"/>
      <c r="S20400" s="183"/>
    </row>
    <row r="20401" spans="1:38">
      <c r="A20401" s="182"/>
      <c r="Q20401" s="183"/>
      <c r="R20401" s="183"/>
      <c r="S20401" s="183"/>
    </row>
    <row r="20402" spans="1:38">
      <c r="A20402" s="182"/>
      <c r="Q20402" s="183"/>
      <c r="R20402" s="183"/>
      <c r="S20402" s="183"/>
    </row>
    <row r="20403" spans="1:38">
      <c r="A20403" s="182"/>
      <c r="Q20403" s="183"/>
      <c r="R20403" s="183"/>
      <c r="S20403" s="183"/>
    </row>
    <row r="20404" spans="1:38">
      <c r="A20404" s="182"/>
      <c r="Q20404" s="183"/>
      <c r="R20404" s="183"/>
      <c r="S20404" s="183"/>
    </row>
    <row r="20405" spans="1:38">
      <c r="A20405" s="182"/>
      <c r="Q20405" s="183"/>
      <c r="R20405" s="183"/>
      <c r="S20405" s="183"/>
    </row>
    <row r="20406" spans="1:38">
      <c r="A20406" s="182"/>
      <c r="Q20406" s="183"/>
      <c r="R20406" s="183"/>
      <c r="S20406" s="183"/>
    </row>
    <row r="20407" spans="1:38">
      <c r="A20407" s="182"/>
      <c r="Q20407" s="183"/>
      <c r="R20407" s="183"/>
      <c r="S20407" s="183"/>
      <c r="AK20407" s="183"/>
      <c r="AL20407" s="183"/>
    </row>
    <row r="20408" spans="1:38">
      <c r="A20408" s="182"/>
      <c r="Q20408" s="183"/>
      <c r="R20408" s="183"/>
      <c r="S20408" s="183"/>
      <c r="AJ20408" s="183"/>
      <c r="AK20408" s="183"/>
      <c r="AL20408" s="183"/>
    </row>
    <row r="20409" spans="1:38">
      <c r="A20409" s="182"/>
      <c r="Q20409" s="183"/>
      <c r="R20409" s="183"/>
      <c r="S20409" s="183"/>
      <c r="AJ20409" s="183"/>
      <c r="AK20409" s="183"/>
      <c r="AL20409" s="183"/>
    </row>
    <row r="20410" spans="1:38">
      <c r="A20410" s="182"/>
      <c r="Q20410" s="183"/>
      <c r="R20410" s="183"/>
      <c r="S20410" s="183"/>
      <c r="AJ20410" s="183"/>
      <c r="AK20410" s="183"/>
      <c r="AL20410" s="183"/>
    </row>
    <row r="20411" spans="1:38">
      <c r="A20411" s="182"/>
      <c r="Q20411" s="183"/>
      <c r="R20411" s="183"/>
      <c r="S20411" s="183"/>
      <c r="AJ20411" s="183"/>
    </row>
    <row r="20412" spans="1:38">
      <c r="A20412" s="182"/>
      <c r="Q20412" s="183"/>
      <c r="R20412" s="183"/>
      <c r="S20412" s="183"/>
    </row>
    <row r="20413" spans="1:38">
      <c r="A20413" s="182"/>
      <c r="Q20413" s="183"/>
      <c r="R20413" s="183"/>
      <c r="S20413" s="183"/>
    </row>
    <row r="20414" spans="1:38">
      <c r="A20414" s="182"/>
      <c r="Q20414" s="183"/>
      <c r="R20414" s="183"/>
      <c r="S20414" s="183"/>
    </row>
    <row r="20415" spans="1:38">
      <c r="A20415" s="182"/>
      <c r="Q20415" s="183"/>
      <c r="R20415" s="183"/>
      <c r="S20415" s="183"/>
    </row>
    <row r="20416" spans="1:38">
      <c r="A20416" s="182"/>
      <c r="Q20416" s="183"/>
      <c r="R20416" s="183"/>
      <c r="S20416" s="183"/>
    </row>
    <row r="20417" spans="1:38">
      <c r="A20417" s="182"/>
      <c r="Q20417" s="183"/>
      <c r="R20417" s="183"/>
      <c r="S20417" s="183"/>
    </row>
    <row r="20418" spans="1:38">
      <c r="A20418" s="182"/>
      <c r="Q20418" s="183"/>
      <c r="R20418" s="183"/>
      <c r="S20418" s="183"/>
    </row>
    <row r="20419" spans="1:38">
      <c r="A20419" s="182"/>
      <c r="Q20419" s="183"/>
      <c r="R20419" s="183"/>
      <c r="S20419" s="183"/>
    </row>
    <row r="20420" spans="1:38">
      <c r="A20420" s="182"/>
      <c r="Q20420" s="183"/>
      <c r="R20420" s="183"/>
      <c r="S20420" s="183"/>
    </row>
    <row r="20421" spans="1:38">
      <c r="A20421" s="182"/>
      <c r="Q20421" s="183"/>
      <c r="R20421" s="183"/>
      <c r="S20421" s="183"/>
    </row>
    <row r="20422" spans="1:38">
      <c r="A20422" s="182"/>
      <c r="Q20422" s="183"/>
      <c r="R20422" s="183"/>
      <c r="S20422" s="183"/>
    </row>
    <row r="20423" spans="1:38">
      <c r="A20423" s="182"/>
      <c r="Q20423" s="183"/>
      <c r="R20423" s="183"/>
      <c r="S20423" s="183"/>
    </row>
    <row r="20424" spans="1:38">
      <c r="A20424" s="182"/>
      <c r="Q20424" s="183"/>
      <c r="R20424" s="183"/>
      <c r="S20424" s="183"/>
    </row>
    <row r="20425" spans="1:38">
      <c r="A20425" s="182"/>
      <c r="Q20425" s="183"/>
      <c r="R20425" s="183"/>
      <c r="S20425" s="183"/>
    </row>
    <row r="20426" spans="1:38">
      <c r="A20426" s="182"/>
      <c r="Q20426" s="183"/>
      <c r="R20426" s="183"/>
      <c r="S20426" s="183"/>
    </row>
    <row r="20427" spans="1:38">
      <c r="A20427" s="182"/>
      <c r="Q20427" s="183"/>
      <c r="R20427" s="183"/>
      <c r="S20427" s="183"/>
    </row>
    <row r="20428" spans="1:38">
      <c r="A20428" s="182"/>
      <c r="Q20428" s="183"/>
      <c r="R20428" s="183"/>
      <c r="S20428" s="183"/>
    </row>
    <row r="20429" spans="1:38">
      <c r="A20429" s="182"/>
      <c r="Q20429" s="183"/>
      <c r="R20429" s="183"/>
      <c r="S20429" s="183"/>
    </row>
    <row r="20430" spans="1:38">
      <c r="A20430" s="182"/>
      <c r="Q20430" s="183"/>
      <c r="R20430" s="183"/>
      <c r="S20430" s="183"/>
    </row>
    <row r="20431" spans="1:38">
      <c r="A20431" s="182"/>
      <c r="Q20431" s="183"/>
      <c r="R20431" s="183"/>
      <c r="S20431" s="183"/>
      <c r="AK20431" s="183"/>
      <c r="AL20431" s="183"/>
    </row>
    <row r="20432" spans="1:38">
      <c r="A20432" s="182"/>
      <c r="Q20432" s="183"/>
      <c r="R20432" s="183"/>
      <c r="S20432" s="183"/>
      <c r="AJ20432" s="183"/>
      <c r="AK20432" s="183"/>
      <c r="AL20432" s="183"/>
    </row>
    <row r="20433" spans="1:38">
      <c r="A20433" s="182"/>
      <c r="Q20433" s="183"/>
      <c r="R20433" s="183"/>
      <c r="S20433" s="183"/>
      <c r="AJ20433" s="183"/>
      <c r="AK20433" s="183"/>
      <c r="AL20433" s="183"/>
    </row>
    <row r="20434" spans="1:38">
      <c r="A20434" s="182"/>
      <c r="Q20434" s="183"/>
      <c r="R20434" s="183"/>
      <c r="S20434" s="183"/>
      <c r="AJ20434" s="183"/>
      <c r="AK20434" s="183"/>
      <c r="AL20434" s="183"/>
    </row>
    <row r="20435" spans="1:38">
      <c r="A20435" s="182"/>
      <c r="Q20435" s="183"/>
      <c r="R20435" s="183"/>
      <c r="S20435" s="183"/>
      <c r="AJ20435" s="183"/>
    </row>
    <row r="20436" spans="1:38">
      <c r="A20436" s="182"/>
      <c r="Q20436" s="183"/>
      <c r="R20436" s="183"/>
      <c r="S20436" s="183"/>
    </row>
    <row r="20437" spans="1:38">
      <c r="A20437" s="182"/>
      <c r="Q20437" s="183"/>
      <c r="R20437" s="183"/>
      <c r="S20437" s="183"/>
    </row>
    <row r="20438" spans="1:38">
      <c r="A20438" s="182"/>
      <c r="Q20438" s="183"/>
      <c r="R20438" s="183"/>
      <c r="S20438" s="183"/>
    </row>
    <row r="20439" spans="1:38">
      <c r="A20439" s="182"/>
      <c r="Q20439" s="183"/>
      <c r="R20439" s="183"/>
      <c r="S20439" s="183"/>
    </row>
    <row r="20440" spans="1:38">
      <c r="A20440" s="182"/>
      <c r="Q20440" s="183"/>
      <c r="R20440" s="183"/>
      <c r="S20440" s="183"/>
    </row>
    <row r="20441" spans="1:38">
      <c r="A20441" s="182"/>
      <c r="Q20441" s="183"/>
      <c r="R20441" s="183"/>
      <c r="S20441" s="183"/>
    </row>
    <row r="20442" spans="1:38">
      <c r="A20442" s="182"/>
      <c r="Q20442" s="183"/>
      <c r="R20442" s="183"/>
      <c r="S20442" s="183"/>
    </row>
    <row r="20443" spans="1:38">
      <c r="A20443" s="182"/>
      <c r="Q20443" s="183"/>
      <c r="R20443" s="183"/>
      <c r="S20443" s="183"/>
      <c r="AK20443" s="183"/>
      <c r="AL20443" s="183"/>
    </row>
    <row r="20444" spans="1:38">
      <c r="A20444" s="182"/>
      <c r="Q20444" s="183"/>
      <c r="R20444" s="183"/>
      <c r="S20444" s="183"/>
      <c r="AJ20444" s="183"/>
      <c r="AK20444" s="183"/>
      <c r="AL20444" s="183"/>
    </row>
    <row r="20445" spans="1:38">
      <c r="A20445" s="182"/>
      <c r="Q20445" s="183"/>
      <c r="R20445" s="183"/>
      <c r="S20445" s="183"/>
      <c r="AJ20445" s="183"/>
      <c r="AK20445" s="183"/>
      <c r="AL20445" s="183"/>
    </row>
    <row r="20446" spans="1:38">
      <c r="A20446" s="182"/>
      <c r="Q20446" s="183"/>
      <c r="R20446" s="183"/>
      <c r="S20446" s="183"/>
      <c r="AJ20446" s="183"/>
      <c r="AK20446" s="183"/>
      <c r="AL20446" s="183"/>
    </row>
    <row r="20447" spans="1:38">
      <c r="A20447" s="182"/>
      <c r="Q20447" s="183"/>
      <c r="R20447" s="183"/>
      <c r="S20447" s="183"/>
      <c r="AJ20447" s="183"/>
      <c r="AK20447" s="183"/>
      <c r="AL20447" s="183"/>
    </row>
    <row r="20448" spans="1:38">
      <c r="A20448" s="182"/>
      <c r="Q20448" s="183"/>
      <c r="R20448" s="183"/>
      <c r="S20448" s="183"/>
      <c r="AJ20448" s="183"/>
      <c r="AK20448" s="183"/>
      <c r="AL20448" s="183"/>
    </row>
    <row r="20449" spans="1:38">
      <c r="A20449" s="182"/>
      <c r="Q20449" s="183"/>
      <c r="R20449" s="183"/>
      <c r="S20449" s="183"/>
      <c r="AJ20449" s="183"/>
      <c r="AK20449" s="183"/>
      <c r="AL20449" s="183"/>
    </row>
    <row r="20450" spans="1:38">
      <c r="A20450" s="182"/>
      <c r="Q20450" s="183"/>
      <c r="R20450" s="183"/>
      <c r="S20450" s="183"/>
      <c r="AJ20450" s="183"/>
      <c r="AK20450" s="183"/>
      <c r="AL20450" s="183"/>
    </row>
    <row r="20451" spans="1:38">
      <c r="A20451" s="182"/>
      <c r="Q20451" s="183"/>
      <c r="R20451" s="183"/>
      <c r="S20451" s="183"/>
      <c r="AJ20451" s="183"/>
      <c r="AK20451" s="183"/>
      <c r="AL20451" s="183"/>
    </row>
    <row r="20452" spans="1:38">
      <c r="A20452" s="182"/>
      <c r="Q20452" s="183"/>
      <c r="R20452" s="183"/>
      <c r="S20452" s="183"/>
      <c r="AJ20452" s="183"/>
      <c r="AK20452" s="183"/>
      <c r="AL20452" s="183"/>
    </row>
    <row r="20453" spans="1:38">
      <c r="A20453" s="182"/>
      <c r="Q20453" s="183"/>
      <c r="R20453" s="183"/>
      <c r="S20453" s="183"/>
      <c r="AJ20453" s="183"/>
      <c r="AK20453" s="183"/>
      <c r="AL20453" s="183"/>
    </row>
    <row r="20454" spans="1:38">
      <c r="A20454" s="182"/>
      <c r="Q20454" s="183"/>
      <c r="R20454" s="183"/>
      <c r="S20454" s="183"/>
      <c r="AJ20454" s="183"/>
      <c r="AK20454" s="183"/>
      <c r="AL20454" s="183"/>
    </row>
    <row r="20455" spans="1:38">
      <c r="A20455" s="182"/>
      <c r="Q20455" s="183"/>
      <c r="R20455" s="183"/>
      <c r="S20455" s="183"/>
      <c r="AJ20455" s="183"/>
      <c r="AK20455" s="183"/>
      <c r="AL20455" s="183"/>
    </row>
    <row r="20456" spans="1:38">
      <c r="A20456" s="182"/>
      <c r="Q20456" s="183"/>
      <c r="R20456" s="183"/>
      <c r="S20456" s="183"/>
      <c r="AJ20456" s="183"/>
      <c r="AK20456" s="183"/>
      <c r="AL20456" s="183"/>
    </row>
    <row r="20457" spans="1:38">
      <c r="A20457" s="182"/>
      <c r="Q20457" s="183"/>
      <c r="R20457" s="183"/>
      <c r="S20457" s="183"/>
      <c r="AJ20457" s="183"/>
      <c r="AK20457" s="183"/>
      <c r="AL20457" s="183"/>
    </row>
    <row r="20458" spans="1:38">
      <c r="A20458" s="182"/>
      <c r="Q20458" s="183"/>
      <c r="R20458" s="183"/>
      <c r="S20458" s="183"/>
      <c r="AJ20458" s="183"/>
      <c r="AK20458" s="183"/>
      <c r="AL20458" s="183"/>
    </row>
    <row r="20459" spans="1:38">
      <c r="A20459" s="182"/>
      <c r="Q20459" s="183"/>
      <c r="R20459" s="183"/>
      <c r="S20459" s="183"/>
      <c r="AJ20459" s="183"/>
    </row>
    <row r="20460" spans="1:38">
      <c r="A20460" s="182"/>
      <c r="Q20460" s="183"/>
      <c r="R20460" s="183"/>
      <c r="S20460" s="183"/>
    </row>
    <row r="20461" spans="1:38">
      <c r="A20461" s="182"/>
      <c r="Q20461" s="183"/>
      <c r="R20461" s="183"/>
      <c r="S20461" s="183"/>
    </row>
    <row r="20462" spans="1:38">
      <c r="A20462" s="182"/>
      <c r="Q20462" s="183"/>
      <c r="R20462" s="183"/>
      <c r="S20462" s="183"/>
    </row>
    <row r="20463" spans="1:38">
      <c r="A20463" s="182"/>
      <c r="Q20463" s="183"/>
      <c r="R20463" s="183"/>
      <c r="S20463" s="183"/>
      <c r="AK20463" s="183"/>
      <c r="AL20463" s="183"/>
    </row>
    <row r="20464" spans="1:38">
      <c r="A20464" s="182"/>
      <c r="Q20464" s="183"/>
      <c r="R20464" s="183"/>
      <c r="S20464" s="183"/>
      <c r="AJ20464" s="183"/>
      <c r="AK20464" s="183"/>
      <c r="AL20464" s="183"/>
    </row>
    <row r="20465" spans="1:38">
      <c r="A20465" s="182"/>
      <c r="Q20465" s="183"/>
      <c r="R20465" s="183"/>
      <c r="S20465" s="183"/>
      <c r="AJ20465" s="183"/>
      <c r="AK20465" s="183"/>
      <c r="AL20465" s="183"/>
    </row>
    <row r="20466" spans="1:38">
      <c r="A20466" s="182"/>
      <c r="Q20466" s="183"/>
      <c r="R20466" s="183"/>
      <c r="S20466" s="183"/>
      <c r="AJ20466" s="183"/>
      <c r="AK20466" s="183"/>
      <c r="AL20466" s="183"/>
    </row>
    <row r="20467" spans="1:38">
      <c r="A20467" s="182"/>
      <c r="Q20467" s="183"/>
      <c r="R20467" s="183"/>
      <c r="S20467" s="183"/>
      <c r="AJ20467" s="183"/>
    </row>
    <row r="20468" spans="1:38">
      <c r="A20468" s="182"/>
      <c r="Q20468" s="183"/>
      <c r="R20468" s="183"/>
      <c r="S20468" s="183"/>
    </row>
    <row r="20469" spans="1:38">
      <c r="A20469" s="182"/>
      <c r="Q20469" s="183"/>
      <c r="R20469" s="183"/>
      <c r="S20469" s="183"/>
    </row>
    <row r="20470" spans="1:38">
      <c r="A20470" s="182"/>
      <c r="Q20470" s="183"/>
      <c r="R20470" s="183"/>
      <c r="S20470" s="183"/>
    </row>
    <row r="20471" spans="1:38">
      <c r="A20471" s="182"/>
      <c r="Q20471" s="183"/>
      <c r="R20471" s="183"/>
      <c r="S20471" s="183"/>
    </row>
    <row r="20472" spans="1:38">
      <c r="A20472" s="182"/>
      <c r="Q20472" s="183"/>
      <c r="R20472" s="183"/>
      <c r="S20472" s="183"/>
    </row>
    <row r="20473" spans="1:38">
      <c r="A20473" s="182"/>
      <c r="Q20473" s="183"/>
      <c r="R20473" s="183"/>
      <c r="S20473" s="183"/>
    </row>
    <row r="20474" spans="1:38">
      <c r="A20474" s="182"/>
      <c r="Q20474" s="183"/>
      <c r="R20474" s="183"/>
      <c r="S20474" s="183"/>
    </row>
    <row r="20475" spans="1:38">
      <c r="A20475" s="182"/>
      <c r="Q20475" s="183"/>
      <c r="R20475" s="183"/>
      <c r="S20475" s="183"/>
    </row>
    <row r="20476" spans="1:38">
      <c r="A20476" s="182"/>
      <c r="Q20476" s="183"/>
      <c r="R20476" s="183"/>
      <c r="S20476" s="183"/>
    </row>
    <row r="20477" spans="1:38">
      <c r="A20477" s="182"/>
      <c r="Q20477" s="183"/>
      <c r="R20477" s="183"/>
      <c r="S20477" s="183"/>
    </row>
    <row r="20478" spans="1:38">
      <c r="A20478" s="182"/>
      <c r="Q20478" s="183"/>
      <c r="R20478" s="183"/>
      <c r="S20478" s="183"/>
    </row>
    <row r="20479" spans="1:38">
      <c r="A20479" s="182"/>
      <c r="Q20479" s="183"/>
      <c r="R20479" s="183"/>
      <c r="S20479" s="183"/>
      <c r="AK20479" s="183"/>
      <c r="AL20479" s="183"/>
    </row>
    <row r="20480" spans="1:38">
      <c r="A20480" s="182"/>
      <c r="Q20480" s="183"/>
      <c r="R20480" s="183"/>
      <c r="S20480" s="183"/>
      <c r="AJ20480" s="183"/>
      <c r="AK20480" s="183"/>
      <c r="AL20480" s="183"/>
    </row>
    <row r="20481" spans="1:38">
      <c r="A20481" s="182"/>
      <c r="Q20481" s="183"/>
      <c r="R20481" s="183"/>
      <c r="S20481" s="183"/>
      <c r="AJ20481" s="183"/>
      <c r="AK20481" s="183"/>
      <c r="AL20481" s="183"/>
    </row>
    <row r="20482" spans="1:38">
      <c r="A20482" s="182"/>
      <c r="Q20482" s="183"/>
      <c r="R20482" s="183"/>
      <c r="S20482" s="183"/>
      <c r="AJ20482" s="183"/>
      <c r="AK20482" s="183"/>
      <c r="AL20482" s="183"/>
    </row>
    <row r="20483" spans="1:38">
      <c r="A20483" s="182"/>
      <c r="Q20483" s="183"/>
      <c r="R20483" s="183"/>
      <c r="S20483" s="183"/>
      <c r="AJ20483" s="183"/>
      <c r="AK20483" s="183"/>
      <c r="AL20483" s="183"/>
    </row>
    <row r="20484" spans="1:38">
      <c r="A20484" s="182"/>
      <c r="Q20484" s="183"/>
      <c r="R20484" s="183"/>
      <c r="S20484" s="183"/>
      <c r="AJ20484" s="183"/>
      <c r="AK20484" s="183"/>
      <c r="AL20484" s="183"/>
    </row>
    <row r="20485" spans="1:38">
      <c r="A20485" s="182"/>
      <c r="Q20485" s="183"/>
      <c r="R20485" s="183"/>
      <c r="S20485" s="183"/>
      <c r="AJ20485" s="183"/>
      <c r="AK20485" s="183"/>
      <c r="AL20485" s="183"/>
    </row>
    <row r="20486" spans="1:38">
      <c r="A20486" s="182"/>
      <c r="Q20486" s="183"/>
      <c r="R20486" s="183"/>
      <c r="S20486" s="183"/>
      <c r="AJ20486" s="183"/>
      <c r="AK20486" s="183"/>
      <c r="AL20486" s="183"/>
    </row>
    <row r="20487" spans="1:38">
      <c r="A20487" s="182"/>
      <c r="Q20487" s="183"/>
      <c r="R20487" s="183"/>
      <c r="S20487" s="183"/>
      <c r="AJ20487" s="183"/>
    </row>
    <row r="20488" spans="1:38">
      <c r="A20488" s="182"/>
      <c r="Q20488" s="183"/>
      <c r="R20488" s="183"/>
      <c r="S20488" s="183"/>
    </row>
    <row r="20489" spans="1:38">
      <c r="A20489" s="182"/>
      <c r="Q20489" s="183"/>
      <c r="R20489" s="183"/>
      <c r="S20489" s="183"/>
    </row>
    <row r="20490" spans="1:38">
      <c r="A20490" s="182"/>
      <c r="Q20490" s="183"/>
      <c r="R20490" s="183"/>
      <c r="S20490" s="183"/>
    </row>
    <row r="20491" spans="1:38">
      <c r="A20491" s="182"/>
      <c r="Q20491" s="183"/>
      <c r="R20491" s="183"/>
      <c r="S20491" s="183"/>
      <c r="AK20491" s="183"/>
      <c r="AL20491" s="183"/>
    </row>
    <row r="20492" spans="1:38">
      <c r="A20492" s="182"/>
      <c r="Q20492" s="183"/>
      <c r="R20492" s="183"/>
      <c r="S20492" s="183"/>
      <c r="AJ20492" s="183"/>
      <c r="AK20492" s="183"/>
      <c r="AL20492" s="183"/>
    </row>
    <row r="20493" spans="1:38">
      <c r="A20493" s="182"/>
      <c r="Q20493" s="183"/>
      <c r="R20493" s="183"/>
      <c r="S20493" s="183"/>
      <c r="AJ20493" s="183"/>
      <c r="AK20493" s="183"/>
      <c r="AL20493" s="183"/>
    </row>
    <row r="20494" spans="1:38">
      <c r="A20494" s="182"/>
      <c r="Q20494" s="183"/>
      <c r="R20494" s="183"/>
      <c r="S20494" s="183"/>
      <c r="AJ20494" s="183"/>
      <c r="AK20494" s="183"/>
      <c r="AL20494" s="183"/>
    </row>
    <row r="20495" spans="1:38">
      <c r="A20495" s="182"/>
      <c r="Q20495" s="183"/>
      <c r="R20495" s="183"/>
      <c r="S20495" s="183"/>
      <c r="AJ20495" s="183"/>
      <c r="AK20495" s="183"/>
      <c r="AL20495" s="183"/>
    </row>
    <row r="20496" spans="1:38">
      <c r="A20496" s="182"/>
      <c r="Q20496" s="183"/>
      <c r="R20496" s="183"/>
      <c r="S20496" s="183"/>
      <c r="AJ20496" s="183"/>
      <c r="AK20496" s="183"/>
      <c r="AL20496" s="183"/>
    </row>
    <row r="20497" spans="1:38">
      <c r="A20497" s="182"/>
      <c r="Q20497" s="183"/>
      <c r="R20497" s="183"/>
      <c r="S20497" s="183"/>
      <c r="AJ20497" s="183"/>
      <c r="AK20497" s="183"/>
      <c r="AL20497" s="183"/>
    </row>
    <row r="20498" spans="1:38">
      <c r="A20498" s="182"/>
      <c r="Q20498" s="183"/>
      <c r="R20498" s="183"/>
      <c r="S20498" s="183"/>
      <c r="AJ20498" s="183"/>
      <c r="AK20498" s="183"/>
      <c r="AL20498" s="183"/>
    </row>
    <row r="20499" spans="1:38">
      <c r="A20499" s="182"/>
      <c r="Q20499" s="183"/>
      <c r="R20499" s="183"/>
      <c r="S20499" s="183"/>
      <c r="AJ20499" s="183"/>
    </row>
    <row r="20500" spans="1:38">
      <c r="A20500" s="182"/>
      <c r="Q20500" s="183"/>
      <c r="R20500" s="183"/>
      <c r="S20500" s="183"/>
    </row>
    <row r="20501" spans="1:38">
      <c r="A20501" s="182"/>
      <c r="Q20501" s="183"/>
      <c r="R20501" s="183"/>
      <c r="S20501" s="183"/>
    </row>
    <row r="20502" spans="1:38">
      <c r="A20502" s="182"/>
      <c r="Q20502" s="183"/>
      <c r="R20502" s="183"/>
      <c r="S20502" s="183"/>
    </row>
    <row r="20503" spans="1:38">
      <c r="A20503" s="182"/>
      <c r="Q20503" s="183"/>
      <c r="R20503" s="183"/>
      <c r="S20503" s="183"/>
    </row>
    <row r="20504" spans="1:38">
      <c r="A20504" s="182"/>
      <c r="Q20504" s="183"/>
      <c r="R20504" s="183"/>
      <c r="S20504" s="183"/>
    </row>
    <row r="20505" spans="1:38">
      <c r="A20505" s="182"/>
      <c r="Q20505" s="183"/>
      <c r="R20505" s="183"/>
      <c r="S20505" s="183"/>
    </row>
    <row r="20506" spans="1:38">
      <c r="A20506" s="182"/>
      <c r="Q20506" s="183"/>
      <c r="R20506" s="183"/>
      <c r="S20506" s="183"/>
    </row>
    <row r="20507" spans="1:38">
      <c r="A20507" s="182"/>
      <c r="Q20507" s="183"/>
      <c r="R20507" s="183"/>
      <c r="S20507" s="183"/>
    </row>
    <row r="20508" spans="1:38">
      <c r="A20508" s="182"/>
      <c r="Q20508" s="183"/>
      <c r="R20508" s="183"/>
      <c r="S20508" s="183"/>
    </row>
    <row r="20509" spans="1:38">
      <c r="A20509" s="182"/>
      <c r="Q20509" s="183"/>
      <c r="R20509" s="183"/>
      <c r="S20509" s="183"/>
    </row>
    <row r="20510" spans="1:38">
      <c r="A20510" s="182"/>
      <c r="Q20510" s="183"/>
      <c r="R20510" s="183"/>
      <c r="S20510" s="183"/>
    </row>
    <row r="20511" spans="1:38">
      <c r="A20511" s="182"/>
      <c r="Q20511" s="183"/>
      <c r="R20511" s="183"/>
      <c r="S20511" s="183"/>
      <c r="AK20511" s="183"/>
      <c r="AL20511" s="183"/>
    </row>
    <row r="20512" spans="1:38">
      <c r="A20512" s="182"/>
      <c r="Q20512" s="183"/>
      <c r="R20512" s="183"/>
      <c r="S20512" s="183"/>
      <c r="AJ20512" s="183"/>
      <c r="AK20512" s="183"/>
      <c r="AL20512" s="183"/>
    </row>
    <row r="20513" spans="1:38">
      <c r="A20513" s="182"/>
      <c r="Q20513" s="183"/>
      <c r="R20513" s="183"/>
      <c r="S20513" s="183"/>
      <c r="AJ20513" s="183"/>
      <c r="AK20513" s="183"/>
      <c r="AL20513" s="183"/>
    </row>
    <row r="20514" spans="1:38">
      <c r="A20514" s="182"/>
      <c r="Q20514" s="183"/>
      <c r="R20514" s="183"/>
      <c r="S20514" s="183"/>
      <c r="AJ20514" s="183"/>
      <c r="AK20514" s="183"/>
      <c r="AL20514" s="183"/>
    </row>
    <row r="20515" spans="1:38">
      <c r="A20515" s="182"/>
      <c r="Q20515" s="183"/>
      <c r="R20515" s="183"/>
      <c r="S20515" s="183"/>
      <c r="AJ20515" s="183"/>
    </row>
    <row r="20516" spans="1:38">
      <c r="A20516" s="182"/>
      <c r="Q20516" s="183"/>
      <c r="R20516" s="183"/>
      <c r="S20516" s="183"/>
    </row>
    <row r="20517" spans="1:38">
      <c r="A20517" s="182"/>
      <c r="Q20517" s="183"/>
      <c r="R20517" s="183"/>
      <c r="S20517" s="183"/>
    </row>
    <row r="20518" spans="1:38">
      <c r="A20518" s="182"/>
      <c r="Q20518" s="183"/>
      <c r="R20518" s="183"/>
      <c r="S20518" s="183"/>
    </row>
    <row r="20519" spans="1:38">
      <c r="A20519" s="182"/>
      <c r="Q20519" s="183"/>
      <c r="R20519" s="183"/>
      <c r="S20519" s="183"/>
    </row>
    <row r="20520" spans="1:38">
      <c r="A20520" s="182"/>
      <c r="Q20520" s="183"/>
      <c r="R20520" s="183"/>
      <c r="S20520" s="183"/>
    </row>
    <row r="20521" spans="1:38">
      <c r="A20521" s="182"/>
      <c r="Q20521" s="183"/>
      <c r="R20521" s="183"/>
      <c r="S20521" s="183"/>
    </row>
    <row r="20522" spans="1:38">
      <c r="A20522" s="182"/>
      <c r="M20522" s="183"/>
      <c r="N20522" s="183"/>
      <c r="Q20522" s="183"/>
      <c r="R20522" s="183"/>
      <c r="S20522" s="183"/>
    </row>
    <row r="20523" spans="1:38">
      <c r="A20523" s="182"/>
      <c r="L20523" s="183"/>
      <c r="Q20523" s="183"/>
      <c r="R20523" s="183"/>
      <c r="S20523" s="183"/>
      <c r="AK20523" s="183"/>
      <c r="AL20523" s="183"/>
    </row>
    <row r="20524" spans="1:38">
      <c r="A20524" s="182"/>
      <c r="Q20524" s="183"/>
      <c r="R20524" s="183"/>
      <c r="S20524" s="183"/>
      <c r="AJ20524" s="183"/>
      <c r="AK20524" s="183"/>
      <c r="AL20524" s="183"/>
    </row>
    <row r="20525" spans="1:38">
      <c r="A20525" s="182"/>
      <c r="Q20525" s="183"/>
      <c r="R20525" s="183"/>
      <c r="S20525" s="183"/>
      <c r="AJ20525" s="183"/>
      <c r="AK20525" s="183"/>
      <c r="AL20525" s="183"/>
    </row>
    <row r="20526" spans="1:38">
      <c r="A20526" s="182"/>
      <c r="Q20526" s="183"/>
      <c r="R20526" s="183"/>
      <c r="S20526" s="183"/>
      <c r="AJ20526" s="183"/>
      <c r="AK20526" s="183"/>
      <c r="AL20526" s="183"/>
    </row>
    <row r="20527" spans="1:38">
      <c r="A20527" s="182"/>
      <c r="Q20527" s="183"/>
      <c r="R20527" s="183"/>
      <c r="S20527" s="183"/>
      <c r="AJ20527" s="183"/>
    </row>
    <row r="20528" spans="1:38">
      <c r="A20528" s="182"/>
      <c r="Q20528" s="183"/>
      <c r="R20528" s="183"/>
      <c r="S20528" s="183"/>
    </row>
    <row r="20529" spans="1:38">
      <c r="A20529" s="182"/>
      <c r="Q20529" s="183"/>
      <c r="R20529" s="183"/>
      <c r="S20529" s="183"/>
    </row>
    <row r="20530" spans="1:38">
      <c r="A20530" s="182"/>
      <c r="Q20530" s="183"/>
      <c r="R20530" s="183"/>
      <c r="S20530" s="183"/>
    </row>
    <row r="20531" spans="1:38">
      <c r="A20531" s="182"/>
      <c r="Q20531" s="183"/>
      <c r="R20531" s="183"/>
      <c r="S20531" s="183"/>
      <c r="AK20531" s="183"/>
      <c r="AL20531" s="183"/>
    </row>
    <row r="20532" spans="1:38">
      <c r="A20532" s="182"/>
      <c r="Q20532" s="183"/>
      <c r="R20532" s="183"/>
      <c r="S20532" s="183"/>
      <c r="AJ20532" s="183"/>
      <c r="AK20532" s="183"/>
      <c r="AL20532" s="183"/>
    </row>
    <row r="20533" spans="1:38">
      <c r="A20533" s="182"/>
      <c r="Q20533" s="183"/>
      <c r="R20533" s="183"/>
      <c r="S20533" s="183"/>
      <c r="AJ20533" s="183"/>
      <c r="AK20533" s="183"/>
      <c r="AL20533" s="183"/>
    </row>
    <row r="20534" spans="1:38">
      <c r="A20534" s="182"/>
      <c r="Q20534" s="183"/>
      <c r="R20534" s="183"/>
      <c r="S20534" s="183"/>
      <c r="AJ20534" s="183"/>
      <c r="AK20534" s="183"/>
      <c r="AL20534" s="183"/>
    </row>
    <row r="20535" spans="1:38">
      <c r="A20535" s="182"/>
      <c r="Q20535" s="183"/>
      <c r="R20535" s="183"/>
      <c r="S20535" s="183"/>
      <c r="AJ20535" s="183"/>
    </row>
    <row r="20536" spans="1:38">
      <c r="A20536" s="182"/>
      <c r="Q20536" s="183"/>
      <c r="R20536" s="183"/>
      <c r="S20536" s="183"/>
    </row>
    <row r="20537" spans="1:38">
      <c r="A20537" s="182"/>
      <c r="Q20537" s="183"/>
      <c r="R20537" s="183"/>
      <c r="S20537" s="183"/>
    </row>
    <row r="20538" spans="1:38">
      <c r="A20538" s="182"/>
      <c r="Q20538" s="183"/>
      <c r="R20538" s="183"/>
      <c r="S20538" s="183"/>
    </row>
    <row r="20539" spans="1:38">
      <c r="A20539" s="182"/>
      <c r="Q20539" s="183"/>
      <c r="R20539" s="183"/>
      <c r="S20539" s="183"/>
      <c r="AK20539" s="183"/>
      <c r="AL20539" s="183"/>
    </row>
    <row r="20540" spans="1:38">
      <c r="A20540" s="182"/>
      <c r="Q20540" s="183"/>
      <c r="R20540" s="183"/>
      <c r="S20540" s="183"/>
      <c r="AJ20540" s="183"/>
      <c r="AK20540" s="183"/>
      <c r="AL20540" s="183"/>
    </row>
    <row r="20541" spans="1:38">
      <c r="A20541" s="182"/>
      <c r="Q20541" s="183"/>
      <c r="R20541" s="183"/>
      <c r="S20541" s="183"/>
      <c r="AJ20541" s="183"/>
      <c r="AK20541" s="183"/>
      <c r="AL20541" s="183"/>
    </row>
    <row r="20542" spans="1:38">
      <c r="A20542" s="182"/>
      <c r="Q20542" s="183"/>
      <c r="R20542" s="183"/>
      <c r="S20542" s="183"/>
      <c r="AJ20542" s="183"/>
      <c r="AK20542" s="183"/>
      <c r="AL20542" s="183"/>
    </row>
    <row r="20543" spans="1:38">
      <c r="A20543" s="182"/>
      <c r="Q20543" s="183"/>
      <c r="R20543" s="183"/>
      <c r="S20543" s="183"/>
      <c r="AJ20543" s="183"/>
      <c r="AK20543" s="183"/>
      <c r="AL20543" s="183"/>
    </row>
    <row r="20544" spans="1:38">
      <c r="A20544" s="182"/>
      <c r="Q20544" s="183"/>
      <c r="R20544" s="183"/>
      <c r="S20544" s="183"/>
      <c r="AJ20544" s="183"/>
      <c r="AK20544" s="183"/>
      <c r="AL20544" s="183"/>
    </row>
    <row r="20545" spans="1:38">
      <c r="A20545" s="182"/>
      <c r="Q20545" s="183"/>
      <c r="R20545" s="183"/>
      <c r="S20545" s="183"/>
      <c r="AJ20545" s="183"/>
      <c r="AK20545" s="183"/>
      <c r="AL20545" s="183"/>
    </row>
    <row r="20546" spans="1:38">
      <c r="A20546" s="182"/>
      <c r="Q20546" s="183"/>
      <c r="R20546" s="183"/>
      <c r="S20546" s="183"/>
      <c r="AJ20546" s="183"/>
      <c r="AK20546" s="183"/>
      <c r="AL20546" s="183"/>
    </row>
    <row r="20547" spans="1:38">
      <c r="A20547" s="182"/>
      <c r="Q20547" s="183"/>
      <c r="R20547" s="183"/>
      <c r="S20547" s="183"/>
      <c r="AJ20547" s="183"/>
      <c r="AK20547" s="183"/>
      <c r="AL20547" s="183"/>
    </row>
    <row r="20548" spans="1:38">
      <c r="A20548" s="182"/>
      <c r="Q20548" s="183"/>
      <c r="R20548" s="183"/>
      <c r="S20548" s="183"/>
      <c r="AJ20548" s="183"/>
      <c r="AK20548" s="183"/>
      <c r="AL20548" s="183"/>
    </row>
    <row r="20549" spans="1:38">
      <c r="A20549" s="182"/>
      <c r="Q20549" s="183"/>
      <c r="R20549" s="183"/>
      <c r="S20549" s="183"/>
      <c r="AJ20549" s="183"/>
      <c r="AK20549" s="183"/>
      <c r="AL20549" s="183"/>
    </row>
    <row r="20550" spans="1:38">
      <c r="A20550" s="182"/>
      <c r="Q20550" s="183"/>
      <c r="R20550" s="183"/>
      <c r="S20550" s="183"/>
      <c r="AJ20550" s="183"/>
      <c r="AK20550" s="183"/>
      <c r="AL20550" s="183"/>
    </row>
    <row r="20551" spans="1:38">
      <c r="A20551" s="182"/>
      <c r="Q20551" s="183"/>
      <c r="R20551" s="183"/>
      <c r="S20551" s="183"/>
      <c r="AJ20551" s="183"/>
      <c r="AK20551" s="183"/>
      <c r="AL20551" s="183"/>
    </row>
    <row r="20552" spans="1:38">
      <c r="A20552" s="182"/>
      <c r="Q20552" s="183"/>
      <c r="R20552" s="183"/>
      <c r="S20552" s="183"/>
      <c r="AJ20552" s="183"/>
      <c r="AK20552" s="183"/>
      <c r="AL20552" s="183"/>
    </row>
    <row r="20553" spans="1:38">
      <c r="A20553" s="182"/>
      <c r="Q20553" s="183"/>
      <c r="R20553" s="183"/>
      <c r="S20553" s="183"/>
      <c r="AJ20553" s="183"/>
      <c r="AK20553" s="183"/>
      <c r="AL20553" s="183"/>
    </row>
    <row r="20554" spans="1:38">
      <c r="A20554" s="182"/>
      <c r="M20554" s="183"/>
      <c r="N20554" s="183"/>
      <c r="Q20554" s="183"/>
      <c r="R20554" s="183"/>
      <c r="S20554" s="183"/>
      <c r="AJ20554" s="183"/>
      <c r="AK20554" s="183"/>
      <c r="AL20554" s="183"/>
    </row>
    <row r="20555" spans="1:38">
      <c r="A20555" s="182"/>
      <c r="L20555" s="183"/>
      <c r="Q20555" s="183"/>
      <c r="R20555" s="183"/>
      <c r="S20555" s="183"/>
      <c r="AJ20555" s="183"/>
    </row>
    <row r="20556" spans="1:38">
      <c r="A20556" s="182"/>
      <c r="Q20556" s="183"/>
      <c r="R20556" s="183"/>
      <c r="S20556" s="183"/>
    </row>
    <row r="20557" spans="1:38">
      <c r="A20557" s="182"/>
      <c r="Q20557" s="183"/>
      <c r="R20557" s="183"/>
      <c r="S20557" s="183"/>
    </row>
    <row r="20558" spans="1:38">
      <c r="A20558" s="182"/>
      <c r="Q20558" s="183"/>
      <c r="R20558" s="183"/>
      <c r="S20558" s="183"/>
    </row>
    <row r="20559" spans="1:38">
      <c r="A20559" s="182"/>
      <c r="Q20559" s="183"/>
      <c r="R20559" s="183"/>
      <c r="S20559" s="183"/>
    </row>
    <row r="20560" spans="1:38">
      <c r="A20560" s="182"/>
      <c r="Q20560" s="183"/>
      <c r="R20560" s="183"/>
      <c r="S20560" s="183"/>
    </row>
    <row r="20561" spans="1:38">
      <c r="A20561" s="182"/>
      <c r="Q20561" s="183"/>
      <c r="R20561" s="183"/>
      <c r="S20561" s="183"/>
    </row>
    <row r="20562" spans="1:38">
      <c r="A20562" s="182"/>
      <c r="Q20562" s="183"/>
      <c r="R20562" s="183"/>
      <c r="S20562" s="183"/>
    </row>
    <row r="20563" spans="1:38">
      <c r="A20563" s="182"/>
      <c r="Q20563" s="183"/>
      <c r="R20563" s="183"/>
      <c r="S20563" s="183"/>
    </row>
    <row r="20564" spans="1:38">
      <c r="A20564" s="182"/>
      <c r="Q20564" s="183"/>
      <c r="R20564" s="183"/>
      <c r="S20564" s="183"/>
    </row>
    <row r="20565" spans="1:38">
      <c r="A20565" s="182"/>
      <c r="Q20565" s="183"/>
      <c r="R20565" s="183"/>
      <c r="S20565" s="183"/>
    </row>
    <row r="20566" spans="1:38">
      <c r="A20566" s="182"/>
      <c r="Q20566" s="183"/>
      <c r="R20566" s="183"/>
      <c r="S20566" s="183"/>
    </row>
    <row r="20567" spans="1:38">
      <c r="A20567" s="182"/>
      <c r="Q20567" s="183"/>
      <c r="R20567" s="183"/>
      <c r="S20567" s="183"/>
    </row>
    <row r="20568" spans="1:38">
      <c r="A20568" s="182"/>
      <c r="Q20568" s="183"/>
      <c r="R20568" s="183"/>
      <c r="S20568" s="183"/>
    </row>
    <row r="20569" spans="1:38">
      <c r="A20569" s="182"/>
      <c r="Q20569" s="183"/>
      <c r="R20569" s="183"/>
      <c r="S20569" s="183"/>
    </row>
    <row r="20570" spans="1:38">
      <c r="A20570" s="182"/>
      <c r="Q20570" s="183"/>
      <c r="R20570" s="183"/>
      <c r="S20570" s="183"/>
    </row>
    <row r="20571" spans="1:38">
      <c r="A20571" s="182"/>
      <c r="Q20571" s="183"/>
      <c r="R20571" s="183"/>
      <c r="S20571" s="183"/>
    </row>
    <row r="20572" spans="1:38">
      <c r="A20572" s="182"/>
      <c r="Q20572" s="183"/>
      <c r="R20572" s="183"/>
      <c r="S20572" s="183"/>
    </row>
    <row r="20573" spans="1:38">
      <c r="A20573" s="182"/>
      <c r="Q20573" s="183"/>
      <c r="R20573" s="183"/>
      <c r="S20573" s="183"/>
    </row>
    <row r="20574" spans="1:38">
      <c r="A20574" s="182"/>
      <c r="Q20574" s="183"/>
      <c r="R20574" s="183"/>
      <c r="S20574" s="183"/>
    </row>
    <row r="20575" spans="1:38">
      <c r="A20575" s="182"/>
      <c r="Q20575" s="183"/>
      <c r="R20575" s="183"/>
      <c r="S20575" s="183"/>
      <c r="AK20575" s="183"/>
      <c r="AL20575" s="183"/>
    </row>
    <row r="20576" spans="1:38">
      <c r="A20576" s="182"/>
      <c r="Q20576" s="183"/>
      <c r="R20576" s="183"/>
      <c r="S20576" s="183"/>
      <c r="AJ20576" s="183"/>
      <c r="AK20576" s="183"/>
      <c r="AL20576" s="183"/>
    </row>
    <row r="20577" spans="1:38">
      <c r="A20577" s="182"/>
      <c r="Q20577" s="183"/>
      <c r="R20577" s="183"/>
      <c r="S20577" s="183"/>
      <c r="AJ20577" s="183"/>
      <c r="AK20577" s="183"/>
      <c r="AL20577" s="183"/>
    </row>
    <row r="20578" spans="1:38">
      <c r="A20578" s="182"/>
      <c r="Q20578" s="183"/>
      <c r="R20578" s="183"/>
      <c r="S20578" s="183"/>
      <c r="AJ20578" s="183"/>
      <c r="AK20578" s="183"/>
      <c r="AL20578" s="183"/>
    </row>
    <row r="20579" spans="1:38">
      <c r="A20579" s="182"/>
      <c r="Q20579" s="183"/>
      <c r="R20579" s="183"/>
      <c r="S20579" s="183"/>
      <c r="AJ20579" s="183"/>
    </row>
    <row r="20580" spans="1:38">
      <c r="A20580" s="182"/>
      <c r="Q20580" s="183"/>
      <c r="R20580" s="183"/>
      <c r="S20580" s="183"/>
    </row>
    <row r="20581" spans="1:38">
      <c r="A20581" s="182"/>
      <c r="Q20581" s="183"/>
      <c r="R20581" s="183"/>
      <c r="S20581" s="183"/>
    </row>
    <row r="20582" spans="1:38">
      <c r="A20582" s="182"/>
      <c r="Q20582" s="183"/>
      <c r="R20582" s="183"/>
      <c r="S20582" s="183"/>
    </row>
    <row r="20583" spans="1:38">
      <c r="A20583" s="182"/>
      <c r="Q20583" s="183"/>
      <c r="R20583" s="183"/>
      <c r="S20583" s="183"/>
    </row>
    <row r="20584" spans="1:38">
      <c r="A20584" s="182"/>
      <c r="Q20584" s="183"/>
      <c r="R20584" s="183"/>
      <c r="S20584" s="183"/>
    </row>
    <row r="20585" spans="1:38">
      <c r="A20585" s="182"/>
      <c r="Q20585" s="183"/>
      <c r="R20585" s="183"/>
      <c r="S20585" s="183"/>
    </row>
    <row r="20586" spans="1:38">
      <c r="A20586" s="182"/>
      <c r="Q20586" s="183"/>
      <c r="R20586" s="183"/>
      <c r="S20586" s="183"/>
    </row>
    <row r="20587" spans="1:38">
      <c r="A20587" s="182"/>
      <c r="Q20587" s="183"/>
      <c r="R20587" s="183"/>
      <c r="S20587" s="183"/>
      <c r="AK20587" s="183"/>
      <c r="AL20587" s="183"/>
    </row>
    <row r="20588" spans="1:38">
      <c r="A20588" s="182"/>
      <c r="Q20588" s="183"/>
      <c r="R20588" s="183"/>
      <c r="S20588" s="183"/>
      <c r="AJ20588" s="183"/>
      <c r="AK20588" s="183"/>
      <c r="AL20588" s="183"/>
    </row>
    <row r="20589" spans="1:38">
      <c r="A20589" s="182"/>
      <c r="Q20589" s="183"/>
      <c r="R20589" s="183"/>
      <c r="S20589" s="183"/>
      <c r="AJ20589" s="183"/>
      <c r="AK20589" s="183"/>
      <c r="AL20589" s="183"/>
    </row>
    <row r="20590" spans="1:38">
      <c r="A20590" s="182"/>
      <c r="Q20590" s="183"/>
      <c r="R20590" s="183"/>
      <c r="S20590" s="183"/>
      <c r="AJ20590" s="183"/>
      <c r="AK20590" s="183"/>
      <c r="AL20590" s="183"/>
    </row>
    <row r="20591" spans="1:38">
      <c r="A20591" s="182"/>
      <c r="Q20591" s="183"/>
      <c r="R20591" s="183"/>
      <c r="S20591" s="183"/>
      <c r="AJ20591" s="183"/>
      <c r="AK20591" s="183"/>
      <c r="AL20591" s="183"/>
    </row>
    <row r="20592" spans="1:38">
      <c r="A20592" s="182"/>
      <c r="Q20592" s="183"/>
      <c r="R20592" s="183"/>
      <c r="S20592" s="183"/>
      <c r="AJ20592" s="183"/>
      <c r="AK20592" s="183"/>
      <c r="AL20592" s="183"/>
    </row>
    <row r="20593" spans="1:38">
      <c r="A20593" s="182"/>
      <c r="Q20593" s="183"/>
      <c r="R20593" s="183"/>
      <c r="S20593" s="183"/>
      <c r="AJ20593" s="183"/>
      <c r="AK20593" s="183"/>
      <c r="AL20593" s="183"/>
    </row>
    <row r="20594" spans="1:38">
      <c r="A20594" s="182"/>
      <c r="Q20594" s="183"/>
      <c r="R20594" s="183"/>
      <c r="S20594" s="183"/>
      <c r="AJ20594" s="183"/>
      <c r="AK20594" s="183"/>
      <c r="AL20594" s="183"/>
    </row>
    <row r="20595" spans="1:38">
      <c r="A20595" s="182"/>
      <c r="Q20595" s="183"/>
      <c r="R20595" s="183"/>
      <c r="S20595" s="183"/>
      <c r="AJ20595" s="183"/>
    </row>
    <row r="20596" spans="1:38">
      <c r="A20596" s="182"/>
      <c r="Q20596" s="183"/>
      <c r="R20596" s="183"/>
      <c r="S20596" s="183"/>
    </row>
    <row r="20597" spans="1:38">
      <c r="A20597" s="182"/>
      <c r="Q20597" s="183"/>
      <c r="R20597" s="183"/>
      <c r="S20597" s="183"/>
    </row>
    <row r="20598" spans="1:38">
      <c r="A20598" s="182"/>
      <c r="Q20598" s="183"/>
      <c r="R20598" s="183"/>
      <c r="S20598" s="183"/>
    </row>
    <row r="20599" spans="1:38">
      <c r="A20599" s="182"/>
      <c r="Q20599" s="183"/>
      <c r="R20599" s="183"/>
      <c r="S20599" s="183"/>
    </row>
    <row r="20600" spans="1:38">
      <c r="A20600" s="182"/>
      <c r="Q20600" s="183"/>
      <c r="R20600" s="183"/>
      <c r="S20600" s="183"/>
    </row>
    <row r="20601" spans="1:38">
      <c r="A20601" s="182"/>
      <c r="Q20601" s="183"/>
      <c r="R20601" s="183"/>
      <c r="S20601" s="183"/>
    </row>
    <row r="20602" spans="1:38">
      <c r="A20602" s="182"/>
      <c r="Q20602" s="183"/>
      <c r="R20602" s="183"/>
      <c r="S20602" s="183"/>
    </row>
    <row r="20603" spans="1:38">
      <c r="A20603" s="182"/>
      <c r="Q20603" s="183"/>
      <c r="R20603" s="183"/>
      <c r="S20603" s="183"/>
    </row>
    <row r="20604" spans="1:38">
      <c r="A20604" s="182"/>
      <c r="Q20604" s="183"/>
      <c r="R20604" s="183"/>
      <c r="S20604" s="183"/>
    </row>
    <row r="20605" spans="1:38">
      <c r="A20605" s="182"/>
      <c r="Q20605" s="183"/>
      <c r="R20605" s="183"/>
      <c r="S20605" s="183"/>
    </row>
    <row r="20606" spans="1:38">
      <c r="A20606" s="182"/>
      <c r="Q20606" s="183"/>
      <c r="R20606" s="183"/>
      <c r="S20606" s="183"/>
    </row>
    <row r="20607" spans="1:38">
      <c r="A20607" s="182"/>
      <c r="Q20607" s="183"/>
      <c r="R20607" s="183"/>
      <c r="S20607" s="183"/>
      <c r="AK20607" s="183"/>
      <c r="AL20607" s="183"/>
    </row>
    <row r="20608" spans="1:38">
      <c r="A20608" s="182"/>
      <c r="Q20608" s="183"/>
      <c r="R20608" s="183"/>
      <c r="S20608" s="183"/>
      <c r="AJ20608" s="183"/>
      <c r="AK20608" s="183"/>
      <c r="AL20608" s="183"/>
    </row>
    <row r="20609" spans="1:38">
      <c r="A20609" s="182"/>
      <c r="Q20609" s="183"/>
      <c r="R20609" s="183"/>
      <c r="S20609" s="183"/>
      <c r="AJ20609" s="183"/>
      <c r="AK20609" s="183"/>
      <c r="AL20609" s="183"/>
    </row>
    <row r="20610" spans="1:38">
      <c r="A20610" s="182"/>
      <c r="Q20610" s="183"/>
      <c r="R20610" s="183"/>
      <c r="S20610" s="183"/>
      <c r="AJ20610" s="183"/>
      <c r="AK20610" s="183"/>
      <c r="AL20610" s="183"/>
    </row>
    <row r="20611" spans="1:38">
      <c r="A20611" s="182"/>
      <c r="Q20611" s="183"/>
      <c r="R20611" s="183"/>
      <c r="S20611" s="183"/>
      <c r="AJ20611" s="183"/>
    </row>
    <row r="20612" spans="1:38">
      <c r="A20612" s="182"/>
      <c r="Q20612" s="183"/>
      <c r="R20612" s="183"/>
      <c r="S20612" s="183"/>
    </row>
    <row r="20613" spans="1:38">
      <c r="A20613" s="182"/>
      <c r="Q20613" s="183"/>
      <c r="R20613" s="183"/>
      <c r="S20613" s="183"/>
    </row>
    <row r="20614" spans="1:38">
      <c r="A20614" s="182"/>
      <c r="Q20614" s="183"/>
      <c r="R20614" s="183"/>
      <c r="S20614" s="183"/>
    </row>
    <row r="20615" spans="1:38">
      <c r="A20615" s="182"/>
      <c r="Q20615" s="183"/>
      <c r="R20615" s="183"/>
      <c r="S20615" s="183"/>
    </row>
    <row r="20616" spans="1:38">
      <c r="A20616" s="182"/>
      <c r="Q20616" s="183"/>
      <c r="R20616" s="183"/>
      <c r="S20616" s="183"/>
    </row>
    <row r="20617" spans="1:38">
      <c r="A20617" s="182"/>
      <c r="Q20617" s="183"/>
      <c r="R20617" s="183"/>
      <c r="S20617" s="183"/>
    </row>
    <row r="20618" spans="1:38">
      <c r="A20618" s="182"/>
      <c r="Q20618" s="183"/>
      <c r="R20618" s="183"/>
      <c r="S20618" s="183"/>
    </row>
    <row r="20619" spans="1:38">
      <c r="A20619" s="182"/>
      <c r="Q20619" s="183"/>
      <c r="R20619" s="183"/>
      <c r="S20619" s="183"/>
      <c r="AK20619" s="183"/>
      <c r="AL20619" s="183"/>
    </row>
    <row r="20620" spans="1:38">
      <c r="A20620" s="182"/>
      <c r="Q20620" s="183"/>
      <c r="R20620" s="183"/>
      <c r="S20620" s="183"/>
      <c r="AJ20620" s="183"/>
      <c r="AK20620" s="183"/>
      <c r="AL20620" s="183"/>
    </row>
    <row r="20621" spans="1:38">
      <c r="A20621" s="182"/>
      <c r="Q20621" s="183"/>
      <c r="R20621" s="183"/>
      <c r="S20621" s="183"/>
      <c r="AJ20621" s="183"/>
      <c r="AK20621" s="183"/>
      <c r="AL20621" s="183"/>
    </row>
    <row r="20622" spans="1:38">
      <c r="A20622" s="182"/>
      <c r="Q20622" s="183"/>
      <c r="R20622" s="183"/>
      <c r="S20622" s="183"/>
      <c r="AJ20622" s="183"/>
      <c r="AK20622" s="183"/>
      <c r="AL20622" s="183"/>
    </row>
    <row r="20623" spans="1:38">
      <c r="A20623" s="182"/>
      <c r="Q20623" s="183"/>
      <c r="R20623" s="183"/>
      <c r="S20623" s="183"/>
      <c r="AJ20623" s="183"/>
    </row>
    <row r="20624" spans="1:38">
      <c r="A20624" s="182"/>
      <c r="Q20624" s="183"/>
      <c r="R20624" s="183"/>
      <c r="S20624" s="183"/>
    </row>
    <row r="20625" spans="1:38">
      <c r="A20625" s="182"/>
      <c r="Q20625" s="183"/>
      <c r="R20625" s="183"/>
      <c r="S20625" s="183"/>
    </row>
    <row r="20626" spans="1:38">
      <c r="A20626" s="182"/>
      <c r="Q20626" s="183"/>
      <c r="R20626" s="183"/>
      <c r="S20626" s="183"/>
    </row>
    <row r="20627" spans="1:38">
      <c r="A20627" s="182"/>
      <c r="Q20627" s="183"/>
      <c r="R20627" s="183"/>
      <c r="S20627" s="183"/>
      <c r="AK20627" s="183"/>
      <c r="AL20627" s="183"/>
    </row>
    <row r="20628" spans="1:38">
      <c r="A20628" s="182"/>
      <c r="Q20628" s="183"/>
      <c r="R20628" s="183"/>
      <c r="S20628" s="183"/>
      <c r="AJ20628" s="183"/>
      <c r="AK20628" s="183"/>
      <c r="AL20628" s="183"/>
    </row>
    <row r="20629" spans="1:38">
      <c r="A20629" s="182"/>
      <c r="Q20629" s="183"/>
      <c r="R20629" s="183"/>
      <c r="S20629" s="183"/>
      <c r="AJ20629" s="183"/>
      <c r="AK20629" s="183"/>
      <c r="AL20629" s="183"/>
    </row>
    <row r="20630" spans="1:38">
      <c r="A20630" s="182"/>
      <c r="Q20630" s="183"/>
      <c r="R20630" s="183"/>
      <c r="S20630" s="183"/>
      <c r="AJ20630" s="183"/>
      <c r="AK20630" s="183"/>
      <c r="AL20630" s="183"/>
    </row>
    <row r="20631" spans="1:38">
      <c r="A20631" s="182"/>
      <c r="Q20631" s="183"/>
      <c r="R20631" s="183"/>
      <c r="S20631" s="183"/>
      <c r="AJ20631" s="183"/>
    </row>
    <row r="20632" spans="1:38">
      <c r="A20632" s="182"/>
      <c r="Q20632" s="183"/>
      <c r="R20632" s="183"/>
      <c r="S20632" s="183"/>
    </row>
    <row r="20633" spans="1:38">
      <c r="A20633" s="182"/>
      <c r="Q20633" s="183"/>
      <c r="R20633" s="183"/>
      <c r="S20633" s="183"/>
    </row>
    <row r="20634" spans="1:38">
      <c r="A20634" s="182"/>
      <c r="Q20634" s="183"/>
      <c r="R20634" s="183"/>
      <c r="S20634" s="183"/>
    </row>
    <row r="20635" spans="1:38">
      <c r="A20635" s="182"/>
      <c r="Q20635" s="183"/>
      <c r="R20635" s="183"/>
      <c r="S20635" s="183"/>
    </row>
    <row r="20636" spans="1:38">
      <c r="A20636" s="182"/>
      <c r="Q20636" s="183"/>
      <c r="R20636" s="183"/>
      <c r="S20636" s="183"/>
    </row>
    <row r="20637" spans="1:38">
      <c r="A20637" s="182"/>
      <c r="Q20637" s="183"/>
      <c r="R20637" s="183"/>
      <c r="S20637" s="183"/>
    </row>
    <row r="20638" spans="1:38">
      <c r="A20638" s="182"/>
      <c r="Q20638" s="183"/>
      <c r="R20638" s="183"/>
      <c r="S20638" s="183"/>
    </row>
    <row r="20639" spans="1:38">
      <c r="A20639" s="182"/>
      <c r="Q20639" s="183"/>
      <c r="R20639" s="183"/>
      <c r="S20639" s="183"/>
    </row>
    <row r="20640" spans="1:38">
      <c r="A20640" s="182"/>
      <c r="Q20640" s="183"/>
      <c r="R20640" s="183"/>
      <c r="S20640" s="183"/>
    </row>
    <row r="20641" spans="1:38">
      <c r="A20641" s="182"/>
      <c r="Q20641" s="183"/>
      <c r="R20641" s="183"/>
      <c r="S20641" s="183"/>
    </row>
    <row r="20642" spans="1:38">
      <c r="A20642" s="182"/>
      <c r="Q20642" s="183"/>
      <c r="R20642" s="183"/>
      <c r="S20642" s="183"/>
    </row>
    <row r="20643" spans="1:38">
      <c r="A20643" s="182"/>
      <c r="Q20643" s="183"/>
      <c r="R20643" s="183"/>
      <c r="S20643" s="183"/>
    </row>
    <row r="20644" spans="1:38">
      <c r="A20644" s="182"/>
      <c r="Q20644" s="183"/>
      <c r="R20644" s="183"/>
      <c r="S20644" s="183"/>
    </row>
    <row r="20645" spans="1:38">
      <c r="A20645" s="182"/>
      <c r="Q20645" s="183"/>
      <c r="R20645" s="183"/>
      <c r="S20645" s="183"/>
    </row>
    <row r="20646" spans="1:38">
      <c r="A20646" s="182"/>
      <c r="Q20646" s="183"/>
      <c r="R20646" s="183"/>
      <c r="S20646" s="183"/>
    </row>
    <row r="20647" spans="1:38">
      <c r="A20647" s="182"/>
      <c r="Q20647" s="183"/>
      <c r="R20647" s="183"/>
      <c r="S20647" s="183"/>
      <c r="AK20647" s="183"/>
      <c r="AL20647" s="183"/>
    </row>
    <row r="20648" spans="1:38">
      <c r="A20648" s="182"/>
      <c r="Q20648" s="183"/>
      <c r="R20648" s="183"/>
      <c r="S20648" s="183"/>
      <c r="AJ20648" s="183"/>
      <c r="AK20648" s="183"/>
      <c r="AL20648" s="183"/>
    </row>
    <row r="20649" spans="1:38">
      <c r="A20649" s="182"/>
      <c r="Q20649" s="183"/>
      <c r="R20649" s="183"/>
      <c r="S20649" s="183"/>
      <c r="AJ20649" s="183"/>
      <c r="AK20649" s="183"/>
      <c r="AL20649" s="183"/>
    </row>
    <row r="20650" spans="1:38">
      <c r="A20650" s="182"/>
      <c r="Q20650" s="183"/>
      <c r="R20650" s="183"/>
      <c r="S20650" s="183"/>
      <c r="AJ20650" s="183"/>
      <c r="AK20650" s="183"/>
      <c r="AL20650" s="183"/>
    </row>
    <row r="20651" spans="1:38">
      <c r="A20651" s="182"/>
      <c r="Q20651" s="183"/>
      <c r="R20651" s="183"/>
      <c r="S20651" s="183"/>
      <c r="AJ20651" s="183"/>
      <c r="AK20651" s="183"/>
      <c r="AL20651" s="183"/>
    </row>
    <row r="20652" spans="1:38">
      <c r="A20652" s="182"/>
      <c r="Q20652" s="183"/>
      <c r="R20652" s="183"/>
      <c r="S20652" s="183"/>
      <c r="AJ20652" s="183"/>
      <c r="AK20652" s="183"/>
      <c r="AL20652" s="183"/>
    </row>
    <row r="20653" spans="1:38">
      <c r="A20653" s="182"/>
      <c r="Q20653" s="183"/>
      <c r="R20653" s="183"/>
      <c r="S20653" s="183"/>
      <c r="AJ20653" s="183"/>
      <c r="AK20653" s="183"/>
      <c r="AL20653" s="183"/>
    </row>
    <row r="20654" spans="1:38">
      <c r="A20654" s="182"/>
      <c r="Q20654" s="183"/>
      <c r="R20654" s="183"/>
      <c r="S20654" s="183"/>
      <c r="AJ20654" s="183"/>
      <c r="AK20654" s="183"/>
      <c r="AL20654" s="183"/>
    </row>
    <row r="20655" spans="1:38">
      <c r="A20655" s="182"/>
      <c r="Q20655" s="183"/>
      <c r="R20655" s="183"/>
      <c r="S20655" s="183"/>
      <c r="AJ20655" s="183"/>
    </row>
    <row r="20656" spans="1:38">
      <c r="A20656" s="182"/>
      <c r="Q20656" s="183"/>
      <c r="R20656" s="183"/>
      <c r="S20656" s="183"/>
    </row>
    <row r="20657" spans="1:38">
      <c r="A20657" s="182"/>
      <c r="Q20657" s="183"/>
      <c r="R20657" s="183"/>
      <c r="S20657" s="183"/>
    </row>
    <row r="20658" spans="1:38">
      <c r="A20658" s="182"/>
      <c r="Q20658" s="183"/>
      <c r="R20658" s="183"/>
      <c r="S20658" s="183"/>
    </row>
    <row r="20659" spans="1:38">
      <c r="A20659" s="182"/>
      <c r="Q20659" s="183"/>
      <c r="R20659" s="183"/>
      <c r="S20659" s="183"/>
      <c r="AK20659" s="183"/>
      <c r="AL20659" s="183"/>
    </row>
    <row r="20660" spans="1:38">
      <c r="A20660" s="182"/>
      <c r="Q20660" s="183"/>
      <c r="R20660" s="183"/>
      <c r="S20660" s="183"/>
      <c r="AJ20660" s="183"/>
      <c r="AK20660" s="183"/>
      <c r="AL20660" s="183"/>
    </row>
    <row r="20661" spans="1:38">
      <c r="A20661" s="182"/>
      <c r="Q20661" s="183"/>
      <c r="R20661" s="183"/>
      <c r="S20661" s="183"/>
      <c r="AJ20661" s="183"/>
      <c r="AK20661" s="183"/>
      <c r="AL20661" s="183"/>
    </row>
    <row r="20662" spans="1:38">
      <c r="A20662" s="182"/>
      <c r="Q20662" s="183"/>
      <c r="R20662" s="183"/>
      <c r="S20662" s="183"/>
      <c r="AJ20662" s="183"/>
      <c r="AK20662" s="183"/>
      <c r="AL20662" s="183"/>
    </row>
    <row r="20663" spans="1:38">
      <c r="A20663" s="182"/>
      <c r="Q20663" s="183"/>
      <c r="R20663" s="183"/>
      <c r="S20663" s="183"/>
      <c r="AJ20663" s="183"/>
      <c r="AK20663" s="183"/>
      <c r="AL20663" s="183"/>
    </row>
    <row r="20664" spans="1:38">
      <c r="A20664" s="182"/>
      <c r="Q20664" s="183"/>
      <c r="R20664" s="183"/>
      <c r="S20664" s="183"/>
      <c r="AJ20664" s="183"/>
      <c r="AK20664" s="183"/>
      <c r="AL20664" s="183"/>
    </row>
    <row r="20665" spans="1:38">
      <c r="A20665" s="182"/>
      <c r="Q20665" s="183"/>
      <c r="R20665" s="183"/>
      <c r="S20665" s="183"/>
      <c r="AJ20665" s="183"/>
      <c r="AK20665" s="183"/>
      <c r="AL20665" s="183"/>
    </row>
    <row r="20666" spans="1:38">
      <c r="A20666" s="182"/>
      <c r="Q20666" s="183"/>
      <c r="R20666" s="183"/>
      <c r="S20666" s="183"/>
      <c r="AJ20666" s="183"/>
      <c r="AK20666" s="183"/>
      <c r="AL20666" s="183"/>
    </row>
    <row r="20667" spans="1:38">
      <c r="A20667" s="182"/>
      <c r="Q20667" s="183"/>
      <c r="R20667" s="183"/>
      <c r="S20667" s="183"/>
      <c r="AJ20667" s="183"/>
    </row>
    <row r="20668" spans="1:38">
      <c r="A20668" s="182"/>
      <c r="Q20668" s="183"/>
      <c r="R20668" s="183"/>
      <c r="S20668" s="183"/>
    </row>
    <row r="20669" spans="1:38">
      <c r="A20669" s="182"/>
      <c r="Q20669" s="183"/>
      <c r="R20669" s="183"/>
      <c r="S20669" s="183"/>
    </row>
    <row r="20670" spans="1:38">
      <c r="A20670" s="182"/>
      <c r="Q20670" s="183"/>
      <c r="R20670" s="183"/>
      <c r="S20670" s="183"/>
    </row>
    <row r="20671" spans="1:38">
      <c r="A20671" s="182"/>
      <c r="Q20671" s="183"/>
      <c r="R20671" s="183"/>
      <c r="S20671" s="183"/>
    </row>
    <row r="20672" spans="1:38">
      <c r="A20672" s="182"/>
      <c r="Q20672" s="183"/>
      <c r="R20672" s="183"/>
      <c r="S20672" s="183"/>
    </row>
    <row r="20673" spans="1:38">
      <c r="A20673" s="182"/>
      <c r="Q20673" s="183"/>
      <c r="R20673" s="183"/>
      <c r="S20673" s="183"/>
    </row>
    <row r="20674" spans="1:38">
      <c r="A20674" s="182"/>
      <c r="Q20674" s="183"/>
      <c r="R20674" s="183"/>
      <c r="S20674" s="183"/>
    </row>
    <row r="20675" spans="1:38">
      <c r="A20675" s="182"/>
      <c r="Q20675" s="183"/>
      <c r="R20675" s="183"/>
      <c r="S20675" s="183"/>
      <c r="AK20675" s="183"/>
      <c r="AL20675" s="183"/>
    </row>
    <row r="20676" spans="1:38">
      <c r="A20676" s="182"/>
      <c r="Q20676" s="183"/>
      <c r="R20676" s="183"/>
      <c r="S20676" s="183"/>
      <c r="AJ20676" s="183"/>
      <c r="AK20676" s="183"/>
      <c r="AL20676" s="183"/>
    </row>
    <row r="20677" spans="1:38">
      <c r="A20677" s="182"/>
      <c r="Q20677" s="183"/>
      <c r="R20677" s="183"/>
      <c r="S20677" s="183"/>
      <c r="AJ20677" s="183"/>
      <c r="AK20677" s="183"/>
      <c r="AL20677" s="183"/>
    </row>
    <row r="20678" spans="1:38">
      <c r="A20678" s="182"/>
      <c r="Q20678" s="183"/>
      <c r="R20678" s="183"/>
      <c r="S20678" s="183"/>
      <c r="AJ20678" s="183"/>
      <c r="AK20678" s="183"/>
      <c r="AL20678" s="183"/>
    </row>
    <row r="20679" spans="1:38">
      <c r="A20679" s="182"/>
      <c r="Q20679" s="183"/>
      <c r="R20679" s="183"/>
      <c r="S20679" s="183"/>
      <c r="AJ20679" s="183"/>
      <c r="AK20679" s="183"/>
      <c r="AL20679" s="183"/>
    </row>
    <row r="20680" spans="1:38">
      <c r="A20680" s="182"/>
      <c r="Q20680" s="183"/>
      <c r="R20680" s="183"/>
      <c r="S20680" s="183"/>
      <c r="AJ20680" s="183"/>
      <c r="AK20680" s="183"/>
      <c r="AL20680" s="183"/>
    </row>
    <row r="20681" spans="1:38">
      <c r="A20681" s="182"/>
      <c r="Q20681" s="183"/>
      <c r="R20681" s="183"/>
      <c r="S20681" s="183"/>
      <c r="AJ20681" s="183"/>
      <c r="AK20681" s="183"/>
      <c r="AL20681" s="183"/>
    </row>
    <row r="20682" spans="1:38">
      <c r="A20682" s="182"/>
      <c r="Q20682" s="183"/>
      <c r="R20682" s="183"/>
      <c r="S20682" s="183"/>
      <c r="AJ20682" s="183"/>
      <c r="AK20682" s="183"/>
      <c r="AL20682" s="183"/>
    </row>
    <row r="20683" spans="1:38">
      <c r="A20683" s="182"/>
      <c r="Q20683" s="183"/>
      <c r="R20683" s="183"/>
      <c r="S20683" s="183"/>
      <c r="AJ20683" s="183"/>
      <c r="AK20683" s="183"/>
      <c r="AL20683" s="183"/>
    </row>
    <row r="20684" spans="1:38">
      <c r="A20684" s="182"/>
      <c r="Q20684" s="183"/>
      <c r="R20684" s="183"/>
      <c r="S20684" s="183"/>
      <c r="AJ20684" s="183"/>
      <c r="AK20684" s="183"/>
      <c r="AL20684" s="183"/>
    </row>
    <row r="20685" spans="1:38">
      <c r="A20685" s="182"/>
      <c r="Q20685" s="183"/>
      <c r="R20685" s="183"/>
      <c r="S20685" s="183"/>
      <c r="AJ20685" s="183"/>
      <c r="AK20685" s="183"/>
      <c r="AL20685" s="183"/>
    </row>
    <row r="20686" spans="1:38">
      <c r="A20686" s="182"/>
      <c r="Q20686" s="183"/>
      <c r="R20686" s="183"/>
      <c r="S20686" s="183"/>
      <c r="AJ20686" s="183"/>
      <c r="AK20686" s="183"/>
      <c r="AL20686" s="183"/>
    </row>
    <row r="20687" spans="1:38">
      <c r="A20687" s="182"/>
      <c r="Q20687" s="183"/>
      <c r="R20687" s="183"/>
      <c r="S20687" s="183"/>
      <c r="AJ20687" s="183"/>
      <c r="AK20687" s="183"/>
      <c r="AL20687" s="183"/>
    </row>
    <row r="20688" spans="1:38">
      <c r="A20688" s="182"/>
      <c r="Q20688" s="183"/>
      <c r="R20688" s="183"/>
      <c r="S20688" s="183"/>
      <c r="AJ20688" s="183"/>
      <c r="AK20688" s="183"/>
      <c r="AL20688" s="183"/>
    </row>
    <row r="20689" spans="1:38">
      <c r="A20689" s="182"/>
      <c r="Q20689" s="183"/>
      <c r="R20689" s="183"/>
      <c r="S20689" s="183"/>
      <c r="AJ20689" s="183"/>
      <c r="AK20689" s="183"/>
      <c r="AL20689" s="183"/>
    </row>
    <row r="20690" spans="1:38">
      <c r="A20690" s="182"/>
      <c r="Q20690" s="183"/>
      <c r="R20690" s="183"/>
      <c r="S20690" s="183"/>
      <c r="AJ20690" s="183"/>
      <c r="AK20690" s="183"/>
      <c r="AL20690" s="183"/>
    </row>
    <row r="20691" spans="1:38">
      <c r="A20691" s="182"/>
      <c r="Q20691" s="183"/>
      <c r="R20691" s="183"/>
      <c r="S20691" s="183"/>
      <c r="AJ20691" s="183"/>
    </row>
    <row r="20692" spans="1:38">
      <c r="A20692" s="182"/>
      <c r="Q20692" s="183"/>
      <c r="R20692" s="183"/>
      <c r="S20692" s="183"/>
    </row>
    <row r="20693" spans="1:38">
      <c r="A20693" s="182"/>
      <c r="Q20693" s="183"/>
      <c r="R20693" s="183"/>
      <c r="S20693" s="183"/>
    </row>
    <row r="20694" spans="1:38">
      <c r="A20694" s="182"/>
      <c r="Q20694" s="183"/>
      <c r="R20694" s="183"/>
      <c r="S20694" s="183"/>
    </row>
    <row r="20695" spans="1:38">
      <c r="A20695" s="182"/>
      <c r="Q20695" s="183"/>
      <c r="R20695" s="183"/>
      <c r="S20695" s="183"/>
    </row>
    <row r="20696" spans="1:38">
      <c r="A20696" s="182"/>
      <c r="Q20696" s="183"/>
      <c r="R20696" s="183"/>
      <c r="S20696" s="183"/>
    </row>
    <row r="20697" spans="1:38">
      <c r="A20697" s="182"/>
      <c r="Q20697" s="183"/>
      <c r="R20697" s="183"/>
      <c r="S20697" s="183"/>
    </row>
    <row r="20698" spans="1:38">
      <c r="A20698" s="182"/>
      <c r="Q20698" s="183"/>
      <c r="R20698" s="183"/>
      <c r="S20698" s="183"/>
    </row>
    <row r="20699" spans="1:38">
      <c r="A20699" s="182"/>
      <c r="Q20699" s="183"/>
      <c r="R20699" s="183"/>
      <c r="S20699" s="183"/>
    </row>
    <row r="20700" spans="1:38">
      <c r="A20700" s="182"/>
      <c r="Q20700" s="183"/>
      <c r="R20700" s="183"/>
      <c r="S20700" s="183"/>
    </row>
    <row r="20701" spans="1:38">
      <c r="A20701" s="182"/>
      <c r="Q20701" s="183"/>
      <c r="R20701" s="183"/>
      <c r="S20701" s="183"/>
    </row>
    <row r="20702" spans="1:38">
      <c r="A20702" s="182"/>
      <c r="Q20702" s="183"/>
      <c r="R20702" s="183"/>
      <c r="S20702" s="183"/>
    </row>
    <row r="20703" spans="1:38">
      <c r="A20703" s="182"/>
      <c r="Q20703" s="183"/>
      <c r="R20703" s="183"/>
      <c r="S20703" s="183"/>
      <c r="AK20703" s="183"/>
      <c r="AL20703" s="183"/>
    </row>
    <row r="20704" spans="1:38">
      <c r="A20704" s="182"/>
      <c r="Q20704" s="183"/>
      <c r="R20704" s="183"/>
      <c r="S20704" s="183"/>
      <c r="AJ20704" s="183"/>
      <c r="AK20704" s="183"/>
      <c r="AL20704" s="183"/>
    </row>
    <row r="20705" spans="1:38">
      <c r="A20705" s="182"/>
      <c r="Q20705" s="183"/>
      <c r="R20705" s="183"/>
      <c r="S20705" s="183"/>
      <c r="AJ20705" s="183"/>
      <c r="AK20705" s="183"/>
      <c r="AL20705" s="183"/>
    </row>
    <row r="20706" spans="1:38">
      <c r="A20706" s="182"/>
      <c r="Q20706" s="183"/>
      <c r="R20706" s="183"/>
      <c r="S20706" s="183"/>
      <c r="AJ20706" s="183"/>
      <c r="AK20706" s="183"/>
      <c r="AL20706" s="183"/>
    </row>
    <row r="20707" spans="1:38">
      <c r="A20707" s="182"/>
      <c r="Q20707" s="183"/>
      <c r="R20707" s="183"/>
      <c r="S20707" s="183"/>
      <c r="AJ20707" s="183"/>
    </row>
    <row r="20708" spans="1:38">
      <c r="A20708" s="182"/>
      <c r="Q20708" s="183"/>
      <c r="R20708" s="183"/>
      <c r="S20708" s="183"/>
    </row>
    <row r="20709" spans="1:38">
      <c r="A20709" s="182"/>
      <c r="Q20709" s="183"/>
      <c r="R20709" s="183"/>
      <c r="S20709" s="183"/>
    </row>
    <row r="20710" spans="1:38">
      <c r="A20710" s="182"/>
      <c r="Q20710" s="183"/>
      <c r="R20710" s="183"/>
      <c r="S20710" s="183"/>
    </row>
    <row r="20711" spans="1:38">
      <c r="A20711" s="182"/>
      <c r="Q20711" s="183"/>
      <c r="R20711" s="183"/>
      <c r="S20711" s="183"/>
      <c r="AK20711" s="183"/>
      <c r="AL20711" s="183"/>
    </row>
    <row r="20712" spans="1:38">
      <c r="A20712" s="182"/>
      <c r="Q20712" s="183"/>
      <c r="R20712" s="183"/>
      <c r="S20712" s="183"/>
      <c r="AJ20712" s="183"/>
      <c r="AK20712" s="183"/>
      <c r="AL20712" s="183"/>
    </row>
    <row r="20713" spans="1:38">
      <c r="A20713" s="182"/>
      <c r="Q20713" s="183"/>
      <c r="R20713" s="183"/>
      <c r="S20713" s="183"/>
      <c r="AJ20713" s="183"/>
      <c r="AK20713" s="183"/>
      <c r="AL20713" s="183"/>
    </row>
    <row r="20714" spans="1:38">
      <c r="A20714" s="182"/>
      <c r="Q20714" s="183"/>
      <c r="R20714" s="183"/>
      <c r="S20714" s="183"/>
      <c r="AJ20714" s="183"/>
      <c r="AK20714" s="183"/>
      <c r="AL20714" s="183"/>
    </row>
    <row r="20715" spans="1:38">
      <c r="A20715" s="182"/>
      <c r="Q20715" s="183"/>
      <c r="R20715" s="183"/>
      <c r="S20715" s="183"/>
      <c r="AJ20715" s="183"/>
    </row>
    <row r="20716" spans="1:38">
      <c r="A20716" s="182"/>
      <c r="Q20716" s="183"/>
      <c r="R20716" s="183"/>
      <c r="S20716" s="183"/>
    </row>
    <row r="20717" spans="1:38">
      <c r="A20717" s="182"/>
      <c r="Q20717" s="183"/>
      <c r="R20717" s="183"/>
      <c r="S20717" s="183"/>
    </row>
    <row r="20718" spans="1:38">
      <c r="A20718" s="182"/>
      <c r="Q20718" s="183"/>
      <c r="R20718" s="183"/>
      <c r="S20718" s="183"/>
    </row>
    <row r="20719" spans="1:38">
      <c r="A20719" s="182"/>
      <c r="Q20719" s="183"/>
      <c r="R20719" s="183"/>
      <c r="S20719" s="183"/>
    </row>
    <row r="20720" spans="1:38">
      <c r="A20720" s="182"/>
      <c r="Q20720" s="183"/>
      <c r="R20720" s="183"/>
      <c r="S20720" s="183"/>
    </row>
    <row r="20721" spans="1:38">
      <c r="A20721" s="182"/>
      <c r="Q20721" s="183"/>
      <c r="R20721" s="183"/>
      <c r="S20721" s="183"/>
    </row>
    <row r="20722" spans="1:38">
      <c r="A20722" s="182"/>
      <c r="Q20722" s="183"/>
      <c r="R20722" s="183"/>
      <c r="S20722" s="183"/>
    </row>
    <row r="20723" spans="1:38">
      <c r="A20723" s="182"/>
      <c r="Q20723" s="183"/>
      <c r="R20723" s="183"/>
      <c r="S20723" s="183"/>
      <c r="AK20723" s="183"/>
      <c r="AL20723" s="183"/>
    </row>
    <row r="20724" spans="1:38">
      <c r="A20724" s="182"/>
      <c r="Q20724" s="183"/>
      <c r="R20724" s="183"/>
      <c r="S20724" s="183"/>
      <c r="AJ20724" s="183"/>
      <c r="AK20724" s="183"/>
      <c r="AL20724" s="183"/>
    </row>
    <row r="20725" spans="1:38">
      <c r="A20725" s="182"/>
      <c r="Q20725" s="183"/>
      <c r="R20725" s="183"/>
      <c r="S20725" s="183"/>
      <c r="AJ20725" s="183"/>
      <c r="AK20725" s="183"/>
      <c r="AL20725" s="183"/>
    </row>
    <row r="20726" spans="1:38">
      <c r="A20726" s="182"/>
      <c r="Q20726" s="183"/>
      <c r="R20726" s="183"/>
      <c r="S20726" s="183"/>
      <c r="AJ20726" s="183"/>
      <c r="AK20726" s="183"/>
      <c r="AL20726" s="183"/>
    </row>
    <row r="20727" spans="1:38">
      <c r="A20727" s="182"/>
      <c r="Q20727" s="183"/>
      <c r="R20727" s="183"/>
      <c r="S20727" s="183"/>
      <c r="AJ20727" s="183"/>
    </row>
    <row r="20728" spans="1:38">
      <c r="A20728" s="182"/>
      <c r="Q20728" s="183"/>
      <c r="R20728" s="183"/>
      <c r="S20728" s="183"/>
    </row>
    <row r="20729" spans="1:38">
      <c r="A20729" s="182"/>
      <c r="Q20729" s="183"/>
      <c r="R20729" s="183"/>
      <c r="S20729" s="183"/>
    </row>
    <row r="20730" spans="1:38">
      <c r="A20730" s="182"/>
      <c r="Q20730" s="183"/>
      <c r="R20730" s="183"/>
      <c r="S20730" s="183"/>
    </row>
    <row r="20731" spans="1:38">
      <c r="A20731" s="182"/>
      <c r="Q20731" s="183"/>
      <c r="R20731" s="183"/>
      <c r="S20731" s="183"/>
      <c r="AK20731" s="183"/>
      <c r="AL20731" s="183"/>
    </row>
    <row r="20732" spans="1:38">
      <c r="A20732" s="182"/>
      <c r="Q20732" s="183"/>
      <c r="R20732" s="183"/>
      <c r="S20732" s="183"/>
      <c r="AJ20732" s="183"/>
      <c r="AK20732" s="183"/>
      <c r="AL20732" s="183"/>
    </row>
    <row r="20733" spans="1:38">
      <c r="A20733" s="182"/>
      <c r="Q20733" s="183"/>
      <c r="R20733" s="183"/>
      <c r="S20733" s="183"/>
      <c r="AJ20733" s="183"/>
      <c r="AK20733" s="183"/>
      <c r="AL20733" s="183"/>
    </row>
    <row r="20734" spans="1:38">
      <c r="A20734" s="182"/>
      <c r="Q20734" s="183"/>
      <c r="R20734" s="183"/>
      <c r="S20734" s="183"/>
      <c r="AJ20734" s="183"/>
      <c r="AK20734" s="183"/>
      <c r="AL20734" s="183"/>
    </row>
    <row r="20735" spans="1:38">
      <c r="A20735" s="182"/>
      <c r="Q20735" s="183"/>
      <c r="R20735" s="183"/>
      <c r="S20735" s="183"/>
      <c r="AJ20735" s="183"/>
    </row>
    <row r="20736" spans="1:38">
      <c r="A20736" s="182"/>
      <c r="Q20736" s="183"/>
      <c r="R20736" s="183"/>
      <c r="S20736" s="183"/>
    </row>
    <row r="20737" spans="1:38">
      <c r="A20737" s="182"/>
      <c r="Q20737" s="183"/>
      <c r="R20737" s="183"/>
      <c r="S20737" s="183"/>
    </row>
    <row r="20738" spans="1:38">
      <c r="A20738" s="182"/>
      <c r="Q20738" s="183"/>
      <c r="R20738" s="183"/>
      <c r="S20738" s="183"/>
    </row>
    <row r="20739" spans="1:38">
      <c r="A20739" s="182"/>
      <c r="Q20739" s="183"/>
      <c r="R20739" s="183"/>
      <c r="S20739" s="183"/>
      <c r="AK20739" s="183"/>
      <c r="AL20739" s="183"/>
    </row>
    <row r="20740" spans="1:38">
      <c r="A20740" s="182"/>
      <c r="Q20740" s="183"/>
      <c r="R20740" s="183"/>
      <c r="S20740" s="183"/>
      <c r="AJ20740" s="183"/>
      <c r="AK20740" s="183"/>
      <c r="AL20740" s="183"/>
    </row>
    <row r="20741" spans="1:38">
      <c r="A20741" s="182"/>
      <c r="Q20741" s="183"/>
      <c r="R20741" s="183"/>
      <c r="S20741" s="183"/>
      <c r="AJ20741" s="183"/>
      <c r="AK20741" s="183"/>
      <c r="AL20741" s="183"/>
    </row>
    <row r="20742" spans="1:38">
      <c r="A20742" s="182"/>
      <c r="Q20742" s="183"/>
      <c r="R20742" s="183"/>
      <c r="S20742" s="183"/>
      <c r="AJ20742" s="183"/>
      <c r="AK20742" s="183"/>
      <c r="AL20742" s="183"/>
    </row>
    <row r="20743" spans="1:38">
      <c r="A20743" s="182"/>
      <c r="Q20743" s="183"/>
      <c r="R20743" s="183"/>
      <c r="S20743" s="183"/>
      <c r="AJ20743" s="183"/>
    </row>
    <row r="20744" spans="1:38">
      <c r="A20744" s="182"/>
      <c r="Q20744" s="183"/>
      <c r="R20744" s="183"/>
      <c r="S20744" s="183"/>
    </row>
    <row r="20745" spans="1:38">
      <c r="A20745" s="182"/>
      <c r="Q20745" s="183"/>
      <c r="R20745" s="183"/>
      <c r="S20745" s="183"/>
    </row>
    <row r="20746" spans="1:38">
      <c r="A20746" s="182"/>
      <c r="Q20746" s="183"/>
      <c r="R20746" s="183"/>
      <c r="S20746" s="183"/>
    </row>
    <row r="20747" spans="1:38">
      <c r="A20747" s="182"/>
      <c r="Q20747" s="183"/>
      <c r="R20747" s="183"/>
      <c r="S20747" s="183"/>
      <c r="AK20747" s="183"/>
      <c r="AL20747" s="183"/>
    </row>
    <row r="20748" spans="1:38">
      <c r="A20748" s="182"/>
      <c r="Q20748" s="183"/>
      <c r="R20748" s="183"/>
      <c r="S20748" s="183"/>
      <c r="AJ20748" s="183"/>
      <c r="AK20748" s="183"/>
      <c r="AL20748" s="183"/>
    </row>
    <row r="20749" spans="1:38">
      <c r="A20749" s="182"/>
      <c r="Q20749" s="183"/>
      <c r="R20749" s="183"/>
      <c r="S20749" s="183"/>
      <c r="AJ20749" s="183"/>
      <c r="AK20749" s="183"/>
      <c r="AL20749" s="183"/>
    </row>
    <row r="20750" spans="1:38">
      <c r="A20750" s="182"/>
      <c r="Q20750" s="183"/>
      <c r="R20750" s="183"/>
      <c r="S20750" s="183"/>
      <c r="AJ20750" s="183"/>
      <c r="AK20750" s="183"/>
      <c r="AL20750" s="183"/>
    </row>
    <row r="20751" spans="1:38">
      <c r="A20751" s="182"/>
      <c r="Q20751" s="183"/>
      <c r="R20751" s="183"/>
      <c r="S20751" s="183"/>
      <c r="AJ20751" s="183"/>
    </row>
    <row r="20752" spans="1:38">
      <c r="A20752" s="182"/>
      <c r="Q20752" s="183"/>
      <c r="R20752" s="183"/>
      <c r="S20752" s="183"/>
    </row>
    <row r="20753" spans="1:38">
      <c r="A20753" s="182"/>
      <c r="Q20753" s="183"/>
      <c r="R20753" s="183"/>
      <c r="S20753" s="183"/>
    </row>
    <row r="20754" spans="1:38">
      <c r="A20754" s="182"/>
      <c r="Q20754" s="183"/>
      <c r="R20754" s="183"/>
      <c r="S20754" s="183"/>
    </row>
    <row r="20755" spans="1:38">
      <c r="A20755" s="182"/>
      <c r="Q20755" s="183"/>
      <c r="R20755" s="183"/>
      <c r="S20755" s="183"/>
    </row>
    <row r="20756" spans="1:38">
      <c r="A20756" s="182"/>
      <c r="Q20756" s="183"/>
      <c r="R20756" s="183"/>
      <c r="S20756" s="183"/>
    </row>
    <row r="20757" spans="1:38">
      <c r="A20757" s="182"/>
      <c r="Q20757" s="183"/>
      <c r="R20757" s="183"/>
      <c r="S20757" s="183"/>
    </row>
    <row r="20758" spans="1:38">
      <c r="A20758" s="182"/>
      <c r="Q20758" s="183"/>
      <c r="R20758" s="183"/>
      <c r="S20758" s="183"/>
    </row>
    <row r="20759" spans="1:38">
      <c r="A20759" s="182"/>
      <c r="Q20759" s="183"/>
      <c r="R20759" s="183"/>
      <c r="S20759" s="183"/>
    </row>
    <row r="20760" spans="1:38">
      <c r="A20760" s="182"/>
      <c r="Q20760" s="183"/>
      <c r="R20760" s="183"/>
      <c r="S20760" s="183"/>
    </row>
    <row r="20761" spans="1:38">
      <c r="A20761" s="182"/>
      <c r="Q20761" s="183"/>
      <c r="R20761" s="183"/>
      <c r="S20761" s="183"/>
    </row>
    <row r="20762" spans="1:38">
      <c r="A20762" s="182"/>
      <c r="Q20762" s="183"/>
      <c r="R20762" s="183"/>
      <c r="S20762" s="183"/>
    </row>
    <row r="20763" spans="1:38">
      <c r="A20763" s="182"/>
      <c r="Q20763" s="183"/>
      <c r="R20763" s="183"/>
      <c r="S20763" s="183"/>
      <c r="AK20763" s="183"/>
      <c r="AL20763" s="183"/>
    </row>
    <row r="20764" spans="1:38">
      <c r="A20764" s="182"/>
      <c r="Q20764" s="183"/>
      <c r="R20764" s="183"/>
      <c r="S20764" s="183"/>
      <c r="AJ20764" s="183"/>
      <c r="AK20764" s="183"/>
      <c r="AL20764" s="183"/>
    </row>
    <row r="20765" spans="1:38">
      <c r="A20765" s="182"/>
      <c r="Q20765" s="183"/>
      <c r="R20765" s="183"/>
      <c r="S20765" s="183"/>
      <c r="AJ20765" s="183"/>
      <c r="AK20765" s="183"/>
      <c r="AL20765" s="183"/>
    </row>
    <row r="20766" spans="1:38">
      <c r="A20766" s="182"/>
      <c r="Q20766" s="183"/>
      <c r="R20766" s="183"/>
      <c r="S20766" s="183"/>
      <c r="AJ20766" s="183"/>
      <c r="AK20766" s="183"/>
      <c r="AL20766" s="183"/>
    </row>
    <row r="20767" spans="1:38">
      <c r="A20767" s="182"/>
      <c r="Q20767" s="183"/>
      <c r="R20767" s="183"/>
      <c r="S20767" s="183"/>
      <c r="AJ20767" s="183"/>
      <c r="AK20767" s="183"/>
      <c r="AL20767" s="183"/>
    </row>
    <row r="20768" spans="1:38">
      <c r="A20768" s="182"/>
      <c r="Q20768" s="183"/>
      <c r="R20768" s="183"/>
      <c r="S20768" s="183"/>
      <c r="AJ20768" s="183"/>
      <c r="AK20768" s="183"/>
      <c r="AL20768" s="183"/>
    </row>
    <row r="20769" spans="1:38">
      <c r="A20769" s="182"/>
      <c r="Q20769" s="183"/>
      <c r="R20769" s="183"/>
      <c r="S20769" s="183"/>
      <c r="AJ20769" s="183"/>
      <c r="AK20769" s="183"/>
      <c r="AL20769" s="183"/>
    </row>
    <row r="20770" spans="1:38">
      <c r="A20770" s="182"/>
      <c r="Q20770" s="183"/>
      <c r="R20770" s="183"/>
      <c r="S20770" s="183"/>
      <c r="AJ20770" s="183"/>
      <c r="AK20770" s="183"/>
      <c r="AL20770" s="183"/>
    </row>
    <row r="20771" spans="1:38">
      <c r="A20771" s="182"/>
      <c r="Q20771" s="183"/>
      <c r="R20771" s="183"/>
      <c r="S20771" s="183"/>
      <c r="AJ20771" s="183"/>
      <c r="AK20771" s="183"/>
      <c r="AL20771" s="183"/>
    </row>
    <row r="20772" spans="1:38">
      <c r="A20772" s="182"/>
      <c r="Q20772" s="183"/>
      <c r="R20772" s="183"/>
      <c r="S20772" s="183"/>
      <c r="AJ20772" s="183"/>
      <c r="AK20772" s="183"/>
      <c r="AL20772" s="183"/>
    </row>
    <row r="20773" spans="1:38">
      <c r="A20773" s="182"/>
      <c r="Q20773" s="183"/>
      <c r="R20773" s="183"/>
      <c r="S20773" s="183"/>
      <c r="AJ20773" s="183"/>
      <c r="AK20773" s="183"/>
      <c r="AL20773" s="183"/>
    </row>
    <row r="20774" spans="1:38">
      <c r="A20774" s="182"/>
      <c r="Q20774" s="183"/>
      <c r="R20774" s="183"/>
      <c r="S20774" s="183"/>
      <c r="AJ20774" s="183"/>
      <c r="AK20774" s="183"/>
      <c r="AL20774" s="183"/>
    </row>
    <row r="20775" spans="1:38">
      <c r="A20775" s="182"/>
      <c r="Q20775" s="183"/>
      <c r="R20775" s="183"/>
      <c r="S20775" s="183"/>
      <c r="AJ20775" s="183"/>
    </row>
    <row r="20776" spans="1:38">
      <c r="A20776" s="182"/>
      <c r="Q20776" s="183"/>
      <c r="R20776" s="183"/>
      <c r="S20776" s="183"/>
    </row>
    <row r="20777" spans="1:38">
      <c r="A20777" s="182"/>
      <c r="Q20777" s="183"/>
      <c r="R20777" s="183"/>
      <c r="S20777" s="183"/>
    </row>
    <row r="20778" spans="1:38">
      <c r="A20778" s="182"/>
      <c r="Q20778" s="183"/>
      <c r="R20778" s="183"/>
      <c r="S20778" s="183"/>
    </row>
    <row r="20779" spans="1:38">
      <c r="A20779" s="182"/>
      <c r="Q20779" s="183"/>
      <c r="R20779" s="183"/>
      <c r="S20779" s="183"/>
      <c r="AK20779" s="183"/>
      <c r="AL20779" s="183"/>
    </row>
    <row r="20780" spans="1:38">
      <c r="A20780" s="182"/>
      <c r="Q20780" s="183"/>
      <c r="R20780" s="183"/>
      <c r="S20780" s="183"/>
      <c r="AJ20780" s="183"/>
      <c r="AK20780" s="183"/>
      <c r="AL20780" s="183"/>
    </row>
    <row r="20781" spans="1:38">
      <c r="A20781" s="182"/>
      <c r="Q20781" s="183"/>
      <c r="R20781" s="183"/>
      <c r="S20781" s="183"/>
      <c r="AJ20781" s="183"/>
      <c r="AK20781" s="183"/>
      <c r="AL20781" s="183"/>
    </row>
    <row r="20782" spans="1:38">
      <c r="A20782" s="182"/>
      <c r="Q20782" s="183"/>
      <c r="R20782" s="183"/>
      <c r="S20782" s="183"/>
      <c r="AJ20782" s="183"/>
      <c r="AK20782" s="183"/>
      <c r="AL20782" s="183"/>
    </row>
    <row r="20783" spans="1:38">
      <c r="A20783" s="182"/>
      <c r="Q20783" s="183"/>
      <c r="R20783" s="183"/>
      <c r="S20783" s="183"/>
      <c r="AJ20783" s="183"/>
      <c r="AK20783" s="183"/>
      <c r="AL20783" s="183"/>
    </row>
    <row r="20784" spans="1:38">
      <c r="A20784" s="182"/>
      <c r="Q20784" s="183"/>
      <c r="R20784" s="183"/>
      <c r="S20784" s="183"/>
      <c r="AJ20784" s="183"/>
      <c r="AK20784" s="183"/>
      <c r="AL20784" s="183"/>
    </row>
    <row r="20785" spans="1:38">
      <c r="A20785" s="182"/>
      <c r="Q20785" s="183"/>
      <c r="R20785" s="183"/>
      <c r="S20785" s="183"/>
      <c r="AJ20785" s="183"/>
      <c r="AK20785" s="183"/>
      <c r="AL20785" s="183"/>
    </row>
    <row r="20786" spans="1:38">
      <c r="A20786" s="182"/>
      <c r="Q20786" s="183"/>
      <c r="R20786" s="183"/>
      <c r="S20786" s="183"/>
      <c r="AJ20786" s="183"/>
      <c r="AK20786" s="183"/>
      <c r="AL20786" s="183"/>
    </row>
    <row r="20787" spans="1:38">
      <c r="A20787" s="182"/>
      <c r="Q20787" s="183"/>
      <c r="R20787" s="183"/>
      <c r="S20787" s="183"/>
      <c r="AJ20787" s="183"/>
    </row>
    <row r="20788" spans="1:38">
      <c r="A20788" s="182"/>
      <c r="Q20788" s="183"/>
      <c r="R20788" s="183"/>
      <c r="S20788" s="183"/>
    </row>
    <row r="20789" spans="1:38">
      <c r="A20789" s="182"/>
      <c r="Q20789" s="183"/>
      <c r="R20789" s="183"/>
      <c r="S20789" s="183"/>
    </row>
    <row r="20790" spans="1:38">
      <c r="A20790" s="182"/>
      <c r="Q20790" s="183"/>
      <c r="R20790" s="183"/>
      <c r="S20790" s="183"/>
    </row>
    <row r="20791" spans="1:38">
      <c r="A20791" s="182"/>
      <c r="Q20791" s="183"/>
      <c r="R20791" s="183"/>
      <c r="S20791" s="183"/>
    </row>
    <row r="20792" spans="1:38">
      <c r="A20792" s="182"/>
      <c r="Q20792" s="183"/>
      <c r="R20792" s="183"/>
      <c r="S20792" s="183"/>
    </row>
    <row r="20793" spans="1:38">
      <c r="A20793" s="182"/>
      <c r="Q20793" s="183"/>
      <c r="R20793" s="183"/>
      <c r="S20793" s="183"/>
    </row>
    <row r="20794" spans="1:38">
      <c r="A20794" s="182"/>
      <c r="Q20794" s="183"/>
      <c r="R20794" s="183"/>
      <c r="S20794" s="183"/>
    </row>
    <row r="20795" spans="1:38">
      <c r="A20795" s="182"/>
      <c r="Q20795" s="183"/>
      <c r="R20795" s="183"/>
      <c r="S20795" s="183"/>
    </row>
    <row r="20796" spans="1:38">
      <c r="A20796" s="182"/>
      <c r="Q20796" s="183"/>
      <c r="R20796" s="183"/>
      <c r="S20796" s="183"/>
    </row>
    <row r="20797" spans="1:38">
      <c r="A20797" s="182"/>
      <c r="Q20797" s="183"/>
      <c r="R20797" s="183"/>
      <c r="S20797" s="183"/>
    </row>
    <row r="20798" spans="1:38">
      <c r="A20798" s="182"/>
      <c r="Q20798" s="183"/>
      <c r="R20798" s="183"/>
      <c r="S20798" s="183"/>
    </row>
    <row r="20799" spans="1:38">
      <c r="A20799" s="182"/>
      <c r="Q20799" s="183"/>
      <c r="R20799" s="183"/>
      <c r="S20799" s="183"/>
      <c r="AK20799" s="183"/>
      <c r="AL20799" s="183"/>
    </row>
    <row r="20800" spans="1:38">
      <c r="A20800" s="182"/>
      <c r="Q20800" s="183"/>
      <c r="R20800" s="183"/>
      <c r="S20800" s="183"/>
      <c r="AJ20800" s="183"/>
      <c r="AK20800" s="183"/>
      <c r="AL20800" s="183"/>
    </row>
    <row r="20801" spans="1:38">
      <c r="A20801" s="182"/>
      <c r="Q20801" s="183"/>
      <c r="R20801" s="183"/>
      <c r="S20801" s="183"/>
      <c r="AJ20801" s="183"/>
      <c r="AK20801" s="183"/>
      <c r="AL20801" s="183"/>
    </row>
    <row r="20802" spans="1:38">
      <c r="A20802" s="182"/>
      <c r="Q20802" s="183"/>
      <c r="R20802" s="183"/>
      <c r="S20802" s="183"/>
      <c r="AJ20802" s="183"/>
      <c r="AK20802" s="183"/>
      <c r="AL20802" s="183"/>
    </row>
    <row r="20803" spans="1:38">
      <c r="A20803" s="182"/>
      <c r="Q20803" s="183"/>
      <c r="R20803" s="183"/>
      <c r="S20803" s="183"/>
      <c r="AJ20803" s="183"/>
    </row>
    <row r="20804" spans="1:38">
      <c r="A20804" s="182"/>
      <c r="Q20804" s="183"/>
      <c r="R20804" s="183"/>
      <c r="S20804" s="183"/>
    </row>
    <row r="20805" spans="1:38">
      <c r="A20805" s="182"/>
      <c r="Q20805" s="183"/>
      <c r="R20805" s="183"/>
      <c r="S20805" s="183"/>
    </row>
    <row r="20806" spans="1:38">
      <c r="A20806" s="182"/>
      <c r="Q20806" s="183"/>
      <c r="R20806" s="183"/>
      <c r="S20806" s="183"/>
    </row>
    <row r="20807" spans="1:38">
      <c r="A20807" s="182"/>
      <c r="Q20807" s="183"/>
      <c r="R20807" s="183"/>
      <c r="S20807" s="183"/>
    </row>
    <row r="20808" spans="1:38">
      <c r="A20808" s="182"/>
      <c r="Q20808" s="183"/>
      <c r="R20808" s="183"/>
      <c r="S20808" s="183"/>
    </row>
    <row r="20809" spans="1:38">
      <c r="A20809" s="182"/>
      <c r="Q20809" s="183"/>
      <c r="R20809" s="183"/>
      <c r="S20809" s="183"/>
    </row>
    <row r="20810" spans="1:38">
      <c r="A20810" s="182"/>
      <c r="Q20810" s="183"/>
      <c r="R20810" s="183"/>
      <c r="S20810" s="183"/>
    </row>
    <row r="20811" spans="1:38">
      <c r="A20811" s="182"/>
      <c r="Q20811" s="183"/>
      <c r="R20811" s="183"/>
      <c r="S20811" s="183"/>
    </row>
    <row r="20812" spans="1:38">
      <c r="A20812" s="182"/>
      <c r="Q20812" s="183"/>
      <c r="R20812" s="183"/>
      <c r="S20812" s="183"/>
    </row>
    <row r="20813" spans="1:38">
      <c r="A20813" s="182"/>
      <c r="Q20813" s="183"/>
      <c r="R20813" s="183"/>
      <c r="S20813" s="183"/>
    </row>
    <row r="20814" spans="1:38">
      <c r="A20814" s="182"/>
      <c r="Q20814" s="183"/>
      <c r="R20814" s="183"/>
      <c r="S20814" s="183"/>
    </row>
    <row r="20815" spans="1:38">
      <c r="A20815" s="182"/>
      <c r="Q20815" s="183"/>
      <c r="R20815" s="183"/>
      <c r="S20815" s="183"/>
      <c r="AK20815" s="183"/>
      <c r="AL20815" s="183"/>
    </row>
    <row r="20816" spans="1:38">
      <c r="A20816" s="182"/>
      <c r="Q20816" s="183"/>
      <c r="R20816" s="183"/>
      <c r="S20816" s="183"/>
      <c r="AJ20816" s="183"/>
      <c r="AK20816" s="183"/>
      <c r="AL20816" s="183"/>
    </row>
    <row r="20817" spans="1:38">
      <c r="A20817" s="182"/>
      <c r="Q20817" s="183"/>
      <c r="R20817" s="183"/>
      <c r="S20817" s="183"/>
      <c r="AJ20817" s="183"/>
      <c r="AK20817" s="183"/>
      <c r="AL20817" s="183"/>
    </row>
    <row r="20818" spans="1:38">
      <c r="A20818" s="182"/>
      <c r="Q20818" s="183"/>
      <c r="R20818" s="183"/>
      <c r="S20818" s="183"/>
      <c r="AJ20818" s="183"/>
      <c r="AK20818" s="183"/>
      <c r="AL20818" s="183"/>
    </row>
    <row r="20819" spans="1:38">
      <c r="A20819" s="182"/>
      <c r="Q20819" s="183"/>
      <c r="R20819" s="183"/>
      <c r="S20819" s="183"/>
      <c r="AJ20819" s="183"/>
    </row>
    <row r="20820" spans="1:38">
      <c r="A20820" s="182"/>
      <c r="Q20820" s="183"/>
      <c r="R20820" s="183"/>
      <c r="S20820" s="183"/>
    </row>
    <row r="20821" spans="1:38">
      <c r="A20821" s="182"/>
      <c r="Q20821" s="183"/>
      <c r="R20821" s="183"/>
      <c r="S20821" s="183"/>
    </row>
    <row r="20822" spans="1:38">
      <c r="A20822" s="182"/>
      <c r="Q20822" s="183"/>
      <c r="R20822" s="183"/>
      <c r="S20822" s="183"/>
    </row>
    <row r="20823" spans="1:38">
      <c r="A20823" s="182"/>
      <c r="Q20823" s="183"/>
      <c r="R20823" s="183"/>
      <c r="S20823" s="183"/>
      <c r="AK20823" s="183"/>
      <c r="AL20823" s="183"/>
    </row>
    <row r="20824" spans="1:38">
      <c r="A20824" s="182"/>
      <c r="Q20824" s="183"/>
      <c r="R20824" s="183"/>
      <c r="S20824" s="183"/>
      <c r="AJ20824" s="183"/>
      <c r="AK20824" s="183"/>
      <c r="AL20824" s="183"/>
    </row>
    <row r="20825" spans="1:38">
      <c r="A20825" s="182"/>
      <c r="Q20825" s="183"/>
      <c r="R20825" s="183"/>
      <c r="S20825" s="183"/>
      <c r="AJ20825" s="183"/>
      <c r="AK20825" s="183"/>
      <c r="AL20825" s="183"/>
    </row>
    <row r="20826" spans="1:38">
      <c r="A20826" s="182"/>
      <c r="Q20826" s="183"/>
      <c r="R20826" s="183"/>
      <c r="S20826" s="183"/>
      <c r="AJ20826" s="183"/>
      <c r="AK20826" s="183"/>
      <c r="AL20826" s="183"/>
    </row>
    <row r="20827" spans="1:38">
      <c r="A20827" s="182"/>
      <c r="Q20827" s="183"/>
      <c r="R20827" s="183"/>
      <c r="S20827" s="183"/>
      <c r="AJ20827" s="183"/>
      <c r="AK20827" s="183"/>
      <c r="AL20827" s="183"/>
    </row>
    <row r="20828" spans="1:38">
      <c r="A20828" s="182"/>
      <c r="Q20828" s="183"/>
      <c r="R20828" s="183"/>
      <c r="S20828" s="183"/>
      <c r="AJ20828" s="183"/>
      <c r="AK20828" s="183"/>
      <c r="AL20828" s="183"/>
    </row>
    <row r="20829" spans="1:38">
      <c r="A20829" s="182"/>
      <c r="Q20829" s="183"/>
      <c r="R20829" s="183"/>
      <c r="S20829" s="183"/>
      <c r="AJ20829" s="183"/>
      <c r="AK20829" s="183"/>
      <c r="AL20829" s="183"/>
    </row>
    <row r="20830" spans="1:38">
      <c r="A20830" s="182"/>
      <c r="Q20830" s="183"/>
      <c r="R20830" s="183"/>
      <c r="S20830" s="183"/>
      <c r="AJ20830" s="183"/>
      <c r="AK20830" s="183"/>
      <c r="AL20830" s="183"/>
    </row>
    <row r="20831" spans="1:38">
      <c r="A20831" s="182"/>
      <c r="Q20831" s="183"/>
      <c r="R20831" s="183"/>
      <c r="S20831" s="183"/>
      <c r="AJ20831" s="183"/>
    </row>
    <row r="20832" spans="1:38">
      <c r="A20832" s="182"/>
      <c r="Q20832" s="183"/>
      <c r="R20832" s="183"/>
      <c r="S20832" s="183"/>
    </row>
    <row r="20833" spans="1:38">
      <c r="A20833" s="182"/>
      <c r="Q20833" s="183"/>
      <c r="R20833" s="183"/>
      <c r="S20833" s="183"/>
    </row>
    <row r="20834" spans="1:38">
      <c r="A20834" s="182"/>
      <c r="Q20834" s="183"/>
      <c r="R20834" s="183"/>
      <c r="S20834" s="183"/>
    </row>
    <row r="20835" spans="1:38">
      <c r="A20835" s="182"/>
      <c r="Q20835" s="183"/>
      <c r="R20835" s="183"/>
      <c r="S20835" s="183"/>
    </row>
    <row r="20836" spans="1:38">
      <c r="A20836" s="182"/>
      <c r="Q20836" s="183"/>
      <c r="R20836" s="183"/>
      <c r="S20836" s="183"/>
    </row>
    <row r="20837" spans="1:38">
      <c r="A20837" s="182"/>
      <c r="Q20837" s="183"/>
      <c r="R20837" s="183"/>
      <c r="S20837" s="183"/>
    </row>
    <row r="20838" spans="1:38">
      <c r="A20838" s="182"/>
      <c r="Q20838" s="183"/>
      <c r="R20838" s="183"/>
      <c r="S20838" s="183"/>
    </row>
    <row r="20839" spans="1:38">
      <c r="A20839" s="182"/>
      <c r="Q20839" s="183"/>
      <c r="R20839" s="183"/>
      <c r="S20839" s="183"/>
    </row>
    <row r="20840" spans="1:38">
      <c r="A20840" s="182"/>
      <c r="Q20840" s="183"/>
      <c r="R20840" s="183"/>
      <c r="S20840" s="183"/>
    </row>
    <row r="20841" spans="1:38">
      <c r="A20841" s="182"/>
      <c r="Q20841" s="183"/>
      <c r="R20841" s="183"/>
      <c r="S20841" s="183"/>
    </row>
    <row r="20842" spans="1:38">
      <c r="A20842" s="182"/>
      <c r="N20842" s="183"/>
      <c r="O20842" s="183"/>
      <c r="Q20842" s="183"/>
      <c r="R20842" s="183"/>
      <c r="S20842" s="183"/>
    </row>
    <row r="20843" spans="1:38">
      <c r="A20843" s="182"/>
      <c r="M20843" s="183"/>
      <c r="Q20843" s="183"/>
      <c r="R20843" s="183"/>
      <c r="S20843" s="183"/>
      <c r="AK20843" s="183"/>
      <c r="AL20843" s="183"/>
    </row>
    <row r="20844" spans="1:38">
      <c r="A20844" s="182"/>
      <c r="Q20844" s="183"/>
      <c r="R20844" s="183"/>
      <c r="S20844" s="183"/>
      <c r="AJ20844" s="183"/>
      <c r="AK20844" s="183"/>
      <c r="AL20844" s="183"/>
    </row>
    <row r="20845" spans="1:38">
      <c r="A20845" s="182"/>
      <c r="Q20845" s="183"/>
      <c r="R20845" s="183"/>
      <c r="S20845" s="183"/>
      <c r="AJ20845" s="183"/>
      <c r="AK20845" s="183"/>
      <c r="AL20845" s="183"/>
    </row>
    <row r="20846" spans="1:38">
      <c r="A20846" s="182"/>
      <c r="Q20846" s="183"/>
      <c r="R20846" s="183"/>
      <c r="S20846" s="183"/>
      <c r="AJ20846" s="183"/>
      <c r="AK20846" s="183"/>
      <c r="AL20846" s="183"/>
    </row>
    <row r="20847" spans="1:38">
      <c r="A20847" s="182"/>
      <c r="Q20847" s="183"/>
      <c r="R20847" s="183"/>
      <c r="S20847" s="183"/>
      <c r="AJ20847" s="183"/>
    </row>
    <row r="20848" spans="1:38">
      <c r="A20848" s="182"/>
      <c r="Q20848" s="183"/>
      <c r="R20848" s="183"/>
      <c r="S20848" s="183"/>
    </row>
    <row r="20849" spans="1:38">
      <c r="A20849" s="182"/>
      <c r="Q20849" s="183"/>
      <c r="R20849" s="183"/>
      <c r="S20849" s="183"/>
    </row>
    <row r="20850" spans="1:38">
      <c r="A20850" s="182"/>
      <c r="Q20850" s="183"/>
      <c r="R20850" s="183"/>
      <c r="S20850" s="183"/>
    </row>
    <row r="20851" spans="1:38">
      <c r="A20851" s="182"/>
      <c r="Q20851" s="183"/>
      <c r="R20851" s="183"/>
      <c r="S20851" s="183"/>
      <c r="AK20851" s="183"/>
      <c r="AL20851" s="183"/>
    </row>
    <row r="20852" spans="1:38">
      <c r="A20852" s="182"/>
      <c r="Q20852" s="183"/>
      <c r="R20852" s="183"/>
      <c r="S20852" s="183"/>
      <c r="AJ20852" s="183"/>
      <c r="AK20852" s="183"/>
      <c r="AL20852" s="183"/>
    </row>
    <row r="20853" spans="1:38">
      <c r="A20853" s="182"/>
      <c r="Q20853" s="183"/>
      <c r="R20853" s="183"/>
      <c r="S20853" s="183"/>
      <c r="AJ20853" s="183"/>
      <c r="AK20853" s="183"/>
      <c r="AL20853" s="183"/>
    </row>
    <row r="20854" spans="1:38">
      <c r="A20854" s="182"/>
      <c r="Q20854" s="183"/>
      <c r="R20854" s="183"/>
      <c r="S20854" s="183"/>
      <c r="AJ20854" s="183"/>
      <c r="AK20854" s="183"/>
      <c r="AL20854" s="183"/>
    </row>
    <row r="20855" spans="1:38">
      <c r="A20855" s="182"/>
      <c r="Q20855" s="183"/>
      <c r="R20855" s="183"/>
      <c r="S20855" s="183"/>
      <c r="AJ20855" s="183"/>
      <c r="AK20855" s="183"/>
      <c r="AL20855" s="183"/>
    </row>
    <row r="20856" spans="1:38">
      <c r="A20856" s="182"/>
      <c r="Q20856" s="183"/>
      <c r="R20856" s="183"/>
      <c r="S20856" s="183"/>
      <c r="AJ20856" s="183"/>
      <c r="AK20856" s="183"/>
      <c r="AL20856" s="183"/>
    </row>
    <row r="20857" spans="1:38">
      <c r="A20857" s="182"/>
      <c r="Q20857" s="183"/>
      <c r="R20857" s="183"/>
      <c r="S20857" s="183"/>
      <c r="AJ20857" s="183"/>
      <c r="AK20857" s="183"/>
      <c r="AL20857" s="183"/>
    </row>
    <row r="20858" spans="1:38">
      <c r="A20858" s="182"/>
      <c r="Q20858" s="183"/>
      <c r="R20858" s="183"/>
      <c r="S20858" s="183"/>
      <c r="AJ20858" s="183"/>
      <c r="AK20858" s="183"/>
      <c r="AL20858" s="183"/>
    </row>
    <row r="20859" spans="1:38">
      <c r="A20859" s="182"/>
      <c r="Q20859" s="183"/>
      <c r="R20859" s="183"/>
      <c r="S20859" s="183"/>
      <c r="AJ20859" s="183"/>
      <c r="AK20859" s="183"/>
      <c r="AL20859" s="183"/>
    </row>
    <row r="20860" spans="1:38">
      <c r="A20860" s="182"/>
      <c r="Q20860" s="183"/>
      <c r="R20860" s="183"/>
      <c r="S20860" s="183"/>
      <c r="AJ20860" s="183"/>
      <c r="AK20860" s="183"/>
      <c r="AL20860" s="183"/>
    </row>
    <row r="20861" spans="1:38">
      <c r="A20861" s="182"/>
      <c r="Q20861" s="183"/>
      <c r="R20861" s="183"/>
      <c r="S20861" s="183"/>
      <c r="AJ20861" s="183"/>
      <c r="AK20861" s="183"/>
      <c r="AL20861" s="183"/>
    </row>
    <row r="20862" spans="1:38">
      <c r="A20862" s="182"/>
      <c r="Q20862" s="183"/>
      <c r="R20862" s="183"/>
      <c r="S20862" s="183"/>
      <c r="AJ20862" s="183"/>
      <c r="AK20862" s="183"/>
      <c r="AL20862" s="183"/>
    </row>
    <row r="20863" spans="1:38">
      <c r="A20863" s="182"/>
      <c r="Q20863" s="183"/>
      <c r="R20863" s="183"/>
      <c r="S20863" s="183"/>
      <c r="AJ20863" s="183"/>
    </row>
    <row r="20864" spans="1:38">
      <c r="A20864" s="182"/>
      <c r="Q20864" s="183"/>
      <c r="R20864" s="183"/>
      <c r="S20864" s="183"/>
    </row>
    <row r="20865" spans="1:38">
      <c r="A20865" s="182"/>
      <c r="Q20865" s="183"/>
      <c r="R20865" s="183"/>
      <c r="S20865" s="183"/>
    </row>
    <row r="20866" spans="1:38">
      <c r="A20866" s="182"/>
      <c r="Q20866" s="183"/>
      <c r="R20866" s="183"/>
      <c r="S20866" s="183"/>
    </row>
    <row r="20867" spans="1:38">
      <c r="A20867" s="182"/>
      <c r="Q20867" s="183"/>
      <c r="R20867" s="183"/>
      <c r="S20867" s="183"/>
    </row>
    <row r="20868" spans="1:38">
      <c r="A20868" s="182"/>
      <c r="Q20868" s="183"/>
      <c r="R20868" s="183"/>
      <c r="S20868" s="183"/>
    </row>
    <row r="20869" spans="1:38">
      <c r="A20869" s="182"/>
      <c r="Q20869" s="183"/>
      <c r="R20869" s="183"/>
      <c r="S20869" s="183"/>
    </row>
    <row r="20870" spans="1:38">
      <c r="A20870" s="182"/>
      <c r="Q20870" s="183"/>
      <c r="R20870" s="183"/>
      <c r="S20870" s="183"/>
    </row>
    <row r="20871" spans="1:38">
      <c r="A20871" s="182"/>
      <c r="Q20871" s="183"/>
      <c r="R20871" s="183"/>
      <c r="S20871" s="183"/>
    </row>
    <row r="20872" spans="1:38">
      <c r="A20872" s="182"/>
      <c r="Q20872" s="183"/>
      <c r="R20872" s="183"/>
      <c r="S20872" s="183"/>
    </row>
    <row r="20873" spans="1:38">
      <c r="A20873" s="182"/>
      <c r="Q20873" s="183"/>
      <c r="R20873" s="183"/>
      <c r="S20873" s="183"/>
    </row>
    <row r="20874" spans="1:38">
      <c r="A20874" s="182"/>
      <c r="Q20874" s="183"/>
      <c r="R20874" s="183"/>
      <c r="S20874" s="183"/>
    </row>
    <row r="20875" spans="1:38">
      <c r="A20875" s="182"/>
      <c r="Q20875" s="183"/>
      <c r="R20875" s="183"/>
      <c r="S20875" s="183"/>
    </row>
    <row r="20876" spans="1:38">
      <c r="A20876" s="182"/>
      <c r="Q20876" s="183"/>
      <c r="R20876" s="183"/>
      <c r="S20876" s="183"/>
    </row>
    <row r="20877" spans="1:38">
      <c r="A20877" s="182"/>
      <c r="Q20877" s="183"/>
      <c r="R20877" s="183"/>
      <c r="S20877" s="183"/>
    </row>
    <row r="20878" spans="1:38">
      <c r="A20878" s="182"/>
      <c r="Q20878" s="183"/>
      <c r="R20878" s="183"/>
      <c r="S20878" s="183"/>
    </row>
    <row r="20879" spans="1:38">
      <c r="A20879" s="182"/>
      <c r="Q20879" s="183"/>
      <c r="R20879" s="183"/>
      <c r="S20879" s="183"/>
      <c r="AK20879" s="183"/>
      <c r="AL20879" s="183"/>
    </row>
    <row r="20880" spans="1:38">
      <c r="A20880" s="182"/>
      <c r="Q20880" s="183"/>
      <c r="R20880" s="183"/>
      <c r="S20880" s="183"/>
      <c r="AJ20880" s="183"/>
      <c r="AK20880" s="183"/>
      <c r="AL20880" s="183"/>
    </row>
    <row r="20881" spans="1:38">
      <c r="A20881" s="182"/>
      <c r="Q20881" s="183"/>
      <c r="R20881" s="183"/>
      <c r="S20881" s="183"/>
      <c r="AJ20881" s="183"/>
      <c r="AK20881" s="183"/>
      <c r="AL20881" s="183"/>
    </row>
    <row r="20882" spans="1:38">
      <c r="A20882" s="182"/>
      <c r="Q20882" s="183"/>
      <c r="R20882" s="183"/>
      <c r="S20882" s="183"/>
      <c r="AJ20882" s="183"/>
      <c r="AK20882" s="183"/>
      <c r="AL20882" s="183"/>
    </row>
    <row r="20883" spans="1:38">
      <c r="A20883" s="182"/>
      <c r="Q20883" s="183"/>
      <c r="R20883" s="183"/>
      <c r="S20883" s="183"/>
      <c r="AJ20883" s="183"/>
    </row>
    <row r="20884" spans="1:38">
      <c r="A20884" s="182"/>
      <c r="Q20884" s="183"/>
      <c r="R20884" s="183"/>
      <c r="S20884" s="183"/>
    </row>
    <row r="20885" spans="1:38">
      <c r="A20885" s="182"/>
      <c r="Q20885" s="183"/>
      <c r="R20885" s="183"/>
      <c r="S20885" s="183"/>
    </row>
    <row r="20886" spans="1:38">
      <c r="A20886" s="182"/>
      <c r="Q20886" s="183"/>
      <c r="R20886" s="183"/>
      <c r="S20886" s="183"/>
    </row>
    <row r="20887" spans="1:38">
      <c r="A20887" s="182"/>
      <c r="Q20887" s="183"/>
      <c r="R20887" s="183"/>
      <c r="S20887" s="183"/>
      <c r="AK20887" s="183"/>
      <c r="AL20887" s="183"/>
    </row>
    <row r="20888" spans="1:38">
      <c r="A20888" s="182"/>
      <c r="Q20888" s="183"/>
      <c r="R20888" s="183"/>
      <c r="S20888" s="183"/>
      <c r="AJ20888" s="183"/>
      <c r="AK20888" s="183"/>
      <c r="AL20888" s="183"/>
    </row>
    <row r="20889" spans="1:38">
      <c r="A20889" s="182"/>
      <c r="Q20889" s="183"/>
      <c r="R20889" s="183"/>
      <c r="S20889" s="183"/>
      <c r="AJ20889" s="183"/>
      <c r="AK20889" s="183"/>
      <c r="AL20889" s="183"/>
    </row>
    <row r="20890" spans="1:38">
      <c r="A20890" s="182"/>
      <c r="Q20890" s="183"/>
      <c r="R20890" s="183"/>
      <c r="S20890" s="183"/>
      <c r="AJ20890" s="183"/>
      <c r="AK20890" s="183"/>
      <c r="AL20890" s="183"/>
    </row>
    <row r="20891" spans="1:38">
      <c r="A20891" s="182"/>
      <c r="Q20891" s="183"/>
      <c r="R20891" s="183"/>
      <c r="S20891" s="183"/>
      <c r="AJ20891" s="183"/>
    </row>
    <row r="20892" spans="1:38">
      <c r="A20892" s="182"/>
      <c r="Q20892" s="183"/>
      <c r="R20892" s="183"/>
      <c r="S20892" s="183"/>
    </row>
    <row r="20893" spans="1:38">
      <c r="A20893" s="182"/>
      <c r="Q20893" s="183"/>
      <c r="R20893" s="183"/>
      <c r="S20893" s="183"/>
    </row>
    <row r="20894" spans="1:38">
      <c r="A20894" s="182"/>
      <c r="Q20894" s="183"/>
      <c r="R20894" s="183"/>
      <c r="S20894" s="183"/>
    </row>
    <row r="20895" spans="1:38">
      <c r="A20895" s="182"/>
      <c r="Q20895" s="183"/>
      <c r="R20895" s="183"/>
      <c r="S20895" s="183"/>
    </row>
    <row r="20896" spans="1:38">
      <c r="A20896" s="182"/>
      <c r="Q20896" s="183"/>
      <c r="R20896" s="183"/>
      <c r="S20896" s="183"/>
    </row>
    <row r="20897" spans="1:38">
      <c r="A20897" s="182"/>
      <c r="Q20897" s="183"/>
      <c r="R20897" s="183"/>
      <c r="S20897" s="183"/>
    </row>
    <row r="20898" spans="1:38">
      <c r="A20898" s="182"/>
      <c r="Q20898" s="183"/>
      <c r="R20898" s="183"/>
      <c r="S20898" s="183"/>
    </row>
    <row r="20899" spans="1:38">
      <c r="A20899" s="182"/>
      <c r="Q20899" s="183"/>
      <c r="R20899" s="183"/>
      <c r="S20899" s="183"/>
    </row>
    <row r="20900" spans="1:38">
      <c r="A20900" s="182"/>
      <c r="Q20900" s="183"/>
      <c r="R20900" s="183"/>
      <c r="S20900" s="183"/>
    </row>
    <row r="20901" spans="1:38">
      <c r="A20901" s="182"/>
      <c r="Q20901" s="183"/>
      <c r="R20901" s="183"/>
      <c r="S20901" s="183"/>
    </row>
    <row r="20902" spans="1:38">
      <c r="A20902" s="182"/>
      <c r="Q20902" s="183"/>
      <c r="R20902" s="183"/>
      <c r="S20902" s="183"/>
    </row>
    <row r="20903" spans="1:38">
      <c r="A20903" s="182"/>
      <c r="Q20903" s="183"/>
      <c r="R20903" s="183"/>
      <c r="S20903" s="183"/>
    </row>
    <row r="20904" spans="1:38">
      <c r="A20904" s="182"/>
      <c r="Q20904" s="183"/>
      <c r="R20904" s="183"/>
      <c r="S20904" s="183"/>
    </row>
    <row r="20905" spans="1:38">
      <c r="A20905" s="182"/>
      <c r="Q20905" s="183"/>
      <c r="R20905" s="183"/>
      <c r="S20905" s="183"/>
    </row>
    <row r="20906" spans="1:38">
      <c r="A20906" s="182"/>
      <c r="Q20906" s="183"/>
      <c r="R20906" s="183"/>
      <c r="S20906" s="183"/>
    </row>
    <row r="20907" spans="1:38">
      <c r="A20907" s="182"/>
      <c r="Q20907" s="183"/>
      <c r="R20907" s="183"/>
      <c r="S20907" s="183"/>
    </row>
    <row r="20908" spans="1:38">
      <c r="A20908" s="182"/>
      <c r="Q20908" s="183"/>
      <c r="R20908" s="183"/>
      <c r="S20908" s="183"/>
    </row>
    <row r="20909" spans="1:38">
      <c r="A20909" s="182"/>
      <c r="Q20909" s="183"/>
      <c r="R20909" s="183"/>
      <c r="S20909" s="183"/>
    </row>
    <row r="20910" spans="1:38">
      <c r="A20910" s="182"/>
      <c r="Q20910" s="183"/>
      <c r="R20910" s="183"/>
      <c r="S20910" s="183"/>
    </row>
    <row r="20911" spans="1:38">
      <c r="A20911" s="182"/>
      <c r="Q20911" s="183"/>
      <c r="R20911" s="183"/>
      <c r="S20911" s="183"/>
      <c r="AK20911" s="183"/>
      <c r="AL20911" s="183"/>
    </row>
    <row r="20912" spans="1:38">
      <c r="A20912" s="182"/>
      <c r="Q20912" s="183"/>
      <c r="R20912" s="183"/>
      <c r="S20912" s="183"/>
      <c r="AJ20912" s="183"/>
      <c r="AK20912" s="183"/>
      <c r="AL20912" s="183"/>
    </row>
    <row r="20913" spans="1:38">
      <c r="A20913" s="182"/>
      <c r="Q20913" s="183"/>
      <c r="R20913" s="183"/>
      <c r="S20913" s="183"/>
      <c r="AJ20913" s="183"/>
      <c r="AK20913" s="183"/>
      <c r="AL20913" s="183"/>
    </row>
    <row r="20914" spans="1:38">
      <c r="A20914" s="182"/>
      <c r="Q20914" s="183"/>
      <c r="R20914" s="183"/>
      <c r="S20914" s="183"/>
      <c r="AJ20914" s="183"/>
      <c r="AK20914" s="183"/>
      <c r="AL20914" s="183"/>
    </row>
    <row r="20915" spans="1:38">
      <c r="A20915" s="182"/>
      <c r="Q20915" s="183"/>
      <c r="R20915" s="183"/>
      <c r="S20915" s="183"/>
      <c r="AJ20915" s="183"/>
    </row>
    <row r="20916" spans="1:38">
      <c r="A20916" s="182"/>
      <c r="Q20916" s="183"/>
      <c r="R20916" s="183"/>
      <c r="S20916" s="183"/>
    </row>
    <row r="20917" spans="1:38">
      <c r="A20917" s="182"/>
      <c r="Q20917" s="183"/>
      <c r="R20917" s="183"/>
      <c r="S20917" s="183"/>
    </row>
    <row r="20918" spans="1:38">
      <c r="A20918" s="182"/>
      <c r="Q20918" s="183"/>
      <c r="R20918" s="183"/>
      <c r="S20918" s="183"/>
    </row>
    <row r="20919" spans="1:38">
      <c r="A20919" s="182"/>
      <c r="Q20919" s="183"/>
      <c r="R20919" s="183"/>
      <c r="S20919" s="183"/>
    </row>
    <row r="20920" spans="1:38">
      <c r="A20920" s="182"/>
      <c r="Q20920" s="183"/>
      <c r="R20920" s="183"/>
      <c r="S20920" s="183"/>
    </row>
    <row r="20921" spans="1:38">
      <c r="A20921" s="182"/>
      <c r="Q20921" s="183"/>
      <c r="R20921" s="183"/>
      <c r="S20921" s="183"/>
    </row>
    <row r="20922" spans="1:38">
      <c r="A20922" s="182"/>
      <c r="Q20922" s="183"/>
      <c r="R20922" s="183"/>
      <c r="S20922" s="183"/>
    </row>
    <row r="20923" spans="1:38">
      <c r="A20923" s="182"/>
      <c r="Q20923" s="183"/>
      <c r="R20923" s="183"/>
      <c r="S20923" s="183"/>
      <c r="AK20923" s="183"/>
      <c r="AL20923" s="183"/>
    </row>
    <row r="20924" spans="1:38">
      <c r="A20924" s="182"/>
      <c r="Q20924" s="183"/>
      <c r="R20924" s="183"/>
      <c r="S20924" s="183"/>
      <c r="AJ20924" s="183"/>
      <c r="AK20924" s="183"/>
      <c r="AL20924" s="183"/>
    </row>
    <row r="20925" spans="1:38">
      <c r="A20925" s="182"/>
      <c r="Q20925" s="183"/>
      <c r="R20925" s="183"/>
      <c r="S20925" s="183"/>
      <c r="AJ20925" s="183"/>
      <c r="AK20925" s="183"/>
      <c r="AL20925" s="183"/>
    </row>
    <row r="20926" spans="1:38">
      <c r="A20926" s="182"/>
      <c r="Q20926" s="183"/>
      <c r="R20926" s="183"/>
      <c r="S20926" s="183"/>
      <c r="AJ20926" s="183"/>
      <c r="AK20926" s="183"/>
      <c r="AL20926" s="183"/>
    </row>
    <row r="20927" spans="1:38">
      <c r="A20927" s="182"/>
      <c r="Q20927" s="183"/>
      <c r="R20927" s="183"/>
      <c r="S20927" s="183"/>
      <c r="AJ20927" s="183"/>
    </row>
    <row r="20928" spans="1:38">
      <c r="A20928" s="182"/>
      <c r="Q20928" s="183"/>
      <c r="R20928" s="183"/>
      <c r="S20928" s="183"/>
    </row>
    <row r="20929" spans="1:19">
      <c r="A20929" s="182"/>
      <c r="Q20929" s="183"/>
      <c r="R20929" s="183"/>
      <c r="S20929" s="183"/>
    </row>
    <row r="20930" spans="1:19">
      <c r="A20930" s="182"/>
      <c r="Q20930" s="183"/>
      <c r="R20930" s="183"/>
      <c r="S20930" s="183"/>
    </row>
    <row r="20931" spans="1:19">
      <c r="A20931" s="182"/>
      <c r="Q20931" s="183"/>
      <c r="R20931" s="183"/>
      <c r="S20931" s="183"/>
    </row>
    <row r="20932" spans="1:19">
      <c r="A20932" s="182"/>
      <c r="Q20932" s="183"/>
      <c r="R20932" s="183"/>
      <c r="S20932" s="183"/>
    </row>
    <row r="20933" spans="1:19">
      <c r="A20933" s="182"/>
      <c r="Q20933" s="183"/>
      <c r="R20933" s="183"/>
      <c r="S20933" s="183"/>
    </row>
    <row r="20934" spans="1:19">
      <c r="A20934" s="182"/>
      <c r="Q20934" s="183"/>
      <c r="R20934" s="183"/>
      <c r="S20934" s="183"/>
    </row>
    <row r="20935" spans="1:19">
      <c r="A20935" s="182"/>
      <c r="Q20935" s="183"/>
      <c r="R20935" s="183"/>
      <c r="S20935" s="183"/>
    </row>
    <row r="20936" spans="1:19">
      <c r="A20936" s="182"/>
      <c r="Q20936" s="183"/>
      <c r="R20936" s="183"/>
      <c r="S20936" s="183"/>
    </row>
    <row r="20937" spans="1:19">
      <c r="A20937" s="182"/>
      <c r="Q20937" s="183"/>
      <c r="R20937" s="183"/>
      <c r="S20937" s="183"/>
    </row>
    <row r="20938" spans="1:19">
      <c r="A20938" s="182"/>
      <c r="Q20938" s="183"/>
      <c r="R20938" s="183"/>
      <c r="S20938" s="183"/>
    </row>
    <row r="20939" spans="1:19">
      <c r="A20939" s="182"/>
      <c r="Q20939" s="183"/>
      <c r="R20939" s="183"/>
      <c r="S20939" s="183"/>
    </row>
    <row r="20940" spans="1:19">
      <c r="A20940" s="182"/>
      <c r="Q20940" s="183"/>
      <c r="R20940" s="183"/>
      <c r="S20940" s="183"/>
    </row>
    <row r="20941" spans="1:19">
      <c r="A20941" s="182"/>
      <c r="Q20941" s="183"/>
      <c r="R20941" s="183"/>
      <c r="S20941" s="183"/>
    </row>
    <row r="20942" spans="1:19">
      <c r="A20942" s="182"/>
      <c r="Q20942" s="183"/>
      <c r="R20942" s="183"/>
      <c r="S20942" s="183"/>
    </row>
    <row r="20943" spans="1:19">
      <c r="A20943" s="182"/>
      <c r="Q20943" s="183"/>
      <c r="R20943" s="183"/>
      <c r="S20943" s="183"/>
    </row>
    <row r="20944" spans="1:19">
      <c r="A20944" s="182"/>
      <c r="Q20944" s="183"/>
      <c r="R20944" s="183"/>
      <c r="S20944" s="183"/>
    </row>
    <row r="20945" spans="1:19">
      <c r="A20945" s="182"/>
      <c r="Q20945" s="183"/>
      <c r="R20945" s="183"/>
      <c r="S20945" s="183"/>
    </row>
    <row r="20946" spans="1:19">
      <c r="A20946" s="182"/>
      <c r="Q20946" s="183"/>
      <c r="R20946" s="183"/>
      <c r="S20946" s="183"/>
    </row>
    <row r="20947" spans="1:19">
      <c r="A20947" s="182"/>
      <c r="Q20947" s="183"/>
      <c r="R20947" s="183"/>
      <c r="S20947" s="183"/>
    </row>
    <row r="20948" spans="1:19">
      <c r="A20948" s="182"/>
      <c r="Q20948" s="183"/>
      <c r="R20948" s="183"/>
      <c r="S20948" s="183"/>
    </row>
    <row r="20949" spans="1:19">
      <c r="A20949" s="182"/>
      <c r="Q20949" s="183"/>
      <c r="R20949" s="183"/>
      <c r="S20949" s="183"/>
    </row>
    <row r="20950" spans="1:19">
      <c r="A20950" s="182"/>
      <c r="Q20950" s="183"/>
      <c r="R20950" s="183"/>
      <c r="S20950" s="183"/>
    </row>
    <row r="20951" spans="1:19">
      <c r="A20951" s="182"/>
      <c r="Q20951" s="183"/>
      <c r="R20951" s="183"/>
      <c r="S20951" s="183"/>
    </row>
    <row r="20952" spans="1:19">
      <c r="A20952" s="182"/>
      <c r="Q20952" s="183"/>
      <c r="R20952" s="183"/>
      <c r="S20952" s="183"/>
    </row>
    <row r="20953" spans="1:19">
      <c r="A20953" s="182"/>
      <c r="Q20953" s="183"/>
      <c r="R20953" s="183"/>
      <c r="S20953" s="183"/>
    </row>
    <row r="20954" spans="1:19">
      <c r="A20954" s="182"/>
      <c r="Q20954" s="183"/>
      <c r="R20954" s="183"/>
      <c r="S20954" s="183"/>
    </row>
    <row r="20955" spans="1:19">
      <c r="A20955" s="182"/>
      <c r="Q20955" s="183"/>
      <c r="R20955" s="183"/>
      <c r="S20955" s="183"/>
    </row>
    <row r="20956" spans="1:19">
      <c r="A20956" s="182"/>
      <c r="Q20956" s="183"/>
      <c r="R20956" s="183"/>
      <c r="S20956" s="183"/>
    </row>
    <row r="20957" spans="1:19">
      <c r="A20957" s="182"/>
      <c r="Q20957" s="183"/>
      <c r="R20957" s="183"/>
      <c r="S20957" s="183"/>
    </row>
    <row r="20958" spans="1:19">
      <c r="A20958" s="182"/>
      <c r="Q20958" s="183"/>
      <c r="R20958" s="183"/>
      <c r="S20958" s="183"/>
    </row>
    <row r="20959" spans="1:19">
      <c r="A20959" s="182"/>
      <c r="Q20959" s="183"/>
      <c r="R20959" s="183"/>
      <c r="S20959" s="183"/>
    </row>
    <row r="20960" spans="1:19">
      <c r="A20960" s="182"/>
      <c r="Q20960" s="183"/>
      <c r="R20960" s="183"/>
      <c r="S20960" s="183"/>
    </row>
    <row r="20961" spans="1:38">
      <c r="A20961" s="182"/>
      <c r="Q20961" s="183"/>
      <c r="R20961" s="183"/>
      <c r="S20961" s="183"/>
    </row>
    <row r="20962" spans="1:38">
      <c r="A20962" s="182"/>
      <c r="Q20962" s="183"/>
      <c r="R20962" s="183"/>
      <c r="S20962" s="183"/>
    </row>
    <row r="20963" spans="1:38">
      <c r="A20963" s="182"/>
      <c r="Q20963" s="183"/>
      <c r="R20963" s="183"/>
      <c r="S20963" s="183"/>
      <c r="AK20963" s="183"/>
      <c r="AL20963" s="183"/>
    </row>
    <row r="20964" spans="1:38">
      <c r="A20964" s="182"/>
      <c r="Q20964" s="183"/>
      <c r="R20964" s="183"/>
      <c r="S20964" s="183"/>
      <c r="AJ20964" s="183"/>
      <c r="AK20964" s="183"/>
      <c r="AL20964" s="183"/>
    </row>
    <row r="20965" spans="1:38">
      <c r="A20965" s="182"/>
      <c r="Q20965" s="183"/>
      <c r="R20965" s="183"/>
      <c r="S20965" s="183"/>
      <c r="AJ20965" s="183"/>
      <c r="AK20965" s="183"/>
      <c r="AL20965" s="183"/>
    </row>
    <row r="20966" spans="1:38">
      <c r="A20966" s="182"/>
      <c r="Q20966" s="183"/>
      <c r="R20966" s="183"/>
      <c r="S20966" s="183"/>
      <c r="AJ20966" s="183"/>
      <c r="AK20966" s="183"/>
      <c r="AL20966" s="183"/>
    </row>
    <row r="20967" spans="1:38">
      <c r="A20967" s="182"/>
      <c r="Q20967" s="183"/>
      <c r="R20967" s="183"/>
      <c r="S20967" s="183"/>
      <c r="AJ20967" s="183"/>
      <c r="AK20967" s="183"/>
      <c r="AL20967" s="183"/>
    </row>
    <row r="20968" spans="1:38">
      <c r="A20968" s="182"/>
      <c r="Q20968" s="183"/>
      <c r="R20968" s="183"/>
      <c r="S20968" s="183"/>
      <c r="AJ20968" s="183"/>
      <c r="AK20968" s="183"/>
      <c r="AL20968" s="183"/>
    </row>
    <row r="20969" spans="1:38">
      <c r="A20969" s="182"/>
      <c r="Q20969" s="183"/>
      <c r="R20969" s="183"/>
      <c r="S20969" s="183"/>
      <c r="AJ20969" s="183"/>
      <c r="AK20969" s="183"/>
      <c r="AL20969" s="183"/>
    </row>
    <row r="20970" spans="1:38">
      <c r="A20970" s="182"/>
      <c r="Q20970" s="183"/>
      <c r="R20970" s="183"/>
      <c r="S20970" s="183"/>
      <c r="AJ20970" s="183"/>
      <c r="AK20970" s="183"/>
      <c r="AL20970" s="183"/>
    </row>
    <row r="20971" spans="1:38">
      <c r="A20971" s="182"/>
      <c r="Q20971" s="183"/>
      <c r="R20971" s="183"/>
      <c r="S20971" s="183"/>
      <c r="AJ20971" s="183"/>
    </row>
    <row r="20972" spans="1:38">
      <c r="A20972" s="182"/>
      <c r="Q20972" s="183"/>
      <c r="R20972" s="183"/>
      <c r="S20972" s="183"/>
    </row>
    <row r="20973" spans="1:38">
      <c r="A20973" s="182"/>
      <c r="Q20973" s="183"/>
      <c r="R20973" s="183"/>
      <c r="S20973" s="183"/>
    </row>
    <row r="20974" spans="1:38">
      <c r="A20974" s="182"/>
      <c r="Q20974" s="183"/>
      <c r="R20974" s="183"/>
      <c r="S20974" s="183"/>
    </row>
    <row r="20975" spans="1:38">
      <c r="A20975" s="182"/>
      <c r="Q20975" s="183"/>
      <c r="R20975" s="183"/>
      <c r="S20975" s="183"/>
    </row>
    <row r="20976" spans="1:38">
      <c r="A20976" s="182"/>
      <c r="Q20976" s="183"/>
      <c r="R20976" s="183"/>
      <c r="S20976" s="183"/>
    </row>
    <row r="20977" spans="1:38">
      <c r="A20977" s="182"/>
      <c r="Q20977" s="183"/>
      <c r="R20977" s="183"/>
      <c r="S20977" s="183"/>
    </row>
    <row r="20978" spans="1:38">
      <c r="A20978" s="182"/>
      <c r="Q20978" s="183"/>
      <c r="R20978" s="183"/>
      <c r="S20978" s="183"/>
    </row>
    <row r="20979" spans="1:38">
      <c r="A20979" s="182"/>
      <c r="Q20979" s="183"/>
      <c r="R20979" s="183"/>
      <c r="S20979" s="183"/>
    </row>
    <row r="20980" spans="1:38">
      <c r="A20980" s="182"/>
      <c r="Q20980" s="183"/>
      <c r="R20980" s="183"/>
      <c r="S20980" s="183"/>
    </row>
    <row r="20981" spans="1:38">
      <c r="A20981" s="182"/>
      <c r="Q20981" s="183"/>
      <c r="R20981" s="183"/>
      <c r="S20981" s="183"/>
    </row>
    <row r="20982" spans="1:38">
      <c r="A20982" s="182"/>
      <c r="Q20982" s="183"/>
      <c r="R20982" s="183"/>
      <c r="S20982" s="183"/>
    </row>
    <row r="20983" spans="1:38">
      <c r="A20983" s="182"/>
      <c r="Q20983" s="183"/>
      <c r="R20983" s="183"/>
      <c r="S20983" s="183"/>
      <c r="AK20983" s="183"/>
      <c r="AL20983" s="183"/>
    </row>
    <row r="20984" spans="1:38">
      <c r="A20984" s="182"/>
      <c r="Q20984" s="183"/>
      <c r="R20984" s="183"/>
      <c r="S20984" s="183"/>
      <c r="AJ20984" s="183"/>
      <c r="AK20984" s="183"/>
      <c r="AL20984" s="183"/>
    </row>
    <row r="20985" spans="1:38">
      <c r="A20985" s="182"/>
      <c r="Q20985" s="183"/>
      <c r="R20985" s="183"/>
      <c r="S20985" s="183"/>
      <c r="AJ20985" s="183"/>
      <c r="AK20985" s="183"/>
      <c r="AL20985" s="183"/>
    </row>
    <row r="20986" spans="1:38">
      <c r="A20986" s="182"/>
      <c r="Q20986" s="183"/>
      <c r="R20986" s="183"/>
      <c r="S20986" s="183"/>
      <c r="AJ20986" s="183"/>
      <c r="AK20986" s="183"/>
      <c r="AL20986" s="183"/>
    </row>
    <row r="20987" spans="1:38">
      <c r="A20987" s="182"/>
      <c r="Q20987" s="183"/>
      <c r="R20987" s="183"/>
      <c r="S20987" s="183"/>
      <c r="AJ20987" s="183"/>
    </row>
    <row r="20988" spans="1:38">
      <c r="A20988" s="182"/>
      <c r="Q20988" s="183"/>
      <c r="R20988" s="183"/>
      <c r="S20988" s="183"/>
    </row>
    <row r="20989" spans="1:38">
      <c r="A20989" s="182"/>
      <c r="Q20989" s="183"/>
      <c r="R20989" s="183"/>
      <c r="S20989" s="183"/>
    </row>
    <row r="20990" spans="1:38">
      <c r="A20990" s="182"/>
      <c r="Q20990" s="183"/>
      <c r="R20990" s="183"/>
      <c r="S20990" s="183"/>
    </row>
    <row r="20991" spans="1:38">
      <c r="A20991" s="182"/>
      <c r="Q20991" s="183"/>
      <c r="R20991" s="183"/>
      <c r="S20991" s="183"/>
    </row>
    <row r="20992" spans="1:38">
      <c r="A20992" s="182"/>
      <c r="Q20992" s="183"/>
      <c r="R20992" s="183"/>
      <c r="S20992" s="183"/>
    </row>
    <row r="20993" spans="1:38">
      <c r="A20993" s="182"/>
      <c r="Q20993" s="183"/>
      <c r="R20993" s="183"/>
      <c r="S20993" s="183"/>
    </row>
    <row r="20994" spans="1:38">
      <c r="A20994" s="182"/>
      <c r="Q20994" s="183"/>
      <c r="R20994" s="183"/>
      <c r="S20994" s="183"/>
    </row>
    <row r="20995" spans="1:38">
      <c r="A20995" s="182"/>
      <c r="Q20995" s="183"/>
      <c r="R20995" s="183"/>
      <c r="S20995" s="183"/>
    </row>
    <row r="20996" spans="1:38">
      <c r="A20996" s="182"/>
      <c r="Q20996" s="183"/>
      <c r="R20996" s="183"/>
      <c r="S20996" s="183"/>
    </row>
    <row r="20997" spans="1:38">
      <c r="A20997" s="182"/>
      <c r="Q20997" s="183"/>
      <c r="R20997" s="183"/>
      <c r="S20997" s="183"/>
    </row>
    <row r="20998" spans="1:38">
      <c r="A20998" s="182"/>
      <c r="Q20998" s="183"/>
      <c r="R20998" s="183"/>
      <c r="S20998" s="183"/>
    </row>
    <row r="20999" spans="1:38">
      <c r="A20999" s="182"/>
      <c r="Q20999" s="183"/>
      <c r="R20999" s="183"/>
      <c r="S20999" s="183"/>
    </row>
    <row r="21000" spans="1:38">
      <c r="A21000" s="182"/>
      <c r="Q21000" s="183"/>
      <c r="R21000" s="183"/>
      <c r="S21000" s="183"/>
    </row>
    <row r="21001" spans="1:38">
      <c r="A21001" s="182"/>
      <c r="Q21001" s="183"/>
      <c r="R21001" s="183"/>
      <c r="S21001" s="183"/>
    </row>
    <row r="21002" spans="1:38">
      <c r="A21002" s="182"/>
      <c r="Q21002" s="183"/>
      <c r="R21002" s="183"/>
      <c r="S21002" s="183"/>
    </row>
    <row r="21003" spans="1:38">
      <c r="A21003" s="182"/>
      <c r="Q21003" s="183"/>
      <c r="R21003" s="183"/>
      <c r="S21003" s="183"/>
      <c r="AK21003" s="183"/>
      <c r="AL21003" s="183"/>
    </row>
    <row r="21004" spans="1:38">
      <c r="A21004" s="182"/>
      <c r="Q21004" s="183"/>
      <c r="R21004" s="183"/>
      <c r="S21004" s="183"/>
      <c r="AJ21004" s="183"/>
      <c r="AK21004" s="183"/>
      <c r="AL21004" s="183"/>
    </row>
    <row r="21005" spans="1:38">
      <c r="A21005" s="182"/>
      <c r="Q21005" s="183"/>
      <c r="R21005" s="183"/>
      <c r="S21005" s="183"/>
      <c r="AJ21005" s="183"/>
      <c r="AK21005" s="183"/>
      <c r="AL21005" s="183"/>
    </row>
    <row r="21006" spans="1:38">
      <c r="A21006" s="182"/>
      <c r="Q21006" s="183"/>
      <c r="R21006" s="183"/>
      <c r="S21006" s="183"/>
      <c r="AJ21006" s="183"/>
      <c r="AK21006" s="183"/>
      <c r="AL21006" s="183"/>
    </row>
    <row r="21007" spans="1:38">
      <c r="A21007" s="182"/>
      <c r="Q21007" s="183"/>
      <c r="R21007" s="183"/>
      <c r="S21007" s="183"/>
      <c r="AJ21007" s="183"/>
      <c r="AK21007" s="183"/>
      <c r="AL21007" s="183"/>
    </row>
    <row r="21008" spans="1:38">
      <c r="A21008" s="182"/>
      <c r="Q21008" s="183"/>
      <c r="R21008" s="183"/>
      <c r="S21008" s="183"/>
      <c r="AJ21008" s="183"/>
      <c r="AK21008" s="183"/>
      <c r="AL21008" s="183"/>
    </row>
    <row r="21009" spans="1:38">
      <c r="A21009" s="182"/>
      <c r="Q21009" s="183"/>
      <c r="R21009" s="183"/>
      <c r="S21009" s="183"/>
      <c r="AJ21009" s="183"/>
      <c r="AK21009" s="183"/>
      <c r="AL21009" s="183"/>
    </row>
    <row r="21010" spans="1:38">
      <c r="A21010" s="182"/>
      <c r="Q21010" s="183"/>
      <c r="R21010" s="183"/>
      <c r="S21010" s="183"/>
      <c r="AJ21010" s="183"/>
      <c r="AK21010" s="183"/>
      <c r="AL21010" s="183"/>
    </row>
    <row r="21011" spans="1:38">
      <c r="A21011" s="182"/>
      <c r="Q21011" s="183"/>
      <c r="R21011" s="183"/>
      <c r="S21011" s="183"/>
      <c r="AJ21011" s="183"/>
    </row>
    <row r="21012" spans="1:38">
      <c r="A21012" s="182"/>
      <c r="Q21012" s="183"/>
      <c r="R21012" s="183"/>
      <c r="S21012" s="183"/>
    </row>
    <row r="21013" spans="1:38">
      <c r="A21013" s="182"/>
      <c r="Q21013" s="183"/>
      <c r="R21013" s="183"/>
      <c r="S21013" s="183"/>
    </row>
    <row r="21014" spans="1:38">
      <c r="A21014" s="182"/>
      <c r="Q21014" s="183"/>
      <c r="R21014" s="183"/>
      <c r="S21014" s="183"/>
    </row>
    <row r="21015" spans="1:38">
      <c r="A21015" s="182"/>
      <c r="Q21015" s="183"/>
      <c r="R21015" s="183"/>
      <c r="S21015" s="183"/>
      <c r="AK21015" s="183"/>
      <c r="AL21015" s="183"/>
    </row>
    <row r="21016" spans="1:38">
      <c r="A21016" s="182"/>
      <c r="Q21016" s="183"/>
      <c r="R21016" s="183"/>
      <c r="S21016" s="183"/>
      <c r="AJ21016" s="183"/>
      <c r="AK21016" s="183"/>
      <c r="AL21016" s="183"/>
    </row>
    <row r="21017" spans="1:38">
      <c r="A21017" s="182"/>
      <c r="Q21017" s="183"/>
      <c r="R21017" s="183"/>
      <c r="S21017" s="183"/>
      <c r="AJ21017" s="183"/>
      <c r="AK21017" s="183"/>
      <c r="AL21017" s="183"/>
    </row>
    <row r="21018" spans="1:38">
      <c r="A21018" s="182"/>
      <c r="Q21018" s="183"/>
      <c r="R21018" s="183"/>
      <c r="S21018" s="183"/>
      <c r="AJ21018" s="183"/>
      <c r="AK21018" s="183"/>
      <c r="AL21018" s="183"/>
    </row>
    <row r="21019" spans="1:38">
      <c r="A21019" s="182"/>
      <c r="Q21019" s="183"/>
      <c r="R21019" s="183"/>
      <c r="S21019" s="183"/>
      <c r="AJ21019" s="183"/>
    </row>
    <row r="21020" spans="1:38">
      <c r="A21020" s="182"/>
      <c r="Q21020" s="183"/>
      <c r="R21020" s="183"/>
      <c r="S21020" s="183"/>
    </row>
    <row r="21021" spans="1:38">
      <c r="A21021" s="182"/>
      <c r="Q21021" s="183"/>
      <c r="R21021" s="183"/>
      <c r="S21021" s="183"/>
    </row>
    <row r="21022" spans="1:38">
      <c r="A21022" s="182"/>
      <c r="Q21022" s="183"/>
      <c r="R21022" s="183"/>
      <c r="S21022" s="183"/>
    </row>
    <row r="21023" spans="1:38">
      <c r="A21023" s="182"/>
      <c r="Q21023" s="183"/>
      <c r="R21023" s="183"/>
      <c r="S21023" s="183"/>
    </row>
    <row r="21024" spans="1:38">
      <c r="A21024" s="182"/>
      <c r="Q21024" s="183"/>
      <c r="R21024" s="183"/>
      <c r="S21024" s="183"/>
    </row>
    <row r="21025" spans="1:38">
      <c r="A21025" s="182"/>
      <c r="Q21025" s="183"/>
      <c r="R21025" s="183"/>
      <c r="S21025" s="183"/>
    </row>
    <row r="21026" spans="1:38">
      <c r="A21026" s="182"/>
      <c r="Q21026" s="183"/>
      <c r="R21026" s="183"/>
      <c r="S21026" s="183"/>
    </row>
    <row r="21027" spans="1:38">
      <c r="A21027" s="182"/>
      <c r="Q21027" s="183"/>
      <c r="R21027" s="183"/>
      <c r="S21027" s="183"/>
    </row>
    <row r="21028" spans="1:38">
      <c r="A21028" s="182"/>
      <c r="Q21028" s="183"/>
      <c r="R21028" s="183"/>
      <c r="S21028" s="183"/>
    </row>
    <row r="21029" spans="1:38">
      <c r="A21029" s="182"/>
      <c r="Q21029" s="183"/>
      <c r="R21029" s="183"/>
      <c r="S21029" s="183"/>
    </row>
    <row r="21030" spans="1:38">
      <c r="A21030" s="182"/>
      <c r="Q21030" s="183"/>
      <c r="R21030" s="183"/>
      <c r="S21030" s="183"/>
    </row>
    <row r="21031" spans="1:38">
      <c r="A21031" s="182"/>
      <c r="Q21031" s="183"/>
      <c r="R21031" s="183"/>
      <c r="S21031" s="183"/>
      <c r="AK21031" s="183"/>
      <c r="AL21031" s="183"/>
    </row>
    <row r="21032" spans="1:38">
      <c r="A21032" s="182"/>
      <c r="Q21032" s="183"/>
      <c r="R21032" s="183"/>
      <c r="S21032" s="183"/>
      <c r="AJ21032" s="183"/>
      <c r="AK21032" s="183"/>
      <c r="AL21032" s="183"/>
    </row>
    <row r="21033" spans="1:38">
      <c r="A21033" s="182"/>
      <c r="Q21033" s="183"/>
      <c r="R21033" s="183"/>
      <c r="S21033" s="183"/>
      <c r="AJ21033" s="183"/>
      <c r="AK21033" s="183"/>
      <c r="AL21033" s="183"/>
    </row>
    <row r="21034" spans="1:38">
      <c r="A21034" s="182"/>
      <c r="Q21034" s="183"/>
      <c r="R21034" s="183"/>
      <c r="S21034" s="183"/>
      <c r="AJ21034" s="183"/>
      <c r="AK21034" s="183"/>
      <c r="AL21034" s="183"/>
    </row>
    <row r="21035" spans="1:38">
      <c r="A21035" s="182"/>
      <c r="Q21035" s="183"/>
      <c r="R21035" s="183"/>
      <c r="S21035" s="183"/>
      <c r="AJ21035" s="183"/>
      <c r="AK21035" s="183"/>
      <c r="AL21035" s="183"/>
    </row>
    <row r="21036" spans="1:38">
      <c r="A21036" s="182"/>
      <c r="Q21036" s="183"/>
      <c r="R21036" s="183"/>
      <c r="S21036" s="183"/>
      <c r="AJ21036" s="183"/>
      <c r="AK21036" s="183"/>
      <c r="AL21036" s="183"/>
    </row>
    <row r="21037" spans="1:38">
      <c r="A21037" s="182"/>
      <c r="Q21037" s="183"/>
      <c r="R21037" s="183"/>
      <c r="S21037" s="183"/>
      <c r="AJ21037" s="183"/>
      <c r="AK21037" s="183"/>
      <c r="AL21037" s="183"/>
    </row>
    <row r="21038" spans="1:38">
      <c r="A21038" s="182"/>
      <c r="Q21038" s="183"/>
      <c r="R21038" s="183"/>
      <c r="S21038" s="183"/>
      <c r="AJ21038" s="183"/>
      <c r="AK21038" s="183"/>
      <c r="AL21038" s="183"/>
    </row>
    <row r="21039" spans="1:38">
      <c r="A21039" s="182"/>
      <c r="Q21039" s="183"/>
      <c r="R21039" s="183"/>
      <c r="S21039" s="183"/>
      <c r="AJ21039" s="183"/>
    </row>
    <row r="21040" spans="1:38">
      <c r="A21040" s="182"/>
      <c r="Q21040" s="183"/>
      <c r="R21040" s="183"/>
      <c r="S21040" s="183"/>
    </row>
    <row r="21041" spans="1:19">
      <c r="A21041" s="182"/>
      <c r="Q21041" s="183"/>
      <c r="R21041" s="183"/>
      <c r="S21041" s="183"/>
    </row>
    <row r="21042" spans="1:19">
      <c r="A21042" s="182"/>
      <c r="Q21042" s="183"/>
      <c r="R21042" s="183"/>
      <c r="S21042" s="183"/>
    </row>
    <row r="21043" spans="1:19">
      <c r="A21043" s="182"/>
      <c r="Q21043" s="183"/>
      <c r="R21043" s="183"/>
      <c r="S21043" s="183"/>
    </row>
    <row r="21044" spans="1:19">
      <c r="A21044" s="182"/>
      <c r="Q21044" s="183"/>
      <c r="R21044" s="183"/>
      <c r="S21044" s="183"/>
    </row>
    <row r="21045" spans="1:19">
      <c r="A21045" s="182"/>
      <c r="Q21045" s="183"/>
      <c r="R21045" s="183"/>
      <c r="S21045" s="183"/>
    </row>
    <row r="21046" spans="1:19">
      <c r="A21046" s="182"/>
      <c r="Q21046" s="183"/>
      <c r="R21046" s="183"/>
      <c r="S21046" s="183"/>
    </row>
    <row r="21047" spans="1:19">
      <c r="A21047" s="182"/>
      <c r="Q21047" s="183"/>
      <c r="R21047" s="183"/>
      <c r="S21047" s="183"/>
    </row>
    <row r="21048" spans="1:19">
      <c r="A21048" s="182"/>
      <c r="Q21048" s="183"/>
      <c r="R21048" s="183"/>
      <c r="S21048" s="183"/>
    </row>
    <row r="21049" spans="1:19">
      <c r="A21049" s="182"/>
      <c r="Q21049" s="183"/>
      <c r="R21049" s="183"/>
      <c r="S21049" s="183"/>
    </row>
    <row r="21050" spans="1:19">
      <c r="A21050" s="182"/>
      <c r="Q21050" s="183"/>
      <c r="R21050" s="183"/>
      <c r="S21050" s="183"/>
    </row>
    <row r="21051" spans="1:19">
      <c r="A21051" s="182"/>
      <c r="Q21051" s="183"/>
      <c r="R21051" s="183"/>
      <c r="S21051" s="183"/>
    </row>
    <row r="21052" spans="1:19">
      <c r="A21052" s="182"/>
      <c r="Q21052" s="183"/>
      <c r="R21052" s="183"/>
      <c r="S21052" s="183"/>
    </row>
    <row r="21053" spans="1:19">
      <c r="A21053" s="182"/>
      <c r="Q21053" s="183"/>
      <c r="R21053" s="183"/>
      <c r="S21053" s="183"/>
    </row>
    <row r="21054" spans="1:19">
      <c r="A21054" s="182"/>
      <c r="Q21054" s="183"/>
      <c r="R21054" s="183"/>
      <c r="S21054" s="183"/>
    </row>
    <row r="21055" spans="1:19">
      <c r="A21055" s="182"/>
      <c r="Q21055" s="183"/>
      <c r="R21055" s="183"/>
      <c r="S21055" s="183"/>
    </row>
    <row r="21056" spans="1:19">
      <c r="A21056" s="182"/>
      <c r="Q21056" s="183"/>
      <c r="R21056" s="183"/>
      <c r="S21056" s="183"/>
    </row>
    <row r="21057" spans="1:19">
      <c r="A21057" s="182"/>
      <c r="Q21057" s="183"/>
      <c r="R21057" s="183"/>
      <c r="S21057" s="183"/>
    </row>
    <row r="21058" spans="1:19">
      <c r="A21058" s="182"/>
      <c r="Q21058" s="183"/>
      <c r="R21058" s="183"/>
      <c r="S21058" s="183"/>
    </row>
    <row r="21059" spans="1:19">
      <c r="A21059" s="182"/>
      <c r="Q21059" s="183"/>
      <c r="R21059" s="183"/>
      <c r="S21059" s="183"/>
    </row>
    <row r="21060" spans="1:19">
      <c r="A21060" s="182"/>
      <c r="Q21060" s="183"/>
      <c r="R21060" s="183"/>
      <c r="S21060" s="183"/>
    </row>
    <row r="21061" spans="1:19">
      <c r="A21061" s="182"/>
      <c r="Q21061" s="183"/>
      <c r="R21061" s="183"/>
      <c r="S21061" s="183"/>
    </row>
    <row r="21062" spans="1:19">
      <c r="A21062" s="182"/>
      <c r="Q21062" s="183"/>
      <c r="R21062" s="183"/>
      <c r="S21062" s="183"/>
    </row>
    <row r="21063" spans="1:19">
      <c r="A21063" s="182"/>
      <c r="Q21063" s="183"/>
      <c r="R21063" s="183"/>
      <c r="S21063" s="183"/>
    </row>
    <row r="21064" spans="1:19">
      <c r="A21064" s="182"/>
      <c r="Q21064" s="183"/>
      <c r="R21064" s="183"/>
      <c r="S21064" s="183"/>
    </row>
    <row r="21065" spans="1:19">
      <c r="A21065" s="182"/>
      <c r="Q21065" s="183"/>
      <c r="R21065" s="183"/>
      <c r="S21065" s="183"/>
    </row>
    <row r="21066" spans="1:19">
      <c r="A21066" s="182"/>
      <c r="Q21066" s="183"/>
      <c r="R21066" s="183"/>
      <c r="S21066" s="183"/>
    </row>
    <row r="21067" spans="1:19">
      <c r="A21067" s="182"/>
      <c r="Q21067" s="183"/>
      <c r="R21067" s="183"/>
      <c r="S21067" s="183"/>
    </row>
    <row r="21068" spans="1:19">
      <c r="A21068" s="182"/>
      <c r="Q21068" s="183"/>
      <c r="R21068" s="183"/>
      <c r="S21068" s="183"/>
    </row>
    <row r="21069" spans="1:19">
      <c r="A21069" s="182"/>
      <c r="Q21069" s="183"/>
      <c r="R21069" s="183"/>
      <c r="S21069" s="183"/>
    </row>
    <row r="21070" spans="1:19">
      <c r="A21070" s="182"/>
      <c r="Q21070" s="183"/>
      <c r="R21070" s="183"/>
      <c r="S21070" s="183"/>
    </row>
    <row r="21071" spans="1:19">
      <c r="A21071" s="182"/>
      <c r="Q21071" s="183"/>
      <c r="R21071" s="183"/>
      <c r="S21071" s="183"/>
    </row>
    <row r="21072" spans="1:19">
      <c r="A21072" s="182"/>
      <c r="Q21072" s="183"/>
      <c r="R21072" s="183"/>
      <c r="S21072" s="183"/>
    </row>
    <row r="21073" spans="1:38">
      <c r="A21073" s="182"/>
      <c r="Q21073" s="183"/>
      <c r="R21073" s="183"/>
      <c r="S21073" s="183"/>
    </row>
    <row r="21074" spans="1:38">
      <c r="A21074" s="182"/>
      <c r="Q21074" s="183"/>
      <c r="R21074" s="183"/>
      <c r="S21074" s="183"/>
    </row>
    <row r="21075" spans="1:38">
      <c r="A21075" s="182"/>
      <c r="Q21075" s="183"/>
      <c r="R21075" s="183"/>
      <c r="S21075" s="183"/>
    </row>
    <row r="21076" spans="1:38">
      <c r="A21076" s="182"/>
      <c r="Q21076" s="183"/>
      <c r="R21076" s="183"/>
      <c r="S21076" s="183"/>
    </row>
    <row r="21077" spans="1:38">
      <c r="A21077" s="182"/>
      <c r="Q21077" s="183"/>
      <c r="R21077" s="183"/>
      <c r="S21077" s="183"/>
    </row>
    <row r="21078" spans="1:38">
      <c r="A21078" s="182"/>
      <c r="Q21078" s="183"/>
      <c r="R21078" s="183"/>
      <c r="S21078" s="183"/>
    </row>
    <row r="21079" spans="1:38">
      <c r="A21079" s="182"/>
      <c r="Q21079" s="183"/>
      <c r="R21079" s="183"/>
      <c r="S21079" s="183"/>
    </row>
    <row r="21080" spans="1:38">
      <c r="A21080" s="182"/>
      <c r="Q21080" s="183"/>
      <c r="R21080" s="183"/>
      <c r="S21080" s="183"/>
    </row>
    <row r="21081" spans="1:38">
      <c r="A21081" s="182"/>
      <c r="Q21081" s="183"/>
      <c r="R21081" s="183"/>
      <c r="S21081" s="183"/>
    </row>
    <row r="21082" spans="1:38">
      <c r="A21082" s="182"/>
      <c r="Q21082" s="183"/>
      <c r="R21082" s="183"/>
      <c r="S21082" s="183"/>
    </row>
    <row r="21083" spans="1:38">
      <c r="A21083" s="182"/>
      <c r="Q21083" s="183"/>
      <c r="R21083" s="183"/>
      <c r="S21083" s="183"/>
      <c r="AK21083" s="183"/>
      <c r="AL21083" s="183"/>
    </row>
    <row r="21084" spans="1:38">
      <c r="A21084" s="182"/>
      <c r="Q21084" s="183"/>
      <c r="R21084" s="183"/>
      <c r="S21084" s="183"/>
      <c r="AJ21084" s="183"/>
      <c r="AK21084" s="183"/>
      <c r="AL21084" s="183"/>
    </row>
    <row r="21085" spans="1:38">
      <c r="A21085" s="182"/>
      <c r="Q21085" s="183"/>
      <c r="R21085" s="183"/>
      <c r="S21085" s="183"/>
      <c r="AJ21085" s="183"/>
      <c r="AK21085" s="183"/>
      <c r="AL21085" s="183"/>
    </row>
    <row r="21086" spans="1:38">
      <c r="A21086" s="182"/>
      <c r="Q21086" s="183"/>
      <c r="R21086" s="183"/>
      <c r="S21086" s="183"/>
      <c r="AJ21086" s="183"/>
      <c r="AK21086" s="183"/>
      <c r="AL21086" s="183"/>
    </row>
    <row r="21087" spans="1:38">
      <c r="A21087" s="182"/>
      <c r="Q21087" s="183"/>
      <c r="R21087" s="183"/>
      <c r="S21087" s="183"/>
      <c r="AJ21087" s="183"/>
      <c r="AK21087" s="183"/>
      <c r="AL21087" s="183"/>
    </row>
    <row r="21088" spans="1:38">
      <c r="A21088" s="182"/>
      <c r="Q21088" s="183"/>
      <c r="R21088" s="183"/>
      <c r="S21088" s="183"/>
      <c r="AJ21088" s="183"/>
      <c r="AK21088" s="183"/>
      <c r="AL21088" s="183"/>
    </row>
    <row r="21089" spans="1:38">
      <c r="A21089" s="182"/>
      <c r="Q21089" s="183"/>
      <c r="R21089" s="183"/>
      <c r="S21089" s="183"/>
      <c r="AJ21089" s="183"/>
      <c r="AK21089" s="183"/>
      <c r="AL21089" s="183"/>
    </row>
    <row r="21090" spans="1:38">
      <c r="A21090" s="182"/>
      <c r="Q21090" s="183"/>
      <c r="R21090" s="183"/>
      <c r="S21090" s="183"/>
      <c r="AJ21090" s="183"/>
      <c r="AK21090" s="183"/>
      <c r="AL21090" s="183"/>
    </row>
    <row r="21091" spans="1:38">
      <c r="A21091" s="182"/>
      <c r="Q21091" s="183"/>
      <c r="R21091" s="183"/>
      <c r="S21091" s="183"/>
      <c r="AJ21091" s="183"/>
    </row>
    <row r="21092" spans="1:38">
      <c r="A21092" s="182"/>
      <c r="Q21092" s="183"/>
      <c r="R21092" s="183"/>
      <c r="S21092" s="183"/>
    </row>
    <row r="21093" spans="1:38">
      <c r="A21093" s="182"/>
      <c r="Q21093" s="183"/>
      <c r="R21093" s="183"/>
      <c r="S21093" s="183"/>
    </row>
    <row r="21094" spans="1:38">
      <c r="A21094" s="182"/>
      <c r="Q21094" s="183"/>
      <c r="R21094" s="183"/>
      <c r="S21094" s="183"/>
    </row>
    <row r="21095" spans="1:38">
      <c r="A21095" s="182"/>
      <c r="Q21095" s="183"/>
      <c r="R21095" s="183"/>
      <c r="S21095" s="183"/>
    </row>
    <row r="21096" spans="1:38">
      <c r="A21096" s="182"/>
      <c r="Q21096" s="183"/>
      <c r="R21096" s="183"/>
      <c r="S21096" s="183"/>
    </row>
    <row r="21097" spans="1:38">
      <c r="A21097" s="182"/>
      <c r="Q21097" s="183"/>
      <c r="R21097" s="183"/>
      <c r="S21097" s="183"/>
    </row>
    <row r="21098" spans="1:38">
      <c r="A21098" s="182"/>
      <c r="Q21098" s="183"/>
      <c r="R21098" s="183"/>
      <c r="S21098" s="183"/>
    </row>
    <row r="21099" spans="1:38">
      <c r="A21099" s="182"/>
      <c r="Q21099" s="183"/>
      <c r="R21099" s="183"/>
      <c r="S21099" s="183"/>
      <c r="AK21099" s="183"/>
      <c r="AL21099" s="183"/>
    </row>
    <row r="21100" spans="1:38">
      <c r="A21100" s="182"/>
      <c r="Q21100" s="183"/>
      <c r="R21100" s="183"/>
      <c r="S21100" s="183"/>
      <c r="AJ21100" s="183"/>
      <c r="AK21100" s="183"/>
      <c r="AL21100" s="183"/>
    </row>
    <row r="21101" spans="1:38">
      <c r="A21101" s="182"/>
      <c r="Q21101" s="183"/>
      <c r="R21101" s="183"/>
      <c r="S21101" s="183"/>
      <c r="AJ21101" s="183"/>
      <c r="AK21101" s="183"/>
      <c r="AL21101" s="183"/>
    </row>
    <row r="21102" spans="1:38">
      <c r="A21102" s="182"/>
      <c r="Q21102" s="183"/>
      <c r="R21102" s="183"/>
      <c r="S21102" s="183"/>
      <c r="AJ21102" s="183"/>
      <c r="AK21102" s="183"/>
      <c r="AL21102" s="183"/>
    </row>
    <row r="21103" spans="1:38">
      <c r="A21103" s="182"/>
      <c r="Q21103" s="183"/>
      <c r="R21103" s="183"/>
      <c r="S21103" s="183"/>
      <c r="AJ21103" s="183"/>
      <c r="AK21103" s="183"/>
      <c r="AL21103" s="183"/>
    </row>
    <row r="21104" spans="1:38">
      <c r="A21104" s="182"/>
      <c r="Q21104" s="183"/>
      <c r="R21104" s="183"/>
      <c r="S21104" s="183"/>
      <c r="AJ21104" s="183"/>
      <c r="AK21104" s="183"/>
      <c r="AL21104" s="183"/>
    </row>
    <row r="21105" spans="1:38">
      <c r="A21105" s="182"/>
      <c r="Q21105" s="183"/>
      <c r="R21105" s="183"/>
      <c r="S21105" s="183"/>
      <c r="AJ21105" s="183"/>
      <c r="AK21105" s="183"/>
      <c r="AL21105" s="183"/>
    </row>
    <row r="21106" spans="1:38">
      <c r="A21106" s="182"/>
      <c r="Q21106" s="183"/>
      <c r="R21106" s="183"/>
      <c r="S21106" s="183"/>
      <c r="AJ21106" s="183"/>
      <c r="AK21106" s="183"/>
      <c r="AL21106" s="183"/>
    </row>
    <row r="21107" spans="1:38">
      <c r="A21107" s="182"/>
      <c r="Q21107" s="183"/>
      <c r="R21107" s="183"/>
      <c r="S21107" s="183"/>
      <c r="AJ21107" s="183"/>
    </row>
    <row r="21108" spans="1:38">
      <c r="A21108" s="182"/>
      <c r="Q21108" s="183"/>
      <c r="R21108" s="183"/>
      <c r="S21108" s="183"/>
    </row>
    <row r="21109" spans="1:38">
      <c r="A21109" s="182"/>
      <c r="Q21109" s="183"/>
      <c r="R21109" s="183"/>
      <c r="S21109" s="183"/>
    </row>
    <row r="21110" spans="1:38">
      <c r="A21110" s="182"/>
      <c r="Q21110" s="183"/>
      <c r="R21110" s="183"/>
      <c r="S21110" s="183"/>
    </row>
    <row r="21111" spans="1:38">
      <c r="A21111" s="182"/>
      <c r="Q21111" s="183"/>
      <c r="R21111" s="183"/>
      <c r="S21111" s="183"/>
    </row>
    <row r="21112" spans="1:38">
      <c r="A21112" s="182"/>
      <c r="Q21112" s="183"/>
      <c r="R21112" s="183"/>
      <c r="S21112" s="183"/>
    </row>
    <row r="21113" spans="1:38">
      <c r="A21113" s="182"/>
      <c r="Q21113" s="183"/>
      <c r="R21113" s="183"/>
      <c r="S21113" s="183"/>
    </row>
    <row r="21114" spans="1:38">
      <c r="A21114" s="182"/>
      <c r="Q21114" s="183"/>
      <c r="R21114" s="183"/>
      <c r="S21114" s="183"/>
    </row>
    <row r="21115" spans="1:38">
      <c r="A21115" s="182"/>
      <c r="Q21115" s="183"/>
      <c r="R21115" s="183"/>
      <c r="S21115" s="183"/>
    </row>
    <row r="21116" spans="1:38">
      <c r="A21116" s="182"/>
      <c r="Q21116" s="183"/>
      <c r="R21116" s="183"/>
      <c r="S21116" s="183"/>
    </row>
    <row r="21117" spans="1:38">
      <c r="A21117" s="182"/>
      <c r="Q21117" s="183"/>
      <c r="R21117" s="183"/>
      <c r="S21117" s="183"/>
    </row>
    <row r="21118" spans="1:38">
      <c r="A21118" s="182"/>
      <c r="Q21118" s="183"/>
      <c r="R21118" s="183"/>
      <c r="S21118" s="183"/>
    </row>
    <row r="21119" spans="1:38">
      <c r="A21119" s="182"/>
      <c r="Q21119" s="183"/>
      <c r="R21119" s="183"/>
      <c r="S21119" s="183"/>
      <c r="AK21119" s="183"/>
      <c r="AL21119" s="183"/>
    </row>
    <row r="21120" spans="1:38">
      <c r="A21120" s="182"/>
      <c r="Q21120" s="183"/>
      <c r="R21120" s="183"/>
      <c r="S21120" s="183"/>
      <c r="AJ21120" s="183"/>
      <c r="AK21120" s="183"/>
      <c r="AL21120" s="183"/>
    </row>
    <row r="21121" spans="1:38">
      <c r="A21121" s="182"/>
      <c r="Q21121" s="183"/>
      <c r="R21121" s="183"/>
      <c r="S21121" s="183"/>
      <c r="AJ21121" s="183"/>
      <c r="AK21121" s="183"/>
      <c r="AL21121" s="183"/>
    </row>
    <row r="21122" spans="1:38">
      <c r="A21122" s="182"/>
      <c r="Q21122" s="183"/>
      <c r="R21122" s="183"/>
      <c r="S21122" s="183"/>
      <c r="AJ21122" s="183"/>
      <c r="AK21122" s="183"/>
      <c r="AL21122" s="183"/>
    </row>
    <row r="21123" spans="1:38">
      <c r="A21123" s="182"/>
      <c r="Q21123" s="183"/>
      <c r="R21123" s="183"/>
      <c r="S21123" s="183"/>
      <c r="AJ21123" s="183"/>
    </row>
    <row r="21124" spans="1:38">
      <c r="A21124" s="182"/>
      <c r="Q21124" s="183"/>
      <c r="R21124" s="183"/>
      <c r="S21124" s="183"/>
    </row>
    <row r="21125" spans="1:38">
      <c r="A21125" s="182"/>
      <c r="Q21125" s="183"/>
      <c r="R21125" s="183"/>
      <c r="S21125" s="183"/>
    </row>
    <row r="21126" spans="1:38">
      <c r="A21126" s="182"/>
      <c r="Q21126" s="183"/>
      <c r="R21126" s="183"/>
      <c r="S21126" s="183"/>
    </row>
    <row r="21127" spans="1:38">
      <c r="A21127" s="182"/>
      <c r="Q21127" s="183"/>
      <c r="R21127" s="183"/>
      <c r="S21127" s="183"/>
      <c r="AK21127" s="183"/>
      <c r="AL21127" s="183"/>
    </row>
    <row r="21128" spans="1:38">
      <c r="A21128" s="182"/>
      <c r="Q21128" s="183"/>
      <c r="R21128" s="183"/>
      <c r="S21128" s="183"/>
      <c r="AJ21128" s="183"/>
      <c r="AK21128" s="183"/>
      <c r="AL21128" s="183"/>
    </row>
    <row r="21129" spans="1:38">
      <c r="A21129" s="182"/>
      <c r="Q21129" s="183"/>
      <c r="R21129" s="183"/>
      <c r="S21129" s="183"/>
      <c r="AJ21129" s="183"/>
      <c r="AK21129" s="183"/>
      <c r="AL21129" s="183"/>
    </row>
    <row r="21130" spans="1:38">
      <c r="A21130" s="182"/>
      <c r="Q21130" s="183"/>
      <c r="R21130" s="183"/>
      <c r="S21130" s="183"/>
      <c r="AJ21130" s="183"/>
      <c r="AK21130" s="183"/>
      <c r="AL21130" s="183"/>
    </row>
    <row r="21131" spans="1:38">
      <c r="A21131" s="182"/>
      <c r="Q21131" s="183"/>
      <c r="R21131" s="183"/>
      <c r="S21131" s="183"/>
      <c r="AJ21131" s="183"/>
      <c r="AK21131" s="183"/>
      <c r="AL21131" s="183"/>
    </row>
    <row r="21132" spans="1:38">
      <c r="A21132" s="182"/>
      <c r="Q21132" s="183"/>
      <c r="R21132" s="183"/>
      <c r="S21132" s="183"/>
      <c r="AJ21132" s="183"/>
      <c r="AK21132" s="183"/>
      <c r="AL21132" s="183"/>
    </row>
    <row r="21133" spans="1:38">
      <c r="A21133" s="182"/>
      <c r="Q21133" s="183"/>
      <c r="R21133" s="183"/>
      <c r="S21133" s="183"/>
      <c r="AJ21133" s="183"/>
      <c r="AK21133" s="183"/>
      <c r="AL21133" s="183"/>
    </row>
    <row r="21134" spans="1:38">
      <c r="A21134" s="182"/>
      <c r="Q21134" s="183"/>
      <c r="R21134" s="183"/>
      <c r="S21134" s="183"/>
      <c r="AJ21134" s="183"/>
      <c r="AK21134" s="183"/>
      <c r="AL21134" s="183"/>
    </row>
    <row r="21135" spans="1:38">
      <c r="A21135" s="182"/>
      <c r="Q21135" s="183"/>
      <c r="R21135" s="183"/>
      <c r="S21135" s="183"/>
      <c r="AJ21135" s="183"/>
    </row>
    <row r="21136" spans="1:38">
      <c r="A21136" s="182"/>
      <c r="Q21136" s="183"/>
      <c r="R21136" s="183"/>
      <c r="S21136" s="183"/>
    </row>
    <row r="21137" spans="1:38">
      <c r="A21137" s="182"/>
      <c r="Q21137" s="183"/>
      <c r="R21137" s="183"/>
      <c r="S21137" s="183"/>
    </row>
    <row r="21138" spans="1:38">
      <c r="A21138" s="182"/>
      <c r="Q21138" s="183"/>
      <c r="R21138" s="183"/>
      <c r="S21138" s="183"/>
    </row>
    <row r="21139" spans="1:38">
      <c r="A21139" s="182"/>
      <c r="Q21139" s="183"/>
      <c r="R21139" s="183"/>
      <c r="S21139" s="183"/>
    </row>
    <row r="21140" spans="1:38">
      <c r="A21140" s="182"/>
      <c r="Q21140" s="183"/>
      <c r="R21140" s="183"/>
      <c r="S21140" s="183"/>
    </row>
    <row r="21141" spans="1:38">
      <c r="A21141" s="182"/>
      <c r="Q21141" s="183"/>
      <c r="R21141" s="183"/>
      <c r="S21141" s="183"/>
    </row>
    <row r="21142" spans="1:38">
      <c r="A21142" s="182"/>
      <c r="Q21142" s="183"/>
      <c r="R21142" s="183"/>
      <c r="S21142" s="183"/>
    </row>
    <row r="21143" spans="1:38">
      <c r="A21143" s="182"/>
      <c r="Q21143" s="183"/>
      <c r="R21143" s="183"/>
      <c r="S21143" s="183"/>
    </row>
    <row r="21144" spans="1:38">
      <c r="A21144" s="182"/>
      <c r="Q21144" s="183"/>
      <c r="R21144" s="183"/>
      <c r="S21144" s="183"/>
    </row>
    <row r="21145" spans="1:38">
      <c r="A21145" s="182"/>
      <c r="Q21145" s="183"/>
      <c r="R21145" s="183"/>
      <c r="S21145" s="183"/>
    </row>
    <row r="21146" spans="1:38">
      <c r="A21146" s="182"/>
      <c r="Q21146" s="183"/>
      <c r="R21146" s="183"/>
      <c r="S21146" s="183"/>
    </row>
    <row r="21147" spans="1:38">
      <c r="A21147" s="182"/>
      <c r="Q21147" s="183"/>
      <c r="R21147" s="183"/>
      <c r="S21147" s="183"/>
      <c r="AK21147" s="183"/>
      <c r="AL21147" s="183"/>
    </row>
    <row r="21148" spans="1:38">
      <c r="A21148" s="182"/>
      <c r="Q21148" s="183"/>
      <c r="R21148" s="183"/>
      <c r="S21148" s="183"/>
      <c r="AJ21148" s="183"/>
      <c r="AK21148" s="183"/>
      <c r="AL21148" s="183"/>
    </row>
    <row r="21149" spans="1:38">
      <c r="A21149" s="182"/>
      <c r="Q21149" s="183"/>
      <c r="R21149" s="183"/>
      <c r="S21149" s="183"/>
      <c r="AJ21149" s="183"/>
      <c r="AK21149" s="183"/>
      <c r="AL21149" s="183"/>
    </row>
    <row r="21150" spans="1:38">
      <c r="A21150" s="182"/>
      <c r="Q21150" s="183"/>
      <c r="R21150" s="183"/>
      <c r="S21150" s="183"/>
      <c r="AJ21150" s="183"/>
      <c r="AK21150" s="183"/>
      <c r="AL21150" s="183"/>
    </row>
    <row r="21151" spans="1:38">
      <c r="A21151" s="182"/>
      <c r="Q21151" s="183"/>
      <c r="R21151" s="183"/>
      <c r="S21151" s="183"/>
      <c r="AJ21151" s="183"/>
    </row>
    <row r="21152" spans="1:38">
      <c r="A21152" s="182"/>
      <c r="Q21152" s="183"/>
      <c r="R21152" s="183"/>
      <c r="S21152" s="183"/>
    </row>
    <row r="21153" spans="1:38">
      <c r="A21153" s="182"/>
      <c r="Q21153" s="183"/>
      <c r="R21153" s="183"/>
      <c r="S21153" s="183"/>
    </row>
    <row r="21154" spans="1:38">
      <c r="A21154" s="182"/>
      <c r="Q21154" s="183"/>
      <c r="R21154" s="183"/>
      <c r="S21154" s="183"/>
    </row>
    <row r="21155" spans="1:38">
      <c r="A21155" s="182"/>
      <c r="Q21155" s="183"/>
      <c r="R21155" s="183"/>
      <c r="S21155" s="183"/>
    </row>
    <row r="21156" spans="1:38">
      <c r="A21156" s="182"/>
      <c r="Q21156" s="183"/>
      <c r="R21156" s="183"/>
      <c r="S21156" s="183"/>
    </row>
    <row r="21157" spans="1:38">
      <c r="A21157" s="182"/>
      <c r="Q21157" s="183"/>
      <c r="R21157" s="183"/>
      <c r="S21157" s="183"/>
    </row>
    <row r="21158" spans="1:38">
      <c r="A21158" s="182"/>
      <c r="Q21158" s="183"/>
      <c r="R21158" s="183"/>
      <c r="S21158" s="183"/>
    </row>
    <row r="21159" spans="1:38">
      <c r="A21159" s="182"/>
      <c r="Q21159" s="183"/>
      <c r="R21159" s="183"/>
      <c r="S21159" s="183"/>
      <c r="AK21159" s="183"/>
      <c r="AL21159" s="183"/>
    </row>
    <row r="21160" spans="1:38">
      <c r="A21160" s="182"/>
      <c r="Q21160" s="183"/>
      <c r="R21160" s="183"/>
      <c r="S21160" s="183"/>
      <c r="AJ21160" s="183"/>
      <c r="AK21160" s="183"/>
      <c r="AL21160" s="183"/>
    </row>
    <row r="21161" spans="1:38">
      <c r="A21161" s="182"/>
      <c r="Q21161" s="183"/>
      <c r="R21161" s="183"/>
      <c r="S21161" s="183"/>
      <c r="AJ21161" s="183"/>
      <c r="AK21161" s="183"/>
      <c r="AL21161" s="183"/>
    </row>
    <row r="21162" spans="1:38">
      <c r="A21162" s="182"/>
      <c r="Q21162" s="183"/>
      <c r="R21162" s="183"/>
      <c r="S21162" s="183"/>
      <c r="AJ21162" s="183"/>
      <c r="AK21162" s="183"/>
      <c r="AL21162" s="183"/>
    </row>
    <row r="21163" spans="1:38">
      <c r="A21163" s="182"/>
      <c r="Q21163" s="183"/>
      <c r="R21163" s="183"/>
      <c r="S21163" s="183"/>
      <c r="AJ21163" s="183"/>
    </row>
    <row r="21164" spans="1:38">
      <c r="A21164" s="182"/>
      <c r="Q21164" s="183"/>
      <c r="R21164" s="183"/>
      <c r="S21164" s="183"/>
    </row>
    <row r="21165" spans="1:38">
      <c r="A21165" s="182"/>
      <c r="Q21165" s="183"/>
      <c r="R21165" s="183"/>
      <c r="S21165" s="183"/>
    </row>
    <row r="21166" spans="1:38">
      <c r="A21166" s="182"/>
      <c r="Q21166" s="183"/>
      <c r="R21166" s="183"/>
      <c r="S21166" s="183"/>
    </row>
    <row r="21167" spans="1:38">
      <c r="A21167" s="182"/>
      <c r="Q21167" s="183"/>
      <c r="R21167" s="183"/>
      <c r="S21167" s="183"/>
      <c r="AK21167" s="183"/>
      <c r="AL21167" s="183"/>
    </row>
    <row r="21168" spans="1:38">
      <c r="A21168" s="182"/>
      <c r="Q21168" s="183"/>
      <c r="R21168" s="183"/>
      <c r="S21168" s="183"/>
      <c r="AJ21168" s="183"/>
      <c r="AK21168" s="183"/>
      <c r="AL21168" s="183"/>
    </row>
    <row r="21169" spans="1:38">
      <c r="A21169" s="182"/>
      <c r="Q21169" s="183"/>
      <c r="R21169" s="183"/>
      <c r="S21169" s="183"/>
      <c r="AJ21169" s="183"/>
      <c r="AK21169" s="183"/>
      <c r="AL21169" s="183"/>
    </row>
    <row r="21170" spans="1:38">
      <c r="A21170" s="182"/>
      <c r="Q21170" s="183"/>
      <c r="R21170" s="183"/>
      <c r="S21170" s="183"/>
      <c r="AJ21170" s="183"/>
      <c r="AK21170" s="183"/>
      <c r="AL21170" s="183"/>
    </row>
    <row r="21171" spans="1:38">
      <c r="A21171" s="182"/>
      <c r="Q21171" s="183"/>
      <c r="R21171" s="183"/>
      <c r="S21171" s="183"/>
      <c r="AJ21171" s="183"/>
    </row>
    <row r="21172" spans="1:38">
      <c r="A21172" s="182"/>
      <c r="Q21172" s="183"/>
      <c r="R21172" s="183"/>
      <c r="S21172" s="183"/>
    </row>
    <row r="21173" spans="1:38">
      <c r="A21173" s="182"/>
      <c r="Q21173" s="183"/>
      <c r="R21173" s="183"/>
      <c r="S21173" s="183"/>
    </row>
    <row r="21174" spans="1:38">
      <c r="A21174" s="182"/>
      <c r="Q21174" s="183"/>
      <c r="R21174" s="183"/>
      <c r="S21174" s="183"/>
    </row>
    <row r="21175" spans="1:38">
      <c r="A21175" s="182"/>
      <c r="Q21175" s="183"/>
      <c r="R21175" s="183"/>
      <c r="S21175" s="183"/>
    </row>
    <row r="21176" spans="1:38">
      <c r="A21176" s="182"/>
      <c r="Q21176" s="183"/>
      <c r="R21176" s="183"/>
      <c r="S21176" s="183"/>
    </row>
    <row r="21177" spans="1:38">
      <c r="A21177" s="182"/>
      <c r="Q21177" s="183"/>
      <c r="R21177" s="183"/>
      <c r="S21177" s="183"/>
    </row>
    <row r="21178" spans="1:38">
      <c r="A21178" s="182"/>
      <c r="Q21178" s="183"/>
      <c r="R21178" s="183"/>
      <c r="S21178" s="183"/>
    </row>
    <row r="21179" spans="1:38">
      <c r="A21179" s="182"/>
      <c r="Q21179" s="183"/>
      <c r="R21179" s="183"/>
      <c r="S21179" s="183"/>
    </row>
    <row r="21180" spans="1:38">
      <c r="A21180" s="182"/>
      <c r="Q21180" s="183"/>
      <c r="R21180" s="183"/>
      <c r="S21180" s="183"/>
    </row>
    <row r="21181" spans="1:38">
      <c r="A21181" s="182"/>
      <c r="Q21181" s="183"/>
      <c r="R21181" s="183"/>
      <c r="S21181" s="183"/>
    </row>
    <row r="21182" spans="1:38">
      <c r="A21182" s="182"/>
      <c r="Q21182" s="183"/>
      <c r="R21182" s="183"/>
      <c r="S21182" s="183"/>
    </row>
    <row r="21183" spans="1:38">
      <c r="A21183" s="182"/>
      <c r="Q21183" s="183"/>
      <c r="R21183" s="183"/>
      <c r="S21183" s="183"/>
    </row>
    <row r="21184" spans="1:38">
      <c r="A21184" s="182"/>
      <c r="Q21184" s="183"/>
      <c r="R21184" s="183"/>
      <c r="S21184" s="183"/>
    </row>
    <row r="21185" spans="1:38">
      <c r="A21185" s="182"/>
      <c r="Q21185" s="183"/>
      <c r="R21185" s="183"/>
      <c r="S21185" s="183"/>
    </row>
    <row r="21186" spans="1:38">
      <c r="A21186" s="182"/>
      <c r="Q21186" s="183"/>
      <c r="R21186" s="183"/>
      <c r="S21186" s="183"/>
    </row>
    <row r="21187" spans="1:38">
      <c r="A21187" s="182"/>
      <c r="Q21187" s="183"/>
      <c r="R21187" s="183"/>
      <c r="S21187" s="183"/>
    </row>
    <row r="21188" spans="1:38">
      <c r="A21188" s="182"/>
      <c r="Q21188" s="183"/>
      <c r="R21188" s="183"/>
      <c r="S21188" s="183"/>
    </row>
    <row r="21189" spans="1:38">
      <c r="A21189" s="182"/>
      <c r="Q21189" s="183"/>
      <c r="R21189" s="183"/>
      <c r="S21189" s="183"/>
    </row>
    <row r="21190" spans="1:38">
      <c r="A21190" s="182"/>
      <c r="Q21190" s="183"/>
      <c r="R21190" s="183"/>
      <c r="S21190" s="183"/>
    </row>
    <row r="21191" spans="1:38">
      <c r="A21191" s="182"/>
      <c r="Q21191" s="183"/>
      <c r="R21191" s="183"/>
      <c r="S21191" s="183"/>
      <c r="AK21191" s="183"/>
      <c r="AL21191" s="183"/>
    </row>
    <row r="21192" spans="1:38">
      <c r="A21192" s="182"/>
      <c r="Q21192" s="183"/>
      <c r="R21192" s="183"/>
      <c r="S21192" s="183"/>
      <c r="AJ21192" s="183"/>
      <c r="AK21192" s="183"/>
      <c r="AL21192" s="183"/>
    </row>
    <row r="21193" spans="1:38">
      <c r="A21193" s="182"/>
      <c r="Q21193" s="183"/>
      <c r="R21193" s="183"/>
      <c r="S21193" s="183"/>
      <c r="AJ21193" s="183"/>
      <c r="AK21193" s="183"/>
      <c r="AL21193" s="183"/>
    </row>
    <row r="21194" spans="1:38">
      <c r="A21194" s="182"/>
      <c r="Q21194" s="183"/>
      <c r="R21194" s="183"/>
      <c r="S21194" s="183"/>
      <c r="AJ21194" s="183"/>
      <c r="AK21194" s="183"/>
      <c r="AL21194" s="183"/>
    </row>
    <row r="21195" spans="1:38">
      <c r="A21195" s="182"/>
      <c r="Q21195" s="183"/>
      <c r="R21195" s="183"/>
      <c r="S21195" s="183"/>
      <c r="AJ21195" s="183"/>
    </row>
    <row r="21196" spans="1:38">
      <c r="A21196" s="182"/>
      <c r="Q21196" s="183"/>
      <c r="R21196" s="183"/>
      <c r="S21196" s="183"/>
    </row>
    <row r="21197" spans="1:38">
      <c r="A21197" s="182"/>
      <c r="Q21197" s="183"/>
      <c r="R21197" s="183"/>
      <c r="S21197" s="183"/>
    </row>
    <row r="21198" spans="1:38">
      <c r="A21198" s="182"/>
      <c r="Q21198" s="183"/>
      <c r="R21198" s="183"/>
      <c r="S21198" s="183"/>
    </row>
    <row r="21199" spans="1:38">
      <c r="A21199" s="182"/>
      <c r="Q21199" s="183"/>
      <c r="R21199" s="183"/>
      <c r="S21199" s="183"/>
    </row>
    <row r="21200" spans="1:38">
      <c r="A21200" s="182"/>
      <c r="Q21200" s="183"/>
      <c r="R21200" s="183"/>
      <c r="S21200" s="183"/>
    </row>
    <row r="21201" spans="1:38">
      <c r="A21201" s="182"/>
      <c r="Q21201" s="183"/>
      <c r="R21201" s="183"/>
      <c r="S21201" s="183"/>
    </row>
    <row r="21202" spans="1:38">
      <c r="A21202" s="182"/>
      <c r="Q21202" s="183"/>
      <c r="R21202" s="183"/>
      <c r="S21202" s="183"/>
    </row>
    <row r="21203" spans="1:38">
      <c r="A21203" s="182"/>
      <c r="Q21203" s="183"/>
      <c r="R21203" s="183"/>
      <c r="S21203" s="183"/>
    </row>
    <row r="21204" spans="1:38">
      <c r="A21204" s="182"/>
      <c r="Q21204" s="183"/>
      <c r="R21204" s="183"/>
      <c r="S21204" s="183"/>
    </row>
    <row r="21205" spans="1:38">
      <c r="A21205" s="182"/>
      <c r="Q21205" s="183"/>
      <c r="R21205" s="183"/>
      <c r="S21205" s="183"/>
    </row>
    <row r="21206" spans="1:38">
      <c r="A21206" s="182"/>
      <c r="Q21206" s="183"/>
      <c r="R21206" s="183"/>
      <c r="S21206" s="183"/>
    </row>
    <row r="21207" spans="1:38">
      <c r="A21207" s="182"/>
      <c r="Q21207" s="183"/>
      <c r="R21207" s="183"/>
      <c r="S21207" s="183"/>
      <c r="AK21207" s="183"/>
      <c r="AL21207" s="183"/>
    </row>
    <row r="21208" spans="1:38">
      <c r="A21208" s="182"/>
      <c r="Q21208" s="183"/>
      <c r="R21208" s="183"/>
      <c r="S21208" s="183"/>
      <c r="AJ21208" s="183"/>
      <c r="AK21208" s="183"/>
      <c r="AL21208" s="183"/>
    </row>
    <row r="21209" spans="1:38">
      <c r="A21209" s="182"/>
      <c r="Q21209" s="183"/>
      <c r="R21209" s="183"/>
      <c r="S21209" s="183"/>
      <c r="AJ21209" s="183"/>
      <c r="AK21209" s="183"/>
      <c r="AL21209" s="183"/>
    </row>
    <row r="21210" spans="1:38">
      <c r="A21210" s="182"/>
      <c r="Q21210" s="183"/>
      <c r="R21210" s="183"/>
      <c r="S21210" s="183"/>
      <c r="AJ21210" s="183"/>
      <c r="AK21210" s="183"/>
      <c r="AL21210" s="183"/>
    </row>
    <row r="21211" spans="1:38">
      <c r="A21211" s="182"/>
      <c r="Q21211" s="183"/>
      <c r="R21211" s="183"/>
      <c r="S21211" s="183"/>
      <c r="AJ21211" s="183"/>
      <c r="AK21211" s="183"/>
      <c r="AL21211" s="183"/>
    </row>
    <row r="21212" spans="1:38">
      <c r="A21212" s="182"/>
      <c r="Q21212" s="183"/>
      <c r="R21212" s="183"/>
      <c r="S21212" s="183"/>
      <c r="AJ21212" s="183"/>
      <c r="AK21212" s="183"/>
      <c r="AL21212" s="183"/>
    </row>
    <row r="21213" spans="1:38">
      <c r="A21213" s="182"/>
      <c r="Q21213" s="183"/>
      <c r="R21213" s="183"/>
      <c r="S21213" s="183"/>
      <c r="AJ21213" s="183"/>
      <c r="AK21213" s="183"/>
      <c r="AL21213" s="183"/>
    </row>
    <row r="21214" spans="1:38">
      <c r="A21214" s="182"/>
      <c r="Q21214" s="183"/>
      <c r="R21214" s="183"/>
      <c r="S21214" s="183"/>
      <c r="AJ21214" s="183"/>
      <c r="AK21214" s="183"/>
      <c r="AL21214" s="183"/>
    </row>
    <row r="21215" spans="1:38">
      <c r="A21215" s="182"/>
      <c r="Q21215" s="183"/>
      <c r="R21215" s="183"/>
      <c r="S21215" s="183"/>
      <c r="AJ21215" s="183"/>
    </row>
    <row r="21216" spans="1:38">
      <c r="A21216" s="182"/>
      <c r="Q21216" s="183"/>
      <c r="R21216" s="183"/>
      <c r="S21216" s="183"/>
    </row>
    <row r="21217" spans="1:38">
      <c r="A21217" s="182"/>
      <c r="Q21217" s="183"/>
      <c r="R21217" s="183"/>
      <c r="S21217" s="183"/>
    </row>
    <row r="21218" spans="1:38">
      <c r="A21218" s="182"/>
      <c r="Q21218" s="183"/>
      <c r="R21218" s="183"/>
      <c r="S21218" s="183"/>
    </row>
    <row r="21219" spans="1:38">
      <c r="A21219" s="182"/>
      <c r="Q21219" s="183"/>
      <c r="R21219" s="183"/>
      <c r="S21219" s="183"/>
      <c r="AK21219" s="183"/>
      <c r="AL21219" s="183"/>
    </row>
    <row r="21220" spans="1:38">
      <c r="A21220" s="182"/>
      <c r="Q21220" s="183"/>
      <c r="R21220" s="183"/>
      <c r="S21220" s="183"/>
      <c r="AJ21220" s="183"/>
      <c r="AK21220" s="183"/>
      <c r="AL21220" s="183"/>
    </row>
    <row r="21221" spans="1:38">
      <c r="A21221" s="182"/>
      <c r="Q21221" s="183"/>
      <c r="R21221" s="183"/>
      <c r="S21221" s="183"/>
      <c r="AJ21221" s="183"/>
      <c r="AK21221" s="183"/>
      <c r="AL21221" s="183"/>
    </row>
    <row r="21222" spans="1:38">
      <c r="A21222" s="182"/>
      <c r="Q21222" s="183"/>
      <c r="R21222" s="183"/>
      <c r="S21222" s="183"/>
      <c r="AJ21222" s="183"/>
      <c r="AK21222" s="183"/>
      <c r="AL21222" s="183"/>
    </row>
    <row r="21223" spans="1:38">
      <c r="A21223" s="182"/>
      <c r="Q21223" s="183"/>
      <c r="R21223" s="183"/>
      <c r="S21223" s="183"/>
      <c r="AJ21223" s="183"/>
      <c r="AK21223" s="183"/>
      <c r="AL21223" s="183"/>
    </row>
    <row r="21224" spans="1:38">
      <c r="A21224" s="182"/>
      <c r="Q21224" s="183"/>
      <c r="R21224" s="183"/>
      <c r="S21224" s="183"/>
      <c r="AJ21224" s="183"/>
      <c r="AK21224" s="183"/>
      <c r="AL21224" s="183"/>
    </row>
    <row r="21225" spans="1:38">
      <c r="A21225" s="182"/>
      <c r="Q21225" s="183"/>
      <c r="R21225" s="183"/>
      <c r="S21225" s="183"/>
      <c r="AJ21225" s="183"/>
      <c r="AK21225" s="183"/>
      <c r="AL21225" s="183"/>
    </row>
    <row r="21226" spans="1:38">
      <c r="A21226" s="182"/>
      <c r="Q21226" s="183"/>
      <c r="R21226" s="183"/>
      <c r="S21226" s="183"/>
      <c r="AJ21226" s="183"/>
      <c r="AK21226" s="183"/>
      <c r="AL21226" s="183"/>
    </row>
    <row r="21227" spans="1:38">
      <c r="A21227" s="182"/>
      <c r="Q21227" s="183"/>
      <c r="R21227" s="183"/>
      <c r="S21227" s="183"/>
      <c r="AJ21227" s="183"/>
    </row>
    <row r="21228" spans="1:38">
      <c r="A21228" s="182"/>
      <c r="Q21228" s="183"/>
      <c r="R21228" s="183"/>
      <c r="S21228" s="183"/>
    </row>
    <row r="21229" spans="1:38">
      <c r="A21229" s="182"/>
      <c r="Q21229" s="183"/>
      <c r="R21229" s="183"/>
      <c r="S21229" s="183"/>
    </row>
    <row r="21230" spans="1:38">
      <c r="A21230" s="182"/>
      <c r="Q21230" s="183"/>
      <c r="R21230" s="183"/>
      <c r="S21230" s="183"/>
    </row>
    <row r="21231" spans="1:38">
      <c r="A21231" s="182"/>
      <c r="Q21231" s="183"/>
      <c r="R21231" s="183"/>
      <c r="S21231" s="183"/>
    </row>
    <row r="21232" spans="1:38">
      <c r="A21232" s="182"/>
      <c r="Q21232" s="183"/>
      <c r="R21232" s="183"/>
      <c r="S21232" s="183"/>
    </row>
    <row r="21233" spans="1:38">
      <c r="A21233" s="182"/>
      <c r="Q21233" s="183"/>
      <c r="R21233" s="183"/>
      <c r="S21233" s="183"/>
    </row>
    <row r="21234" spans="1:38">
      <c r="A21234" s="182"/>
      <c r="Q21234" s="183"/>
      <c r="R21234" s="183"/>
      <c r="S21234" s="183"/>
    </row>
    <row r="21235" spans="1:38">
      <c r="A21235" s="182"/>
      <c r="Q21235" s="183"/>
      <c r="R21235" s="183"/>
      <c r="S21235" s="183"/>
    </row>
    <row r="21236" spans="1:38">
      <c r="A21236" s="182"/>
      <c r="Q21236" s="183"/>
      <c r="R21236" s="183"/>
      <c r="S21236" s="183"/>
    </row>
    <row r="21237" spans="1:38">
      <c r="A21237" s="182"/>
      <c r="Q21237" s="183"/>
      <c r="R21237" s="183"/>
      <c r="S21237" s="183"/>
    </row>
    <row r="21238" spans="1:38">
      <c r="A21238" s="182"/>
      <c r="Q21238" s="183"/>
      <c r="R21238" s="183"/>
      <c r="S21238" s="183"/>
    </row>
    <row r="21239" spans="1:38">
      <c r="A21239" s="182"/>
      <c r="Q21239" s="183"/>
      <c r="R21239" s="183"/>
      <c r="S21239" s="183"/>
    </row>
    <row r="21240" spans="1:38">
      <c r="A21240" s="182"/>
      <c r="Q21240" s="183"/>
      <c r="R21240" s="183"/>
      <c r="S21240" s="183"/>
    </row>
    <row r="21241" spans="1:38">
      <c r="A21241" s="182"/>
      <c r="Q21241" s="183"/>
      <c r="R21241" s="183"/>
      <c r="S21241" s="183"/>
    </row>
    <row r="21242" spans="1:38">
      <c r="A21242" s="182"/>
      <c r="Q21242" s="183"/>
      <c r="R21242" s="183"/>
      <c r="S21242" s="183"/>
    </row>
    <row r="21243" spans="1:38">
      <c r="A21243" s="182"/>
      <c r="Q21243" s="183"/>
      <c r="R21243" s="183"/>
      <c r="S21243" s="183"/>
    </row>
    <row r="21244" spans="1:38">
      <c r="A21244" s="182"/>
      <c r="Q21244" s="183"/>
      <c r="R21244" s="183"/>
      <c r="S21244" s="183"/>
    </row>
    <row r="21245" spans="1:38">
      <c r="A21245" s="182"/>
      <c r="Q21245" s="183"/>
      <c r="R21245" s="183"/>
      <c r="S21245" s="183"/>
    </row>
    <row r="21246" spans="1:38">
      <c r="A21246" s="182"/>
      <c r="Q21246" s="183"/>
      <c r="R21246" s="183"/>
      <c r="S21246" s="183"/>
    </row>
    <row r="21247" spans="1:38">
      <c r="A21247" s="182"/>
      <c r="Q21247" s="183"/>
      <c r="R21247" s="183"/>
      <c r="S21247" s="183"/>
      <c r="AK21247" s="183"/>
      <c r="AL21247" s="183"/>
    </row>
    <row r="21248" spans="1:38">
      <c r="A21248" s="182"/>
      <c r="Q21248" s="183"/>
      <c r="R21248" s="183"/>
      <c r="S21248" s="183"/>
      <c r="AJ21248" s="183"/>
      <c r="AK21248" s="183"/>
      <c r="AL21248" s="183"/>
    </row>
    <row r="21249" spans="1:38">
      <c r="A21249" s="182"/>
      <c r="Q21249" s="183"/>
      <c r="R21249" s="183"/>
      <c r="S21249" s="183"/>
      <c r="AJ21249" s="183"/>
      <c r="AK21249" s="183"/>
      <c r="AL21249" s="183"/>
    </row>
    <row r="21250" spans="1:38">
      <c r="A21250" s="182"/>
      <c r="Q21250" s="183"/>
      <c r="R21250" s="183"/>
      <c r="S21250" s="183"/>
      <c r="AJ21250" s="183"/>
      <c r="AK21250" s="183"/>
      <c r="AL21250" s="183"/>
    </row>
    <row r="21251" spans="1:38">
      <c r="A21251" s="182"/>
      <c r="Q21251" s="183"/>
      <c r="R21251" s="183"/>
      <c r="S21251" s="183"/>
      <c r="AJ21251" s="183"/>
    </row>
    <row r="21252" spans="1:38">
      <c r="A21252" s="182"/>
      <c r="Q21252" s="183"/>
      <c r="R21252" s="183"/>
      <c r="S21252" s="183"/>
    </row>
    <row r="21253" spans="1:38">
      <c r="A21253" s="182"/>
      <c r="Q21253" s="183"/>
      <c r="R21253" s="183"/>
      <c r="S21253" s="183"/>
    </row>
    <row r="21254" spans="1:38">
      <c r="A21254" s="182"/>
      <c r="Q21254" s="183"/>
      <c r="R21254" s="183"/>
      <c r="S21254" s="183"/>
    </row>
    <row r="21255" spans="1:38">
      <c r="A21255" s="182"/>
      <c r="Q21255" s="183"/>
      <c r="R21255" s="183"/>
      <c r="S21255" s="183"/>
    </row>
    <row r="21256" spans="1:38">
      <c r="A21256" s="182"/>
      <c r="Q21256" s="183"/>
      <c r="R21256" s="183"/>
      <c r="S21256" s="183"/>
    </row>
    <row r="21257" spans="1:38">
      <c r="A21257" s="182"/>
      <c r="Q21257" s="183"/>
      <c r="R21257" s="183"/>
      <c r="S21257" s="183"/>
    </row>
    <row r="21258" spans="1:38">
      <c r="A21258" s="182"/>
      <c r="Q21258" s="183"/>
      <c r="R21258" s="183"/>
      <c r="S21258" s="183"/>
    </row>
    <row r="21259" spans="1:38">
      <c r="A21259" s="182"/>
      <c r="Q21259" s="183"/>
      <c r="R21259" s="183"/>
      <c r="S21259" s="183"/>
      <c r="AK21259" s="183"/>
      <c r="AL21259" s="183"/>
    </row>
    <row r="21260" spans="1:38">
      <c r="A21260" s="182"/>
      <c r="Q21260" s="183"/>
      <c r="R21260" s="183"/>
      <c r="S21260" s="183"/>
      <c r="AJ21260" s="183"/>
      <c r="AK21260" s="183"/>
      <c r="AL21260" s="183"/>
    </row>
    <row r="21261" spans="1:38">
      <c r="A21261" s="182"/>
      <c r="Q21261" s="183"/>
      <c r="R21261" s="183"/>
      <c r="S21261" s="183"/>
      <c r="AJ21261" s="183"/>
      <c r="AK21261" s="183"/>
      <c r="AL21261" s="183"/>
    </row>
    <row r="21262" spans="1:38">
      <c r="A21262" s="182"/>
      <c r="Q21262" s="183"/>
      <c r="R21262" s="183"/>
      <c r="S21262" s="183"/>
      <c r="AJ21262" s="183"/>
      <c r="AK21262" s="183"/>
      <c r="AL21262" s="183"/>
    </row>
    <row r="21263" spans="1:38">
      <c r="A21263" s="182"/>
      <c r="Q21263" s="183"/>
      <c r="R21263" s="183"/>
      <c r="S21263" s="183"/>
      <c r="AJ21263" s="183"/>
    </row>
    <row r="21264" spans="1:38">
      <c r="A21264" s="182"/>
      <c r="Q21264" s="183"/>
      <c r="R21264" s="183"/>
      <c r="S21264" s="183"/>
    </row>
    <row r="21265" spans="1:19">
      <c r="A21265" s="182"/>
      <c r="Q21265" s="183"/>
      <c r="R21265" s="183"/>
      <c r="S21265" s="183"/>
    </row>
    <row r="21266" spans="1:19">
      <c r="A21266" s="182"/>
      <c r="Q21266" s="183"/>
      <c r="R21266" s="183"/>
      <c r="S21266" s="183"/>
    </row>
    <row r="21267" spans="1:19">
      <c r="A21267" s="182"/>
      <c r="Q21267" s="183"/>
      <c r="R21267" s="183"/>
      <c r="S21267" s="183"/>
    </row>
    <row r="21268" spans="1:19">
      <c r="A21268" s="182"/>
      <c r="Q21268" s="183"/>
      <c r="R21268" s="183"/>
      <c r="S21268" s="183"/>
    </row>
    <row r="21269" spans="1:19">
      <c r="A21269" s="182"/>
      <c r="Q21269" s="183"/>
      <c r="R21269" s="183"/>
      <c r="S21269" s="183"/>
    </row>
    <row r="21270" spans="1:19">
      <c r="A21270" s="182"/>
      <c r="Q21270" s="183"/>
      <c r="R21270" s="183"/>
      <c r="S21270" s="183"/>
    </row>
    <row r="21271" spans="1:19">
      <c r="A21271" s="182"/>
      <c r="Q21271" s="183"/>
      <c r="R21271" s="183"/>
      <c r="S21271" s="183"/>
    </row>
    <row r="21272" spans="1:19">
      <c r="A21272" s="182"/>
      <c r="Q21272" s="183"/>
      <c r="R21272" s="183"/>
      <c r="S21272" s="183"/>
    </row>
    <row r="21273" spans="1:19">
      <c r="A21273" s="182"/>
      <c r="Q21273" s="183"/>
      <c r="R21273" s="183"/>
      <c r="S21273" s="183"/>
    </row>
    <row r="21274" spans="1:19">
      <c r="A21274" s="182"/>
      <c r="Q21274" s="183"/>
      <c r="R21274" s="183"/>
      <c r="S21274" s="183"/>
    </row>
    <row r="21275" spans="1:19">
      <c r="A21275" s="182"/>
      <c r="Q21275" s="183"/>
      <c r="R21275" s="183"/>
      <c r="S21275" s="183"/>
    </row>
    <row r="21276" spans="1:19">
      <c r="A21276" s="182"/>
      <c r="Q21276" s="183"/>
      <c r="R21276" s="183"/>
      <c r="S21276" s="183"/>
    </row>
    <row r="21277" spans="1:19">
      <c r="A21277" s="182"/>
      <c r="Q21277" s="183"/>
      <c r="R21277" s="183"/>
      <c r="S21277" s="183"/>
    </row>
    <row r="21278" spans="1:19">
      <c r="A21278" s="182"/>
      <c r="Q21278" s="183"/>
      <c r="R21278" s="183"/>
      <c r="S21278" s="183"/>
    </row>
    <row r="21279" spans="1:19">
      <c r="A21279" s="182"/>
      <c r="Q21279" s="183"/>
      <c r="R21279" s="183"/>
      <c r="S21279" s="183"/>
    </row>
    <row r="21280" spans="1:19">
      <c r="A21280" s="182"/>
      <c r="Q21280" s="183"/>
      <c r="R21280" s="183"/>
      <c r="S21280" s="183"/>
    </row>
    <row r="21281" spans="1:38">
      <c r="A21281" s="182"/>
      <c r="Q21281" s="183"/>
      <c r="R21281" s="183"/>
      <c r="S21281" s="183"/>
    </row>
    <row r="21282" spans="1:38">
      <c r="A21282" s="182"/>
      <c r="Q21282" s="183"/>
      <c r="R21282" s="183"/>
      <c r="S21282" s="183"/>
    </row>
    <row r="21283" spans="1:38">
      <c r="A21283" s="182"/>
      <c r="Q21283" s="183"/>
      <c r="R21283" s="183"/>
      <c r="S21283" s="183"/>
    </row>
    <row r="21284" spans="1:38">
      <c r="A21284" s="182"/>
      <c r="Q21284" s="183"/>
      <c r="R21284" s="183"/>
      <c r="S21284" s="183"/>
    </row>
    <row r="21285" spans="1:38">
      <c r="A21285" s="182"/>
      <c r="Q21285" s="183"/>
      <c r="R21285" s="183"/>
      <c r="S21285" s="183"/>
    </row>
    <row r="21286" spans="1:38">
      <c r="A21286" s="182"/>
      <c r="Q21286" s="183"/>
      <c r="R21286" s="183"/>
      <c r="S21286" s="183"/>
    </row>
    <row r="21287" spans="1:38">
      <c r="A21287" s="182"/>
      <c r="Q21287" s="183"/>
      <c r="R21287" s="183"/>
      <c r="S21287" s="183"/>
    </row>
    <row r="21288" spans="1:38">
      <c r="A21288" s="182"/>
      <c r="Q21288" s="183"/>
      <c r="R21288" s="183"/>
      <c r="S21288" s="183"/>
    </row>
    <row r="21289" spans="1:38">
      <c r="A21289" s="182"/>
      <c r="Q21289" s="183"/>
      <c r="R21289" s="183"/>
      <c r="S21289" s="183"/>
    </row>
    <row r="21290" spans="1:38">
      <c r="A21290" s="182"/>
      <c r="Q21290" s="183"/>
      <c r="R21290" s="183"/>
      <c r="S21290" s="183"/>
    </row>
    <row r="21291" spans="1:38">
      <c r="A21291" s="182"/>
      <c r="Q21291" s="183"/>
      <c r="R21291" s="183"/>
      <c r="S21291" s="183"/>
      <c r="AK21291" s="183"/>
      <c r="AL21291" s="183"/>
    </row>
    <row r="21292" spans="1:38">
      <c r="A21292" s="182"/>
      <c r="Q21292" s="183"/>
      <c r="R21292" s="183"/>
      <c r="S21292" s="183"/>
      <c r="AJ21292" s="183"/>
      <c r="AK21292" s="183"/>
      <c r="AL21292" s="183"/>
    </row>
    <row r="21293" spans="1:38">
      <c r="A21293" s="182"/>
      <c r="Q21293" s="183"/>
      <c r="R21293" s="183"/>
      <c r="S21293" s="183"/>
      <c r="AJ21293" s="183"/>
      <c r="AK21293" s="183"/>
      <c r="AL21293" s="183"/>
    </row>
    <row r="21294" spans="1:38">
      <c r="A21294" s="182"/>
      <c r="Q21294" s="183"/>
      <c r="R21294" s="183"/>
      <c r="S21294" s="183"/>
      <c r="AJ21294" s="183"/>
      <c r="AK21294" s="183"/>
      <c r="AL21294" s="183"/>
    </row>
    <row r="21295" spans="1:38">
      <c r="A21295" s="182"/>
      <c r="Q21295" s="183"/>
      <c r="R21295" s="183"/>
      <c r="S21295" s="183"/>
      <c r="AJ21295" s="183"/>
    </row>
    <row r="21296" spans="1:38">
      <c r="A21296" s="182"/>
      <c r="Q21296" s="183"/>
      <c r="R21296" s="183"/>
      <c r="S21296" s="183"/>
    </row>
    <row r="21297" spans="1:38">
      <c r="A21297" s="182"/>
      <c r="Q21297" s="183"/>
      <c r="R21297" s="183"/>
      <c r="S21297" s="183"/>
    </row>
    <row r="21298" spans="1:38">
      <c r="A21298" s="182"/>
      <c r="Q21298" s="183"/>
      <c r="R21298" s="183"/>
      <c r="S21298" s="183"/>
    </row>
    <row r="21299" spans="1:38">
      <c r="A21299" s="182"/>
      <c r="Q21299" s="183"/>
      <c r="R21299" s="183"/>
      <c r="S21299" s="183"/>
    </row>
    <row r="21300" spans="1:38">
      <c r="A21300" s="182"/>
      <c r="Q21300" s="183"/>
      <c r="R21300" s="183"/>
      <c r="S21300" s="183"/>
    </row>
    <row r="21301" spans="1:38">
      <c r="A21301" s="182"/>
      <c r="Q21301" s="183"/>
      <c r="R21301" s="183"/>
      <c r="S21301" s="183"/>
    </row>
    <row r="21302" spans="1:38">
      <c r="A21302" s="182"/>
      <c r="Q21302" s="183"/>
      <c r="R21302" s="183"/>
      <c r="S21302" s="183"/>
    </row>
    <row r="21303" spans="1:38">
      <c r="A21303" s="182"/>
      <c r="Q21303" s="183"/>
      <c r="R21303" s="183"/>
      <c r="S21303" s="183"/>
      <c r="AK21303" s="183"/>
      <c r="AL21303" s="183"/>
    </row>
    <row r="21304" spans="1:38">
      <c r="A21304" s="182"/>
      <c r="Q21304" s="183"/>
      <c r="R21304" s="183"/>
      <c r="S21304" s="183"/>
      <c r="AJ21304" s="183"/>
      <c r="AK21304" s="183"/>
      <c r="AL21304" s="183"/>
    </row>
    <row r="21305" spans="1:38">
      <c r="A21305" s="182"/>
      <c r="Q21305" s="183"/>
      <c r="R21305" s="183"/>
      <c r="S21305" s="183"/>
      <c r="AJ21305" s="183"/>
      <c r="AK21305" s="183"/>
      <c r="AL21305" s="183"/>
    </row>
    <row r="21306" spans="1:38">
      <c r="A21306" s="182"/>
      <c r="Q21306" s="183"/>
      <c r="R21306" s="183"/>
      <c r="S21306" s="183"/>
      <c r="AJ21306" s="183"/>
      <c r="AK21306" s="183"/>
      <c r="AL21306" s="183"/>
    </row>
    <row r="21307" spans="1:38">
      <c r="A21307" s="182"/>
      <c r="Q21307" s="183"/>
      <c r="R21307" s="183"/>
      <c r="S21307" s="183"/>
      <c r="AJ21307" s="183"/>
    </row>
    <row r="21308" spans="1:38">
      <c r="A21308" s="182"/>
      <c r="Q21308" s="183"/>
      <c r="R21308" s="183"/>
      <c r="S21308" s="183"/>
    </row>
    <row r="21309" spans="1:38">
      <c r="A21309" s="182"/>
      <c r="Q21309" s="183"/>
      <c r="R21309" s="183"/>
      <c r="S21309" s="183"/>
    </row>
    <row r="21310" spans="1:38">
      <c r="A21310" s="182"/>
      <c r="Q21310" s="183"/>
      <c r="R21310" s="183"/>
      <c r="S21310" s="183"/>
    </row>
    <row r="21311" spans="1:38">
      <c r="A21311" s="182"/>
      <c r="Q21311" s="183"/>
      <c r="R21311" s="183"/>
      <c r="S21311" s="183"/>
      <c r="AK21311" s="183"/>
      <c r="AL21311" s="183"/>
    </row>
    <row r="21312" spans="1:38">
      <c r="A21312" s="182"/>
      <c r="Q21312" s="183"/>
      <c r="R21312" s="183"/>
      <c r="S21312" s="183"/>
      <c r="AJ21312" s="183"/>
      <c r="AK21312" s="183"/>
      <c r="AL21312" s="183"/>
    </row>
    <row r="21313" spans="1:38">
      <c r="A21313" s="182"/>
      <c r="Q21313" s="183"/>
      <c r="R21313" s="183"/>
      <c r="S21313" s="183"/>
      <c r="AJ21313" s="183"/>
      <c r="AK21313" s="183"/>
      <c r="AL21313" s="183"/>
    </row>
    <row r="21314" spans="1:38">
      <c r="A21314" s="182"/>
      <c r="Q21314" s="183"/>
      <c r="R21314" s="183"/>
      <c r="S21314" s="183"/>
      <c r="AJ21314" s="183"/>
      <c r="AK21314" s="183"/>
      <c r="AL21314" s="183"/>
    </row>
    <row r="21315" spans="1:38">
      <c r="A21315" s="182"/>
      <c r="Q21315" s="183"/>
      <c r="R21315" s="183"/>
      <c r="S21315" s="183"/>
      <c r="AJ21315" s="183"/>
      <c r="AK21315" s="183"/>
      <c r="AL21315" s="183"/>
    </row>
    <row r="21316" spans="1:38">
      <c r="A21316" s="182"/>
      <c r="Q21316" s="183"/>
      <c r="R21316" s="183"/>
      <c r="S21316" s="183"/>
      <c r="AJ21316" s="183"/>
      <c r="AK21316" s="183"/>
      <c r="AL21316" s="183"/>
    </row>
    <row r="21317" spans="1:38">
      <c r="A21317" s="182"/>
      <c r="Q21317" s="183"/>
      <c r="R21317" s="183"/>
      <c r="S21317" s="183"/>
      <c r="AJ21317" s="183"/>
      <c r="AK21317" s="183"/>
      <c r="AL21317" s="183"/>
    </row>
    <row r="21318" spans="1:38">
      <c r="A21318" s="182"/>
      <c r="Q21318" s="183"/>
      <c r="R21318" s="183"/>
      <c r="S21318" s="183"/>
      <c r="AJ21318" s="183"/>
      <c r="AK21318" s="183"/>
      <c r="AL21318" s="183"/>
    </row>
    <row r="21319" spans="1:38">
      <c r="A21319" s="182"/>
      <c r="Q21319" s="183"/>
      <c r="R21319" s="183"/>
      <c r="S21319" s="183"/>
      <c r="AJ21319" s="183"/>
    </row>
    <row r="21320" spans="1:38">
      <c r="A21320" s="182"/>
      <c r="Q21320" s="183"/>
      <c r="R21320" s="183"/>
      <c r="S21320" s="183"/>
    </row>
    <row r="21321" spans="1:38">
      <c r="A21321" s="182"/>
      <c r="Q21321" s="183"/>
      <c r="R21321" s="183"/>
      <c r="S21321" s="183"/>
    </row>
    <row r="21322" spans="1:38">
      <c r="A21322" s="182"/>
      <c r="Q21322" s="183"/>
      <c r="R21322" s="183"/>
      <c r="S21322" s="183"/>
    </row>
    <row r="21323" spans="1:38">
      <c r="A21323" s="182"/>
      <c r="Q21323" s="183"/>
      <c r="R21323" s="183"/>
      <c r="S21323" s="183"/>
    </row>
    <row r="21324" spans="1:38">
      <c r="A21324" s="182"/>
      <c r="Q21324" s="183"/>
      <c r="R21324" s="183"/>
      <c r="S21324" s="183"/>
    </row>
    <row r="21325" spans="1:38">
      <c r="A21325" s="182"/>
      <c r="Q21325" s="183"/>
      <c r="R21325" s="183"/>
      <c r="S21325" s="183"/>
    </row>
    <row r="21326" spans="1:38">
      <c r="A21326" s="182"/>
      <c r="Q21326" s="183"/>
      <c r="R21326" s="183"/>
      <c r="S21326" s="183"/>
    </row>
    <row r="21327" spans="1:38">
      <c r="A21327" s="182"/>
      <c r="Q21327" s="183"/>
      <c r="R21327" s="183"/>
      <c r="S21327" s="183"/>
    </row>
    <row r="21328" spans="1:38">
      <c r="A21328" s="182"/>
      <c r="Q21328" s="183"/>
      <c r="R21328" s="183"/>
      <c r="S21328" s="183"/>
    </row>
    <row r="21329" spans="1:38">
      <c r="A21329" s="182"/>
      <c r="Q21329" s="183"/>
      <c r="R21329" s="183"/>
      <c r="S21329" s="183"/>
    </row>
    <row r="21330" spans="1:38">
      <c r="A21330" s="182"/>
      <c r="Q21330" s="183"/>
      <c r="R21330" s="183"/>
      <c r="S21330" s="183"/>
    </row>
    <row r="21331" spans="1:38">
      <c r="A21331" s="182"/>
      <c r="Q21331" s="183"/>
      <c r="R21331" s="183"/>
      <c r="S21331" s="183"/>
    </row>
    <row r="21332" spans="1:38">
      <c r="A21332" s="182"/>
      <c r="Q21332" s="183"/>
      <c r="R21332" s="183"/>
      <c r="S21332" s="183"/>
    </row>
    <row r="21333" spans="1:38">
      <c r="A21333" s="182"/>
      <c r="Q21333" s="183"/>
      <c r="R21333" s="183"/>
      <c r="S21333" s="183"/>
    </row>
    <row r="21334" spans="1:38">
      <c r="A21334" s="182"/>
      <c r="Q21334" s="183"/>
      <c r="R21334" s="183"/>
      <c r="S21334" s="183"/>
    </row>
    <row r="21335" spans="1:38">
      <c r="A21335" s="182"/>
      <c r="Q21335" s="183"/>
      <c r="R21335" s="183"/>
      <c r="S21335" s="183"/>
    </row>
    <row r="21336" spans="1:38">
      <c r="A21336" s="182"/>
      <c r="Q21336" s="183"/>
      <c r="R21336" s="183"/>
      <c r="S21336" s="183"/>
    </row>
    <row r="21337" spans="1:38">
      <c r="A21337" s="182"/>
      <c r="Q21337" s="183"/>
      <c r="R21337" s="183"/>
      <c r="S21337" s="183"/>
    </row>
    <row r="21338" spans="1:38">
      <c r="A21338" s="182"/>
      <c r="Q21338" s="183"/>
      <c r="R21338" s="183"/>
      <c r="S21338" s="183"/>
    </row>
    <row r="21339" spans="1:38">
      <c r="A21339" s="182"/>
      <c r="Q21339" s="183"/>
      <c r="R21339" s="183"/>
      <c r="S21339" s="183"/>
      <c r="AK21339" s="183"/>
      <c r="AL21339" s="183"/>
    </row>
    <row r="21340" spans="1:38">
      <c r="A21340" s="182"/>
      <c r="Q21340" s="183"/>
      <c r="R21340" s="183"/>
      <c r="S21340" s="183"/>
      <c r="AJ21340" s="183"/>
      <c r="AK21340" s="183"/>
      <c r="AL21340" s="183"/>
    </row>
    <row r="21341" spans="1:38">
      <c r="A21341" s="182"/>
      <c r="Q21341" s="183"/>
      <c r="R21341" s="183"/>
      <c r="S21341" s="183"/>
      <c r="AJ21341" s="183"/>
      <c r="AK21341" s="183"/>
      <c r="AL21341" s="183"/>
    </row>
    <row r="21342" spans="1:38">
      <c r="A21342" s="182"/>
      <c r="Q21342" s="183"/>
      <c r="R21342" s="183"/>
      <c r="S21342" s="183"/>
      <c r="AJ21342" s="183"/>
      <c r="AK21342" s="183"/>
      <c r="AL21342" s="183"/>
    </row>
    <row r="21343" spans="1:38">
      <c r="A21343" s="182"/>
      <c r="Q21343" s="183"/>
      <c r="R21343" s="183"/>
      <c r="S21343" s="183"/>
      <c r="AJ21343" s="183"/>
    </row>
    <row r="21344" spans="1:38">
      <c r="A21344" s="182"/>
      <c r="Q21344" s="183"/>
      <c r="R21344" s="183"/>
      <c r="S21344" s="183"/>
    </row>
    <row r="21345" spans="1:38">
      <c r="A21345" s="182"/>
      <c r="Q21345" s="183"/>
      <c r="R21345" s="183"/>
      <c r="S21345" s="183"/>
    </row>
    <row r="21346" spans="1:38">
      <c r="A21346" s="182"/>
      <c r="Q21346" s="183"/>
      <c r="R21346" s="183"/>
      <c r="S21346" s="183"/>
    </row>
    <row r="21347" spans="1:38">
      <c r="A21347" s="182"/>
      <c r="Q21347" s="183"/>
      <c r="R21347" s="183"/>
      <c r="S21347" s="183"/>
    </row>
    <row r="21348" spans="1:38">
      <c r="A21348" s="182"/>
      <c r="Q21348" s="183"/>
      <c r="R21348" s="183"/>
      <c r="S21348" s="183"/>
    </row>
    <row r="21349" spans="1:38">
      <c r="A21349" s="182"/>
      <c r="Q21349" s="183"/>
      <c r="R21349" s="183"/>
      <c r="S21349" s="183"/>
    </row>
    <row r="21350" spans="1:38">
      <c r="A21350" s="182"/>
      <c r="Q21350" s="183"/>
      <c r="R21350" s="183"/>
      <c r="S21350" s="183"/>
    </row>
    <row r="21351" spans="1:38">
      <c r="A21351" s="182"/>
      <c r="Q21351" s="183"/>
      <c r="R21351" s="183"/>
      <c r="S21351" s="183"/>
    </row>
    <row r="21352" spans="1:38">
      <c r="A21352" s="182"/>
      <c r="Q21352" s="183"/>
      <c r="R21352" s="183"/>
      <c r="S21352" s="183"/>
    </row>
    <row r="21353" spans="1:38">
      <c r="A21353" s="182"/>
      <c r="Q21353" s="183"/>
      <c r="R21353" s="183"/>
      <c r="S21353" s="183"/>
    </row>
    <row r="21354" spans="1:38">
      <c r="A21354" s="182"/>
      <c r="Q21354" s="183"/>
      <c r="R21354" s="183"/>
      <c r="S21354" s="183"/>
    </row>
    <row r="21355" spans="1:38">
      <c r="A21355" s="182"/>
      <c r="Q21355" s="183"/>
      <c r="R21355" s="183"/>
      <c r="S21355" s="183"/>
      <c r="AK21355" s="183"/>
      <c r="AL21355" s="183"/>
    </row>
    <row r="21356" spans="1:38">
      <c r="A21356" s="182"/>
      <c r="Q21356" s="183"/>
      <c r="R21356" s="183"/>
      <c r="S21356" s="183"/>
      <c r="AJ21356" s="183"/>
      <c r="AK21356" s="183"/>
      <c r="AL21356" s="183"/>
    </row>
    <row r="21357" spans="1:38">
      <c r="A21357" s="182"/>
      <c r="Q21357" s="183"/>
      <c r="R21357" s="183"/>
      <c r="S21357" s="183"/>
      <c r="AJ21357" s="183"/>
      <c r="AK21357" s="183"/>
      <c r="AL21357" s="183"/>
    </row>
    <row r="21358" spans="1:38">
      <c r="A21358" s="182"/>
      <c r="Q21358" s="183"/>
      <c r="R21358" s="183"/>
      <c r="S21358" s="183"/>
      <c r="AJ21358" s="183"/>
      <c r="AK21358" s="183"/>
      <c r="AL21358" s="183"/>
    </row>
    <row r="21359" spans="1:38">
      <c r="A21359" s="182"/>
      <c r="Q21359" s="183"/>
      <c r="R21359" s="183"/>
      <c r="S21359" s="183"/>
      <c r="AJ21359" s="183"/>
    </row>
    <row r="21360" spans="1:38">
      <c r="A21360" s="182"/>
      <c r="Q21360" s="183"/>
      <c r="R21360" s="183"/>
      <c r="S21360" s="183"/>
    </row>
    <row r="21361" spans="1:38">
      <c r="A21361" s="182"/>
      <c r="Q21361" s="183"/>
      <c r="R21361" s="183"/>
      <c r="S21361" s="183"/>
    </row>
    <row r="21362" spans="1:38">
      <c r="A21362" s="182"/>
      <c r="Q21362" s="183"/>
      <c r="R21362" s="183"/>
      <c r="S21362" s="183"/>
    </row>
    <row r="21363" spans="1:38">
      <c r="A21363" s="182"/>
      <c r="Q21363" s="183"/>
      <c r="R21363" s="183"/>
      <c r="S21363" s="183"/>
      <c r="AK21363" s="183"/>
      <c r="AL21363" s="183"/>
    </row>
    <row r="21364" spans="1:38">
      <c r="A21364" s="182"/>
      <c r="Q21364" s="183"/>
      <c r="R21364" s="183"/>
      <c r="S21364" s="183"/>
      <c r="AJ21364" s="183"/>
      <c r="AK21364" s="183"/>
      <c r="AL21364" s="183"/>
    </row>
    <row r="21365" spans="1:38">
      <c r="A21365" s="182"/>
      <c r="Q21365" s="183"/>
      <c r="R21365" s="183"/>
      <c r="S21365" s="183"/>
      <c r="AJ21365" s="183"/>
      <c r="AK21365" s="183"/>
      <c r="AL21365" s="183"/>
    </row>
    <row r="21366" spans="1:38">
      <c r="A21366" s="182"/>
      <c r="Q21366" s="183"/>
      <c r="R21366" s="183"/>
      <c r="S21366" s="183"/>
      <c r="AJ21366" s="183"/>
      <c r="AK21366" s="183"/>
      <c r="AL21366" s="183"/>
    </row>
    <row r="21367" spans="1:38">
      <c r="A21367" s="182"/>
      <c r="Q21367" s="183"/>
      <c r="R21367" s="183"/>
      <c r="S21367" s="183"/>
      <c r="AJ21367" s="183"/>
      <c r="AK21367" s="183"/>
      <c r="AL21367" s="183"/>
    </row>
    <row r="21368" spans="1:38">
      <c r="A21368" s="182"/>
      <c r="Q21368" s="183"/>
      <c r="R21368" s="183"/>
      <c r="S21368" s="183"/>
      <c r="AJ21368" s="183"/>
      <c r="AK21368" s="183"/>
      <c r="AL21368" s="183"/>
    </row>
    <row r="21369" spans="1:38">
      <c r="A21369" s="182"/>
      <c r="Q21369" s="183"/>
      <c r="R21369" s="183"/>
      <c r="S21369" s="183"/>
      <c r="AJ21369" s="183"/>
      <c r="AK21369" s="183"/>
      <c r="AL21369" s="183"/>
    </row>
    <row r="21370" spans="1:38">
      <c r="A21370" s="182"/>
      <c r="Q21370" s="183"/>
      <c r="R21370" s="183"/>
      <c r="S21370" s="183"/>
      <c r="AJ21370" s="183"/>
      <c r="AK21370" s="183"/>
      <c r="AL21370" s="183"/>
    </row>
    <row r="21371" spans="1:38">
      <c r="A21371" s="182"/>
      <c r="Q21371" s="183"/>
      <c r="R21371" s="183"/>
      <c r="S21371" s="183"/>
      <c r="AJ21371" s="183"/>
    </row>
    <row r="21372" spans="1:38">
      <c r="A21372" s="182"/>
      <c r="Q21372" s="183"/>
      <c r="R21372" s="183"/>
      <c r="S21372" s="183"/>
    </row>
    <row r="21373" spans="1:38">
      <c r="A21373" s="182"/>
      <c r="Q21373" s="183"/>
      <c r="R21373" s="183"/>
      <c r="S21373" s="183"/>
    </row>
    <row r="21374" spans="1:38">
      <c r="A21374" s="182"/>
      <c r="Q21374" s="183"/>
      <c r="R21374" s="183"/>
      <c r="S21374" s="183"/>
    </row>
    <row r="21375" spans="1:38">
      <c r="A21375" s="182"/>
      <c r="Q21375" s="183"/>
      <c r="R21375" s="183"/>
      <c r="S21375" s="183"/>
      <c r="AK21375" s="183"/>
      <c r="AL21375" s="183"/>
    </row>
    <row r="21376" spans="1:38">
      <c r="A21376" s="182"/>
      <c r="Q21376" s="183"/>
      <c r="R21376" s="183"/>
      <c r="S21376" s="183"/>
      <c r="AJ21376" s="183"/>
      <c r="AK21376" s="183"/>
      <c r="AL21376" s="183"/>
    </row>
    <row r="21377" spans="1:38">
      <c r="A21377" s="182"/>
      <c r="Q21377" s="183"/>
      <c r="R21377" s="183"/>
      <c r="S21377" s="183"/>
      <c r="AJ21377" s="183"/>
      <c r="AK21377" s="183"/>
      <c r="AL21377" s="183"/>
    </row>
    <row r="21378" spans="1:38">
      <c r="A21378" s="182"/>
      <c r="Q21378" s="183"/>
      <c r="R21378" s="183"/>
      <c r="S21378" s="183"/>
      <c r="AJ21378" s="183"/>
      <c r="AK21378" s="183"/>
      <c r="AL21378" s="183"/>
    </row>
    <row r="21379" spans="1:38">
      <c r="A21379" s="182"/>
      <c r="Q21379" s="183"/>
      <c r="R21379" s="183"/>
      <c r="S21379" s="183"/>
      <c r="AJ21379" s="183"/>
    </row>
    <row r="21380" spans="1:38">
      <c r="A21380" s="182"/>
      <c r="Q21380" s="183"/>
      <c r="R21380" s="183"/>
      <c r="S21380" s="183"/>
    </row>
    <row r="21381" spans="1:38">
      <c r="A21381" s="182"/>
      <c r="Q21381" s="183"/>
      <c r="R21381" s="183"/>
      <c r="S21381" s="183"/>
    </row>
    <row r="21382" spans="1:38">
      <c r="A21382" s="182"/>
      <c r="Q21382" s="183"/>
      <c r="R21382" s="183"/>
      <c r="S21382" s="183"/>
    </row>
    <row r="21383" spans="1:38">
      <c r="A21383" s="182"/>
      <c r="Q21383" s="183"/>
      <c r="R21383" s="183"/>
      <c r="S21383" s="183"/>
    </row>
    <row r="21384" spans="1:38">
      <c r="A21384" s="182"/>
      <c r="Q21384" s="183"/>
      <c r="R21384" s="183"/>
      <c r="S21384" s="183"/>
    </row>
    <row r="21385" spans="1:38">
      <c r="A21385" s="182"/>
      <c r="Q21385" s="183"/>
      <c r="R21385" s="183"/>
      <c r="S21385" s="183"/>
    </row>
    <row r="21386" spans="1:38">
      <c r="A21386" s="182"/>
      <c r="Q21386" s="183"/>
      <c r="R21386" s="183"/>
      <c r="S21386" s="183"/>
    </row>
    <row r="21387" spans="1:38">
      <c r="A21387" s="182"/>
      <c r="Q21387" s="183"/>
      <c r="R21387" s="183"/>
      <c r="S21387" s="183"/>
      <c r="AK21387" s="183"/>
      <c r="AL21387" s="183"/>
    </row>
    <row r="21388" spans="1:38">
      <c r="A21388" s="182"/>
      <c r="Q21388" s="183"/>
      <c r="R21388" s="183"/>
      <c r="S21388" s="183"/>
      <c r="AJ21388" s="183"/>
      <c r="AK21388" s="183"/>
      <c r="AL21388" s="183"/>
    </row>
    <row r="21389" spans="1:38">
      <c r="A21389" s="182"/>
      <c r="Q21389" s="183"/>
      <c r="R21389" s="183"/>
      <c r="S21389" s="183"/>
      <c r="AJ21389" s="183"/>
      <c r="AK21389" s="183"/>
      <c r="AL21389" s="183"/>
    </row>
    <row r="21390" spans="1:38">
      <c r="A21390" s="182"/>
      <c r="Q21390" s="183"/>
      <c r="R21390" s="183"/>
      <c r="S21390" s="183"/>
      <c r="AJ21390" s="183"/>
      <c r="AK21390" s="183"/>
      <c r="AL21390" s="183"/>
    </row>
    <row r="21391" spans="1:38">
      <c r="A21391" s="182"/>
      <c r="Q21391" s="183"/>
      <c r="R21391" s="183"/>
      <c r="S21391" s="183"/>
      <c r="AJ21391" s="183"/>
      <c r="AK21391" s="183"/>
      <c r="AL21391" s="183"/>
    </row>
    <row r="21392" spans="1:38">
      <c r="A21392" s="182"/>
      <c r="Q21392" s="183"/>
      <c r="R21392" s="183"/>
      <c r="S21392" s="183"/>
      <c r="AJ21392" s="183"/>
      <c r="AK21392" s="183"/>
      <c r="AL21392" s="183"/>
    </row>
    <row r="21393" spans="1:38">
      <c r="A21393" s="182"/>
      <c r="Q21393" s="183"/>
      <c r="R21393" s="183"/>
      <c r="S21393" s="183"/>
      <c r="AJ21393" s="183"/>
      <c r="AK21393" s="183"/>
      <c r="AL21393" s="183"/>
    </row>
    <row r="21394" spans="1:38">
      <c r="A21394" s="182"/>
      <c r="Q21394" s="183"/>
      <c r="R21394" s="183"/>
      <c r="S21394" s="183"/>
      <c r="AJ21394" s="183"/>
      <c r="AK21394" s="183"/>
      <c r="AL21394" s="183"/>
    </row>
    <row r="21395" spans="1:38">
      <c r="A21395" s="182"/>
      <c r="Q21395" s="183"/>
      <c r="R21395" s="183"/>
      <c r="S21395" s="183"/>
      <c r="AJ21395" s="183"/>
    </row>
    <row r="21396" spans="1:38">
      <c r="A21396" s="182"/>
      <c r="Q21396" s="183"/>
      <c r="R21396" s="183"/>
      <c r="S21396" s="183"/>
    </row>
    <row r="21397" spans="1:38">
      <c r="A21397" s="182"/>
      <c r="Q21397" s="183"/>
      <c r="R21397" s="183"/>
      <c r="S21397" s="183"/>
    </row>
    <row r="21398" spans="1:38">
      <c r="A21398" s="182"/>
      <c r="Q21398" s="183"/>
      <c r="R21398" s="183"/>
      <c r="S21398" s="183"/>
    </row>
    <row r="21399" spans="1:38">
      <c r="A21399" s="182"/>
      <c r="Q21399" s="183"/>
      <c r="R21399" s="183"/>
      <c r="S21399" s="183"/>
    </row>
    <row r="21400" spans="1:38">
      <c r="A21400" s="182"/>
      <c r="Q21400" s="183"/>
      <c r="R21400" s="183"/>
      <c r="S21400" s="183"/>
    </row>
    <row r="21401" spans="1:38">
      <c r="A21401" s="182"/>
      <c r="Q21401" s="183"/>
      <c r="R21401" s="183"/>
      <c r="S21401" s="183"/>
    </row>
    <row r="21402" spans="1:38">
      <c r="A21402" s="182"/>
      <c r="Q21402" s="183"/>
      <c r="R21402" s="183"/>
      <c r="S21402" s="183"/>
    </row>
    <row r="21403" spans="1:38">
      <c r="A21403" s="182"/>
      <c r="Q21403" s="183"/>
      <c r="R21403" s="183"/>
      <c r="S21403" s="183"/>
      <c r="AK21403" s="183"/>
      <c r="AL21403" s="183"/>
    </row>
    <row r="21404" spans="1:38">
      <c r="A21404" s="182"/>
      <c r="Q21404" s="183"/>
      <c r="R21404" s="183"/>
      <c r="S21404" s="183"/>
      <c r="AJ21404" s="183"/>
      <c r="AK21404" s="183"/>
      <c r="AL21404" s="183"/>
    </row>
    <row r="21405" spans="1:38">
      <c r="A21405" s="182"/>
      <c r="Q21405" s="183"/>
      <c r="R21405" s="183"/>
      <c r="S21405" s="183"/>
      <c r="AJ21405" s="183"/>
      <c r="AK21405" s="183"/>
      <c r="AL21405" s="183"/>
    </row>
    <row r="21406" spans="1:38">
      <c r="A21406" s="182"/>
      <c r="Q21406" s="183"/>
      <c r="R21406" s="183"/>
      <c r="S21406" s="183"/>
      <c r="AJ21406" s="183"/>
      <c r="AK21406" s="183"/>
      <c r="AL21406" s="183"/>
    </row>
    <row r="21407" spans="1:38">
      <c r="A21407" s="182"/>
      <c r="Q21407" s="183"/>
      <c r="R21407" s="183"/>
      <c r="S21407" s="183"/>
      <c r="AJ21407" s="183"/>
      <c r="AK21407" s="183"/>
      <c r="AL21407" s="183"/>
    </row>
    <row r="21408" spans="1:38">
      <c r="A21408" s="182"/>
      <c r="Q21408" s="183"/>
      <c r="R21408" s="183"/>
      <c r="S21408" s="183"/>
      <c r="AJ21408" s="183"/>
      <c r="AK21408" s="183"/>
      <c r="AL21408" s="183"/>
    </row>
    <row r="21409" spans="1:38">
      <c r="A21409" s="182"/>
      <c r="Q21409" s="183"/>
      <c r="R21409" s="183"/>
      <c r="S21409" s="183"/>
      <c r="AJ21409" s="183"/>
      <c r="AK21409" s="183"/>
      <c r="AL21409" s="183"/>
    </row>
    <row r="21410" spans="1:38">
      <c r="A21410" s="182"/>
      <c r="Q21410" s="183"/>
      <c r="R21410" s="183"/>
      <c r="S21410" s="183"/>
      <c r="AJ21410" s="183"/>
      <c r="AK21410" s="183"/>
      <c r="AL21410" s="183"/>
    </row>
    <row r="21411" spans="1:38">
      <c r="A21411" s="182"/>
      <c r="Q21411" s="183"/>
      <c r="R21411" s="183"/>
      <c r="S21411" s="183"/>
      <c r="AJ21411" s="183"/>
      <c r="AK21411" s="183"/>
      <c r="AL21411" s="183"/>
    </row>
    <row r="21412" spans="1:38">
      <c r="A21412" s="182"/>
      <c r="Q21412" s="183"/>
      <c r="R21412" s="183"/>
      <c r="S21412" s="183"/>
      <c r="AJ21412" s="183"/>
      <c r="AK21412" s="183"/>
      <c r="AL21412" s="183"/>
    </row>
    <row r="21413" spans="1:38">
      <c r="A21413" s="182"/>
      <c r="Q21413" s="183"/>
      <c r="R21413" s="183"/>
      <c r="S21413" s="183"/>
      <c r="AJ21413" s="183"/>
      <c r="AK21413" s="183"/>
      <c r="AL21413" s="183"/>
    </row>
    <row r="21414" spans="1:38">
      <c r="A21414" s="182"/>
      <c r="Q21414" s="183"/>
      <c r="R21414" s="183"/>
      <c r="S21414" s="183"/>
      <c r="AJ21414" s="183"/>
      <c r="AK21414" s="183"/>
      <c r="AL21414" s="183"/>
    </row>
    <row r="21415" spans="1:38">
      <c r="A21415" s="182"/>
      <c r="Q21415" s="183"/>
      <c r="R21415" s="183"/>
      <c r="S21415" s="183"/>
      <c r="AJ21415" s="183"/>
    </row>
    <row r="21416" spans="1:38">
      <c r="A21416" s="182"/>
      <c r="Q21416" s="183"/>
      <c r="R21416" s="183"/>
      <c r="S21416" s="183"/>
    </row>
    <row r="21417" spans="1:38">
      <c r="A21417" s="182"/>
      <c r="Q21417" s="183"/>
      <c r="R21417" s="183"/>
      <c r="S21417" s="183"/>
    </row>
    <row r="21418" spans="1:38">
      <c r="A21418" s="182"/>
      <c r="Q21418" s="183"/>
      <c r="R21418" s="183"/>
      <c r="S21418" s="183"/>
    </row>
    <row r="21419" spans="1:38">
      <c r="A21419" s="182"/>
      <c r="Q21419" s="183"/>
      <c r="R21419" s="183"/>
      <c r="S21419" s="183"/>
    </row>
    <row r="21420" spans="1:38">
      <c r="A21420" s="182"/>
      <c r="Q21420" s="183"/>
      <c r="R21420" s="183"/>
      <c r="S21420" s="183"/>
    </row>
    <row r="21421" spans="1:38">
      <c r="A21421" s="182"/>
      <c r="Q21421" s="183"/>
      <c r="R21421" s="183"/>
      <c r="S21421" s="183"/>
    </row>
    <row r="21422" spans="1:38">
      <c r="A21422" s="182"/>
      <c r="Q21422" s="183"/>
      <c r="R21422" s="183"/>
      <c r="S21422" s="183"/>
    </row>
    <row r="21423" spans="1:38">
      <c r="A21423" s="182"/>
      <c r="Q21423" s="183"/>
      <c r="R21423" s="183"/>
      <c r="S21423" s="183"/>
    </row>
    <row r="21424" spans="1:38">
      <c r="A21424" s="182"/>
      <c r="Q21424" s="183"/>
      <c r="R21424" s="183"/>
      <c r="S21424" s="183"/>
    </row>
    <row r="21425" spans="1:38">
      <c r="A21425" s="182"/>
      <c r="Q21425" s="183"/>
      <c r="R21425" s="183"/>
      <c r="S21425" s="183"/>
    </row>
    <row r="21426" spans="1:38">
      <c r="A21426" s="182"/>
      <c r="Q21426" s="183"/>
      <c r="R21426" s="183"/>
      <c r="S21426" s="183"/>
    </row>
    <row r="21427" spans="1:38">
      <c r="A21427" s="182"/>
      <c r="Q21427" s="183"/>
      <c r="R21427" s="183"/>
      <c r="S21427" s="183"/>
    </row>
    <row r="21428" spans="1:38">
      <c r="A21428" s="182"/>
      <c r="Q21428" s="183"/>
      <c r="R21428" s="183"/>
      <c r="S21428" s="183"/>
    </row>
    <row r="21429" spans="1:38">
      <c r="A21429" s="182"/>
      <c r="Q21429" s="183"/>
      <c r="R21429" s="183"/>
      <c r="S21429" s="183"/>
    </row>
    <row r="21430" spans="1:38">
      <c r="A21430" s="182"/>
      <c r="Q21430" s="183"/>
      <c r="R21430" s="183"/>
      <c r="S21430" s="183"/>
    </row>
    <row r="21431" spans="1:38">
      <c r="A21431" s="182"/>
      <c r="Q21431" s="183"/>
      <c r="R21431" s="183"/>
      <c r="S21431" s="183"/>
    </row>
    <row r="21432" spans="1:38">
      <c r="A21432" s="182"/>
      <c r="Q21432" s="183"/>
      <c r="R21432" s="183"/>
      <c r="S21432" s="183"/>
    </row>
    <row r="21433" spans="1:38">
      <c r="A21433" s="182"/>
      <c r="Q21433" s="183"/>
      <c r="R21433" s="183"/>
      <c r="S21433" s="183"/>
    </row>
    <row r="21434" spans="1:38">
      <c r="A21434" s="182"/>
      <c r="Q21434" s="183"/>
      <c r="R21434" s="183"/>
      <c r="S21434" s="183"/>
    </row>
    <row r="21435" spans="1:38">
      <c r="A21435" s="182"/>
      <c r="Q21435" s="183"/>
      <c r="R21435" s="183"/>
      <c r="S21435" s="183"/>
      <c r="AK21435" s="183"/>
      <c r="AL21435" s="183"/>
    </row>
    <row r="21436" spans="1:38">
      <c r="A21436" s="182"/>
      <c r="Q21436" s="183"/>
      <c r="R21436" s="183"/>
      <c r="S21436" s="183"/>
      <c r="AJ21436" s="183"/>
      <c r="AK21436" s="183"/>
      <c r="AL21436" s="183"/>
    </row>
    <row r="21437" spans="1:38">
      <c r="A21437" s="182"/>
      <c r="Q21437" s="183"/>
      <c r="R21437" s="183"/>
      <c r="S21437" s="183"/>
      <c r="AJ21437" s="183"/>
      <c r="AK21437" s="183"/>
      <c r="AL21437" s="183"/>
    </row>
    <row r="21438" spans="1:38">
      <c r="A21438" s="182"/>
      <c r="Q21438" s="183"/>
      <c r="R21438" s="183"/>
      <c r="S21438" s="183"/>
      <c r="AJ21438" s="183"/>
      <c r="AK21438" s="183"/>
      <c r="AL21438" s="183"/>
    </row>
    <row r="21439" spans="1:38">
      <c r="A21439" s="182"/>
      <c r="Q21439" s="183"/>
      <c r="R21439" s="183"/>
      <c r="S21439" s="183"/>
      <c r="AJ21439" s="183"/>
    </row>
    <row r="21440" spans="1:38">
      <c r="A21440" s="182"/>
      <c r="Q21440" s="183"/>
      <c r="R21440" s="183"/>
      <c r="S21440" s="183"/>
    </row>
    <row r="21441" spans="1:38">
      <c r="A21441" s="182"/>
      <c r="Q21441" s="183"/>
      <c r="R21441" s="183"/>
      <c r="S21441" s="183"/>
    </row>
    <row r="21442" spans="1:38">
      <c r="A21442" s="182"/>
      <c r="Q21442" s="183"/>
      <c r="R21442" s="183"/>
      <c r="S21442" s="183"/>
    </row>
    <row r="21443" spans="1:38">
      <c r="A21443" s="182"/>
      <c r="Q21443" s="183"/>
      <c r="R21443" s="183"/>
      <c r="S21443" s="183"/>
    </row>
    <row r="21444" spans="1:38">
      <c r="A21444" s="182"/>
      <c r="Q21444" s="183"/>
      <c r="R21444" s="183"/>
      <c r="S21444" s="183"/>
    </row>
    <row r="21445" spans="1:38">
      <c r="A21445" s="182"/>
      <c r="Q21445" s="183"/>
      <c r="R21445" s="183"/>
      <c r="S21445" s="183"/>
    </row>
    <row r="21446" spans="1:38">
      <c r="A21446" s="182"/>
      <c r="Q21446" s="183"/>
      <c r="R21446" s="183"/>
      <c r="S21446" s="183"/>
    </row>
    <row r="21447" spans="1:38">
      <c r="A21447" s="182"/>
      <c r="Q21447" s="183"/>
      <c r="R21447" s="183"/>
      <c r="S21447" s="183"/>
      <c r="AK21447" s="183"/>
      <c r="AL21447" s="183"/>
    </row>
    <row r="21448" spans="1:38">
      <c r="A21448" s="182"/>
      <c r="Q21448" s="183"/>
      <c r="R21448" s="183"/>
      <c r="S21448" s="183"/>
      <c r="AJ21448" s="183"/>
      <c r="AK21448" s="183"/>
      <c r="AL21448" s="183"/>
    </row>
    <row r="21449" spans="1:38">
      <c r="A21449" s="182"/>
      <c r="Q21449" s="183"/>
      <c r="R21449" s="183"/>
      <c r="S21449" s="183"/>
      <c r="AJ21449" s="183"/>
      <c r="AK21449" s="183"/>
      <c r="AL21449" s="183"/>
    </row>
    <row r="21450" spans="1:38">
      <c r="A21450" s="182"/>
      <c r="Q21450" s="183"/>
      <c r="R21450" s="183"/>
      <c r="S21450" s="183"/>
      <c r="AJ21450" s="183"/>
      <c r="AK21450" s="183"/>
      <c r="AL21450" s="183"/>
    </row>
    <row r="21451" spans="1:38">
      <c r="A21451" s="182"/>
      <c r="Q21451" s="183"/>
      <c r="R21451" s="183"/>
      <c r="S21451" s="183"/>
      <c r="AJ21451" s="183"/>
      <c r="AK21451" s="183"/>
      <c r="AL21451" s="183"/>
    </row>
    <row r="21452" spans="1:38">
      <c r="A21452" s="182"/>
      <c r="Q21452" s="183"/>
      <c r="R21452" s="183"/>
      <c r="S21452" s="183"/>
      <c r="AJ21452" s="183"/>
      <c r="AK21452" s="183"/>
      <c r="AL21452" s="183"/>
    </row>
    <row r="21453" spans="1:38">
      <c r="A21453" s="182"/>
      <c r="Q21453" s="183"/>
      <c r="R21453" s="183"/>
      <c r="S21453" s="183"/>
      <c r="AJ21453" s="183"/>
      <c r="AK21453" s="183"/>
      <c r="AL21453" s="183"/>
    </row>
    <row r="21454" spans="1:38">
      <c r="A21454" s="182"/>
      <c r="Q21454" s="183"/>
      <c r="R21454" s="183"/>
      <c r="S21454" s="183"/>
      <c r="AJ21454" s="183"/>
      <c r="AK21454" s="183"/>
      <c r="AL21454" s="183"/>
    </row>
    <row r="21455" spans="1:38">
      <c r="A21455" s="182"/>
      <c r="Q21455" s="183"/>
      <c r="R21455" s="183"/>
      <c r="S21455" s="183"/>
      <c r="AJ21455" s="183"/>
      <c r="AK21455" s="183"/>
      <c r="AL21455" s="183"/>
    </row>
    <row r="21456" spans="1:38">
      <c r="A21456" s="182"/>
      <c r="Q21456" s="183"/>
      <c r="R21456" s="183"/>
      <c r="S21456" s="183"/>
      <c r="AJ21456" s="183"/>
      <c r="AK21456" s="183"/>
      <c r="AL21456" s="183"/>
    </row>
    <row r="21457" spans="1:38">
      <c r="A21457" s="182"/>
      <c r="Q21457" s="183"/>
      <c r="R21457" s="183"/>
      <c r="S21457" s="183"/>
      <c r="AJ21457" s="183"/>
      <c r="AK21457" s="183"/>
      <c r="AL21457" s="183"/>
    </row>
    <row r="21458" spans="1:38">
      <c r="A21458" s="182"/>
      <c r="Q21458" s="183"/>
      <c r="R21458" s="183"/>
      <c r="S21458" s="183"/>
      <c r="AJ21458" s="183"/>
      <c r="AK21458" s="183"/>
      <c r="AL21458" s="183"/>
    </row>
    <row r="21459" spans="1:38">
      <c r="A21459" s="182"/>
      <c r="Q21459" s="183"/>
      <c r="R21459" s="183"/>
      <c r="S21459" s="183"/>
      <c r="AJ21459" s="183"/>
    </row>
    <row r="21460" spans="1:38">
      <c r="A21460" s="182"/>
      <c r="Q21460" s="183"/>
      <c r="R21460" s="183"/>
      <c r="S21460" s="183"/>
    </row>
    <row r="21461" spans="1:38">
      <c r="A21461" s="182"/>
      <c r="Q21461" s="183"/>
      <c r="R21461" s="183"/>
      <c r="S21461" s="183"/>
    </row>
    <row r="21462" spans="1:38">
      <c r="A21462" s="182"/>
      <c r="Q21462" s="183"/>
      <c r="R21462" s="183"/>
      <c r="S21462" s="183"/>
    </row>
    <row r="21463" spans="1:38">
      <c r="A21463" s="182"/>
      <c r="Q21463" s="183"/>
      <c r="R21463" s="183"/>
      <c r="S21463" s="183"/>
    </row>
    <row r="21464" spans="1:38">
      <c r="A21464" s="182"/>
      <c r="Q21464" s="183"/>
      <c r="R21464" s="183"/>
      <c r="S21464" s="183"/>
    </row>
    <row r="21465" spans="1:38">
      <c r="A21465" s="182"/>
      <c r="Q21465" s="183"/>
      <c r="R21465" s="183"/>
      <c r="S21465" s="183"/>
    </row>
    <row r="21466" spans="1:38">
      <c r="A21466" s="182"/>
      <c r="Q21466" s="183"/>
      <c r="R21466" s="183"/>
      <c r="S21466" s="183"/>
    </row>
    <row r="21467" spans="1:38">
      <c r="A21467" s="182"/>
      <c r="Q21467" s="183"/>
      <c r="R21467" s="183"/>
      <c r="S21467" s="183"/>
    </row>
    <row r="21468" spans="1:38">
      <c r="A21468" s="182"/>
      <c r="Q21468" s="183"/>
      <c r="R21468" s="183"/>
      <c r="S21468" s="183"/>
    </row>
    <row r="21469" spans="1:38">
      <c r="A21469" s="182"/>
      <c r="Q21469" s="183"/>
      <c r="R21469" s="183"/>
      <c r="S21469" s="183"/>
    </row>
    <row r="21470" spans="1:38">
      <c r="A21470" s="182"/>
      <c r="Q21470" s="183"/>
      <c r="R21470" s="183"/>
      <c r="S21470" s="183"/>
    </row>
    <row r="21471" spans="1:38">
      <c r="A21471" s="182"/>
      <c r="Q21471" s="183"/>
      <c r="R21471" s="183"/>
      <c r="S21471" s="183"/>
      <c r="AK21471" s="183"/>
      <c r="AL21471" s="183"/>
    </row>
    <row r="21472" spans="1:38">
      <c r="A21472" s="182"/>
      <c r="Q21472" s="183"/>
      <c r="R21472" s="183"/>
      <c r="S21472" s="183"/>
      <c r="AJ21472" s="183"/>
      <c r="AK21472" s="183"/>
      <c r="AL21472" s="183"/>
    </row>
    <row r="21473" spans="1:38">
      <c r="A21473" s="182"/>
      <c r="Q21473" s="183"/>
      <c r="R21473" s="183"/>
      <c r="S21473" s="183"/>
      <c r="AJ21473" s="183"/>
      <c r="AK21473" s="183"/>
      <c r="AL21473" s="183"/>
    </row>
    <row r="21474" spans="1:38">
      <c r="A21474" s="182"/>
      <c r="Q21474" s="183"/>
      <c r="R21474" s="183"/>
      <c r="S21474" s="183"/>
      <c r="AJ21474" s="183"/>
      <c r="AK21474" s="183"/>
      <c r="AL21474" s="183"/>
    </row>
    <row r="21475" spans="1:38">
      <c r="A21475" s="182"/>
      <c r="Q21475" s="183"/>
      <c r="R21475" s="183"/>
      <c r="S21475" s="183"/>
      <c r="AJ21475" s="183"/>
    </row>
    <row r="21476" spans="1:38">
      <c r="A21476" s="182"/>
      <c r="Q21476" s="183"/>
      <c r="R21476" s="183"/>
      <c r="S21476" s="183"/>
    </row>
    <row r="21477" spans="1:38">
      <c r="A21477" s="182"/>
      <c r="Q21477" s="183"/>
      <c r="R21477" s="183"/>
      <c r="S21477" s="183"/>
    </row>
    <row r="21478" spans="1:38">
      <c r="A21478" s="182"/>
      <c r="Q21478" s="183"/>
      <c r="R21478" s="183"/>
      <c r="S21478" s="183"/>
    </row>
    <row r="21479" spans="1:38">
      <c r="A21479" s="182"/>
      <c r="Q21479" s="183"/>
      <c r="R21479" s="183"/>
      <c r="S21479" s="183"/>
    </row>
    <row r="21480" spans="1:38">
      <c r="A21480" s="182"/>
      <c r="Q21480" s="183"/>
      <c r="R21480" s="183"/>
      <c r="S21480" s="183"/>
    </row>
    <row r="21481" spans="1:38">
      <c r="A21481" s="182"/>
      <c r="Q21481" s="183"/>
      <c r="R21481" s="183"/>
      <c r="S21481" s="183"/>
    </row>
    <row r="21482" spans="1:38">
      <c r="A21482" s="182"/>
      <c r="Q21482" s="183"/>
      <c r="R21482" s="183"/>
      <c r="S21482" s="183"/>
    </row>
    <row r="21483" spans="1:38">
      <c r="A21483" s="182"/>
      <c r="Q21483" s="183"/>
      <c r="R21483" s="183"/>
      <c r="S21483" s="183"/>
      <c r="AK21483" s="183"/>
      <c r="AL21483" s="183"/>
    </row>
    <row r="21484" spans="1:38">
      <c r="A21484" s="182"/>
      <c r="Q21484" s="183"/>
      <c r="R21484" s="183"/>
      <c r="S21484" s="183"/>
      <c r="AJ21484" s="183"/>
      <c r="AK21484" s="183"/>
      <c r="AL21484" s="183"/>
    </row>
    <row r="21485" spans="1:38">
      <c r="A21485" s="182"/>
      <c r="Q21485" s="183"/>
      <c r="R21485" s="183"/>
      <c r="S21485" s="183"/>
      <c r="AJ21485" s="183"/>
      <c r="AK21485" s="183"/>
      <c r="AL21485" s="183"/>
    </row>
    <row r="21486" spans="1:38">
      <c r="A21486" s="182"/>
      <c r="Q21486" s="183"/>
      <c r="R21486" s="183"/>
      <c r="S21486" s="183"/>
      <c r="AJ21486" s="183"/>
      <c r="AK21486" s="183"/>
      <c r="AL21486" s="183"/>
    </row>
    <row r="21487" spans="1:38">
      <c r="A21487" s="182"/>
      <c r="Q21487" s="183"/>
      <c r="R21487" s="183"/>
      <c r="S21487" s="183"/>
      <c r="AJ21487" s="183"/>
    </row>
    <row r="21488" spans="1:38">
      <c r="A21488" s="182"/>
      <c r="Q21488" s="183"/>
      <c r="R21488" s="183"/>
      <c r="S21488" s="183"/>
    </row>
    <row r="21489" spans="1:38">
      <c r="A21489" s="182"/>
      <c r="Q21489" s="183"/>
      <c r="R21489" s="183"/>
      <c r="S21489" s="183"/>
    </row>
    <row r="21490" spans="1:38">
      <c r="A21490" s="182"/>
      <c r="Q21490" s="183"/>
      <c r="R21490" s="183"/>
      <c r="S21490" s="183"/>
    </row>
    <row r="21491" spans="1:38">
      <c r="A21491" s="182"/>
      <c r="Q21491" s="183"/>
      <c r="R21491" s="183"/>
      <c r="S21491" s="183"/>
      <c r="AK21491" s="183"/>
      <c r="AL21491" s="183"/>
    </row>
    <row r="21492" spans="1:38">
      <c r="A21492" s="182"/>
      <c r="Q21492" s="183"/>
      <c r="R21492" s="183"/>
      <c r="S21492" s="183"/>
      <c r="AJ21492" s="183"/>
      <c r="AK21492" s="183"/>
      <c r="AL21492" s="183"/>
    </row>
    <row r="21493" spans="1:38">
      <c r="A21493" s="182"/>
      <c r="Q21493" s="183"/>
      <c r="R21493" s="183"/>
      <c r="S21493" s="183"/>
      <c r="AJ21493" s="183"/>
      <c r="AK21493" s="183"/>
      <c r="AL21493" s="183"/>
    </row>
    <row r="21494" spans="1:38">
      <c r="A21494" s="182"/>
      <c r="Q21494" s="183"/>
      <c r="R21494" s="183"/>
      <c r="S21494" s="183"/>
      <c r="AJ21494" s="183"/>
      <c r="AK21494" s="183"/>
      <c r="AL21494" s="183"/>
    </row>
    <row r="21495" spans="1:38">
      <c r="A21495" s="182"/>
      <c r="Q21495" s="183"/>
      <c r="R21495" s="183"/>
      <c r="S21495" s="183"/>
      <c r="AJ21495" s="183"/>
    </row>
    <row r="21496" spans="1:38">
      <c r="A21496" s="182"/>
      <c r="Q21496" s="183"/>
      <c r="R21496" s="183"/>
      <c r="S21496" s="183"/>
    </row>
    <row r="21497" spans="1:38">
      <c r="A21497" s="182"/>
      <c r="Q21497" s="183"/>
      <c r="R21497" s="183"/>
      <c r="S21497" s="183"/>
    </row>
    <row r="21498" spans="1:38">
      <c r="A21498" s="182"/>
      <c r="Q21498" s="183"/>
      <c r="R21498" s="183"/>
      <c r="S21498" s="183"/>
    </row>
    <row r="21499" spans="1:38">
      <c r="A21499" s="182"/>
      <c r="Q21499" s="183"/>
      <c r="R21499" s="183"/>
      <c r="S21499" s="183"/>
      <c r="AK21499" s="183"/>
      <c r="AL21499" s="183"/>
    </row>
    <row r="21500" spans="1:38">
      <c r="A21500" s="182"/>
      <c r="Q21500" s="183"/>
      <c r="R21500" s="183"/>
      <c r="S21500" s="183"/>
      <c r="AJ21500" s="183"/>
      <c r="AK21500" s="183"/>
      <c r="AL21500" s="183"/>
    </row>
    <row r="21501" spans="1:38">
      <c r="A21501" s="182"/>
      <c r="Q21501" s="183"/>
      <c r="R21501" s="183"/>
      <c r="S21501" s="183"/>
      <c r="AJ21501" s="183"/>
      <c r="AK21501" s="183"/>
      <c r="AL21501" s="183"/>
    </row>
    <row r="21502" spans="1:38">
      <c r="A21502" s="182"/>
      <c r="Q21502" s="183"/>
      <c r="R21502" s="183"/>
      <c r="S21502" s="183"/>
      <c r="AJ21502" s="183"/>
      <c r="AK21502" s="183"/>
      <c r="AL21502" s="183"/>
    </row>
    <row r="21503" spans="1:38">
      <c r="A21503" s="182"/>
      <c r="Q21503" s="183"/>
      <c r="R21503" s="183"/>
      <c r="S21503" s="183"/>
      <c r="AJ21503" s="183"/>
      <c r="AK21503" s="183"/>
      <c r="AL21503" s="183"/>
    </row>
    <row r="21504" spans="1:38">
      <c r="A21504" s="182"/>
      <c r="Q21504" s="183"/>
      <c r="R21504" s="183"/>
      <c r="S21504" s="183"/>
      <c r="AJ21504" s="183"/>
      <c r="AK21504" s="183"/>
      <c r="AL21504" s="183"/>
    </row>
    <row r="21505" spans="1:38">
      <c r="A21505" s="182"/>
      <c r="Q21505" s="183"/>
      <c r="R21505" s="183"/>
      <c r="S21505" s="183"/>
      <c r="AJ21505" s="183"/>
      <c r="AK21505" s="183"/>
      <c r="AL21505" s="183"/>
    </row>
    <row r="21506" spans="1:38">
      <c r="A21506" s="182"/>
      <c r="Q21506" s="183"/>
      <c r="R21506" s="183"/>
      <c r="S21506" s="183"/>
      <c r="AJ21506" s="183"/>
      <c r="AK21506" s="183"/>
      <c r="AL21506" s="183"/>
    </row>
    <row r="21507" spans="1:38">
      <c r="A21507" s="182"/>
      <c r="Q21507" s="183"/>
      <c r="R21507" s="183"/>
      <c r="S21507" s="183"/>
      <c r="AJ21507" s="183"/>
    </row>
    <row r="21508" spans="1:38">
      <c r="A21508" s="182"/>
      <c r="Q21508" s="183"/>
      <c r="R21508" s="183"/>
      <c r="S21508" s="183"/>
    </row>
    <row r="21509" spans="1:38">
      <c r="A21509" s="182"/>
      <c r="Q21509" s="183"/>
      <c r="R21509" s="183"/>
      <c r="S21509" s="183"/>
    </row>
    <row r="21510" spans="1:38">
      <c r="A21510" s="182"/>
      <c r="Q21510" s="183"/>
      <c r="R21510" s="183"/>
      <c r="S21510" s="183"/>
    </row>
    <row r="21511" spans="1:38">
      <c r="A21511" s="182"/>
      <c r="Q21511" s="183"/>
      <c r="R21511" s="183"/>
      <c r="S21511" s="183"/>
    </row>
    <row r="21512" spans="1:38">
      <c r="A21512" s="182"/>
      <c r="Q21512" s="183"/>
      <c r="R21512" s="183"/>
      <c r="S21512" s="183"/>
    </row>
    <row r="21513" spans="1:38">
      <c r="A21513" s="182"/>
      <c r="Q21513" s="183"/>
      <c r="R21513" s="183"/>
      <c r="S21513" s="183"/>
    </row>
    <row r="21514" spans="1:38">
      <c r="A21514" s="182"/>
      <c r="Q21514" s="183"/>
      <c r="R21514" s="183"/>
      <c r="S21514" s="183"/>
    </row>
    <row r="21515" spans="1:38">
      <c r="A21515" s="182"/>
      <c r="Q21515" s="183"/>
      <c r="R21515" s="183"/>
      <c r="S21515" s="183"/>
      <c r="AK21515" s="183"/>
      <c r="AL21515" s="183"/>
    </row>
    <row r="21516" spans="1:38">
      <c r="A21516" s="182"/>
      <c r="Q21516" s="183"/>
      <c r="R21516" s="183"/>
      <c r="S21516" s="183"/>
      <c r="AJ21516" s="183"/>
      <c r="AK21516" s="183"/>
      <c r="AL21516" s="183"/>
    </row>
    <row r="21517" spans="1:38">
      <c r="A21517" s="182"/>
      <c r="Q21517" s="183"/>
      <c r="R21517" s="183"/>
      <c r="S21517" s="183"/>
      <c r="AJ21517" s="183"/>
      <c r="AK21517" s="183"/>
      <c r="AL21517" s="183"/>
    </row>
    <row r="21518" spans="1:38">
      <c r="A21518" s="182"/>
      <c r="Q21518" s="183"/>
      <c r="R21518" s="183"/>
      <c r="S21518" s="183"/>
      <c r="AJ21518" s="183"/>
      <c r="AK21518" s="183"/>
      <c r="AL21518" s="183"/>
    </row>
    <row r="21519" spans="1:38">
      <c r="A21519" s="182"/>
      <c r="Q21519" s="183"/>
      <c r="R21519" s="183"/>
      <c r="S21519" s="183"/>
      <c r="AJ21519" s="183"/>
    </row>
    <row r="21520" spans="1:38">
      <c r="A21520" s="182"/>
      <c r="Q21520" s="183"/>
      <c r="R21520" s="183"/>
      <c r="S21520" s="183"/>
    </row>
    <row r="21521" spans="1:19">
      <c r="A21521" s="182"/>
      <c r="Q21521" s="183"/>
      <c r="R21521" s="183"/>
      <c r="S21521" s="183"/>
    </row>
    <row r="21522" spans="1:19">
      <c r="A21522" s="182"/>
      <c r="Q21522" s="183"/>
      <c r="R21522" s="183"/>
      <c r="S21522" s="183"/>
    </row>
    <row r="21523" spans="1:19">
      <c r="A21523" s="182"/>
      <c r="Q21523" s="183"/>
      <c r="R21523" s="183"/>
      <c r="S21523" s="183"/>
    </row>
    <row r="21524" spans="1:19">
      <c r="A21524" s="182"/>
      <c r="Q21524" s="183"/>
      <c r="R21524" s="183"/>
      <c r="S21524" s="183"/>
    </row>
    <row r="21525" spans="1:19">
      <c r="A21525" s="182"/>
      <c r="Q21525" s="183"/>
      <c r="R21525" s="183"/>
      <c r="S21525" s="183"/>
    </row>
    <row r="21526" spans="1:19">
      <c r="A21526" s="182"/>
      <c r="Q21526" s="183"/>
      <c r="R21526" s="183"/>
      <c r="S21526" s="183"/>
    </row>
    <row r="21527" spans="1:19">
      <c r="A21527" s="182"/>
      <c r="Q21527" s="183"/>
      <c r="R21527" s="183"/>
      <c r="S21527" s="183"/>
    </row>
    <row r="21528" spans="1:19">
      <c r="A21528" s="182"/>
      <c r="Q21528" s="183"/>
      <c r="R21528" s="183"/>
      <c r="S21528" s="183"/>
    </row>
    <row r="21529" spans="1:19">
      <c r="A21529" s="182"/>
      <c r="Q21529" s="183"/>
      <c r="R21529" s="183"/>
      <c r="S21529" s="183"/>
    </row>
    <row r="21530" spans="1:19">
      <c r="A21530" s="182"/>
      <c r="Q21530" s="183"/>
      <c r="R21530" s="183"/>
      <c r="S21530" s="183"/>
    </row>
    <row r="21531" spans="1:19">
      <c r="A21531" s="182"/>
      <c r="Q21531" s="183"/>
      <c r="R21531" s="183"/>
      <c r="S21531" s="183"/>
    </row>
    <row r="21532" spans="1:19">
      <c r="A21532" s="182"/>
      <c r="Q21532" s="183"/>
      <c r="R21532" s="183"/>
      <c r="S21532" s="183"/>
    </row>
    <row r="21533" spans="1:19">
      <c r="A21533" s="182"/>
      <c r="Q21533" s="183"/>
      <c r="R21533" s="183"/>
      <c r="S21533" s="183"/>
    </row>
    <row r="21534" spans="1:19">
      <c r="A21534" s="182"/>
      <c r="Q21534" s="183"/>
      <c r="R21534" s="183"/>
      <c r="S21534" s="183"/>
    </row>
    <row r="21535" spans="1:19">
      <c r="A21535" s="182"/>
      <c r="Q21535" s="183"/>
      <c r="R21535" s="183"/>
      <c r="S21535" s="183"/>
    </row>
    <row r="21536" spans="1:19">
      <c r="A21536" s="182"/>
      <c r="Q21536" s="183"/>
      <c r="R21536" s="183"/>
      <c r="S21536" s="183"/>
    </row>
    <row r="21537" spans="1:38">
      <c r="A21537" s="182"/>
      <c r="Q21537" s="183"/>
      <c r="R21537" s="183"/>
      <c r="S21537" s="183"/>
    </row>
    <row r="21538" spans="1:38">
      <c r="A21538" s="182"/>
      <c r="Q21538" s="183"/>
      <c r="R21538" s="183"/>
      <c r="S21538" s="183"/>
    </row>
    <row r="21539" spans="1:38">
      <c r="A21539" s="182"/>
      <c r="Q21539" s="183"/>
      <c r="R21539" s="183"/>
      <c r="S21539" s="183"/>
    </row>
    <row r="21540" spans="1:38">
      <c r="A21540" s="182"/>
      <c r="Q21540" s="183"/>
      <c r="R21540" s="183"/>
      <c r="S21540" s="183"/>
    </row>
    <row r="21541" spans="1:38">
      <c r="A21541" s="182"/>
      <c r="Q21541" s="183"/>
      <c r="R21541" s="183"/>
      <c r="S21541" s="183"/>
    </row>
    <row r="21542" spans="1:38">
      <c r="A21542" s="182"/>
      <c r="Q21542" s="183"/>
      <c r="R21542" s="183"/>
      <c r="S21542" s="183"/>
    </row>
    <row r="21543" spans="1:38">
      <c r="A21543" s="182"/>
      <c r="Q21543" s="183"/>
      <c r="R21543" s="183"/>
      <c r="S21543" s="183"/>
      <c r="AK21543" s="183"/>
      <c r="AL21543" s="183"/>
    </row>
    <row r="21544" spans="1:38">
      <c r="A21544" s="182"/>
      <c r="Q21544" s="183"/>
      <c r="R21544" s="183"/>
      <c r="S21544" s="183"/>
      <c r="AJ21544" s="183"/>
      <c r="AK21544" s="183"/>
      <c r="AL21544" s="183"/>
    </row>
    <row r="21545" spans="1:38">
      <c r="A21545" s="182"/>
      <c r="Q21545" s="183"/>
      <c r="R21545" s="183"/>
      <c r="S21545" s="183"/>
      <c r="AJ21545" s="183"/>
      <c r="AK21545" s="183"/>
      <c r="AL21545" s="183"/>
    </row>
    <row r="21546" spans="1:38">
      <c r="A21546" s="182"/>
      <c r="Q21546" s="183"/>
      <c r="R21546" s="183"/>
      <c r="S21546" s="183"/>
      <c r="AJ21546" s="183"/>
      <c r="AK21546" s="183"/>
      <c r="AL21546" s="183"/>
    </row>
    <row r="21547" spans="1:38">
      <c r="A21547" s="182"/>
      <c r="Q21547" s="183"/>
      <c r="R21547" s="183"/>
      <c r="S21547" s="183"/>
      <c r="AJ21547" s="183"/>
    </row>
    <row r="21548" spans="1:38">
      <c r="A21548" s="182"/>
      <c r="Q21548" s="183"/>
      <c r="R21548" s="183"/>
      <c r="S21548" s="183"/>
    </row>
    <row r="21549" spans="1:38">
      <c r="A21549" s="182"/>
      <c r="Q21549" s="183"/>
      <c r="R21549" s="183"/>
      <c r="S21549" s="183"/>
    </row>
    <row r="21550" spans="1:38">
      <c r="A21550" s="182"/>
      <c r="Q21550" s="183"/>
      <c r="R21550" s="183"/>
      <c r="S21550" s="183"/>
    </row>
    <row r="21551" spans="1:38">
      <c r="A21551" s="182"/>
      <c r="Q21551" s="183"/>
      <c r="R21551" s="183"/>
      <c r="S21551" s="183"/>
      <c r="AK21551" s="183"/>
      <c r="AL21551" s="183"/>
    </row>
    <row r="21552" spans="1:38">
      <c r="A21552" s="182"/>
      <c r="Q21552" s="183"/>
      <c r="R21552" s="183"/>
      <c r="S21552" s="183"/>
      <c r="AJ21552" s="183"/>
      <c r="AK21552" s="183"/>
      <c r="AL21552" s="183"/>
    </row>
    <row r="21553" spans="1:38">
      <c r="A21553" s="182"/>
      <c r="Q21553" s="183"/>
      <c r="R21553" s="183"/>
      <c r="S21553" s="183"/>
      <c r="AJ21553" s="183"/>
      <c r="AK21553" s="183"/>
      <c r="AL21553" s="183"/>
    </row>
    <row r="21554" spans="1:38">
      <c r="A21554" s="182"/>
      <c r="Q21554" s="183"/>
      <c r="R21554" s="183"/>
      <c r="S21554" s="183"/>
      <c r="AJ21554" s="183"/>
      <c r="AK21554" s="183"/>
      <c r="AL21554" s="183"/>
    </row>
    <row r="21555" spans="1:38">
      <c r="A21555" s="182"/>
      <c r="Q21555" s="183"/>
      <c r="R21555" s="183"/>
      <c r="S21555" s="183"/>
      <c r="AJ21555" s="183"/>
    </row>
    <row r="21556" spans="1:38">
      <c r="A21556" s="182"/>
      <c r="Q21556" s="183"/>
      <c r="R21556" s="183"/>
      <c r="S21556" s="183"/>
    </row>
    <row r="21557" spans="1:38">
      <c r="A21557" s="182"/>
      <c r="Q21557" s="183"/>
      <c r="R21557" s="183"/>
      <c r="S21557" s="183"/>
    </row>
    <row r="21558" spans="1:38">
      <c r="A21558" s="182"/>
      <c r="Q21558" s="183"/>
      <c r="R21558" s="183"/>
      <c r="S21558" s="183"/>
    </row>
    <row r="21559" spans="1:38">
      <c r="A21559" s="182"/>
      <c r="Q21559" s="183"/>
      <c r="R21559" s="183"/>
      <c r="S21559" s="183"/>
      <c r="AK21559" s="183"/>
      <c r="AL21559" s="183"/>
    </row>
    <row r="21560" spans="1:38">
      <c r="A21560" s="182"/>
      <c r="Q21560" s="183"/>
      <c r="R21560" s="183"/>
      <c r="S21560" s="183"/>
      <c r="AJ21560" s="183"/>
      <c r="AK21560" s="183"/>
      <c r="AL21560" s="183"/>
    </row>
    <row r="21561" spans="1:38">
      <c r="A21561" s="182"/>
      <c r="Q21561" s="183"/>
      <c r="R21561" s="183"/>
      <c r="S21561" s="183"/>
      <c r="AJ21561" s="183"/>
      <c r="AK21561" s="183"/>
      <c r="AL21561" s="183"/>
    </row>
    <row r="21562" spans="1:38">
      <c r="A21562" s="182"/>
      <c r="Q21562" s="183"/>
      <c r="R21562" s="183"/>
      <c r="S21562" s="183"/>
      <c r="AJ21562" s="183"/>
      <c r="AK21562" s="183"/>
      <c r="AL21562" s="183"/>
    </row>
    <row r="21563" spans="1:38">
      <c r="A21563" s="182"/>
      <c r="Q21563" s="183"/>
      <c r="R21563" s="183"/>
      <c r="S21563" s="183"/>
      <c r="AJ21563" s="183"/>
    </row>
    <row r="21564" spans="1:38">
      <c r="A21564" s="182"/>
      <c r="Q21564" s="183"/>
      <c r="R21564" s="183"/>
      <c r="S21564" s="183"/>
    </row>
    <row r="21565" spans="1:38">
      <c r="A21565" s="182"/>
      <c r="Q21565" s="183"/>
      <c r="R21565" s="183"/>
      <c r="S21565" s="183"/>
    </row>
    <row r="21566" spans="1:38">
      <c r="A21566" s="182"/>
      <c r="Q21566" s="183"/>
      <c r="R21566" s="183"/>
      <c r="S21566" s="183"/>
    </row>
    <row r="21567" spans="1:38">
      <c r="A21567" s="182"/>
      <c r="Q21567" s="183"/>
      <c r="R21567" s="183"/>
      <c r="S21567" s="183"/>
    </row>
    <row r="21568" spans="1:38">
      <c r="A21568" s="182"/>
      <c r="Q21568" s="183"/>
      <c r="R21568" s="183"/>
      <c r="S21568" s="183"/>
    </row>
    <row r="21569" spans="1:38">
      <c r="A21569" s="182"/>
      <c r="Q21569" s="183"/>
      <c r="R21569" s="183"/>
      <c r="S21569" s="183"/>
    </row>
    <row r="21570" spans="1:38">
      <c r="A21570" s="182"/>
      <c r="Q21570" s="183"/>
      <c r="R21570" s="183"/>
      <c r="S21570" s="183"/>
    </row>
    <row r="21571" spans="1:38">
      <c r="A21571" s="182"/>
      <c r="Q21571" s="183"/>
      <c r="R21571" s="183"/>
      <c r="S21571" s="183"/>
    </row>
    <row r="21572" spans="1:38">
      <c r="A21572" s="182"/>
      <c r="Q21572" s="183"/>
      <c r="R21572" s="183"/>
      <c r="S21572" s="183"/>
    </row>
    <row r="21573" spans="1:38">
      <c r="A21573" s="182"/>
      <c r="Q21573" s="183"/>
      <c r="R21573" s="183"/>
      <c r="S21573" s="183"/>
    </row>
    <row r="21574" spans="1:38">
      <c r="A21574" s="182"/>
      <c r="Q21574" s="183"/>
      <c r="R21574" s="183"/>
      <c r="S21574" s="183"/>
    </row>
    <row r="21575" spans="1:38">
      <c r="A21575" s="182"/>
      <c r="Q21575" s="183"/>
      <c r="R21575" s="183"/>
      <c r="S21575" s="183"/>
      <c r="AK21575" s="183"/>
      <c r="AL21575" s="183"/>
    </row>
    <row r="21576" spans="1:38">
      <c r="A21576" s="182"/>
      <c r="Q21576" s="183"/>
      <c r="R21576" s="183"/>
      <c r="S21576" s="183"/>
      <c r="AJ21576" s="183"/>
      <c r="AK21576" s="183"/>
      <c r="AL21576" s="183"/>
    </row>
    <row r="21577" spans="1:38">
      <c r="A21577" s="182"/>
      <c r="Q21577" s="183"/>
      <c r="R21577" s="183"/>
      <c r="S21577" s="183"/>
      <c r="AJ21577" s="183"/>
      <c r="AK21577" s="183"/>
      <c r="AL21577" s="183"/>
    </row>
    <row r="21578" spans="1:38">
      <c r="A21578" s="182"/>
      <c r="Q21578" s="183"/>
      <c r="R21578" s="183"/>
      <c r="S21578" s="183"/>
      <c r="AJ21578" s="183"/>
      <c r="AK21578" s="183"/>
      <c r="AL21578" s="183"/>
    </row>
    <row r="21579" spans="1:38">
      <c r="A21579" s="182"/>
      <c r="Q21579" s="183"/>
      <c r="R21579" s="183"/>
      <c r="S21579" s="183"/>
      <c r="AJ21579" s="183"/>
      <c r="AK21579" s="183"/>
      <c r="AL21579" s="183"/>
    </row>
    <row r="21580" spans="1:38">
      <c r="A21580" s="182"/>
      <c r="Q21580" s="183"/>
      <c r="R21580" s="183"/>
      <c r="S21580" s="183"/>
      <c r="AJ21580" s="183"/>
      <c r="AK21580" s="183"/>
      <c r="AL21580" s="183"/>
    </row>
    <row r="21581" spans="1:38">
      <c r="A21581" s="182"/>
      <c r="Q21581" s="183"/>
      <c r="R21581" s="183"/>
      <c r="S21581" s="183"/>
      <c r="AJ21581" s="183"/>
      <c r="AK21581" s="183"/>
      <c r="AL21581" s="183"/>
    </row>
    <row r="21582" spans="1:38">
      <c r="A21582" s="182"/>
      <c r="Q21582" s="183"/>
      <c r="R21582" s="183"/>
      <c r="S21582" s="183"/>
      <c r="AJ21582" s="183"/>
      <c r="AK21582" s="183"/>
      <c r="AL21582" s="183"/>
    </row>
    <row r="21583" spans="1:38">
      <c r="A21583" s="182"/>
      <c r="Q21583" s="183"/>
      <c r="R21583" s="183"/>
      <c r="S21583" s="183"/>
      <c r="AJ21583" s="183"/>
    </row>
    <row r="21584" spans="1:38">
      <c r="A21584" s="182"/>
      <c r="Q21584" s="183"/>
      <c r="R21584" s="183"/>
      <c r="S21584" s="183"/>
    </row>
    <row r="21585" spans="1:38">
      <c r="A21585" s="182"/>
      <c r="Q21585" s="183"/>
      <c r="R21585" s="183"/>
      <c r="S21585" s="183"/>
    </row>
    <row r="21586" spans="1:38">
      <c r="A21586" s="182"/>
      <c r="Q21586" s="183"/>
      <c r="R21586" s="183"/>
      <c r="S21586" s="183"/>
    </row>
    <row r="21587" spans="1:38">
      <c r="A21587" s="182"/>
      <c r="Q21587" s="183"/>
      <c r="R21587" s="183"/>
      <c r="S21587" s="183"/>
      <c r="AK21587" s="183"/>
      <c r="AL21587" s="183"/>
    </row>
    <row r="21588" spans="1:38">
      <c r="A21588" s="182"/>
      <c r="Q21588" s="183"/>
      <c r="R21588" s="183"/>
      <c r="S21588" s="183"/>
      <c r="AJ21588" s="183"/>
      <c r="AK21588" s="183"/>
      <c r="AL21588" s="183"/>
    </row>
    <row r="21589" spans="1:38">
      <c r="A21589" s="182"/>
      <c r="Q21589" s="183"/>
      <c r="R21589" s="183"/>
      <c r="S21589" s="183"/>
      <c r="AJ21589" s="183"/>
      <c r="AK21589" s="183"/>
      <c r="AL21589" s="183"/>
    </row>
    <row r="21590" spans="1:38">
      <c r="A21590" s="182"/>
      <c r="Q21590" s="183"/>
      <c r="R21590" s="183"/>
      <c r="S21590" s="183"/>
      <c r="AJ21590" s="183"/>
      <c r="AK21590" s="183"/>
      <c r="AL21590" s="183"/>
    </row>
    <row r="21591" spans="1:38">
      <c r="A21591" s="182"/>
      <c r="Q21591" s="183"/>
      <c r="R21591" s="183"/>
      <c r="S21591" s="183"/>
      <c r="AJ21591" s="183"/>
      <c r="AK21591" s="183"/>
      <c r="AL21591" s="183"/>
    </row>
    <row r="21592" spans="1:38">
      <c r="A21592" s="182"/>
      <c r="Q21592" s="183"/>
      <c r="R21592" s="183"/>
      <c r="S21592" s="183"/>
      <c r="AJ21592" s="183"/>
      <c r="AK21592" s="183"/>
      <c r="AL21592" s="183"/>
    </row>
    <row r="21593" spans="1:38">
      <c r="A21593" s="182"/>
      <c r="Q21593" s="183"/>
      <c r="R21593" s="183"/>
      <c r="S21593" s="183"/>
      <c r="AJ21593" s="183"/>
      <c r="AK21593" s="183"/>
      <c r="AL21593" s="183"/>
    </row>
    <row r="21594" spans="1:38">
      <c r="A21594" s="182"/>
      <c r="Q21594" s="183"/>
      <c r="R21594" s="183"/>
      <c r="S21594" s="183"/>
      <c r="AJ21594" s="183"/>
      <c r="AK21594" s="183"/>
      <c r="AL21594" s="183"/>
    </row>
    <row r="21595" spans="1:38">
      <c r="A21595" s="182"/>
      <c r="Q21595" s="183"/>
      <c r="R21595" s="183"/>
      <c r="S21595" s="183"/>
      <c r="AJ21595" s="183"/>
    </row>
    <row r="21596" spans="1:38">
      <c r="A21596" s="182"/>
      <c r="Q21596" s="183"/>
      <c r="R21596" s="183"/>
      <c r="S21596" s="183"/>
    </row>
    <row r="21597" spans="1:38">
      <c r="A21597" s="182"/>
      <c r="Q21597" s="183"/>
      <c r="R21597" s="183"/>
      <c r="S21597" s="183"/>
    </row>
    <row r="21598" spans="1:38">
      <c r="A21598" s="182"/>
      <c r="Q21598" s="183"/>
      <c r="R21598" s="183"/>
      <c r="S21598" s="183"/>
    </row>
    <row r="21599" spans="1:38">
      <c r="A21599" s="182"/>
      <c r="Q21599" s="183"/>
      <c r="R21599" s="183"/>
      <c r="S21599" s="183"/>
      <c r="AK21599" s="183"/>
      <c r="AL21599" s="183"/>
    </row>
    <row r="21600" spans="1:38">
      <c r="A21600" s="182"/>
      <c r="Q21600" s="183"/>
      <c r="R21600" s="183"/>
      <c r="S21600" s="183"/>
      <c r="AJ21600" s="183"/>
      <c r="AK21600" s="183"/>
      <c r="AL21600" s="183"/>
    </row>
    <row r="21601" spans="1:38">
      <c r="A21601" s="182"/>
      <c r="Q21601" s="183"/>
      <c r="R21601" s="183"/>
      <c r="S21601" s="183"/>
      <c r="AJ21601" s="183"/>
      <c r="AK21601" s="183"/>
      <c r="AL21601" s="183"/>
    </row>
    <row r="21602" spans="1:38">
      <c r="A21602" s="182"/>
      <c r="Q21602" s="183"/>
      <c r="R21602" s="183"/>
      <c r="S21602" s="183"/>
      <c r="AJ21602" s="183"/>
      <c r="AK21602" s="183"/>
      <c r="AL21602" s="183"/>
    </row>
    <row r="21603" spans="1:38">
      <c r="A21603" s="182"/>
      <c r="Q21603" s="183"/>
      <c r="R21603" s="183"/>
      <c r="S21603" s="183"/>
      <c r="AJ21603" s="183"/>
      <c r="AK21603" s="183"/>
      <c r="AL21603" s="183"/>
    </row>
    <row r="21604" spans="1:38">
      <c r="A21604" s="182"/>
      <c r="Q21604" s="183"/>
      <c r="R21604" s="183"/>
      <c r="S21604" s="183"/>
      <c r="AJ21604" s="183"/>
      <c r="AK21604" s="183"/>
      <c r="AL21604" s="183"/>
    </row>
    <row r="21605" spans="1:38">
      <c r="A21605" s="182"/>
      <c r="Q21605" s="183"/>
      <c r="R21605" s="183"/>
      <c r="S21605" s="183"/>
      <c r="AJ21605" s="183"/>
      <c r="AK21605" s="183"/>
      <c r="AL21605" s="183"/>
    </row>
    <row r="21606" spans="1:38">
      <c r="A21606" s="182"/>
      <c r="Q21606" s="183"/>
      <c r="R21606" s="183"/>
      <c r="S21606" s="183"/>
      <c r="AJ21606" s="183"/>
      <c r="AK21606" s="183"/>
      <c r="AL21606" s="183"/>
    </row>
    <row r="21607" spans="1:38">
      <c r="A21607" s="182"/>
      <c r="Q21607" s="183"/>
      <c r="R21607" s="183"/>
      <c r="S21607" s="183"/>
      <c r="AJ21607" s="183"/>
    </row>
    <row r="21608" spans="1:38">
      <c r="A21608" s="182"/>
      <c r="Q21608" s="183"/>
      <c r="R21608" s="183"/>
      <c r="S21608" s="183"/>
    </row>
    <row r="21609" spans="1:38">
      <c r="A21609" s="182"/>
      <c r="Q21609" s="183"/>
      <c r="R21609" s="183"/>
      <c r="S21609" s="183"/>
    </row>
    <row r="21610" spans="1:38">
      <c r="A21610" s="182"/>
      <c r="Q21610" s="183"/>
      <c r="R21610" s="183"/>
      <c r="S21610" s="183"/>
    </row>
    <row r="21611" spans="1:38">
      <c r="A21611" s="182"/>
      <c r="Q21611" s="183"/>
      <c r="R21611" s="183"/>
      <c r="S21611" s="183"/>
    </row>
    <row r="21612" spans="1:38">
      <c r="A21612" s="182"/>
      <c r="Q21612" s="183"/>
      <c r="R21612" s="183"/>
      <c r="S21612" s="183"/>
    </row>
    <row r="21613" spans="1:38">
      <c r="A21613" s="182"/>
      <c r="Q21613" s="183"/>
      <c r="R21613" s="183"/>
      <c r="S21613" s="183"/>
    </row>
    <row r="21614" spans="1:38">
      <c r="A21614" s="182"/>
      <c r="Q21614" s="183"/>
      <c r="R21614" s="183"/>
      <c r="S21614" s="183"/>
    </row>
    <row r="21615" spans="1:38">
      <c r="A21615" s="182"/>
      <c r="Q21615" s="183"/>
      <c r="R21615" s="183"/>
      <c r="S21615" s="183"/>
    </row>
    <row r="21616" spans="1:38">
      <c r="A21616" s="182"/>
      <c r="Q21616" s="183"/>
      <c r="R21616" s="183"/>
      <c r="S21616" s="183"/>
    </row>
    <row r="21617" spans="1:38">
      <c r="A21617" s="182"/>
      <c r="Q21617" s="183"/>
      <c r="R21617" s="183"/>
      <c r="S21617" s="183"/>
    </row>
    <row r="21618" spans="1:38">
      <c r="A21618" s="182"/>
      <c r="Q21618" s="183"/>
      <c r="R21618" s="183"/>
      <c r="S21618" s="183"/>
    </row>
    <row r="21619" spans="1:38">
      <c r="A21619" s="182"/>
      <c r="Q21619" s="183"/>
      <c r="R21619" s="183"/>
      <c r="S21619" s="183"/>
      <c r="AK21619" s="183"/>
      <c r="AL21619" s="183"/>
    </row>
    <row r="21620" spans="1:38">
      <c r="A21620" s="182"/>
      <c r="Q21620" s="183"/>
      <c r="R21620" s="183"/>
      <c r="S21620" s="183"/>
      <c r="AJ21620" s="183"/>
      <c r="AK21620" s="183"/>
      <c r="AL21620" s="183"/>
    </row>
    <row r="21621" spans="1:38">
      <c r="A21621" s="182"/>
      <c r="Q21621" s="183"/>
      <c r="R21621" s="183"/>
      <c r="S21621" s="183"/>
      <c r="AJ21621" s="183"/>
      <c r="AK21621" s="183"/>
      <c r="AL21621" s="183"/>
    </row>
    <row r="21622" spans="1:38">
      <c r="A21622" s="182"/>
      <c r="Q21622" s="183"/>
      <c r="R21622" s="183"/>
      <c r="S21622" s="183"/>
      <c r="AJ21622" s="183"/>
      <c r="AK21622" s="183"/>
      <c r="AL21622" s="183"/>
    </row>
    <row r="21623" spans="1:38">
      <c r="A21623" s="182"/>
      <c r="Q21623" s="183"/>
      <c r="R21623" s="183"/>
      <c r="S21623" s="183"/>
      <c r="AJ21623" s="183"/>
    </row>
    <row r="21624" spans="1:38">
      <c r="A21624" s="182"/>
      <c r="Q21624" s="183"/>
      <c r="R21624" s="183"/>
      <c r="S21624" s="183"/>
    </row>
    <row r="21625" spans="1:38">
      <c r="A21625" s="182"/>
      <c r="Q21625" s="183"/>
      <c r="R21625" s="183"/>
      <c r="S21625" s="183"/>
    </row>
    <row r="21626" spans="1:38">
      <c r="A21626" s="182"/>
      <c r="Q21626" s="183"/>
      <c r="R21626" s="183"/>
      <c r="S21626" s="183"/>
    </row>
    <row r="21627" spans="1:38">
      <c r="A21627" s="182"/>
      <c r="Q21627" s="183"/>
      <c r="R21627" s="183"/>
      <c r="S21627" s="183"/>
    </row>
    <row r="21628" spans="1:38">
      <c r="A21628" s="182"/>
      <c r="Q21628" s="183"/>
      <c r="R21628" s="183"/>
      <c r="S21628" s="183"/>
    </row>
    <row r="21629" spans="1:38">
      <c r="A21629" s="182"/>
      <c r="Q21629" s="183"/>
      <c r="R21629" s="183"/>
      <c r="S21629" s="183"/>
    </row>
    <row r="21630" spans="1:38">
      <c r="A21630" s="182"/>
      <c r="Q21630" s="183"/>
      <c r="R21630" s="183"/>
      <c r="S21630" s="183"/>
    </row>
    <row r="21631" spans="1:38">
      <c r="A21631" s="182"/>
      <c r="Q21631" s="183"/>
      <c r="R21631" s="183"/>
      <c r="S21631" s="183"/>
    </row>
    <row r="21632" spans="1:38">
      <c r="A21632" s="182"/>
      <c r="Q21632" s="183"/>
      <c r="R21632" s="183"/>
      <c r="S21632" s="183"/>
    </row>
    <row r="21633" spans="1:38">
      <c r="A21633" s="182"/>
      <c r="Q21633" s="183"/>
      <c r="R21633" s="183"/>
      <c r="S21633" s="183"/>
    </row>
    <row r="21634" spans="1:38">
      <c r="A21634" s="182"/>
      <c r="Q21634" s="183"/>
      <c r="R21634" s="183"/>
      <c r="S21634" s="183"/>
    </row>
    <row r="21635" spans="1:38">
      <c r="A21635" s="182"/>
      <c r="Q21635" s="183"/>
      <c r="R21635" s="183"/>
      <c r="S21635" s="183"/>
      <c r="AK21635" s="183"/>
      <c r="AL21635" s="183"/>
    </row>
    <row r="21636" spans="1:38">
      <c r="A21636" s="182"/>
      <c r="Q21636" s="183"/>
      <c r="R21636" s="183"/>
      <c r="S21636" s="183"/>
      <c r="AJ21636" s="183"/>
      <c r="AK21636" s="183"/>
      <c r="AL21636" s="183"/>
    </row>
    <row r="21637" spans="1:38">
      <c r="A21637" s="182"/>
      <c r="Q21637" s="183"/>
      <c r="R21637" s="183"/>
      <c r="S21637" s="183"/>
      <c r="AJ21637" s="183"/>
      <c r="AK21637" s="183"/>
      <c r="AL21637" s="183"/>
    </row>
    <row r="21638" spans="1:38">
      <c r="A21638" s="182"/>
      <c r="Q21638" s="183"/>
      <c r="R21638" s="183"/>
      <c r="S21638" s="183"/>
      <c r="AJ21638" s="183"/>
      <c r="AK21638" s="183"/>
      <c r="AL21638" s="183"/>
    </row>
    <row r="21639" spans="1:38">
      <c r="A21639" s="182"/>
      <c r="Q21639" s="183"/>
      <c r="R21639" s="183"/>
      <c r="S21639" s="183"/>
      <c r="AJ21639" s="183"/>
      <c r="AK21639" s="183"/>
      <c r="AL21639" s="183"/>
    </row>
    <row r="21640" spans="1:38">
      <c r="A21640" s="182"/>
      <c r="Q21640" s="183"/>
      <c r="R21640" s="183"/>
      <c r="S21640" s="183"/>
      <c r="AJ21640" s="183"/>
      <c r="AK21640" s="183"/>
      <c r="AL21640" s="183"/>
    </row>
    <row r="21641" spans="1:38">
      <c r="A21641" s="182"/>
      <c r="Q21641" s="183"/>
      <c r="R21641" s="183"/>
      <c r="S21641" s="183"/>
      <c r="AJ21641" s="183"/>
      <c r="AK21641" s="183"/>
      <c r="AL21641" s="183"/>
    </row>
    <row r="21642" spans="1:38">
      <c r="A21642" s="182"/>
      <c r="Q21642" s="183"/>
      <c r="R21642" s="183"/>
      <c r="S21642" s="183"/>
      <c r="AJ21642" s="183"/>
      <c r="AK21642" s="183"/>
      <c r="AL21642" s="183"/>
    </row>
    <row r="21643" spans="1:38">
      <c r="A21643" s="182"/>
      <c r="Q21643" s="183"/>
      <c r="R21643" s="183"/>
      <c r="S21643" s="183"/>
      <c r="AJ21643" s="183"/>
      <c r="AK21643" s="183"/>
      <c r="AL21643" s="183"/>
    </row>
    <row r="21644" spans="1:38">
      <c r="A21644" s="182"/>
      <c r="Q21644" s="183"/>
      <c r="R21644" s="183"/>
      <c r="S21644" s="183"/>
      <c r="AJ21644" s="183"/>
      <c r="AK21644" s="183"/>
      <c r="AL21644" s="183"/>
    </row>
    <row r="21645" spans="1:38">
      <c r="A21645" s="182"/>
      <c r="Q21645" s="183"/>
      <c r="R21645" s="183"/>
      <c r="S21645" s="183"/>
      <c r="AJ21645" s="183"/>
      <c r="AK21645" s="183"/>
      <c r="AL21645" s="183"/>
    </row>
    <row r="21646" spans="1:38">
      <c r="A21646" s="182"/>
      <c r="Q21646" s="183"/>
      <c r="R21646" s="183"/>
      <c r="S21646" s="183"/>
      <c r="AJ21646" s="183"/>
      <c r="AK21646" s="183"/>
      <c r="AL21646" s="183"/>
    </row>
    <row r="21647" spans="1:38">
      <c r="A21647" s="182"/>
      <c r="Q21647" s="183"/>
      <c r="R21647" s="183"/>
      <c r="S21647" s="183"/>
      <c r="AJ21647" s="183"/>
      <c r="AK21647" s="183"/>
      <c r="AL21647" s="183"/>
    </row>
    <row r="21648" spans="1:38">
      <c r="A21648" s="182"/>
      <c r="Q21648" s="183"/>
      <c r="R21648" s="183"/>
      <c r="S21648" s="183"/>
      <c r="AJ21648" s="183"/>
      <c r="AK21648" s="183"/>
      <c r="AL21648" s="183"/>
    </row>
    <row r="21649" spans="1:38">
      <c r="A21649" s="182"/>
      <c r="Q21649" s="183"/>
      <c r="R21649" s="183"/>
      <c r="S21649" s="183"/>
      <c r="AJ21649" s="183"/>
      <c r="AK21649" s="183"/>
      <c r="AL21649" s="183"/>
    </row>
    <row r="21650" spans="1:38">
      <c r="A21650" s="182"/>
      <c r="Q21650" s="183"/>
      <c r="R21650" s="183"/>
      <c r="S21650" s="183"/>
      <c r="AJ21650" s="183"/>
      <c r="AK21650" s="183"/>
      <c r="AL21650" s="183"/>
    </row>
    <row r="21651" spans="1:38">
      <c r="A21651" s="182"/>
      <c r="Q21651" s="183"/>
      <c r="R21651" s="183"/>
      <c r="S21651" s="183"/>
      <c r="AJ21651" s="183"/>
    </row>
    <row r="21652" spans="1:38">
      <c r="A21652" s="182"/>
      <c r="Q21652" s="183"/>
      <c r="R21652" s="183"/>
      <c r="S21652" s="183"/>
    </row>
    <row r="21653" spans="1:38">
      <c r="A21653" s="182"/>
      <c r="Q21653" s="183"/>
      <c r="R21653" s="183"/>
      <c r="S21653" s="183"/>
    </row>
    <row r="21654" spans="1:38">
      <c r="A21654" s="182"/>
      <c r="Q21654" s="183"/>
      <c r="R21654" s="183"/>
      <c r="S21654" s="183"/>
    </row>
    <row r="21655" spans="1:38">
      <c r="A21655" s="182"/>
      <c r="Q21655" s="183"/>
      <c r="R21655" s="183"/>
      <c r="S21655" s="183"/>
    </row>
    <row r="21656" spans="1:38">
      <c r="A21656" s="182"/>
      <c r="Q21656" s="183"/>
      <c r="R21656" s="183"/>
      <c r="S21656" s="183"/>
    </row>
    <row r="21657" spans="1:38">
      <c r="A21657" s="182"/>
      <c r="Q21657" s="183"/>
      <c r="R21657" s="183"/>
      <c r="S21657" s="183"/>
    </row>
    <row r="21658" spans="1:38">
      <c r="A21658" s="182"/>
      <c r="Q21658" s="183"/>
      <c r="R21658" s="183"/>
      <c r="S21658" s="183"/>
    </row>
    <row r="21659" spans="1:38">
      <c r="A21659" s="182"/>
      <c r="Q21659" s="183"/>
      <c r="R21659" s="183"/>
      <c r="S21659" s="183"/>
    </row>
    <row r="21660" spans="1:38">
      <c r="A21660" s="182"/>
      <c r="Q21660" s="183"/>
      <c r="R21660" s="183"/>
      <c r="S21660" s="183"/>
    </row>
    <row r="21661" spans="1:38">
      <c r="A21661" s="182"/>
      <c r="Q21661" s="183"/>
      <c r="R21661" s="183"/>
      <c r="S21661" s="183"/>
    </row>
    <row r="21662" spans="1:38">
      <c r="A21662" s="182"/>
      <c r="Q21662" s="183"/>
      <c r="R21662" s="183"/>
      <c r="S21662" s="183"/>
    </row>
    <row r="21663" spans="1:38">
      <c r="A21663" s="182"/>
      <c r="Q21663" s="183"/>
      <c r="R21663" s="183"/>
      <c r="S21663" s="183"/>
    </row>
    <row r="21664" spans="1:38">
      <c r="A21664" s="182"/>
      <c r="Q21664" s="183"/>
      <c r="R21664" s="183"/>
      <c r="S21664" s="183"/>
    </row>
    <row r="21665" spans="1:38">
      <c r="A21665" s="182"/>
      <c r="Q21665" s="183"/>
      <c r="R21665" s="183"/>
      <c r="S21665" s="183"/>
    </row>
    <row r="21666" spans="1:38">
      <c r="A21666" s="182"/>
      <c r="Q21666" s="183"/>
      <c r="R21666" s="183"/>
      <c r="S21666" s="183"/>
    </row>
    <row r="21667" spans="1:38">
      <c r="A21667" s="182"/>
      <c r="Q21667" s="183"/>
      <c r="R21667" s="183"/>
      <c r="S21667" s="183"/>
      <c r="AK21667" s="183"/>
      <c r="AL21667" s="183"/>
    </row>
    <row r="21668" spans="1:38">
      <c r="A21668" s="182"/>
      <c r="Q21668" s="183"/>
      <c r="R21668" s="183"/>
      <c r="S21668" s="183"/>
      <c r="AJ21668" s="183"/>
      <c r="AK21668" s="183"/>
      <c r="AL21668" s="183"/>
    </row>
    <row r="21669" spans="1:38">
      <c r="A21669" s="182"/>
      <c r="Q21669" s="183"/>
      <c r="R21669" s="183"/>
      <c r="S21669" s="183"/>
      <c r="AJ21669" s="183"/>
      <c r="AK21669" s="183"/>
      <c r="AL21669" s="183"/>
    </row>
    <row r="21670" spans="1:38">
      <c r="A21670" s="182"/>
      <c r="Q21670" s="183"/>
      <c r="R21670" s="183"/>
      <c r="S21670" s="183"/>
      <c r="AJ21670" s="183"/>
      <c r="AK21670" s="183"/>
      <c r="AL21670" s="183"/>
    </row>
    <row r="21671" spans="1:38">
      <c r="A21671" s="182"/>
      <c r="Q21671" s="183"/>
      <c r="R21671" s="183"/>
      <c r="S21671" s="183"/>
      <c r="AJ21671" s="183"/>
    </row>
    <row r="21672" spans="1:38">
      <c r="A21672" s="182"/>
      <c r="Q21672" s="183"/>
      <c r="R21672" s="183"/>
      <c r="S21672" s="183"/>
    </row>
    <row r="21673" spans="1:38">
      <c r="A21673" s="182"/>
      <c r="Q21673" s="183"/>
      <c r="R21673" s="183"/>
      <c r="S21673" s="183"/>
    </row>
    <row r="21674" spans="1:38">
      <c r="A21674" s="182"/>
      <c r="Q21674" s="183"/>
      <c r="R21674" s="183"/>
      <c r="S21674" s="183"/>
    </row>
    <row r="21675" spans="1:38">
      <c r="A21675" s="182"/>
      <c r="Q21675" s="183"/>
      <c r="R21675" s="183"/>
      <c r="S21675" s="183"/>
      <c r="AK21675" s="183"/>
      <c r="AL21675" s="183"/>
    </row>
    <row r="21676" spans="1:38">
      <c r="A21676" s="182"/>
      <c r="Q21676" s="183"/>
      <c r="R21676" s="183"/>
      <c r="S21676" s="183"/>
      <c r="AJ21676" s="183"/>
      <c r="AK21676" s="183"/>
      <c r="AL21676" s="183"/>
    </row>
    <row r="21677" spans="1:38">
      <c r="A21677" s="182"/>
      <c r="Q21677" s="183"/>
      <c r="R21677" s="183"/>
      <c r="S21677" s="183"/>
      <c r="AJ21677" s="183"/>
      <c r="AK21677" s="183"/>
      <c r="AL21677" s="183"/>
    </row>
    <row r="21678" spans="1:38">
      <c r="A21678" s="182"/>
      <c r="Q21678" s="183"/>
      <c r="R21678" s="183"/>
      <c r="S21678" s="183"/>
      <c r="AJ21678" s="183"/>
      <c r="AK21678" s="183"/>
      <c r="AL21678" s="183"/>
    </row>
    <row r="21679" spans="1:38">
      <c r="A21679" s="182"/>
      <c r="Q21679" s="183"/>
      <c r="R21679" s="183"/>
      <c r="S21679" s="183"/>
      <c r="AJ21679" s="183"/>
    </row>
    <row r="21680" spans="1:38">
      <c r="A21680" s="182"/>
      <c r="Q21680" s="183"/>
      <c r="R21680" s="183"/>
      <c r="S21680" s="183"/>
    </row>
    <row r="21681" spans="1:38">
      <c r="A21681" s="182"/>
      <c r="Q21681" s="183"/>
      <c r="R21681" s="183"/>
      <c r="S21681" s="183"/>
    </row>
    <row r="21682" spans="1:38">
      <c r="A21682" s="182"/>
      <c r="N21682" s="183"/>
      <c r="O21682" s="183"/>
      <c r="Q21682" s="183"/>
      <c r="R21682" s="183"/>
      <c r="S21682" s="183"/>
    </row>
    <row r="21683" spans="1:38">
      <c r="A21683" s="182"/>
      <c r="M21683" s="183"/>
      <c r="Q21683" s="183"/>
      <c r="R21683" s="183"/>
      <c r="S21683" s="183"/>
    </row>
    <row r="21684" spans="1:38">
      <c r="A21684" s="182"/>
      <c r="Q21684" s="183"/>
      <c r="R21684" s="183"/>
      <c r="S21684" s="183"/>
    </row>
    <row r="21685" spans="1:38">
      <c r="A21685" s="182"/>
      <c r="Q21685" s="183"/>
      <c r="R21685" s="183"/>
      <c r="S21685" s="183"/>
    </row>
    <row r="21686" spans="1:38">
      <c r="A21686" s="182"/>
      <c r="Q21686" s="183"/>
      <c r="R21686" s="183"/>
      <c r="S21686" s="183"/>
    </row>
    <row r="21687" spans="1:38">
      <c r="A21687" s="182"/>
      <c r="Q21687" s="183"/>
      <c r="R21687" s="183"/>
      <c r="S21687" s="183"/>
      <c r="AK21687" s="183"/>
      <c r="AL21687" s="183"/>
    </row>
    <row r="21688" spans="1:38">
      <c r="A21688" s="182"/>
      <c r="Q21688" s="183"/>
      <c r="R21688" s="183"/>
      <c r="S21688" s="183"/>
      <c r="AJ21688" s="183"/>
      <c r="AK21688" s="183"/>
      <c r="AL21688" s="183"/>
    </row>
    <row r="21689" spans="1:38">
      <c r="A21689" s="182"/>
      <c r="Q21689" s="183"/>
      <c r="R21689" s="183"/>
      <c r="S21689" s="183"/>
      <c r="AJ21689" s="183"/>
      <c r="AK21689" s="183"/>
      <c r="AL21689" s="183"/>
    </row>
    <row r="21690" spans="1:38">
      <c r="A21690" s="182"/>
      <c r="Q21690" s="183"/>
      <c r="R21690" s="183"/>
      <c r="S21690" s="183"/>
      <c r="AJ21690" s="183"/>
      <c r="AK21690" s="183"/>
      <c r="AL21690" s="183"/>
    </row>
    <row r="21691" spans="1:38">
      <c r="A21691" s="182"/>
      <c r="Q21691" s="183"/>
      <c r="R21691" s="183"/>
      <c r="S21691" s="183"/>
      <c r="AJ21691" s="183"/>
    </row>
    <row r="21692" spans="1:38">
      <c r="A21692" s="182"/>
      <c r="Q21692" s="183"/>
      <c r="R21692" s="183"/>
      <c r="S21692" s="183"/>
    </row>
    <row r="21693" spans="1:38">
      <c r="A21693" s="182"/>
      <c r="Q21693" s="183"/>
      <c r="R21693" s="183"/>
      <c r="S21693" s="183"/>
    </row>
    <row r="21694" spans="1:38">
      <c r="A21694" s="182"/>
      <c r="Q21694" s="183"/>
      <c r="R21694" s="183"/>
      <c r="S21694" s="183"/>
    </row>
    <row r="21695" spans="1:38">
      <c r="A21695" s="182"/>
      <c r="Q21695" s="183"/>
      <c r="R21695" s="183"/>
      <c r="S21695" s="183"/>
      <c r="AK21695" s="183"/>
      <c r="AL21695" s="183"/>
    </row>
    <row r="21696" spans="1:38">
      <c r="A21696" s="182"/>
      <c r="Q21696" s="183"/>
      <c r="R21696" s="183"/>
      <c r="S21696" s="183"/>
      <c r="AJ21696" s="183"/>
      <c r="AK21696" s="183"/>
      <c r="AL21696" s="183"/>
    </row>
    <row r="21697" spans="1:38">
      <c r="A21697" s="182"/>
      <c r="Q21697" s="183"/>
      <c r="R21697" s="183"/>
      <c r="S21697" s="183"/>
      <c r="AJ21697" s="183"/>
      <c r="AK21697" s="183"/>
      <c r="AL21697" s="183"/>
    </row>
    <row r="21698" spans="1:38">
      <c r="A21698" s="182"/>
      <c r="Q21698" s="183"/>
      <c r="R21698" s="183"/>
      <c r="S21698" s="183"/>
      <c r="AJ21698" s="183"/>
      <c r="AK21698" s="183"/>
      <c r="AL21698" s="183"/>
    </row>
    <row r="21699" spans="1:38">
      <c r="A21699" s="182"/>
      <c r="Q21699" s="183"/>
      <c r="R21699" s="183"/>
      <c r="S21699" s="183"/>
      <c r="AJ21699" s="183"/>
      <c r="AK21699" s="183"/>
      <c r="AL21699" s="183"/>
    </row>
    <row r="21700" spans="1:38">
      <c r="A21700" s="182"/>
      <c r="Q21700" s="183"/>
      <c r="R21700" s="183"/>
      <c r="S21700" s="183"/>
      <c r="AJ21700" s="183"/>
      <c r="AK21700" s="183"/>
      <c r="AL21700" s="183"/>
    </row>
    <row r="21701" spans="1:38">
      <c r="A21701" s="182"/>
      <c r="Q21701" s="183"/>
      <c r="R21701" s="183"/>
      <c r="S21701" s="183"/>
      <c r="AJ21701" s="183"/>
      <c r="AK21701" s="183"/>
      <c r="AL21701" s="183"/>
    </row>
    <row r="21702" spans="1:38">
      <c r="A21702" s="182"/>
      <c r="Q21702" s="183"/>
      <c r="R21702" s="183"/>
      <c r="S21702" s="183"/>
      <c r="AJ21702" s="183"/>
      <c r="AK21702" s="183"/>
      <c r="AL21702" s="183"/>
    </row>
    <row r="21703" spans="1:38">
      <c r="A21703" s="182"/>
      <c r="Q21703" s="183"/>
      <c r="R21703" s="183"/>
      <c r="S21703" s="183"/>
      <c r="AJ21703" s="183"/>
      <c r="AK21703" s="183"/>
      <c r="AL21703" s="183"/>
    </row>
    <row r="21704" spans="1:38">
      <c r="A21704" s="182"/>
      <c r="Q21704" s="183"/>
      <c r="R21704" s="183"/>
      <c r="S21704" s="183"/>
      <c r="AJ21704" s="183"/>
      <c r="AK21704" s="183"/>
      <c r="AL21704" s="183"/>
    </row>
    <row r="21705" spans="1:38">
      <c r="A21705" s="182"/>
      <c r="Q21705" s="183"/>
      <c r="R21705" s="183"/>
      <c r="S21705" s="183"/>
      <c r="AJ21705" s="183"/>
      <c r="AK21705" s="183"/>
      <c r="AL21705" s="183"/>
    </row>
    <row r="21706" spans="1:38">
      <c r="A21706" s="182"/>
      <c r="Q21706" s="183"/>
      <c r="R21706" s="183"/>
      <c r="S21706" s="183"/>
      <c r="AJ21706" s="183"/>
      <c r="AK21706" s="183"/>
      <c r="AL21706" s="183"/>
    </row>
    <row r="21707" spans="1:38">
      <c r="A21707" s="182"/>
      <c r="Q21707" s="183"/>
      <c r="R21707" s="183"/>
      <c r="S21707" s="183"/>
      <c r="AJ21707" s="183"/>
      <c r="AK21707" s="183"/>
      <c r="AL21707" s="183"/>
    </row>
    <row r="21708" spans="1:38">
      <c r="A21708" s="182"/>
      <c r="Q21708" s="183"/>
      <c r="R21708" s="183"/>
      <c r="S21708" s="183"/>
      <c r="AJ21708" s="183"/>
      <c r="AK21708" s="183"/>
      <c r="AL21708" s="183"/>
    </row>
    <row r="21709" spans="1:38">
      <c r="A21709" s="182"/>
      <c r="Q21709" s="183"/>
      <c r="R21709" s="183"/>
      <c r="S21709" s="183"/>
      <c r="AJ21709" s="183"/>
      <c r="AK21709" s="183"/>
      <c r="AL21709" s="183"/>
    </row>
    <row r="21710" spans="1:38">
      <c r="A21710" s="182"/>
      <c r="Q21710" s="183"/>
      <c r="R21710" s="183"/>
      <c r="S21710" s="183"/>
      <c r="AJ21710" s="183"/>
      <c r="AK21710" s="183"/>
      <c r="AL21710" s="183"/>
    </row>
    <row r="21711" spans="1:38">
      <c r="A21711" s="182"/>
      <c r="Q21711" s="183"/>
      <c r="R21711" s="183"/>
      <c r="S21711" s="183"/>
      <c r="AJ21711" s="183"/>
    </row>
    <row r="21712" spans="1:38">
      <c r="A21712" s="182"/>
      <c r="Q21712" s="183"/>
      <c r="R21712" s="183"/>
      <c r="S21712" s="183"/>
    </row>
    <row r="21713" spans="1:19">
      <c r="A21713" s="182"/>
      <c r="Q21713" s="183"/>
      <c r="R21713" s="183"/>
      <c r="S21713" s="183"/>
    </row>
    <row r="21714" spans="1:19">
      <c r="A21714" s="182"/>
      <c r="Q21714" s="183"/>
      <c r="R21714" s="183"/>
      <c r="S21714" s="183"/>
    </row>
    <row r="21715" spans="1:19">
      <c r="A21715" s="182"/>
      <c r="Q21715" s="183"/>
      <c r="R21715" s="183"/>
      <c r="S21715" s="183"/>
    </row>
    <row r="21716" spans="1:19">
      <c r="A21716" s="182"/>
      <c r="Q21716" s="183"/>
      <c r="R21716" s="183"/>
      <c r="S21716" s="183"/>
    </row>
    <row r="21717" spans="1:19">
      <c r="A21717" s="182"/>
      <c r="Q21717" s="183"/>
      <c r="R21717" s="183"/>
      <c r="S21717" s="183"/>
    </row>
    <row r="21718" spans="1:19">
      <c r="A21718" s="182"/>
      <c r="Q21718" s="183"/>
      <c r="R21718" s="183"/>
      <c r="S21718" s="183"/>
    </row>
    <row r="21719" spans="1:19">
      <c r="A21719" s="182"/>
      <c r="Q21719" s="183"/>
      <c r="R21719" s="183"/>
      <c r="S21719" s="183"/>
    </row>
    <row r="21720" spans="1:19">
      <c r="A21720" s="182"/>
      <c r="Q21720" s="183"/>
      <c r="R21720" s="183"/>
      <c r="S21720" s="183"/>
    </row>
    <row r="21721" spans="1:19">
      <c r="A21721" s="182"/>
      <c r="Q21721" s="183"/>
      <c r="R21721" s="183"/>
      <c r="S21721" s="183"/>
    </row>
    <row r="21722" spans="1:19">
      <c r="A21722" s="182"/>
      <c r="Q21722" s="183"/>
      <c r="R21722" s="183"/>
      <c r="S21722" s="183"/>
    </row>
    <row r="21723" spans="1:19">
      <c r="A21723" s="182"/>
      <c r="Q21723" s="183"/>
    </row>
    <row r="21724" spans="1:19">
      <c r="A21724" s="182"/>
    </row>
    <row r="21725" spans="1:19">
      <c r="A21725" s="182"/>
    </row>
    <row r="21726" spans="1:19">
      <c r="A21726" s="182"/>
    </row>
    <row r="21727" spans="1:19">
      <c r="A21727" s="182"/>
    </row>
    <row r="21728" spans="1:19">
      <c r="A21728" s="182"/>
    </row>
    <row r="21729" spans="1:19">
      <c r="A21729" s="182"/>
    </row>
    <row r="21730" spans="1:19">
      <c r="A21730" s="182"/>
    </row>
    <row r="21731" spans="1:19">
      <c r="A21731" s="182"/>
    </row>
    <row r="21732" spans="1:19">
      <c r="A21732" s="182"/>
    </row>
    <row r="21733" spans="1:19">
      <c r="A21733" s="182"/>
    </row>
    <row r="21734" spans="1:19">
      <c r="A21734" s="182"/>
    </row>
    <row r="21735" spans="1:19">
      <c r="A21735" s="182"/>
    </row>
    <row r="21736" spans="1:19">
      <c r="A21736" s="182"/>
    </row>
    <row r="21737" spans="1:19">
      <c r="A21737" s="182"/>
    </row>
    <row r="21738" spans="1:19">
      <c r="A21738" s="182"/>
    </row>
    <row r="21739" spans="1:19">
      <c r="A21739" s="182"/>
      <c r="R21739" s="183"/>
      <c r="S21739" s="183"/>
    </row>
    <row r="21740" spans="1:19">
      <c r="A21740" s="182"/>
      <c r="Q21740" s="183"/>
      <c r="R21740" s="183"/>
      <c r="S21740" s="183"/>
    </row>
    <row r="21741" spans="1:19">
      <c r="A21741" s="182"/>
      <c r="Q21741" s="183"/>
      <c r="R21741" s="183"/>
      <c r="S21741" s="183"/>
    </row>
    <row r="21742" spans="1:19">
      <c r="A21742" s="182"/>
      <c r="Q21742" s="183"/>
      <c r="R21742" s="183"/>
      <c r="S21742" s="183"/>
    </row>
    <row r="21743" spans="1:19">
      <c r="A21743" s="182"/>
      <c r="Q21743" s="183"/>
      <c r="R21743" s="183"/>
      <c r="S21743" s="183"/>
    </row>
    <row r="21744" spans="1:19">
      <c r="A21744" s="182"/>
      <c r="Q21744" s="183"/>
      <c r="R21744" s="183"/>
      <c r="S21744" s="183"/>
    </row>
    <row r="21745" spans="1:38">
      <c r="A21745" s="182"/>
      <c r="Q21745" s="183"/>
      <c r="R21745" s="183"/>
      <c r="S21745" s="183"/>
    </row>
    <row r="21746" spans="1:38">
      <c r="A21746" s="182"/>
      <c r="Q21746" s="183"/>
      <c r="R21746" s="183"/>
      <c r="S21746" s="183"/>
    </row>
    <row r="21747" spans="1:38">
      <c r="A21747" s="182"/>
      <c r="Q21747" s="183"/>
      <c r="R21747" s="183"/>
      <c r="S21747" s="183"/>
    </row>
    <row r="21748" spans="1:38">
      <c r="A21748" s="182"/>
      <c r="Q21748" s="183"/>
      <c r="R21748" s="183"/>
      <c r="S21748" s="183"/>
    </row>
    <row r="21749" spans="1:38">
      <c r="A21749" s="182"/>
      <c r="Q21749" s="183"/>
      <c r="R21749" s="183"/>
      <c r="S21749" s="183"/>
    </row>
    <row r="21750" spans="1:38">
      <c r="A21750" s="182"/>
      <c r="Q21750" s="183"/>
      <c r="R21750" s="183"/>
      <c r="S21750" s="183"/>
    </row>
    <row r="21751" spans="1:38">
      <c r="A21751" s="182"/>
      <c r="Q21751" s="183"/>
      <c r="R21751" s="183"/>
      <c r="S21751" s="183"/>
    </row>
    <row r="21752" spans="1:38">
      <c r="A21752" s="182"/>
      <c r="Q21752" s="183"/>
      <c r="R21752" s="183"/>
      <c r="S21752" s="183"/>
    </row>
    <row r="21753" spans="1:38">
      <c r="A21753" s="182"/>
      <c r="Q21753" s="183"/>
      <c r="R21753" s="183"/>
      <c r="S21753" s="183"/>
    </row>
    <row r="21754" spans="1:38">
      <c r="A21754" s="182"/>
      <c r="Q21754" s="183"/>
      <c r="R21754" s="183"/>
      <c r="S21754" s="183"/>
    </row>
    <row r="21755" spans="1:38">
      <c r="A21755" s="182"/>
      <c r="Q21755" s="183"/>
      <c r="R21755" s="183"/>
      <c r="S21755" s="183"/>
    </row>
    <row r="21756" spans="1:38">
      <c r="A21756" s="182"/>
      <c r="Q21756" s="183"/>
      <c r="R21756" s="183"/>
      <c r="S21756" s="183"/>
    </row>
    <row r="21757" spans="1:38">
      <c r="A21757" s="182"/>
      <c r="Q21757" s="183"/>
      <c r="R21757" s="183"/>
      <c r="S21757" s="183"/>
    </row>
    <row r="21758" spans="1:38">
      <c r="A21758" s="182"/>
      <c r="Q21758" s="183"/>
      <c r="R21758" s="183"/>
      <c r="S21758" s="183"/>
    </row>
    <row r="21759" spans="1:38">
      <c r="A21759" s="182"/>
      <c r="Q21759" s="183"/>
      <c r="R21759" s="183"/>
      <c r="S21759" s="183"/>
      <c r="AK21759" s="183"/>
      <c r="AL21759" s="183"/>
    </row>
    <row r="21760" spans="1:38">
      <c r="A21760" s="182"/>
      <c r="Q21760" s="183"/>
      <c r="R21760" s="183"/>
      <c r="S21760" s="183"/>
      <c r="AJ21760" s="183"/>
      <c r="AK21760" s="183"/>
      <c r="AL21760" s="183"/>
    </row>
    <row r="21761" spans="1:38">
      <c r="A21761" s="182"/>
      <c r="Q21761" s="183"/>
      <c r="R21761" s="183"/>
      <c r="S21761" s="183"/>
      <c r="AJ21761" s="183"/>
      <c r="AK21761" s="183"/>
      <c r="AL21761" s="183"/>
    </row>
    <row r="21762" spans="1:38">
      <c r="A21762" s="182"/>
      <c r="Q21762" s="183"/>
      <c r="R21762" s="183"/>
      <c r="S21762" s="183"/>
      <c r="AJ21762" s="183"/>
      <c r="AK21762" s="183"/>
      <c r="AL21762" s="183"/>
    </row>
    <row r="21763" spans="1:38">
      <c r="A21763" s="182"/>
      <c r="Q21763" s="183"/>
      <c r="R21763" s="183"/>
      <c r="S21763" s="183"/>
      <c r="AJ21763" s="183"/>
    </row>
    <row r="21764" spans="1:38">
      <c r="A21764" s="182"/>
      <c r="Q21764" s="183"/>
      <c r="R21764" s="183"/>
      <c r="S21764" s="183"/>
    </row>
    <row r="21765" spans="1:38">
      <c r="A21765" s="182"/>
      <c r="Q21765" s="183"/>
      <c r="R21765" s="183"/>
      <c r="S21765" s="183"/>
    </row>
    <row r="21766" spans="1:38">
      <c r="A21766" s="182"/>
      <c r="Q21766" s="183"/>
      <c r="R21766" s="183"/>
      <c r="S21766" s="183"/>
    </row>
    <row r="21767" spans="1:38">
      <c r="A21767" s="182"/>
      <c r="Q21767" s="183"/>
      <c r="R21767" s="183"/>
      <c r="S21767" s="183"/>
      <c r="AK21767" s="183"/>
      <c r="AL21767" s="183"/>
    </row>
    <row r="21768" spans="1:38">
      <c r="A21768" s="182"/>
      <c r="Q21768" s="183"/>
      <c r="R21768" s="183"/>
      <c r="S21768" s="183"/>
      <c r="AJ21768" s="183"/>
      <c r="AK21768" s="183"/>
      <c r="AL21768" s="183"/>
    </row>
    <row r="21769" spans="1:38">
      <c r="A21769" s="182"/>
      <c r="Q21769" s="183"/>
      <c r="R21769" s="183"/>
      <c r="S21769" s="183"/>
      <c r="AJ21769" s="183"/>
      <c r="AK21769" s="183"/>
      <c r="AL21769" s="183"/>
    </row>
    <row r="21770" spans="1:38">
      <c r="A21770" s="182"/>
      <c r="Q21770" s="183"/>
      <c r="R21770" s="183"/>
      <c r="S21770" s="183"/>
      <c r="AJ21770" s="183"/>
      <c r="AK21770" s="183"/>
      <c r="AL21770" s="183"/>
    </row>
    <row r="21771" spans="1:38">
      <c r="A21771" s="182"/>
      <c r="Q21771" s="183"/>
      <c r="R21771" s="183"/>
      <c r="S21771" s="183"/>
      <c r="AJ21771" s="183"/>
    </row>
    <row r="21772" spans="1:38">
      <c r="A21772" s="182"/>
      <c r="Q21772" s="183"/>
      <c r="R21772" s="183"/>
      <c r="S21772" s="183"/>
    </row>
    <row r="21773" spans="1:38">
      <c r="A21773" s="182"/>
      <c r="Q21773" s="183"/>
      <c r="R21773" s="183"/>
      <c r="S21773" s="183"/>
    </row>
    <row r="21774" spans="1:38">
      <c r="A21774" s="182"/>
      <c r="Q21774" s="183"/>
      <c r="R21774" s="183"/>
      <c r="S21774" s="183"/>
    </row>
    <row r="21775" spans="1:38">
      <c r="A21775" s="182"/>
      <c r="M21775" s="183"/>
      <c r="N21775" s="183"/>
      <c r="O21775" s="183"/>
      <c r="Q21775" s="183"/>
      <c r="R21775" s="183"/>
      <c r="S21775" s="183"/>
      <c r="AK21775" s="183"/>
      <c r="AL21775" s="183"/>
    </row>
    <row r="21776" spans="1:38">
      <c r="A21776" s="182"/>
      <c r="L21776" s="183"/>
      <c r="M21776" s="183"/>
      <c r="Q21776" s="183"/>
      <c r="R21776" s="183"/>
      <c r="S21776" s="183"/>
      <c r="AJ21776" s="183"/>
      <c r="AK21776" s="183"/>
      <c r="AL21776" s="183"/>
    </row>
    <row r="21777" spans="1:38">
      <c r="A21777" s="182"/>
      <c r="Q21777" s="183"/>
      <c r="R21777" s="183"/>
      <c r="S21777" s="183"/>
      <c r="AJ21777" s="183"/>
      <c r="AK21777" s="183"/>
      <c r="AL21777" s="183"/>
    </row>
    <row r="21778" spans="1:38">
      <c r="A21778" s="182"/>
      <c r="Q21778" s="183"/>
      <c r="R21778" s="183"/>
      <c r="S21778" s="183"/>
      <c r="AJ21778" s="183"/>
      <c r="AK21778" s="183"/>
      <c r="AL21778" s="183"/>
    </row>
    <row r="21779" spans="1:38">
      <c r="A21779" s="182"/>
      <c r="Q21779" s="183"/>
      <c r="R21779" s="183"/>
      <c r="S21779" s="183"/>
      <c r="AJ21779" s="183"/>
    </row>
    <row r="21780" spans="1:38">
      <c r="A21780" s="182"/>
      <c r="Q21780" s="183"/>
      <c r="R21780" s="183"/>
      <c r="S21780" s="183"/>
    </row>
    <row r="21781" spans="1:38">
      <c r="A21781" s="182"/>
      <c r="Q21781" s="183"/>
      <c r="R21781" s="183"/>
      <c r="S21781" s="183"/>
    </row>
    <row r="21782" spans="1:38">
      <c r="A21782" s="182"/>
      <c r="M21782" s="183"/>
      <c r="N21782" s="183"/>
      <c r="O21782" s="183"/>
      <c r="Q21782" s="183"/>
      <c r="R21782" s="183"/>
      <c r="S21782" s="183"/>
    </row>
    <row r="21783" spans="1:38">
      <c r="A21783" s="182"/>
      <c r="L21783" s="183"/>
      <c r="M21783" s="183"/>
      <c r="N21783" s="183"/>
      <c r="Q21783" s="183"/>
      <c r="R21783" s="183"/>
      <c r="S21783" s="183"/>
      <c r="AK21783" s="183"/>
      <c r="AL21783" s="183"/>
    </row>
    <row r="21784" spans="1:38">
      <c r="A21784" s="182"/>
      <c r="L21784" s="183"/>
      <c r="M21784" s="183"/>
      <c r="N21784" s="183"/>
      <c r="O21784" s="183"/>
      <c r="Q21784" s="183"/>
      <c r="R21784" s="183"/>
      <c r="S21784" s="183"/>
      <c r="AJ21784" s="183"/>
      <c r="AK21784" s="183"/>
      <c r="AL21784" s="183"/>
    </row>
    <row r="21785" spans="1:38">
      <c r="A21785" s="182"/>
      <c r="L21785" s="183"/>
      <c r="M21785" s="183"/>
      <c r="Q21785" s="183"/>
      <c r="R21785" s="183"/>
      <c r="S21785" s="183"/>
      <c r="AJ21785" s="183"/>
      <c r="AK21785" s="183"/>
      <c r="AL21785" s="183"/>
    </row>
    <row r="21786" spans="1:38">
      <c r="A21786" s="182"/>
      <c r="M21786" s="183"/>
      <c r="N21786" s="183"/>
      <c r="O21786" s="183"/>
      <c r="Q21786" s="183"/>
      <c r="R21786" s="183"/>
      <c r="S21786" s="183"/>
      <c r="AJ21786" s="183"/>
      <c r="AK21786" s="183"/>
      <c r="AL21786" s="183"/>
    </row>
    <row r="21787" spans="1:38">
      <c r="A21787" s="182"/>
      <c r="L21787" s="183"/>
      <c r="M21787" s="183"/>
      <c r="Q21787" s="183"/>
      <c r="R21787" s="183"/>
      <c r="S21787" s="183"/>
      <c r="AJ21787" s="183"/>
      <c r="AK21787" s="183"/>
      <c r="AL21787" s="183"/>
    </row>
    <row r="21788" spans="1:38">
      <c r="A21788" s="182"/>
      <c r="Q21788" s="183"/>
      <c r="R21788" s="183"/>
      <c r="S21788" s="183"/>
      <c r="AJ21788" s="183"/>
      <c r="AK21788" s="183"/>
      <c r="AL21788" s="183"/>
    </row>
    <row r="21789" spans="1:38">
      <c r="A21789" s="182"/>
      <c r="Q21789" s="183"/>
      <c r="R21789" s="183"/>
      <c r="S21789" s="183"/>
      <c r="AJ21789" s="183"/>
      <c r="AK21789" s="183"/>
      <c r="AL21789" s="183"/>
    </row>
    <row r="21790" spans="1:38">
      <c r="A21790" s="182"/>
      <c r="Q21790" s="183"/>
      <c r="R21790" s="183"/>
      <c r="S21790" s="183"/>
      <c r="AJ21790" s="183"/>
      <c r="AK21790" s="183"/>
      <c r="AL21790" s="183"/>
    </row>
    <row r="21791" spans="1:38">
      <c r="A21791" s="182"/>
      <c r="Q21791" s="183"/>
      <c r="R21791" s="183"/>
      <c r="S21791" s="183"/>
      <c r="AJ21791" s="183"/>
    </row>
    <row r="21792" spans="1:38">
      <c r="A21792" s="182"/>
      <c r="Q21792" s="183"/>
      <c r="R21792" s="183"/>
      <c r="S21792" s="183"/>
    </row>
    <row r="21793" spans="1:19">
      <c r="A21793" s="182"/>
      <c r="Q21793" s="183"/>
      <c r="R21793" s="183"/>
      <c r="S21793" s="183"/>
    </row>
    <row r="21794" spans="1:19">
      <c r="A21794" s="182"/>
      <c r="Q21794" s="183"/>
      <c r="R21794" s="183"/>
      <c r="S21794" s="183"/>
    </row>
    <row r="21795" spans="1:19">
      <c r="A21795" s="182"/>
      <c r="Q21795" s="183"/>
      <c r="R21795" s="183"/>
      <c r="S21795" s="183"/>
    </row>
    <row r="21796" spans="1:19">
      <c r="A21796" s="182"/>
      <c r="Q21796" s="183"/>
      <c r="R21796" s="183"/>
      <c r="S21796" s="183"/>
    </row>
    <row r="21797" spans="1:19">
      <c r="A21797" s="182"/>
      <c r="Q21797" s="183"/>
      <c r="R21797" s="183"/>
      <c r="S21797" s="183"/>
    </row>
    <row r="21798" spans="1:19">
      <c r="A21798" s="182"/>
      <c r="Q21798" s="183"/>
      <c r="R21798" s="183"/>
      <c r="S21798" s="183"/>
    </row>
    <row r="21799" spans="1:19">
      <c r="A21799" s="182"/>
      <c r="Q21799" s="183"/>
      <c r="R21799" s="183"/>
      <c r="S21799" s="183"/>
    </row>
    <row r="21800" spans="1:19">
      <c r="A21800" s="182"/>
      <c r="Q21800" s="183"/>
      <c r="R21800" s="183"/>
      <c r="S21800" s="183"/>
    </row>
    <row r="21801" spans="1:19">
      <c r="A21801" s="182"/>
      <c r="M21801" s="183"/>
      <c r="N21801" s="183"/>
      <c r="O21801" s="183"/>
      <c r="Q21801" s="183"/>
      <c r="R21801" s="183"/>
      <c r="S21801" s="183"/>
    </row>
    <row r="21802" spans="1:19">
      <c r="A21802" s="182"/>
      <c r="L21802" s="183"/>
      <c r="M21802" s="183"/>
      <c r="Q21802" s="183"/>
      <c r="R21802" s="183"/>
      <c r="S21802" s="183"/>
    </row>
    <row r="21803" spans="1:19">
      <c r="A21803" s="182"/>
      <c r="Q21803" s="183"/>
      <c r="R21803" s="183"/>
      <c r="S21803" s="183"/>
    </row>
    <row r="21804" spans="1:19">
      <c r="A21804" s="182"/>
      <c r="Q21804" s="183"/>
      <c r="R21804" s="183"/>
      <c r="S21804" s="183"/>
    </row>
    <row r="21805" spans="1:19">
      <c r="A21805" s="182"/>
      <c r="Q21805" s="183"/>
      <c r="R21805" s="183"/>
      <c r="S21805" s="183"/>
    </row>
    <row r="21806" spans="1:19">
      <c r="A21806" s="182"/>
      <c r="Q21806" s="183"/>
      <c r="R21806" s="183"/>
      <c r="S21806" s="183"/>
    </row>
    <row r="21807" spans="1:19">
      <c r="A21807" s="182"/>
      <c r="Q21807" s="183"/>
      <c r="R21807" s="183"/>
      <c r="S21807" s="183"/>
    </row>
    <row r="21808" spans="1:19">
      <c r="A21808" s="182"/>
      <c r="Q21808" s="183"/>
      <c r="R21808" s="183"/>
      <c r="S21808" s="183"/>
    </row>
    <row r="21809" spans="1:19">
      <c r="A21809" s="182"/>
      <c r="Q21809" s="183"/>
      <c r="R21809" s="183"/>
      <c r="S21809" s="183"/>
    </row>
    <row r="21810" spans="1:19">
      <c r="A21810" s="182"/>
      <c r="Q21810" s="183"/>
      <c r="R21810" s="183"/>
      <c r="S21810" s="183"/>
    </row>
    <row r="21811" spans="1:19">
      <c r="A21811" s="182"/>
      <c r="Q21811" s="183"/>
      <c r="R21811" s="183"/>
      <c r="S21811" s="183"/>
    </row>
    <row r="21812" spans="1:19">
      <c r="A21812" s="182"/>
      <c r="Q21812" s="183"/>
      <c r="R21812" s="183"/>
      <c r="S21812" s="183"/>
    </row>
    <row r="21813" spans="1:19">
      <c r="A21813" s="182"/>
      <c r="Q21813" s="183"/>
      <c r="R21813" s="183"/>
      <c r="S21813" s="183"/>
    </row>
    <row r="21814" spans="1:19">
      <c r="A21814" s="182"/>
      <c r="Q21814" s="183"/>
      <c r="R21814" s="183"/>
      <c r="S21814" s="183"/>
    </row>
    <row r="21815" spans="1:19">
      <c r="A21815" s="182"/>
      <c r="Q21815" s="183"/>
      <c r="R21815" s="183"/>
      <c r="S21815" s="183"/>
    </row>
    <row r="21816" spans="1:19">
      <c r="A21816" s="182"/>
      <c r="Q21816" s="183"/>
      <c r="R21816" s="183"/>
      <c r="S21816" s="183"/>
    </row>
    <row r="21817" spans="1:19">
      <c r="A21817" s="182"/>
      <c r="Q21817" s="183"/>
      <c r="R21817" s="183"/>
      <c r="S21817" s="183"/>
    </row>
    <row r="21818" spans="1:19">
      <c r="A21818" s="182"/>
      <c r="Q21818" s="183"/>
      <c r="R21818" s="183"/>
      <c r="S21818" s="183"/>
    </row>
    <row r="21819" spans="1:19">
      <c r="A21819" s="182"/>
      <c r="Q21819" s="183"/>
      <c r="R21819" s="183"/>
      <c r="S21819" s="183"/>
    </row>
    <row r="21820" spans="1:19">
      <c r="A21820" s="182"/>
      <c r="Q21820" s="183"/>
      <c r="R21820" s="183"/>
      <c r="S21820" s="183"/>
    </row>
    <row r="21821" spans="1:19">
      <c r="A21821" s="182"/>
      <c r="Q21821" s="183"/>
      <c r="R21821" s="183"/>
      <c r="S21821" s="183"/>
    </row>
    <row r="21822" spans="1:19">
      <c r="A21822" s="182"/>
      <c r="Q21822" s="183"/>
      <c r="R21822" s="183"/>
      <c r="S21822" s="183"/>
    </row>
    <row r="21823" spans="1:19">
      <c r="A21823" s="182"/>
      <c r="Q21823" s="183"/>
      <c r="R21823" s="183"/>
      <c r="S21823" s="183"/>
    </row>
    <row r="21824" spans="1:19">
      <c r="A21824" s="182"/>
      <c r="Q21824" s="183"/>
      <c r="R21824" s="183"/>
      <c r="S21824" s="183"/>
    </row>
    <row r="21825" spans="1:38">
      <c r="A21825" s="182"/>
      <c r="Q21825" s="183"/>
      <c r="R21825" s="183"/>
      <c r="S21825" s="183"/>
    </row>
    <row r="21826" spans="1:38">
      <c r="A21826" s="182"/>
      <c r="Q21826" s="183"/>
      <c r="R21826" s="183"/>
      <c r="S21826" s="183"/>
    </row>
    <row r="21827" spans="1:38">
      <c r="A21827" s="182"/>
      <c r="Q21827" s="183"/>
      <c r="R21827" s="183"/>
      <c r="S21827" s="183"/>
    </row>
    <row r="21828" spans="1:38">
      <c r="A21828" s="182"/>
      <c r="Q21828" s="183"/>
      <c r="R21828" s="183"/>
      <c r="S21828" s="183"/>
    </row>
    <row r="21829" spans="1:38">
      <c r="A21829" s="182"/>
      <c r="Q21829" s="183"/>
      <c r="R21829" s="183"/>
      <c r="S21829" s="183"/>
    </row>
    <row r="21830" spans="1:38">
      <c r="A21830" s="182"/>
      <c r="Q21830" s="183"/>
      <c r="R21830" s="183"/>
      <c r="S21830" s="183"/>
    </row>
    <row r="21831" spans="1:38">
      <c r="A21831" s="182"/>
      <c r="Q21831" s="183"/>
      <c r="R21831" s="183"/>
      <c r="S21831" s="183"/>
      <c r="AK21831" s="183"/>
      <c r="AL21831" s="183"/>
    </row>
    <row r="21832" spans="1:38">
      <c r="A21832" s="182"/>
      <c r="Q21832" s="183"/>
      <c r="R21832" s="183"/>
      <c r="S21832" s="183"/>
      <c r="AJ21832" s="183"/>
      <c r="AK21832" s="183"/>
      <c r="AL21832" s="183"/>
    </row>
    <row r="21833" spans="1:38">
      <c r="A21833" s="182"/>
      <c r="Q21833" s="183"/>
      <c r="R21833" s="183"/>
      <c r="S21833" s="183"/>
      <c r="AJ21833" s="183"/>
      <c r="AK21833" s="183"/>
      <c r="AL21833" s="183"/>
    </row>
    <row r="21834" spans="1:38">
      <c r="A21834" s="182"/>
      <c r="Q21834" s="183"/>
      <c r="R21834" s="183"/>
      <c r="S21834" s="183"/>
      <c r="AJ21834" s="183"/>
      <c r="AK21834" s="183"/>
      <c r="AL21834" s="183"/>
    </row>
    <row r="21835" spans="1:38">
      <c r="A21835" s="182"/>
      <c r="Q21835" s="183"/>
      <c r="R21835" s="183"/>
      <c r="S21835" s="183"/>
      <c r="AJ21835" s="183"/>
      <c r="AK21835" s="183"/>
      <c r="AL21835" s="183"/>
    </row>
    <row r="21836" spans="1:38">
      <c r="A21836" s="182"/>
      <c r="Q21836" s="183"/>
      <c r="R21836" s="183"/>
      <c r="S21836" s="183"/>
      <c r="AJ21836" s="183"/>
      <c r="AK21836" s="183"/>
      <c r="AL21836" s="183"/>
    </row>
    <row r="21837" spans="1:38">
      <c r="A21837" s="182"/>
      <c r="Q21837" s="183"/>
      <c r="R21837" s="183"/>
      <c r="S21837" s="183"/>
      <c r="AJ21837" s="183"/>
      <c r="AK21837" s="183"/>
      <c r="AL21837" s="183"/>
    </row>
    <row r="21838" spans="1:38">
      <c r="A21838" s="182"/>
      <c r="Q21838" s="183"/>
      <c r="R21838" s="183"/>
      <c r="S21838" s="183"/>
      <c r="AJ21838" s="183"/>
      <c r="AK21838" s="183"/>
      <c r="AL21838" s="183"/>
    </row>
    <row r="21839" spans="1:38">
      <c r="A21839" s="182"/>
      <c r="Q21839" s="183"/>
      <c r="R21839" s="183"/>
      <c r="S21839" s="183"/>
      <c r="AJ21839" s="183"/>
    </row>
    <row r="21840" spans="1:38">
      <c r="A21840" s="182"/>
      <c r="Q21840" s="183"/>
      <c r="R21840" s="183"/>
      <c r="S21840" s="183"/>
    </row>
    <row r="21841" spans="1:38">
      <c r="A21841" s="182"/>
      <c r="Q21841" s="183"/>
      <c r="R21841" s="183"/>
      <c r="S21841" s="183"/>
    </row>
    <row r="21842" spans="1:38">
      <c r="A21842" s="182"/>
      <c r="Q21842" s="183"/>
      <c r="R21842" s="183"/>
      <c r="S21842" s="183"/>
    </row>
    <row r="21843" spans="1:38">
      <c r="A21843" s="182"/>
      <c r="Q21843" s="183"/>
      <c r="R21843" s="183"/>
      <c r="S21843" s="183"/>
    </row>
    <row r="21844" spans="1:38">
      <c r="A21844" s="182"/>
      <c r="Q21844" s="183"/>
      <c r="R21844" s="183"/>
      <c r="S21844" s="183"/>
    </row>
    <row r="21845" spans="1:38">
      <c r="A21845" s="182"/>
      <c r="Q21845" s="183"/>
      <c r="R21845" s="183"/>
      <c r="S21845" s="183"/>
    </row>
    <row r="21846" spans="1:38">
      <c r="A21846" s="182"/>
      <c r="Q21846" s="183"/>
      <c r="R21846" s="183"/>
      <c r="S21846" s="183"/>
    </row>
    <row r="21847" spans="1:38">
      <c r="A21847" s="182"/>
      <c r="Q21847" s="183"/>
      <c r="R21847" s="183"/>
      <c r="S21847" s="183"/>
    </row>
    <row r="21848" spans="1:38">
      <c r="A21848" s="182"/>
      <c r="Q21848" s="183"/>
      <c r="R21848" s="183"/>
      <c r="S21848" s="183"/>
    </row>
    <row r="21849" spans="1:38">
      <c r="A21849" s="182"/>
      <c r="Q21849" s="183"/>
      <c r="R21849" s="183"/>
      <c r="S21849" s="183"/>
    </row>
    <row r="21850" spans="1:38">
      <c r="A21850" s="182"/>
      <c r="Q21850" s="183"/>
      <c r="R21850" s="183"/>
      <c r="S21850" s="183"/>
    </row>
    <row r="21851" spans="1:38">
      <c r="A21851" s="182"/>
      <c r="Q21851" s="183"/>
      <c r="R21851" s="183"/>
      <c r="S21851" s="183"/>
    </row>
    <row r="21852" spans="1:38">
      <c r="A21852" s="182"/>
      <c r="Q21852" s="183"/>
      <c r="R21852" s="183"/>
      <c r="S21852" s="183"/>
    </row>
    <row r="21853" spans="1:38">
      <c r="A21853" s="182"/>
      <c r="Q21853" s="183"/>
      <c r="R21853" s="183"/>
      <c r="S21853" s="183"/>
    </row>
    <row r="21854" spans="1:38">
      <c r="A21854" s="182"/>
      <c r="Q21854" s="183"/>
      <c r="R21854" s="183"/>
      <c r="S21854" s="183"/>
    </row>
    <row r="21855" spans="1:38">
      <c r="A21855" s="182"/>
      <c r="Q21855" s="183"/>
      <c r="R21855" s="183"/>
      <c r="S21855" s="183"/>
      <c r="AK21855" s="183"/>
      <c r="AL21855" s="183"/>
    </row>
    <row r="21856" spans="1:38">
      <c r="A21856" s="182"/>
      <c r="Q21856" s="183"/>
      <c r="R21856" s="183"/>
      <c r="S21856" s="183"/>
      <c r="AJ21856" s="183"/>
      <c r="AK21856" s="183"/>
      <c r="AL21856" s="183"/>
    </row>
    <row r="21857" spans="1:38">
      <c r="A21857" s="182"/>
      <c r="Q21857" s="183"/>
      <c r="R21857" s="183"/>
      <c r="S21857" s="183"/>
      <c r="AJ21857" s="183"/>
      <c r="AK21857" s="183"/>
      <c r="AL21857" s="183"/>
    </row>
    <row r="21858" spans="1:38">
      <c r="A21858" s="182"/>
      <c r="Q21858" s="183"/>
      <c r="R21858" s="183"/>
      <c r="S21858" s="183"/>
      <c r="AJ21858" s="183"/>
      <c r="AK21858" s="183"/>
      <c r="AL21858" s="183"/>
    </row>
    <row r="21859" spans="1:38">
      <c r="A21859" s="182"/>
      <c r="Q21859" s="183"/>
      <c r="R21859" s="183"/>
      <c r="S21859" s="183"/>
      <c r="AJ21859" s="183"/>
    </row>
    <row r="21860" spans="1:38">
      <c r="A21860" s="182"/>
      <c r="Q21860" s="183"/>
      <c r="R21860" s="183"/>
      <c r="S21860" s="183"/>
    </row>
    <row r="21861" spans="1:38">
      <c r="A21861" s="182"/>
      <c r="Q21861" s="183"/>
      <c r="R21861" s="183"/>
      <c r="S21861" s="183"/>
    </row>
    <row r="21862" spans="1:38">
      <c r="A21862" s="182"/>
      <c r="Q21862" s="183"/>
      <c r="R21862" s="183"/>
      <c r="S21862" s="183"/>
    </row>
    <row r="21863" spans="1:38">
      <c r="A21863" s="182"/>
      <c r="Q21863" s="183"/>
      <c r="R21863" s="183"/>
      <c r="S21863" s="183"/>
    </row>
    <row r="21864" spans="1:38">
      <c r="A21864" s="182"/>
      <c r="N21864" s="183"/>
      <c r="O21864" s="183"/>
      <c r="Q21864" s="183"/>
      <c r="R21864" s="183"/>
      <c r="S21864" s="183"/>
    </row>
    <row r="21865" spans="1:38">
      <c r="A21865" s="182"/>
      <c r="M21865" s="183"/>
      <c r="Q21865" s="183"/>
      <c r="R21865" s="183"/>
      <c r="S21865" s="183"/>
    </row>
    <row r="21866" spans="1:38">
      <c r="A21866" s="182"/>
      <c r="Q21866" s="183"/>
      <c r="R21866" s="183"/>
      <c r="S21866" s="183"/>
    </row>
    <row r="21867" spans="1:38">
      <c r="A21867" s="182"/>
      <c r="Q21867" s="183"/>
      <c r="R21867" s="183"/>
      <c r="S21867" s="183"/>
      <c r="AK21867" s="183"/>
      <c r="AL21867" s="183"/>
    </row>
    <row r="21868" spans="1:38">
      <c r="A21868" s="182"/>
      <c r="Q21868" s="183"/>
      <c r="R21868" s="183"/>
      <c r="S21868" s="183"/>
      <c r="AJ21868" s="183"/>
      <c r="AK21868" s="183"/>
      <c r="AL21868" s="183"/>
    </row>
    <row r="21869" spans="1:38">
      <c r="A21869" s="182"/>
      <c r="Q21869" s="183"/>
      <c r="R21869" s="183"/>
      <c r="S21869" s="183"/>
      <c r="AJ21869" s="183"/>
      <c r="AK21869" s="183"/>
      <c r="AL21869" s="183"/>
    </row>
    <row r="21870" spans="1:38">
      <c r="A21870" s="182"/>
      <c r="Q21870" s="183"/>
      <c r="R21870" s="183"/>
      <c r="S21870" s="183"/>
      <c r="AJ21870" s="183"/>
      <c r="AK21870" s="183"/>
      <c r="AL21870" s="183"/>
    </row>
    <row r="21871" spans="1:38">
      <c r="A21871" s="182"/>
      <c r="Q21871" s="183"/>
      <c r="R21871" s="183"/>
      <c r="S21871" s="183"/>
      <c r="AJ21871" s="183"/>
    </row>
    <row r="21872" spans="1:38">
      <c r="A21872" s="182"/>
      <c r="Q21872" s="183"/>
      <c r="R21872" s="183"/>
      <c r="S21872" s="183"/>
    </row>
    <row r="21873" spans="1:38">
      <c r="A21873" s="182"/>
      <c r="Q21873" s="183"/>
      <c r="R21873" s="183"/>
      <c r="S21873" s="183"/>
    </row>
    <row r="21874" spans="1:38">
      <c r="A21874" s="182"/>
      <c r="Q21874" s="183"/>
      <c r="R21874" s="183"/>
      <c r="S21874" s="183"/>
    </row>
    <row r="21875" spans="1:38">
      <c r="A21875" s="182"/>
      <c r="Q21875" s="183"/>
      <c r="R21875" s="183"/>
      <c r="S21875" s="183"/>
    </row>
    <row r="21876" spans="1:38">
      <c r="A21876" s="182"/>
      <c r="Q21876" s="183"/>
      <c r="R21876" s="183"/>
      <c r="S21876" s="183"/>
    </row>
    <row r="21877" spans="1:38">
      <c r="A21877" s="182"/>
      <c r="Q21877" s="183"/>
      <c r="R21877" s="183"/>
      <c r="S21877" s="183"/>
    </row>
    <row r="21878" spans="1:38">
      <c r="A21878" s="182"/>
      <c r="Q21878" s="183"/>
      <c r="R21878" s="183"/>
      <c r="S21878" s="183"/>
    </row>
    <row r="21879" spans="1:38">
      <c r="A21879" s="182"/>
      <c r="Q21879" s="183"/>
      <c r="R21879" s="183"/>
      <c r="S21879" s="183"/>
      <c r="AK21879" s="183"/>
      <c r="AL21879" s="183"/>
    </row>
    <row r="21880" spans="1:38">
      <c r="A21880" s="182"/>
      <c r="Q21880" s="183"/>
      <c r="R21880" s="183"/>
      <c r="S21880" s="183"/>
      <c r="AJ21880" s="183"/>
      <c r="AK21880" s="183"/>
      <c r="AL21880" s="183"/>
    </row>
    <row r="21881" spans="1:38">
      <c r="A21881" s="182"/>
      <c r="Q21881" s="183"/>
      <c r="R21881" s="183"/>
      <c r="S21881" s="183"/>
      <c r="AJ21881" s="183"/>
      <c r="AK21881" s="183"/>
      <c r="AL21881" s="183"/>
    </row>
    <row r="21882" spans="1:38">
      <c r="A21882" s="182"/>
      <c r="Q21882" s="183"/>
      <c r="R21882" s="183"/>
      <c r="S21882" s="183"/>
      <c r="AJ21882" s="183"/>
      <c r="AK21882" s="183"/>
      <c r="AL21882" s="183"/>
    </row>
    <row r="21883" spans="1:38">
      <c r="A21883" s="182"/>
      <c r="Q21883" s="183"/>
      <c r="R21883" s="183"/>
      <c r="S21883" s="183"/>
      <c r="AJ21883" s="183"/>
      <c r="AK21883" s="183"/>
      <c r="AL21883" s="183"/>
    </row>
    <row r="21884" spans="1:38">
      <c r="A21884" s="182"/>
      <c r="Q21884" s="183"/>
      <c r="R21884" s="183"/>
      <c r="S21884" s="183"/>
      <c r="AJ21884" s="183"/>
      <c r="AK21884" s="183"/>
      <c r="AL21884" s="183"/>
    </row>
    <row r="21885" spans="1:38">
      <c r="A21885" s="182"/>
      <c r="Q21885" s="183"/>
      <c r="R21885" s="183"/>
      <c r="S21885" s="183"/>
      <c r="AJ21885" s="183"/>
      <c r="AK21885" s="183"/>
      <c r="AL21885" s="183"/>
    </row>
    <row r="21886" spans="1:38">
      <c r="A21886" s="182"/>
      <c r="Q21886" s="183"/>
      <c r="R21886" s="183"/>
      <c r="S21886" s="183"/>
      <c r="AJ21886" s="183"/>
      <c r="AK21886" s="183"/>
      <c r="AL21886" s="183"/>
    </row>
    <row r="21887" spans="1:38">
      <c r="A21887" s="182"/>
      <c r="Q21887" s="183"/>
      <c r="R21887" s="183"/>
      <c r="S21887" s="183"/>
      <c r="AJ21887" s="183"/>
      <c r="AK21887" s="183"/>
      <c r="AL21887" s="183"/>
    </row>
    <row r="21888" spans="1:38">
      <c r="A21888" s="182"/>
      <c r="Q21888" s="183"/>
      <c r="R21888" s="183"/>
      <c r="S21888" s="183"/>
      <c r="AJ21888" s="183"/>
      <c r="AK21888" s="183"/>
      <c r="AL21888" s="183"/>
    </row>
    <row r="21889" spans="1:38">
      <c r="A21889" s="182"/>
      <c r="Q21889" s="183"/>
      <c r="R21889" s="183"/>
      <c r="S21889" s="183"/>
      <c r="AJ21889" s="183"/>
      <c r="AK21889" s="183"/>
      <c r="AL21889" s="183"/>
    </row>
    <row r="21890" spans="1:38">
      <c r="A21890" s="182"/>
      <c r="Q21890" s="183"/>
      <c r="R21890" s="183"/>
      <c r="S21890" s="183"/>
      <c r="AJ21890" s="183"/>
      <c r="AK21890" s="183"/>
      <c r="AL21890" s="183"/>
    </row>
    <row r="21891" spans="1:38">
      <c r="A21891" s="182"/>
      <c r="Q21891" s="183"/>
      <c r="R21891" s="183"/>
      <c r="S21891" s="183"/>
      <c r="AJ21891" s="183"/>
      <c r="AK21891" s="183"/>
      <c r="AL21891" s="183"/>
    </row>
    <row r="21892" spans="1:38">
      <c r="A21892" s="182"/>
      <c r="Q21892" s="183"/>
      <c r="R21892" s="183"/>
      <c r="S21892" s="183"/>
      <c r="AJ21892" s="183"/>
      <c r="AK21892" s="183"/>
      <c r="AL21892" s="183"/>
    </row>
    <row r="21893" spans="1:38">
      <c r="A21893" s="182"/>
      <c r="Q21893" s="183"/>
      <c r="R21893" s="183"/>
      <c r="S21893" s="183"/>
      <c r="AJ21893" s="183"/>
      <c r="AK21893" s="183"/>
      <c r="AL21893" s="183"/>
    </row>
    <row r="21894" spans="1:38">
      <c r="A21894" s="182"/>
      <c r="Q21894" s="183"/>
      <c r="R21894" s="183"/>
      <c r="S21894" s="183"/>
      <c r="AJ21894" s="183"/>
      <c r="AK21894" s="183"/>
      <c r="AL21894" s="183"/>
    </row>
    <row r="21895" spans="1:38">
      <c r="A21895" s="182"/>
      <c r="Q21895" s="183"/>
      <c r="R21895" s="183"/>
      <c r="S21895" s="183"/>
      <c r="AJ21895" s="183"/>
    </row>
    <row r="21896" spans="1:38">
      <c r="A21896" s="182"/>
      <c r="Q21896" s="183"/>
      <c r="R21896" s="183"/>
      <c r="S21896" s="183"/>
    </row>
    <row r="21897" spans="1:38">
      <c r="A21897" s="182"/>
      <c r="Q21897" s="183"/>
      <c r="R21897" s="183"/>
      <c r="S21897" s="183"/>
    </row>
    <row r="21898" spans="1:38">
      <c r="A21898" s="182"/>
      <c r="Q21898" s="183"/>
      <c r="R21898" s="183"/>
      <c r="S21898" s="183"/>
    </row>
    <row r="21899" spans="1:38">
      <c r="A21899" s="182"/>
      <c r="Q21899" s="183"/>
      <c r="R21899" s="183"/>
      <c r="S21899" s="183"/>
    </row>
    <row r="21900" spans="1:38">
      <c r="A21900" s="182"/>
      <c r="Q21900" s="183"/>
      <c r="R21900" s="183"/>
      <c r="S21900" s="183"/>
    </row>
    <row r="21901" spans="1:38">
      <c r="A21901" s="182"/>
      <c r="Q21901" s="183"/>
      <c r="R21901" s="183"/>
      <c r="S21901" s="183"/>
    </row>
    <row r="21902" spans="1:38">
      <c r="A21902" s="182"/>
      <c r="Q21902" s="183"/>
      <c r="R21902" s="183"/>
      <c r="S21902" s="183"/>
    </row>
    <row r="21903" spans="1:38">
      <c r="A21903" s="182"/>
      <c r="Q21903" s="183"/>
      <c r="R21903" s="183"/>
      <c r="S21903" s="183"/>
    </row>
    <row r="21904" spans="1:38">
      <c r="A21904" s="182"/>
      <c r="Q21904" s="183"/>
      <c r="R21904" s="183"/>
      <c r="S21904" s="183"/>
    </row>
    <row r="21905" spans="1:38">
      <c r="A21905" s="182"/>
      <c r="Q21905" s="183"/>
      <c r="R21905" s="183"/>
      <c r="S21905" s="183"/>
    </row>
    <row r="21906" spans="1:38">
      <c r="A21906" s="182"/>
      <c r="Q21906" s="183"/>
      <c r="R21906" s="183"/>
      <c r="S21906" s="183"/>
    </row>
    <row r="21907" spans="1:38">
      <c r="A21907" s="182"/>
      <c r="Q21907" s="183"/>
      <c r="R21907" s="183"/>
      <c r="S21907" s="183"/>
    </row>
    <row r="21908" spans="1:38">
      <c r="A21908" s="182"/>
      <c r="Q21908" s="183"/>
      <c r="R21908" s="183"/>
      <c r="S21908" s="183"/>
    </row>
    <row r="21909" spans="1:38">
      <c r="A21909" s="182"/>
      <c r="Q21909" s="183"/>
      <c r="R21909" s="183"/>
      <c r="S21909" s="183"/>
    </row>
    <row r="21910" spans="1:38">
      <c r="A21910" s="182"/>
      <c r="Q21910" s="183"/>
      <c r="R21910" s="183"/>
      <c r="S21910" s="183"/>
    </row>
    <row r="21911" spans="1:38">
      <c r="A21911" s="182"/>
      <c r="Q21911" s="183"/>
      <c r="R21911" s="183"/>
      <c r="S21911" s="183"/>
    </row>
    <row r="21912" spans="1:38">
      <c r="A21912" s="182"/>
      <c r="Q21912" s="183"/>
      <c r="R21912" s="183"/>
      <c r="S21912" s="183"/>
    </row>
    <row r="21913" spans="1:38">
      <c r="A21913" s="182"/>
      <c r="Q21913" s="183"/>
      <c r="R21913" s="183"/>
      <c r="S21913" s="183"/>
    </row>
    <row r="21914" spans="1:38">
      <c r="A21914" s="182"/>
      <c r="Q21914" s="183"/>
      <c r="R21914" s="183"/>
      <c r="S21914" s="183"/>
    </row>
    <row r="21915" spans="1:38">
      <c r="A21915" s="182"/>
      <c r="Q21915" s="183"/>
      <c r="R21915" s="183"/>
      <c r="S21915" s="183"/>
      <c r="AK21915" s="183"/>
      <c r="AL21915" s="183"/>
    </row>
    <row r="21916" spans="1:38">
      <c r="A21916" s="182"/>
      <c r="Q21916" s="183"/>
      <c r="R21916" s="183"/>
      <c r="S21916" s="183"/>
      <c r="AJ21916" s="183"/>
      <c r="AK21916" s="183"/>
      <c r="AL21916" s="183"/>
    </row>
    <row r="21917" spans="1:38">
      <c r="A21917" s="182"/>
      <c r="Q21917" s="183"/>
      <c r="R21917" s="183"/>
      <c r="S21917" s="183"/>
      <c r="AJ21917" s="183"/>
      <c r="AK21917" s="183"/>
      <c r="AL21917" s="183"/>
    </row>
    <row r="21918" spans="1:38">
      <c r="A21918" s="182"/>
      <c r="Q21918" s="183"/>
      <c r="R21918" s="183"/>
      <c r="S21918" s="183"/>
      <c r="AJ21918" s="183"/>
      <c r="AK21918" s="183"/>
      <c r="AL21918" s="183"/>
    </row>
    <row r="21919" spans="1:38">
      <c r="A21919" s="182"/>
      <c r="Q21919" s="183"/>
      <c r="R21919" s="183"/>
      <c r="S21919" s="183"/>
      <c r="AJ21919" s="183"/>
    </row>
    <row r="21920" spans="1:38">
      <c r="A21920" s="182"/>
      <c r="Q21920" s="183"/>
      <c r="R21920" s="183"/>
      <c r="S21920" s="183"/>
    </row>
    <row r="21921" spans="1:38">
      <c r="A21921" s="182"/>
      <c r="Q21921" s="183"/>
      <c r="R21921" s="183"/>
      <c r="S21921" s="183"/>
    </row>
    <row r="21922" spans="1:38">
      <c r="A21922" s="182"/>
      <c r="Q21922" s="183"/>
      <c r="R21922" s="183"/>
      <c r="S21922" s="183"/>
    </row>
    <row r="21923" spans="1:38">
      <c r="A21923" s="182"/>
      <c r="Q21923" s="183"/>
      <c r="R21923" s="183"/>
      <c r="S21923" s="183"/>
      <c r="AK21923" s="183"/>
      <c r="AL21923" s="183"/>
    </row>
    <row r="21924" spans="1:38">
      <c r="A21924" s="182"/>
      <c r="Q21924" s="183"/>
      <c r="R21924" s="183"/>
      <c r="S21924" s="183"/>
      <c r="AJ21924" s="183"/>
      <c r="AK21924" s="183"/>
      <c r="AL21924" s="183"/>
    </row>
    <row r="21925" spans="1:38">
      <c r="A21925" s="182"/>
      <c r="Q21925" s="183"/>
      <c r="R21925" s="183"/>
      <c r="S21925" s="183"/>
      <c r="AJ21925" s="183"/>
      <c r="AK21925" s="183"/>
      <c r="AL21925" s="183"/>
    </row>
    <row r="21926" spans="1:38">
      <c r="A21926" s="182"/>
      <c r="Q21926" s="183"/>
      <c r="R21926" s="183"/>
      <c r="S21926" s="183"/>
      <c r="AJ21926" s="183"/>
      <c r="AK21926" s="183"/>
      <c r="AL21926" s="183"/>
    </row>
    <row r="21927" spans="1:38">
      <c r="A21927" s="182"/>
      <c r="Q21927" s="183"/>
      <c r="R21927" s="183"/>
      <c r="S21927" s="183"/>
      <c r="AJ21927" s="183"/>
    </row>
    <row r="21928" spans="1:38">
      <c r="A21928" s="182"/>
      <c r="Q21928" s="183"/>
      <c r="R21928" s="183"/>
      <c r="S21928" s="183"/>
    </row>
    <row r="21929" spans="1:38">
      <c r="A21929" s="182"/>
      <c r="Q21929" s="183"/>
      <c r="R21929" s="183"/>
      <c r="S21929" s="183"/>
    </row>
    <row r="21930" spans="1:38">
      <c r="A21930" s="182"/>
      <c r="Q21930" s="183"/>
      <c r="R21930" s="183"/>
      <c r="S21930" s="183"/>
    </row>
    <row r="21931" spans="1:38">
      <c r="A21931" s="182"/>
      <c r="Q21931" s="183"/>
      <c r="R21931" s="183"/>
      <c r="S21931" s="183"/>
      <c r="AK21931" s="183"/>
      <c r="AL21931" s="183"/>
    </row>
    <row r="21932" spans="1:38">
      <c r="A21932" s="182"/>
      <c r="Q21932" s="183"/>
      <c r="R21932" s="183"/>
      <c r="S21932" s="183"/>
      <c r="AJ21932" s="183"/>
      <c r="AK21932" s="183"/>
      <c r="AL21932" s="183"/>
    </row>
    <row r="21933" spans="1:38">
      <c r="A21933" s="182"/>
      <c r="Q21933" s="183"/>
      <c r="R21933" s="183"/>
      <c r="S21933" s="183"/>
      <c r="AJ21933" s="183"/>
      <c r="AK21933" s="183"/>
      <c r="AL21933" s="183"/>
    </row>
    <row r="21934" spans="1:38">
      <c r="A21934" s="182"/>
      <c r="Q21934" s="183"/>
      <c r="R21934" s="183"/>
      <c r="S21934" s="183"/>
      <c r="AJ21934" s="183"/>
      <c r="AK21934" s="183"/>
      <c r="AL21934" s="183"/>
    </row>
    <row r="21935" spans="1:38">
      <c r="A21935" s="182"/>
      <c r="Q21935" s="183"/>
      <c r="R21935" s="183"/>
      <c r="S21935" s="183"/>
      <c r="AJ21935" s="183"/>
      <c r="AK21935" s="183"/>
      <c r="AL21935" s="183"/>
    </row>
    <row r="21936" spans="1:38">
      <c r="A21936" s="182"/>
      <c r="Q21936" s="183"/>
      <c r="R21936" s="183"/>
      <c r="S21936" s="183"/>
      <c r="AJ21936" s="183"/>
      <c r="AK21936" s="183"/>
      <c r="AL21936" s="183"/>
    </row>
    <row r="21937" spans="1:38">
      <c r="A21937" s="182"/>
      <c r="Q21937" s="183"/>
      <c r="R21937" s="183"/>
      <c r="S21937" s="183"/>
      <c r="AJ21937" s="183"/>
      <c r="AK21937" s="183"/>
      <c r="AL21937" s="183"/>
    </row>
    <row r="21938" spans="1:38">
      <c r="A21938" s="182"/>
      <c r="Q21938" s="183"/>
      <c r="R21938" s="183"/>
      <c r="S21938" s="183"/>
      <c r="AJ21938" s="183"/>
      <c r="AK21938" s="183"/>
      <c r="AL21938" s="183"/>
    </row>
    <row r="21939" spans="1:38">
      <c r="A21939" s="182"/>
      <c r="Q21939" s="183"/>
      <c r="R21939" s="183"/>
      <c r="S21939" s="183"/>
      <c r="AJ21939" s="183"/>
    </row>
    <row r="21940" spans="1:38">
      <c r="A21940" s="182"/>
      <c r="Q21940" s="183"/>
      <c r="R21940" s="183"/>
      <c r="S21940" s="183"/>
    </row>
    <row r="21941" spans="1:38">
      <c r="A21941" s="182"/>
      <c r="Q21941" s="183"/>
      <c r="R21941" s="183"/>
      <c r="S21941" s="183"/>
    </row>
    <row r="21942" spans="1:38">
      <c r="A21942" s="182"/>
      <c r="Q21942" s="183"/>
      <c r="R21942" s="183"/>
      <c r="S21942" s="183"/>
    </row>
    <row r="21943" spans="1:38">
      <c r="A21943" s="182"/>
      <c r="Q21943" s="183"/>
      <c r="R21943" s="183"/>
      <c r="S21943" s="183"/>
    </row>
    <row r="21944" spans="1:38">
      <c r="A21944" s="182"/>
      <c r="Q21944" s="183"/>
      <c r="R21944" s="183"/>
      <c r="S21944" s="183"/>
    </row>
    <row r="21945" spans="1:38">
      <c r="A21945" s="182"/>
      <c r="Q21945" s="183"/>
      <c r="R21945" s="183"/>
      <c r="S21945" s="183"/>
    </row>
    <row r="21946" spans="1:38">
      <c r="A21946" s="182"/>
      <c r="Q21946" s="183"/>
      <c r="R21946" s="183"/>
      <c r="S21946" s="183"/>
    </row>
    <row r="21947" spans="1:38">
      <c r="A21947" s="182"/>
      <c r="Q21947" s="183"/>
      <c r="R21947" s="183"/>
      <c r="S21947" s="183"/>
      <c r="AK21947" s="183"/>
      <c r="AL21947" s="183"/>
    </row>
    <row r="21948" spans="1:38">
      <c r="A21948" s="182"/>
      <c r="Q21948" s="183"/>
      <c r="R21948" s="183"/>
      <c r="S21948" s="183"/>
      <c r="AJ21948" s="183"/>
      <c r="AK21948" s="183"/>
      <c r="AL21948" s="183"/>
    </row>
    <row r="21949" spans="1:38">
      <c r="A21949" s="182"/>
      <c r="Q21949" s="183"/>
      <c r="R21949" s="183"/>
      <c r="S21949" s="183"/>
      <c r="AJ21949" s="183"/>
      <c r="AK21949" s="183"/>
      <c r="AL21949" s="183"/>
    </row>
    <row r="21950" spans="1:38">
      <c r="A21950" s="182"/>
      <c r="Q21950" s="183"/>
      <c r="R21950" s="183"/>
      <c r="S21950" s="183"/>
      <c r="AJ21950" s="183"/>
      <c r="AK21950" s="183"/>
      <c r="AL21950" s="183"/>
    </row>
    <row r="21951" spans="1:38">
      <c r="A21951" s="182"/>
      <c r="Q21951" s="183"/>
      <c r="R21951" s="183"/>
      <c r="S21951" s="183"/>
      <c r="AJ21951" s="183"/>
    </row>
    <row r="21952" spans="1:38">
      <c r="A21952" s="182"/>
      <c r="Q21952" s="183"/>
      <c r="R21952" s="183"/>
      <c r="S21952" s="183"/>
    </row>
    <row r="21953" spans="1:38">
      <c r="A21953" s="182"/>
      <c r="Q21953" s="183"/>
      <c r="R21953" s="183"/>
      <c r="S21953" s="183"/>
    </row>
    <row r="21954" spans="1:38">
      <c r="A21954" s="182"/>
      <c r="Q21954" s="183"/>
      <c r="R21954" s="183"/>
      <c r="S21954" s="183"/>
    </row>
    <row r="21955" spans="1:38">
      <c r="A21955" s="182"/>
      <c r="Q21955" s="183"/>
      <c r="R21955" s="183"/>
      <c r="S21955" s="183"/>
      <c r="AK21955" s="183"/>
      <c r="AL21955" s="183"/>
    </row>
    <row r="21956" spans="1:38">
      <c r="A21956" s="182"/>
      <c r="Q21956" s="183"/>
      <c r="R21956" s="183"/>
      <c r="S21956" s="183"/>
      <c r="AJ21956" s="183"/>
      <c r="AK21956" s="183"/>
      <c r="AL21956" s="183"/>
    </row>
    <row r="21957" spans="1:38">
      <c r="A21957" s="182"/>
      <c r="Q21957" s="183"/>
      <c r="R21957" s="183"/>
      <c r="S21957" s="183"/>
      <c r="AJ21957" s="183"/>
      <c r="AK21957" s="183"/>
      <c r="AL21957" s="183"/>
    </row>
    <row r="21958" spans="1:38">
      <c r="A21958" s="182"/>
      <c r="Q21958" s="183"/>
      <c r="R21958" s="183"/>
      <c r="S21958" s="183"/>
      <c r="AJ21958" s="183"/>
      <c r="AK21958" s="183"/>
      <c r="AL21958" s="183"/>
    </row>
    <row r="21959" spans="1:38">
      <c r="A21959" s="182"/>
      <c r="Q21959" s="183"/>
      <c r="R21959" s="183"/>
      <c r="S21959" s="183"/>
      <c r="AJ21959" s="183"/>
      <c r="AK21959" s="183"/>
      <c r="AL21959" s="183"/>
    </row>
    <row r="21960" spans="1:38">
      <c r="A21960" s="182"/>
      <c r="Q21960" s="183"/>
      <c r="R21960" s="183"/>
      <c r="S21960" s="183"/>
      <c r="AJ21960" s="183"/>
      <c r="AK21960" s="183"/>
      <c r="AL21960" s="183"/>
    </row>
    <row r="21961" spans="1:38">
      <c r="A21961" s="182"/>
      <c r="Q21961" s="183"/>
      <c r="R21961" s="183"/>
      <c r="S21961" s="183"/>
      <c r="AJ21961" s="183"/>
      <c r="AK21961" s="183"/>
      <c r="AL21961" s="183"/>
    </row>
    <row r="21962" spans="1:38">
      <c r="A21962" s="182"/>
      <c r="Q21962" s="183"/>
      <c r="R21962" s="183"/>
      <c r="S21962" s="183"/>
      <c r="AJ21962" s="183"/>
      <c r="AK21962" s="183"/>
      <c r="AL21962" s="183"/>
    </row>
    <row r="21963" spans="1:38">
      <c r="A21963" s="182"/>
      <c r="Q21963" s="183"/>
      <c r="R21963" s="183"/>
      <c r="S21963" s="183"/>
      <c r="AJ21963" s="183"/>
      <c r="AK21963" s="183"/>
      <c r="AL21963" s="183"/>
    </row>
    <row r="21964" spans="1:38">
      <c r="A21964" s="182"/>
      <c r="Q21964" s="183"/>
      <c r="R21964" s="183"/>
      <c r="S21964" s="183"/>
      <c r="AJ21964" s="183"/>
      <c r="AK21964" s="183"/>
      <c r="AL21964" s="183"/>
    </row>
    <row r="21965" spans="1:38">
      <c r="A21965" s="182"/>
      <c r="Q21965" s="183"/>
      <c r="R21965" s="183"/>
      <c r="S21965" s="183"/>
      <c r="AJ21965" s="183"/>
      <c r="AK21965" s="183"/>
      <c r="AL21965" s="183"/>
    </row>
    <row r="21966" spans="1:38">
      <c r="A21966" s="182"/>
      <c r="Q21966" s="183"/>
      <c r="R21966" s="183"/>
      <c r="S21966" s="183"/>
      <c r="AJ21966" s="183"/>
      <c r="AK21966" s="183"/>
      <c r="AL21966" s="183"/>
    </row>
    <row r="21967" spans="1:38">
      <c r="A21967" s="182"/>
      <c r="Q21967" s="183"/>
      <c r="R21967" s="183"/>
      <c r="S21967" s="183"/>
      <c r="AJ21967" s="183"/>
      <c r="AK21967" s="183"/>
      <c r="AL21967" s="183"/>
    </row>
    <row r="21968" spans="1:38">
      <c r="A21968" s="182"/>
      <c r="Q21968" s="183"/>
      <c r="R21968" s="183"/>
      <c r="S21968" s="183"/>
      <c r="AJ21968" s="183"/>
      <c r="AK21968" s="183"/>
      <c r="AL21968" s="183"/>
    </row>
    <row r="21969" spans="1:38">
      <c r="A21969" s="182"/>
      <c r="Q21969" s="183"/>
      <c r="R21969" s="183"/>
      <c r="S21969" s="183"/>
      <c r="AJ21969" s="183"/>
      <c r="AK21969" s="183"/>
      <c r="AL21969" s="183"/>
    </row>
    <row r="21970" spans="1:38">
      <c r="A21970" s="182"/>
      <c r="Q21970" s="183"/>
      <c r="R21970" s="183"/>
      <c r="S21970" s="183"/>
      <c r="AJ21970" s="183"/>
      <c r="AK21970" s="183"/>
      <c r="AL21970" s="183"/>
    </row>
    <row r="21971" spans="1:38">
      <c r="A21971" s="182"/>
      <c r="Q21971" s="183"/>
      <c r="R21971" s="183"/>
      <c r="S21971" s="183"/>
      <c r="AJ21971" s="183"/>
      <c r="AK21971" s="183"/>
      <c r="AL21971" s="183"/>
    </row>
    <row r="21972" spans="1:38">
      <c r="A21972" s="182"/>
      <c r="Q21972" s="183"/>
      <c r="R21972" s="183"/>
      <c r="S21972" s="183"/>
      <c r="AJ21972" s="183"/>
      <c r="AK21972" s="183"/>
      <c r="AL21972" s="183"/>
    </row>
    <row r="21973" spans="1:38">
      <c r="A21973" s="182"/>
      <c r="Q21973" s="183"/>
      <c r="R21973" s="183"/>
      <c r="S21973" s="183"/>
      <c r="AJ21973" s="183"/>
      <c r="AK21973" s="183"/>
      <c r="AL21973" s="183"/>
    </row>
    <row r="21974" spans="1:38">
      <c r="A21974" s="182"/>
      <c r="Q21974" s="183"/>
      <c r="R21974" s="183"/>
      <c r="S21974" s="183"/>
      <c r="AJ21974" s="183"/>
      <c r="AK21974" s="183"/>
      <c r="AL21974" s="183"/>
    </row>
    <row r="21975" spans="1:38">
      <c r="A21975" s="182"/>
      <c r="Q21975" s="183"/>
      <c r="R21975" s="183"/>
      <c r="S21975" s="183"/>
      <c r="AJ21975" s="183"/>
    </row>
    <row r="21976" spans="1:38">
      <c r="A21976" s="182"/>
      <c r="Q21976" s="183"/>
      <c r="R21976" s="183"/>
      <c r="S21976" s="183"/>
    </row>
    <row r="21977" spans="1:38">
      <c r="A21977" s="182"/>
      <c r="Q21977" s="183"/>
      <c r="R21977" s="183"/>
      <c r="S21977" s="183"/>
    </row>
    <row r="21978" spans="1:38">
      <c r="A21978" s="182"/>
      <c r="Q21978" s="183"/>
      <c r="R21978" s="183"/>
      <c r="S21978" s="183"/>
    </row>
    <row r="21979" spans="1:38">
      <c r="A21979" s="182"/>
      <c r="Q21979" s="183"/>
      <c r="R21979" s="183"/>
      <c r="S21979" s="183"/>
    </row>
    <row r="21980" spans="1:38">
      <c r="A21980" s="182"/>
      <c r="Q21980" s="183"/>
      <c r="R21980" s="183"/>
      <c r="S21980" s="183"/>
    </row>
    <row r="21981" spans="1:38">
      <c r="A21981" s="182"/>
      <c r="Q21981" s="183"/>
      <c r="R21981" s="183"/>
      <c r="S21981" s="183"/>
    </row>
    <row r="21982" spans="1:38">
      <c r="A21982" s="182"/>
      <c r="Q21982" s="183"/>
      <c r="R21982" s="183"/>
      <c r="S21982" s="183"/>
    </row>
    <row r="21983" spans="1:38">
      <c r="A21983" s="182"/>
      <c r="Q21983" s="183"/>
      <c r="R21983" s="183"/>
      <c r="S21983" s="183"/>
    </row>
    <row r="21984" spans="1:38">
      <c r="A21984" s="182"/>
      <c r="Q21984" s="183"/>
      <c r="R21984" s="183"/>
      <c r="S21984" s="183"/>
    </row>
    <row r="21985" spans="1:38">
      <c r="A21985" s="182"/>
      <c r="Q21985" s="183"/>
      <c r="R21985" s="183"/>
      <c r="S21985" s="183"/>
    </row>
    <row r="21986" spans="1:38">
      <c r="A21986" s="182"/>
      <c r="Q21986" s="183"/>
      <c r="R21986" s="183"/>
      <c r="S21986" s="183"/>
    </row>
    <row r="21987" spans="1:38">
      <c r="A21987" s="182"/>
      <c r="Q21987" s="183"/>
      <c r="R21987" s="183"/>
      <c r="S21987" s="183"/>
    </row>
    <row r="21988" spans="1:38">
      <c r="A21988" s="182"/>
      <c r="Q21988" s="183"/>
      <c r="R21988" s="183"/>
      <c r="S21988" s="183"/>
    </row>
    <row r="21989" spans="1:38">
      <c r="A21989" s="182"/>
      <c r="Q21989" s="183"/>
      <c r="R21989" s="183"/>
      <c r="S21989" s="183"/>
    </row>
    <row r="21990" spans="1:38">
      <c r="A21990" s="182"/>
      <c r="Q21990" s="183"/>
      <c r="R21990" s="183"/>
      <c r="S21990" s="183"/>
    </row>
    <row r="21991" spans="1:38">
      <c r="A21991" s="182"/>
      <c r="Q21991" s="183"/>
      <c r="R21991" s="183"/>
      <c r="S21991" s="183"/>
    </row>
    <row r="21992" spans="1:38">
      <c r="A21992" s="182"/>
      <c r="Q21992" s="183"/>
      <c r="R21992" s="183"/>
      <c r="S21992" s="183"/>
    </row>
    <row r="21993" spans="1:38">
      <c r="A21993" s="182"/>
      <c r="Q21993" s="183"/>
      <c r="R21993" s="183"/>
      <c r="S21993" s="183"/>
    </row>
    <row r="21994" spans="1:38">
      <c r="A21994" s="182"/>
      <c r="Q21994" s="183"/>
      <c r="R21994" s="183"/>
      <c r="S21994" s="183"/>
    </row>
    <row r="21995" spans="1:38">
      <c r="A21995" s="182"/>
      <c r="Q21995" s="183"/>
      <c r="R21995" s="183"/>
      <c r="S21995" s="183"/>
      <c r="AK21995" s="183"/>
      <c r="AL21995" s="183"/>
    </row>
    <row r="21996" spans="1:38">
      <c r="A21996" s="182"/>
      <c r="Q21996" s="183"/>
      <c r="R21996" s="183"/>
      <c r="S21996" s="183"/>
      <c r="AJ21996" s="183"/>
      <c r="AK21996" s="183"/>
      <c r="AL21996" s="183"/>
    </row>
    <row r="21997" spans="1:38">
      <c r="A21997" s="182"/>
      <c r="Q21997" s="183"/>
      <c r="R21997" s="183"/>
      <c r="S21997" s="183"/>
      <c r="AJ21997" s="183"/>
      <c r="AK21997" s="183"/>
      <c r="AL21997" s="183"/>
    </row>
    <row r="21998" spans="1:38">
      <c r="A21998" s="182"/>
      <c r="Q21998" s="183"/>
      <c r="R21998" s="183"/>
      <c r="S21998" s="183"/>
      <c r="AJ21998" s="183"/>
      <c r="AK21998" s="183"/>
      <c r="AL21998" s="183"/>
    </row>
    <row r="21999" spans="1:38">
      <c r="A21999" s="182"/>
      <c r="Q21999" s="183"/>
      <c r="R21999" s="183"/>
      <c r="S21999" s="183"/>
      <c r="AJ21999" s="183"/>
    </row>
    <row r="22000" spans="1:38">
      <c r="A22000" s="182"/>
      <c r="Q22000" s="183"/>
      <c r="R22000" s="183"/>
      <c r="S22000" s="183"/>
    </row>
    <row r="22001" spans="1:19">
      <c r="A22001" s="182"/>
      <c r="Q22001" s="183"/>
      <c r="R22001" s="183"/>
      <c r="S22001" s="183"/>
    </row>
    <row r="22002" spans="1:19">
      <c r="A22002" s="182"/>
      <c r="Q22002" s="183"/>
      <c r="R22002" s="183"/>
      <c r="S22002" s="183"/>
    </row>
    <row r="22003" spans="1:19">
      <c r="A22003" s="182"/>
      <c r="Q22003" s="183"/>
      <c r="R22003" s="183"/>
      <c r="S22003" s="183"/>
    </row>
    <row r="22004" spans="1:19">
      <c r="A22004" s="182"/>
      <c r="Q22004" s="183"/>
      <c r="R22004" s="183"/>
      <c r="S22004" s="183"/>
    </row>
    <row r="22005" spans="1:19">
      <c r="A22005" s="182"/>
      <c r="Q22005" s="183"/>
      <c r="R22005" s="183"/>
      <c r="S22005" s="183"/>
    </row>
    <row r="22006" spans="1:19">
      <c r="A22006" s="182"/>
      <c r="Q22006" s="183"/>
      <c r="R22006" s="183"/>
      <c r="S22006" s="183"/>
    </row>
    <row r="22007" spans="1:19">
      <c r="A22007" s="182"/>
      <c r="Q22007" s="183"/>
      <c r="R22007" s="183"/>
      <c r="S22007" s="183"/>
    </row>
    <row r="22008" spans="1:19">
      <c r="A22008" s="182"/>
      <c r="Q22008" s="183"/>
      <c r="R22008" s="183"/>
      <c r="S22008" s="183"/>
    </row>
    <row r="22009" spans="1:19">
      <c r="A22009" s="182"/>
      <c r="Q22009" s="183"/>
      <c r="R22009" s="183"/>
      <c r="S22009" s="183"/>
    </row>
    <row r="22010" spans="1:19">
      <c r="A22010" s="182"/>
      <c r="Q22010" s="183"/>
      <c r="R22010" s="183"/>
      <c r="S22010" s="183"/>
    </row>
    <row r="22011" spans="1:19">
      <c r="A22011" s="182"/>
      <c r="Q22011" s="183"/>
      <c r="R22011" s="183"/>
      <c r="S22011" s="183"/>
    </row>
    <row r="22012" spans="1:19">
      <c r="A22012" s="182"/>
      <c r="Q22012" s="183"/>
      <c r="R22012" s="183"/>
      <c r="S22012" s="183"/>
    </row>
    <row r="22013" spans="1:19">
      <c r="A22013" s="182"/>
      <c r="Q22013" s="183"/>
      <c r="R22013" s="183"/>
      <c r="S22013" s="183"/>
    </row>
    <row r="22014" spans="1:19">
      <c r="A22014" s="182"/>
      <c r="Q22014" s="183"/>
      <c r="R22014" s="183"/>
      <c r="S22014" s="183"/>
    </row>
    <row r="22015" spans="1:19">
      <c r="A22015" s="182"/>
      <c r="Q22015" s="183"/>
      <c r="R22015" s="183"/>
      <c r="S22015" s="183"/>
    </row>
    <row r="22016" spans="1:19">
      <c r="A22016" s="182"/>
      <c r="Q22016" s="183"/>
      <c r="R22016" s="183"/>
      <c r="S22016" s="183"/>
    </row>
    <row r="22017" spans="1:38">
      <c r="A22017" s="182"/>
      <c r="Q22017" s="183"/>
      <c r="R22017" s="183"/>
      <c r="S22017" s="183"/>
    </row>
    <row r="22018" spans="1:38">
      <c r="A22018" s="182"/>
      <c r="Q22018" s="183"/>
      <c r="R22018" s="183"/>
      <c r="S22018" s="183"/>
    </row>
    <row r="22019" spans="1:38">
      <c r="A22019" s="182"/>
      <c r="Q22019" s="183"/>
      <c r="R22019" s="183"/>
      <c r="S22019" s="183"/>
      <c r="AK22019" s="183"/>
      <c r="AL22019" s="183"/>
    </row>
    <row r="22020" spans="1:38">
      <c r="A22020" s="182"/>
      <c r="Q22020" s="183"/>
      <c r="R22020" s="183"/>
      <c r="S22020" s="183"/>
      <c r="AJ22020" s="183"/>
      <c r="AK22020" s="183"/>
      <c r="AL22020" s="183"/>
    </row>
    <row r="22021" spans="1:38">
      <c r="A22021" s="182"/>
      <c r="Q22021" s="183"/>
      <c r="R22021" s="183"/>
      <c r="S22021" s="183"/>
      <c r="AJ22021" s="183"/>
      <c r="AK22021" s="183"/>
      <c r="AL22021" s="183"/>
    </row>
    <row r="22022" spans="1:38">
      <c r="A22022" s="182"/>
      <c r="Q22022" s="183"/>
      <c r="R22022" s="183"/>
      <c r="S22022" s="183"/>
      <c r="AJ22022" s="183"/>
      <c r="AK22022" s="183"/>
      <c r="AL22022" s="183"/>
    </row>
    <row r="22023" spans="1:38">
      <c r="A22023" s="182"/>
      <c r="Q22023" s="183"/>
      <c r="R22023" s="183"/>
      <c r="S22023" s="183"/>
      <c r="AJ22023" s="183"/>
    </row>
    <row r="22024" spans="1:38">
      <c r="A22024" s="182"/>
      <c r="Q22024" s="183"/>
      <c r="R22024" s="183"/>
      <c r="S22024" s="183"/>
    </row>
    <row r="22025" spans="1:38">
      <c r="A22025" s="182"/>
      <c r="Q22025" s="183"/>
      <c r="R22025" s="183"/>
      <c r="S22025" s="183"/>
    </row>
    <row r="22026" spans="1:38">
      <c r="A22026" s="182"/>
      <c r="Q22026" s="183"/>
      <c r="R22026" s="183"/>
      <c r="S22026" s="183"/>
    </row>
    <row r="22027" spans="1:38">
      <c r="A22027" s="182"/>
      <c r="Q22027" s="183"/>
      <c r="R22027" s="183"/>
      <c r="S22027" s="183"/>
    </row>
    <row r="22028" spans="1:38">
      <c r="A22028" s="182"/>
      <c r="Q22028" s="183"/>
      <c r="R22028" s="183"/>
      <c r="S22028" s="183"/>
    </row>
    <row r="22029" spans="1:38">
      <c r="A22029" s="182"/>
      <c r="Q22029" s="183"/>
      <c r="R22029" s="183"/>
      <c r="S22029" s="183"/>
    </row>
    <row r="22030" spans="1:38">
      <c r="A22030" s="182"/>
      <c r="Q22030" s="183"/>
      <c r="R22030" s="183"/>
      <c r="S22030" s="183"/>
    </row>
    <row r="22031" spans="1:38">
      <c r="A22031" s="182"/>
      <c r="Q22031" s="183"/>
      <c r="R22031" s="183"/>
      <c r="S22031" s="183"/>
      <c r="AK22031" s="183"/>
      <c r="AL22031" s="183"/>
    </row>
    <row r="22032" spans="1:38">
      <c r="A22032" s="182"/>
      <c r="Q22032" s="183"/>
      <c r="R22032" s="183"/>
      <c r="S22032" s="183"/>
      <c r="AJ22032" s="183"/>
      <c r="AK22032" s="183"/>
      <c r="AL22032" s="183"/>
    </row>
    <row r="22033" spans="1:38">
      <c r="A22033" s="182"/>
      <c r="Q22033" s="183"/>
      <c r="R22033" s="183"/>
      <c r="S22033" s="183"/>
      <c r="AJ22033" s="183"/>
      <c r="AK22033" s="183"/>
      <c r="AL22033" s="183"/>
    </row>
    <row r="22034" spans="1:38">
      <c r="A22034" s="182"/>
      <c r="Q22034" s="183"/>
      <c r="R22034" s="183"/>
      <c r="S22034" s="183"/>
      <c r="AJ22034" s="183"/>
      <c r="AK22034" s="183"/>
      <c r="AL22034" s="183"/>
    </row>
    <row r="22035" spans="1:38">
      <c r="A22035" s="182"/>
      <c r="Q22035" s="183"/>
      <c r="R22035" s="183"/>
      <c r="S22035" s="183"/>
      <c r="AJ22035" s="183"/>
    </row>
    <row r="22036" spans="1:38">
      <c r="A22036" s="182"/>
      <c r="Q22036" s="183"/>
      <c r="R22036" s="183"/>
      <c r="S22036" s="183"/>
    </row>
    <row r="22037" spans="1:38">
      <c r="A22037" s="182"/>
      <c r="Q22037" s="183"/>
      <c r="R22037" s="183"/>
      <c r="S22037" s="183"/>
    </row>
    <row r="22038" spans="1:38">
      <c r="A22038" s="182"/>
      <c r="Q22038" s="183"/>
      <c r="R22038" s="183"/>
      <c r="S22038" s="183"/>
    </row>
    <row r="22039" spans="1:38">
      <c r="A22039" s="182"/>
      <c r="Q22039" s="183"/>
      <c r="R22039" s="183"/>
      <c r="S22039" s="183"/>
    </row>
    <row r="22040" spans="1:38">
      <c r="A22040" s="182"/>
      <c r="Q22040" s="183"/>
      <c r="R22040" s="183"/>
      <c r="S22040" s="183"/>
    </row>
    <row r="22041" spans="1:38">
      <c r="A22041" s="182"/>
      <c r="Q22041" s="183"/>
      <c r="R22041" s="183"/>
      <c r="S22041" s="183"/>
    </row>
    <row r="22042" spans="1:38">
      <c r="A22042" s="182"/>
      <c r="Q22042" s="183"/>
      <c r="R22042" s="183"/>
      <c r="S22042" s="183"/>
    </row>
    <row r="22043" spans="1:38">
      <c r="A22043" s="182"/>
      <c r="Q22043" s="183"/>
      <c r="R22043" s="183"/>
      <c r="S22043" s="183"/>
    </row>
    <row r="22044" spans="1:38">
      <c r="A22044" s="182"/>
      <c r="Q22044" s="183"/>
      <c r="R22044" s="183"/>
      <c r="S22044" s="183"/>
    </row>
    <row r="22045" spans="1:38">
      <c r="A22045" s="182"/>
      <c r="Q22045" s="183"/>
      <c r="R22045" s="183"/>
      <c r="S22045" s="183"/>
    </row>
    <row r="22046" spans="1:38">
      <c r="A22046" s="182"/>
      <c r="Q22046" s="183"/>
      <c r="R22046" s="183"/>
      <c r="S22046" s="183"/>
    </row>
    <row r="22047" spans="1:38">
      <c r="A22047" s="182"/>
      <c r="Q22047" s="183"/>
      <c r="R22047" s="183"/>
      <c r="S22047" s="183"/>
    </row>
    <row r="22048" spans="1:38">
      <c r="A22048" s="182"/>
      <c r="Q22048" s="183"/>
      <c r="R22048" s="183"/>
      <c r="S22048" s="183"/>
    </row>
    <row r="22049" spans="1:38">
      <c r="A22049" s="182"/>
      <c r="Q22049" s="183"/>
      <c r="R22049" s="183"/>
      <c r="S22049" s="183"/>
    </row>
    <row r="22050" spans="1:38">
      <c r="A22050" s="182"/>
      <c r="Q22050" s="183"/>
      <c r="R22050" s="183"/>
      <c r="S22050" s="183"/>
    </row>
    <row r="22051" spans="1:38">
      <c r="A22051" s="182"/>
      <c r="Q22051" s="183"/>
      <c r="R22051" s="183"/>
      <c r="S22051" s="183"/>
      <c r="AK22051" s="183"/>
      <c r="AL22051" s="183"/>
    </row>
    <row r="22052" spans="1:38">
      <c r="A22052" s="182"/>
      <c r="Q22052" s="183"/>
      <c r="R22052" s="183"/>
      <c r="S22052" s="183"/>
      <c r="AJ22052" s="183"/>
      <c r="AK22052" s="183"/>
      <c r="AL22052" s="183"/>
    </row>
    <row r="22053" spans="1:38">
      <c r="A22053" s="182"/>
      <c r="Q22053" s="183"/>
      <c r="R22053" s="183"/>
      <c r="S22053" s="183"/>
      <c r="AJ22053" s="183"/>
      <c r="AK22053" s="183"/>
      <c r="AL22053" s="183"/>
    </row>
    <row r="22054" spans="1:38">
      <c r="A22054" s="182"/>
      <c r="Q22054" s="183"/>
      <c r="R22054" s="183"/>
      <c r="S22054" s="183"/>
      <c r="AJ22054" s="183"/>
      <c r="AK22054" s="183"/>
      <c r="AL22054" s="183"/>
    </row>
    <row r="22055" spans="1:38">
      <c r="A22055" s="182"/>
      <c r="Q22055" s="183"/>
      <c r="R22055" s="183"/>
      <c r="S22055" s="183"/>
      <c r="AJ22055" s="183"/>
      <c r="AK22055" s="183"/>
      <c r="AL22055" s="183"/>
    </row>
    <row r="22056" spans="1:38">
      <c r="A22056" s="182"/>
      <c r="Q22056" s="183"/>
      <c r="R22056" s="183"/>
      <c r="S22056" s="183"/>
      <c r="AJ22056" s="183"/>
      <c r="AK22056" s="183"/>
      <c r="AL22056" s="183"/>
    </row>
    <row r="22057" spans="1:38">
      <c r="A22057" s="182"/>
      <c r="Q22057" s="183"/>
      <c r="R22057" s="183"/>
      <c r="S22057" s="183"/>
      <c r="AJ22057" s="183"/>
      <c r="AK22057" s="183"/>
      <c r="AL22057" s="183"/>
    </row>
    <row r="22058" spans="1:38">
      <c r="A22058" s="182"/>
      <c r="Q22058" s="183"/>
      <c r="R22058" s="183"/>
      <c r="S22058" s="183"/>
      <c r="AJ22058" s="183"/>
      <c r="AK22058" s="183"/>
      <c r="AL22058" s="183"/>
    </row>
    <row r="22059" spans="1:38">
      <c r="A22059" s="182"/>
      <c r="Q22059" s="183"/>
      <c r="R22059" s="183"/>
      <c r="S22059" s="183"/>
      <c r="AJ22059" s="183"/>
      <c r="AK22059" s="183"/>
      <c r="AL22059" s="183"/>
    </row>
    <row r="22060" spans="1:38">
      <c r="A22060" s="182"/>
      <c r="Q22060" s="183"/>
      <c r="R22060" s="183"/>
      <c r="S22060" s="183"/>
      <c r="AJ22060" s="183"/>
      <c r="AK22060" s="183"/>
      <c r="AL22060" s="183"/>
    </row>
    <row r="22061" spans="1:38">
      <c r="A22061" s="182"/>
      <c r="Q22061" s="183"/>
      <c r="R22061" s="183"/>
      <c r="S22061" s="183"/>
      <c r="AJ22061" s="183"/>
      <c r="AK22061" s="183"/>
      <c r="AL22061" s="183"/>
    </row>
    <row r="22062" spans="1:38">
      <c r="A22062" s="182"/>
      <c r="Q22062" s="183"/>
      <c r="R22062" s="183"/>
      <c r="S22062" s="183"/>
      <c r="AJ22062" s="183"/>
      <c r="AK22062" s="183"/>
      <c r="AL22062" s="183"/>
    </row>
    <row r="22063" spans="1:38">
      <c r="A22063" s="182"/>
      <c r="Q22063" s="183"/>
      <c r="R22063" s="183"/>
      <c r="S22063" s="183"/>
      <c r="AJ22063" s="183"/>
      <c r="AK22063" s="183"/>
      <c r="AL22063" s="183"/>
    </row>
    <row r="22064" spans="1:38">
      <c r="A22064" s="182"/>
      <c r="Q22064" s="183"/>
      <c r="R22064" s="183"/>
      <c r="S22064" s="183"/>
      <c r="AJ22064" s="183"/>
      <c r="AK22064" s="183"/>
      <c r="AL22064" s="183"/>
    </row>
    <row r="22065" spans="1:38">
      <c r="A22065" s="182"/>
      <c r="Q22065" s="183"/>
      <c r="R22065" s="183"/>
      <c r="S22065" s="183"/>
      <c r="AJ22065" s="183"/>
      <c r="AK22065" s="183"/>
      <c r="AL22065" s="183"/>
    </row>
    <row r="22066" spans="1:38">
      <c r="A22066" s="182"/>
      <c r="Q22066" s="183"/>
      <c r="R22066" s="183"/>
      <c r="S22066" s="183"/>
      <c r="AJ22066" s="183"/>
      <c r="AK22066" s="183"/>
      <c r="AL22066" s="183"/>
    </row>
    <row r="22067" spans="1:38">
      <c r="A22067" s="182"/>
      <c r="Q22067" s="183"/>
      <c r="R22067" s="183"/>
      <c r="S22067" s="183"/>
      <c r="AJ22067" s="183"/>
    </row>
    <row r="22068" spans="1:38">
      <c r="A22068" s="182"/>
      <c r="Q22068" s="183"/>
      <c r="R22068" s="183"/>
      <c r="S22068" s="183"/>
    </row>
    <row r="22069" spans="1:38">
      <c r="A22069" s="182"/>
      <c r="Q22069" s="183"/>
      <c r="R22069" s="183"/>
      <c r="S22069" s="183"/>
    </row>
    <row r="22070" spans="1:38">
      <c r="A22070" s="182"/>
      <c r="Q22070" s="183"/>
      <c r="R22070" s="183"/>
      <c r="S22070" s="183"/>
    </row>
    <row r="22071" spans="1:38">
      <c r="A22071" s="182"/>
      <c r="Q22071" s="183"/>
      <c r="R22071" s="183"/>
      <c r="S22071" s="183"/>
    </row>
    <row r="22072" spans="1:38">
      <c r="A22072" s="182"/>
      <c r="Q22072" s="183"/>
      <c r="R22072" s="183"/>
      <c r="S22072" s="183"/>
    </row>
    <row r="22073" spans="1:38">
      <c r="A22073" s="182"/>
      <c r="Q22073" s="183"/>
      <c r="R22073" s="183"/>
      <c r="S22073" s="183"/>
    </row>
    <row r="22074" spans="1:38">
      <c r="A22074" s="182"/>
      <c r="Q22074" s="183"/>
      <c r="R22074" s="183"/>
      <c r="S22074" s="183"/>
    </row>
    <row r="22075" spans="1:38">
      <c r="A22075" s="182"/>
      <c r="Q22075" s="183"/>
      <c r="R22075" s="183"/>
      <c r="S22075" s="183"/>
      <c r="AK22075" s="183"/>
      <c r="AL22075" s="183"/>
    </row>
    <row r="22076" spans="1:38">
      <c r="A22076" s="182"/>
      <c r="Q22076" s="183"/>
      <c r="R22076" s="183"/>
      <c r="S22076" s="183"/>
      <c r="AJ22076" s="183"/>
      <c r="AK22076" s="183"/>
      <c r="AL22076" s="183"/>
    </row>
    <row r="22077" spans="1:38">
      <c r="A22077" s="182"/>
      <c r="Q22077" s="183"/>
      <c r="R22077" s="183"/>
      <c r="S22077" s="183"/>
      <c r="AJ22077" s="183"/>
      <c r="AK22077" s="183"/>
      <c r="AL22077" s="183"/>
    </row>
    <row r="22078" spans="1:38">
      <c r="A22078" s="182"/>
      <c r="Q22078" s="183"/>
      <c r="R22078" s="183"/>
      <c r="S22078" s="183"/>
      <c r="AJ22078" s="183"/>
      <c r="AK22078" s="183"/>
      <c r="AL22078" s="183"/>
    </row>
    <row r="22079" spans="1:38">
      <c r="A22079" s="182"/>
      <c r="Q22079" s="183"/>
      <c r="R22079" s="183"/>
      <c r="S22079" s="183"/>
      <c r="AJ22079" s="183"/>
      <c r="AK22079" s="183"/>
      <c r="AL22079" s="183"/>
    </row>
    <row r="22080" spans="1:38">
      <c r="A22080" s="182"/>
      <c r="Q22080" s="183"/>
      <c r="R22080" s="183"/>
      <c r="S22080" s="183"/>
      <c r="AJ22080" s="183"/>
      <c r="AK22080" s="183"/>
      <c r="AL22080" s="183"/>
    </row>
    <row r="22081" spans="1:38">
      <c r="A22081" s="182"/>
      <c r="Q22081" s="183"/>
      <c r="R22081" s="183"/>
      <c r="S22081" s="183"/>
      <c r="AJ22081" s="183"/>
      <c r="AK22081" s="183"/>
      <c r="AL22081" s="183"/>
    </row>
    <row r="22082" spans="1:38">
      <c r="A22082" s="182"/>
      <c r="Q22082" s="183"/>
      <c r="R22082" s="183"/>
      <c r="S22082" s="183"/>
      <c r="AJ22082" s="183"/>
      <c r="AK22082" s="183"/>
      <c r="AL22082" s="183"/>
    </row>
    <row r="22083" spans="1:38">
      <c r="A22083" s="182"/>
      <c r="Q22083" s="183"/>
      <c r="R22083" s="183"/>
      <c r="S22083" s="183"/>
      <c r="AJ22083" s="183"/>
      <c r="AK22083" s="183"/>
      <c r="AL22083" s="183"/>
    </row>
    <row r="22084" spans="1:38">
      <c r="A22084" s="182"/>
      <c r="Q22084" s="183"/>
      <c r="R22084" s="183"/>
      <c r="S22084" s="183"/>
      <c r="AJ22084" s="183"/>
      <c r="AK22084" s="183"/>
      <c r="AL22084" s="183"/>
    </row>
    <row r="22085" spans="1:38">
      <c r="A22085" s="182"/>
      <c r="Q22085" s="183"/>
      <c r="R22085" s="183"/>
      <c r="S22085" s="183"/>
      <c r="AJ22085" s="183"/>
      <c r="AK22085" s="183"/>
      <c r="AL22085" s="183"/>
    </row>
    <row r="22086" spans="1:38">
      <c r="A22086" s="182"/>
      <c r="Q22086" s="183"/>
      <c r="R22086" s="183"/>
      <c r="S22086" s="183"/>
      <c r="AJ22086" s="183"/>
      <c r="AK22086" s="183"/>
      <c r="AL22086" s="183"/>
    </row>
    <row r="22087" spans="1:38">
      <c r="A22087" s="182"/>
      <c r="Q22087" s="183"/>
      <c r="R22087" s="183"/>
      <c r="S22087" s="183"/>
      <c r="AJ22087" s="183"/>
      <c r="AK22087" s="183"/>
      <c r="AL22087" s="183"/>
    </row>
    <row r="22088" spans="1:38">
      <c r="A22088" s="182"/>
      <c r="Q22088" s="183"/>
      <c r="R22088" s="183"/>
      <c r="S22088" s="183"/>
      <c r="AJ22088" s="183"/>
      <c r="AK22088" s="183"/>
      <c r="AL22088" s="183"/>
    </row>
    <row r="22089" spans="1:38">
      <c r="A22089" s="182"/>
      <c r="Q22089" s="183"/>
      <c r="R22089" s="183"/>
      <c r="S22089" s="183"/>
      <c r="AJ22089" s="183"/>
      <c r="AK22089" s="183"/>
      <c r="AL22089" s="183"/>
    </row>
    <row r="22090" spans="1:38">
      <c r="A22090" s="182"/>
      <c r="Q22090" s="183"/>
      <c r="R22090" s="183"/>
      <c r="S22090" s="183"/>
      <c r="AJ22090" s="183"/>
      <c r="AK22090" s="183"/>
      <c r="AL22090" s="183"/>
    </row>
    <row r="22091" spans="1:38">
      <c r="A22091" s="182"/>
      <c r="Q22091" s="183"/>
      <c r="R22091" s="183"/>
      <c r="S22091" s="183"/>
      <c r="AJ22091" s="183"/>
    </row>
    <row r="22092" spans="1:38">
      <c r="A22092" s="182"/>
      <c r="Q22092" s="183"/>
      <c r="R22092" s="183"/>
      <c r="S22092" s="183"/>
    </row>
    <row r="22093" spans="1:38">
      <c r="A22093" s="182"/>
      <c r="Q22093" s="183"/>
      <c r="R22093" s="183"/>
      <c r="S22093" s="183"/>
    </row>
    <row r="22094" spans="1:38">
      <c r="A22094" s="182"/>
      <c r="Q22094" s="183"/>
      <c r="R22094" s="183"/>
      <c r="S22094" s="183"/>
    </row>
    <row r="22095" spans="1:38">
      <c r="A22095" s="182"/>
      <c r="Q22095" s="183"/>
      <c r="R22095" s="183"/>
      <c r="S22095" s="183"/>
      <c r="AK22095" s="183"/>
      <c r="AL22095" s="183"/>
    </row>
    <row r="22096" spans="1:38">
      <c r="A22096" s="182"/>
      <c r="Q22096" s="183"/>
      <c r="R22096" s="183"/>
      <c r="S22096" s="183"/>
      <c r="AJ22096" s="183"/>
      <c r="AK22096" s="183"/>
      <c r="AL22096" s="183"/>
    </row>
    <row r="22097" spans="1:38">
      <c r="A22097" s="182"/>
      <c r="Q22097" s="183"/>
      <c r="R22097" s="183"/>
      <c r="S22097" s="183"/>
      <c r="AJ22097" s="183"/>
      <c r="AK22097" s="183"/>
      <c r="AL22097" s="183"/>
    </row>
    <row r="22098" spans="1:38">
      <c r="A22098" s="182"/>
      <c r="Q22098" s="183"/>
      <c r="R22098" s="183"/>
      <c r="S22098" s="183"/>
      <c r="AJ22098" s="183"/>
      <c r="AK22098" s="183"/>
      <c r="AL22098" s="183"/>
    </row>
    <row r="22099" spans="1:38">
      <c r="A22099" s="182"/>
      <c r="Q22099" s="183"/>
      <c r="R22099" s="183"/>
      <c r="S22099" s="183"/>
      <c r="AJ22099" s="183"/>
    </row>
    <row r="22100" spans="1:38">
      <c r="A22100" s="182"/>
      <c r="Q22100" s="183"/>
      <c r="R22100" s="183"/>
      <c r="S22100" s="183"/>
    </row>
    <row r="22101" spans="1:38">
      <c r="A22101" s="182"/>
      <c r="Q22101" s="183"/>
      <c r="R22101" s="183"/>
      <c r="S22101" s="183"/>
    </row>
    <row r="22102" spans="1:38">
      <c r="A22102" s="182"/>
      <c r="Q22102" s="183"/>
      <c r="R22102" s="183"/>
      <c r="S22102" s="183"/>
    </row>
    <row r="22103" spans="1:38">
      <c r="A22103" s="182"/>
      <c r="Q22103" s="183"/>
      <c r="R22103" s="183"/>
      <c r="S22103" s="183"/>
      <c r="AK22103" s="183"/>
      <c r="AL22103" s="183"/>
    </row>
    <row r="22104" spans="1:38">
      <c r="A22104" s="182"/>
      <c r="Q22104" s="183"/>
      <c r="R22104" s="183"/>
      <c r="S22104" s="183"/>
      <c r="AJ22104" s="183"/>
      <c r="AK22104" s="183"/>
      <c r="AL22104" s="183"/>
    </row>
    <row r="22105" spans="1:38">
      <c r="A22105" s="182"/>
      <c r="Q22105" s="183"/>
      <c r="R22105" s="183"/>
      <c r="S22105" s="183"/>
      <c r="AJ22105" s="183"/>
      <c r="AK22105" s="183"/>
      <c r="AL22105" s="183"/>
    </row>
    <row r="22106" spans="1:38">
      <c r="A22106" s="182"/>
      <c r="Q22106" s="183"/>
      <c r="R22106" s="183"/>
      <c r="S22106" s="183"/>
      <c r="AJ22106" s="183"/>
      <c r="AK22106" s="183"/>
      <c r="AL22106" s="183"/>
    </row>
    <row r="22107" spans="1:38">
      <c r="A22107" s="182"/>
      <c r="Q22107" s="183"/>
      <c r="R22107" s="183"/>
      <c r="S22107" s="183"/>
      <c r="AJ22107" s="183"/>
      <c r="AK22107" s="183"/>
      <c r="AL22107" s="183"/>
    </row>
    <row r="22108" spans="1:38">
      <c r="A22108" s="182"/>
      <c r="Q22108" s="183"/>
      <c r="R22108" s="183"/>
      <c r="S22108" s="183"/>
      <c r="AJ22108" s="183"/>
      <c r="AK22108" s="183"/>
      <c r="AL22108" s="183"/>
    </row>
    <row r="22109" spans="1:38">
      <c r="A22109" s="182"/>
      <c r="Q22109" s="183"/>
      <c r="R22109" s="183"/>
      <c r="S22109" s="183"/>
      <c r="AJ22109" s="183"/>
      <c r="AK22109" s="183"/>
      <c r="AL22109" s="183"/>
    </row>
    <row r="22110" spans="1:38">
      <c r="A22110" s="182"/>
      <c r="Q22110" s="183"/>
      <c r="R22110" s="183"/>
      <c r="S22110" s="183"/>
      <c r="AJ22110" s="183"/>
      <c r="AK22110" s="183"/>
      <c r="AL22110" s="183"/>
    </row>
    <row r="22111" spans="1:38">
      <c r="A22111" s="182"/>
      <c r="Q22111" s="183"/>
      <c r="R22111" s="183"/>
      <c r="S22111" s="183"/>
      <c r="AJ22111" s="183"/>
    </row>
    <row r="22112" spans="1:38">
      <c r="A22112" s="182"/>
      <c r="Q22112" s="183"/>
      <c r="R22112" s="183"/>
      <c r="S22112" s="183"/>
    </row>
    <row r="22113" spans="1:38">
      <c r="A22113" s="182"/>
      <c r="Q22113" s="183"/>
      <c r="R22113" s="183"/>
      <c r="S22113" s="183"/>
    </row>
    <row r="22114" spans="1:38">
      <c r="A22114" s="182"/>
      <c r="Q22114" s="183"/>
      <c r="R22114" s="183"/>
      <c r="S22114" s="183"/>
    </row>
    <row r="22115" spans="1:38">
      <c r="A22115" s="182"/>
      <c r="Q22115" s="183"/>
      <c r="R22115" s="183"/>
      <c r="S22115" s="183"/>
    </row>
    <row r="22116" spans="1:38">
      <c r="A22116" s="182"/>
      <c r="Q22116" s="183"/>
      <c r="R22116" s="183"/>
      <c r="S22116" s="183"/>
    </row>
    <row r="22117" spans="1:38">
      <c r="A22117" s="182"/>
      <c r="Q22117" s="183"/>
      <c r="R22117" s="183"/>
      <c r="S22117" s="183"/>
    </row>
    <row r="22118" spans="1:38">
      <c r="A22118" s="182"/>
      <c r="Q22118" s="183"/>
      <c r="R22118" s="183"/>
      <c r="S22118" s="183"/>
    </row>
    <row r="22119" spans="1:38">
      <c r="A22119" s="182"/>
      <c r="Q22119" s="183"/>
      <c r="R22119" s="183"/>
      <c r="S22119" s="183"/>
    </row>
    <row r="22120" spans="1:38">
      <c r="A22120" s="182"/>
      <c r="Q22120" s="183"/>
      <c r="R22120" s="183"/>
      <c r="S22120" s="183"/>
    </row>
    <row r="22121" spans="1:38">
      <c r="A22121" s="182"/>
      <c r="Q22121" s="183"/>
      <c r="R22121" s="183"/>
      <c r="S22121" s="183"/>
    </row>
    <row r="22122" spans="1:38">
      <c r="A22122" s="182"/>
      <c r="Q22122" s="183"/>
      <c r="R22122" s="183"/>
      <c r="S22122" s="183"/>
    </row>
    <row r="22123" spans="1:38">
      <c r="A22123" s="182"/>
      <c r="Q22123" s="183"/>
      <c r="R22123" s="183"/>
      <c r="S22123" s="183"/>
    </row>
    <row r="22124" spans="1:38">
      <c r="A22124" s="182"/>
      <c r="Q22124" s="183"/>
      <c r="R22124" s="183"/>
      <c r="S22124" s="183"/>
    </row>
    <row r="22125" spans="1:38">
      <c r="A22125" s="182"/>
      <c r="Q22125" s="183"/>
      <c r="R22125" s="183"/>
      <c r="S22125" s="183"/>
    </row>
    <row r="22126" spans="1:38">
      <c r="A22126" s="182"/>
      <c r="Q22126" s="183"/>
      <c r="R22126" s="183"/>
      <c r="S22126" s="183"/>
    </row>
    <row r="22127" spans="1:38">
      <c r="A22127" s="182"/>
      <c r="Q22127" s="183"/>
      <c r="R22127" s="183"/>
      <c r="S22127" s="183"/>
      <c r="AK22127" s="183"/>
      <c r="AL22127" s="183"/>
    </row>
    <row r="22128" spans="1:38">
      <c r="A22128" s="182"/>
      <c r="Q22128" s="183"/>
      <c r="R22128" s="183"/>
      <c r="S22128" s="183"/>
      <c r="AJ22128" s="183"/>
      <c r="AK22128" s="183"/>
      <c r="AL22128" s="183"/>
    </row>
    <row r="22129" spans="1:38">
      <c r="A22129" s="182"/>
      <c r="Q22129" s="183"/>
      <c r="R22129" s="183"/>
      <c r="S22129" s="183"/>
      <c r="AJ22129" s="183"/>
      <c r="AK22129" s="183"/>
      <c r="AL22129" s="183"/>
    </row>
    <row r="22130" spans="1:38">
      <c r="A22130" s="182"/>
      <c r="Q22130" s="183"/>
      <c r="R22130" s="183"/>
      <c r="S22130" s="183"/>
      <c r="AJ22130" s="183"/>
      <c r="AK22130" s="183"/>
      <c r="AL22130" s="183"/>
    </row>
    <row r="22131" spans="1:38">
      <c r="A22131" s="182"/>
      <c r="Q22131" s="183"/>
      <c r="R22131" s="183"/>
      <c r="S22131" s="183"/>
      <c r="AJ22131" s="183"/>
    </row>
    <row r="22132" spans="1:38">
      <c r="A22132" s="182"/>
      <c r="Q22132" s="183"/>
      <c r="R22132" s="183"/>
      <c r="S22132" s="183"/>
    </row>
    <row r="22133" spans="1:38">
      <c r="A22133" s="182"/>
      <c r="Q22133" s="183"/>
      <c r="R22133" s="183"/>
      <c r="S22133" s="183"/>
    </row>
    <row r="22134" spans="1:38">
      <c r="A22134" s="182"/>
      <c r="Q22134" s="183"/>
      <c r="R22134" s="183"/>
      <c r="S22134" s="183"/>
    </row>
    <row r="22135" spans="1:38">
      <c r="A22135" s="182"/>
      <c r="Q22135" s="183"/>
      <c r="R22135" s="183"/>
      <c r="S22135" s="183"/>
    </row>
    <row r="22136" spans="1:38">
      <c r="A22136" s="182"/>
      <c r="Q22136" s="183"/>
    </row>
    <row r="22137" spans="1:38">
      <c r="A22137" s="182"/>
    </row>
    <row r="22138" spans="1:38">
      <c r="A22138" s="182"/>
    </row>
    <row r="22139" spans="1:38">
      <c r="A22139" s="182"/>
    </row>
    <row r="22140" spans="1:38">
      <c r="A22140" s="182"/>
      <c r="R22140" s="183"/>
      <c r="S22140" s="183"/>
    </row>
    <row r="22141" spans="1:38">
      <c r="A22141" s="182"/>
      <c r="Q22141" s="183"/>
      <c r="R22141" s="183"/>
      <c r="S22141" s="183"/>
    </row>
    <row r="22142" spans="1:38">
      <c r="A22142" s="182"/>
      <c r="Q22142" s="183"/>
      <c r="R22142" s="183"/>
      <c r="S22142" s="183"/>
    </row>
    <row r="22143" spans="1:38">
      <c r="A22143" s="182"/>
      <c r="Q22143" s="183"/>
      <c r="R22143" s="183"/>
      <c r="S22143" s="183"/>
    </row>
    <row r="22144" spans="1:38">
      <c r="A22144" s="182"/>
      <c r="Q22144" s="183"/>
      <c r="R22144" s="183"/>
      <c r="S22144" s="183"/>
    </row>
    <row r="22145" spans="1:38">
      <c r="A22145" s="182"/>
      <c r="Q22145" s="183"/>
      <c r="R22145" s="183"/>
      <c r="S22145" s="183"/>
    </row>
    <row r="22146" spans="1:38">
      <c r="A22146" s="182"/>
      <c r="Q22146" s="183"/>
      <c r="R22146" s="183"/>
      <c r="S22146" s="183"/>
    </row>
    <row r="22147" spans="1:38">
      <c r="A22147" s="182"/>
      <c r="Q22147" s="183"/>
      <c r="R22147" s="183"/>
      <c r="S22147" s="183"/>
    </row>
    <row r="22148" spans="1:38">
      <c r="A22148" s="182"/>
      <c r="M22148" s="183"/>
      <c r="N22148" s="183"/>
      <c r="O22148" s="183"/>
      <c r="Q22148" s="183"/>
      <c r="R22148" s="183"/>
      <c r="S22148" s="183"/>
    </row>
    <row r="22149" spans="1:38">
      <c r="A22149" s="182"/>
      <c r="L22149" s="183"/>
      <c r="M22149" s="183"/>
      <c r="Q22149" s="183"/>
      <c r="R22149" s="183"/>
      <c r="S22149" s="183"/>
    </row>
    <row r="22150" spans="1:38">
      <c r="A22150" s="182"/>
      <c r="Q22150" s="183"/>
      <c r="R22150" s="183"/>
      <c r="S22150" s="183"/>
    </row>
    <row r="22151" spans="1:38">
      <c r="A22151" s="182"/>
      <c r="M22151" s="183"/>
      <c r="N22151" s="183"/>
      <c r="Q22151" s="183"/>
      <c r="R22151" s="183"/>
      <c r="S22151" s="183"/>
    </row>
    <row r="22152" spans="1:38">
      <c r="A22152" s="182"/>
      <c r="L22152" s="183"/>
      <c r="Q22152" s="183"/>
      <c r="R22152" s="183"/>
      <c r="S22152" s="183"/>
    </row>
    <row r="22153" spans="1:38">
      <c r="A22153" s="182"/>
      <c r="Q22153" s="183"/>
      <c r="R22153" s="183"/>
      <c r="S22153" s="183"/>
    </row>
    <row r="22154" spans="1:38">
      <c r="A22154" s="182"/>
      <c r="Q22154" s="183"/>
      <c r="R22154" s="183"/>
      <c r="S22154" s="183"/>
    </row>
    <row r="22155" spans="1:38">
      <c r="A22155" s="182"/>
      <c r="Q22155" s="183"/>
      <c r="R22155" s="183"/>
      <c r="S22155" s="183"/>
      <c r="AK22155" s="183"/>
      <c r="AL22155" s="183"/>
    </row>
    <row r="22156" spans="1:38">
      <c r="A22156" s="182"/>
      <c r="M22156" s="183"/>
      <c r="N22156" s="183"/>
      <c r="O22156" s="183"/>
      <c r="Q22156" s="183"/>
      <c r="R22156" s="183"/>
      <c r="S22156" s="183"/>
      <c r="AJ22156" s="183"/>
      <c r="AK22156" s="183"/>
      <c r="AL22156" s="183"/>
    </row>
    <row r="22157" spans="1:38">
      <c r="A22157" s="182"/>
      <c r="L22157" s="183"/>
      <c r="M22157" s="183"/>
      <c r="Q22157" s="183"/>
      <c r="R22157" s="183"/>
      <c r="S22157" s="183"/>
      <c r="AJ22157" s="183"/>
      <c r="AK22157" s="183"/>
      <c r="AL22157" s="183"/>
    </row>
    <row r="22158" spans="1:38">
      <c r="A22158" s="182"/>
      <c r="Q22158" s="183"/>
      <c r="R22158" s="183"/>
      <c r="S22158" s="183"/>
      <c r="AJ22158" s="183"/>
      <c r="AK22158" s="183"/>
      <c r="AL22158" s="183"/>
    </row>
    <row r="22159" spans="1:38">
      <c r="A22159" s="182"/>
      <c r="Q22159" s="183"/>
      <c r="R22159" s="183"/>
      <c r="S22159" s="183"/>
      <c r="AJ22159" s="183"/>
      <c r="AK22159" s="183"/>
      <c r="AL22159" s="183"/>
    </row>
    <row r="22160" spans="1:38">
      <c r="A22160" s="182"/>
      <c r="N22160" s="183"/>
      <c r="O22160" s="183"/>
      <c r="Q22160" s="183"/>
      <c r="R22160" s="183"/>
      <c r="S22160" s="183"/>
      <c r="AJ22160" s="183"/>
      <c r="AK22160" s="183"/>
      <c r="AL22160" s="183"/>
    </row>
    <row r="22161" spans="1:38">
      <c r="A22161" s="182"/>
      <c r="M22161" s="183"/>
      <c r="N22161" s="183"/>
      <c r="O22161" s="183"/>
      <c r="Q22161" s="183"/>
      <c r="R22161" s="183"/>
      <c r="S22161" s="183"/>
      <c r="AJ22161" s="183"/>
      <c r="AK22161" s="183"/>
      <c r="AL22161" s="183"/>
    </row>
    <row r="22162" spans="1:38">
      <c r="A22162" s="182"/>
      <c r="L22162" s="183"/>
      <c r="M22162" s="183"/>
      <c r="Q22162" s="183"/>
      <c r="R22162" s="183"/>
      <c r="S22162" s="183"/>
      <c r="AJ22162" s="183"/>
      <c r="AK22162" s="183"/>
      <c r="AL22162" s="183"/>
    </row>
    <row r="22163" spans="1:38">
      <c r="A22163" s="182"/>
      <c r="Q22163" s="183"/>
      <c r="R22163" s="183"/>
      <c r="S22163" s="183"/>
      <c r="AJ22163" s="183"/>
    </row>
    <row r="22164" spans="1:38">
      <c r="A22164" s="182"/>
      <c r="Q22164" s="183"/>
      <c r="R22164" s="183"/>
      <c r="S22164" s="183"/>
    </row>
    <row r="22165" spans="1:38">
      <c r="A22165" s="182"/>
      <c r="Q22165" s="183"/>
      <c r="R22165" s="183"/>
      <c r="S22165" s="183"/>
    </row>
    <row r="22166" spans="1:38">
      <c r="A22166" s="182"/>
      <c r="M22166" s="183"/>
      <c r="N22166" s="183"/>
      <c r="O22166" s="183"/>
      <c r="Q22166" s="183"/>
      <c r="R22166" s="183"/>
      <c r="S22166" s="183"/>
    </row>
    <row r="22167" spans="1:38">
      <c r="A22167" s="182"/>
      <c r="L22167" s="183"/>
      <c r="M22167" s="183"/>
      <c r="Q22167" s="183"/>
      <c r="R22167" s="183"/>
      <c r="S22167" s="183"/>
    </row>
    <row r="22168" spans="1:38">
      <c r="A22168" s="182"/>
      <c r="Q22168" s="183"/>
      <c r="R22168" s="183"/>
      <c r="S22168" s="183"/>
    </row>
    <row r="22169" spans="1:38">
      <c r="A22169" s="182"/>
      <c r="Q22169" s="183"/>
      <c r="R22169" s="183"/>
      <c r="S22169" s="183"/>
    </row>
    <row r="22170" spans="1:38">
      <c r="A22170" s="182"/>
      <c r="Q22170" s="183"/>
      <c r="R22170" s="183"/>
      <c r="S22170" s="183"/>
    </row>
    <row r="22171" spans="1:38">
      <c r="A22171" s="182"/>
      <c r="Q22171" s="183"/>
      <c r="R22171" s="183"/>
      <c r="S22171" s="183"/>
    </row>
    <row r="22172" spans="1:38">
      <c r="A22172" s="182"/>
      <c r="Q22172" s="183"/>
      <c r="R22172" s="183"/>
      <c r="S22172" s="183"/>
    </row>
    <row r="22173" spans="1:38">
      <c r="A22173" s="182"/>
      <c r="Q22173" s="183"/>
      <c r="R22173" s="183"/>
      <c r="S22173" s="183"/>
    </row>
    <row r="22174" spans="1:38">
      <c r="A22174" s="182"/>
      <c r="Q22174" s="183"/>
      <c r="R22174" s="183"/>
      <c r="S22174" s="183"/>
    </row>
    <row r="22175" spans="1:38">
      <c r="A22175" s="182"/>
      <c r="Q22175" s="183"/>
      <c r="R22175" s="183"/>
      <c r="S22175" s="183"/>
      <c r="AK22175" s="183"/>
      <c r="AL22175" s="183"/>
    </row>
    <row r="22176" spans="1:38">
      <c r="A22176" s="182"/>
      <c r="Q22176" s="183"/>
      <c r="R22176" s="183"/>
      <c r="S22176" s="183"/>
      <c r="AJ22176" s="183"/>
      <c r="AK22176" s="183"/>
      <c r="AL22176" s="183"/>
    </row>
    <row r="22177" spans="1:38">
      <c r="A22177" s="182"/>
      <c r="Q22177" s="183"/>
      <c r="R22177" s="183"/>
      <c r="S22177" s="183"/>
      <c r="AJ22177" s="183"/>
      <c r="AK22177" s="183"/>
      <c r="AL22177" s="183"/>
    </row>
    <row r="22178" spans="1:38">
      <c r="A22178" s="182"/>
      <c r="Q22178" s="183"/>
      <c r="R22178" s="183"/>
      <c r="S22178" s="183"/>
      <c r="AJ22178" s="183"/>
      <c r="AK22178" s="183"/>
      <c r="AL22178" s="183"/>
    </row>
    <row r="22179" spans="1:38">
      <c r="A22179" s="182"/>
      <c r="Q22179" s="183"/>
      <c r="R22179" s="183"/>
      <c r="S22179" s="183"/>
      <c r="AJ22179" s="183"/>
      <c r="AK22179" s="183"/>
      <c r="AL22179" s="183"/>
    </row>
    <row r="22180" spans="1:38">
      <c r="A22180" s="182"/>
      <c r="Q22180" s="183"/>
      <c r="R22180" s="183"/>
      <c r="S22180" s="183"/>
      <c r="AJ22180" s="183"/>
      <c r="AK22180" s="183"/>
      <c r="AL22180" s="183"/>
    </row>
    <row r="22181" spans="1:38">
      <c r="A22181" s="182"/>
      <c r="Q22181" s="183"/>
      <c r="R22181" s="183"/>
      <c r="S22181" s="183"/>
      <c r="AJ22181" s="183"/>
      <c r="AK22181" s="183"/>
      <c r="AL22181" s="183"/>
    </row>
    <row r="22182" spans="1:38">
      <c r="A22182" s="182"/>
      <c r="Q22182" s="183"/>
      <c r="R22182" s="183"/>
      <c r="S22182" s="183"/>
      <c r="AJ22182" s="183"/>
      <c r="AK22182" s="183"/>
      <c r="AL22182" s="183"/>
    </row>
    <row r="22183" spans="1:38">
      <c r="A22183" s="182"/>
      <c r="Q22183" s="183"/>
      <c r="R22183" s="183"/>
      <c r="S22183" s="183"/>
      <c r="AJ22183" s="183"/>
    </row>
    <row r="22184" spans="1:38">
      <c r="A22184" s="182"/>
      <c r="Q22184" s="183"/>
      <c r="R22184" s="183"/>
      <c r="S22184" s="183"/>
    </row>
    <row r="22185" spans="1:38">
      <c r="A22185" s="182"/>
      <c r="Q22185" s="183"/>
      <c r="R22185" s="183"/>
      <c r="S22185" s="183"/>
    </row>
    <row r="22186" spans="1:38">
      <c r="A22186" s="182"/>
      <c r="Q22186" s="183"/>
      <c r="R22186" s="183"/>
      <c r="S22186" s="183"/>
    </row>
    <row r="22187" spans="1:38">
      <c r="A22187" s="182"/>
      <c r="Q22187" s="183"/>
      <c r="R22187" s="183"/>
      <c r="S22187" s="183"/>
    </row>
    <row r="22188" spans="1:38">
      <c r="A22188" s="182"/>
      <c r="Q22188" s="183"/>
      <c r="R22188" s="183"/>
      <c r="S22188" s="183"/>
    </row>
    <row r="22189" spans="1:38">
      <c r="A22189" s="182"/>
      <c r="Q22189" s="183"/>
      <c r="R22189" s="183"/>
      <c r="S22189" s="183"/>
    </row>
    <row r="22190" spans="1:38">
      <c r="A22190" s="182"/>
      <c r="Q22190" s="183"/>
      <c r="R22190" s="183"/>
      <c r="S22190" s="183"/>
    </row>
    <row r="22191" spans="1:38">
      <c r="A22191" s="182"/>
      <c r="Q22191" s="183"/>
      <c r="R22191" s="183"/>
      <c r="S22191" s="183"/>
      <c r="AK22191" s="183"/>
      <c r="AL22191" s="183"/>
    </row>
    <row r="22192" spans="1:38">
      <c r="A22192" s="182"/>
      <c r="Q22192" s="183"/>
      <c r="R22192" s="183"/>
      <c r="S22192" s="183"/>
      <c r="AJ22192" s="183"/>
      <c r="AK22192" s="183"/>
      <c r="AL22192" s="183"/>
    </row>
    <row r="22193" spans="1:38">
      <c r="A22193" s="182"/>
      <c r="Q22193" s="183"/>
      <c r="R22193" s="183"/>
      <c r="S22193" s="183"/>
      <c r="AJ22193" s="183"/>
      <c r="AK22193" s="183"/>
      <c r="AL22193" s="183"/>
    </row>
    <row r="22194" spans="1:38">
      <c r="A22194" s="182"/>
      <c r="Q22194" s="183"/>
      <c r="R22194" s="183"/>
      <c r="S22194" s="183"/>
      <c r="AJ22194" s="183"/>
      <c r="AK22194" s="183"/>
      <c r="AL22194" s="183"/>
    </row>
    <row r="22195" spans="1:38">
      <c r="A22195" s="182"/>
      <c r="Q22195" s="183"/>
      <c r="R22195" s="183"/>
      <c r="S22195" s="183"/>
      <c r="AJ22195" s="183"/>
    </row>
    <row r="22196" spans="1:38">
      <c r="A22196" s="182"/>
      <c r="Q22196" s="183"/>
      <c r="R22196" s="183"/>
      <c r="S22196" s="183"/>
    </row>
    <row r="22197" spans="1:38">
      <c r="A22197" s="182"/>
      <c r="Q22197" s="183"/>
      <c r="R22197" s="183"/>
      <c r="S22197" s="183"/>
    </row>
    <row r="22198" spans="1:38">
      <c r="A22198" s="182"/>
      <c r="Q22198" s="183"/>
      <c r="R22198" s="183"/>
      <c r="S22198" s="183"/>
    </row>
    <row r="22199" spans="1:38">
      <c r="A22199" s="182"/>
      <c r="Q22199" s="183"/>
      <c r="R22199" s="183"/>
      <c r="S22199" s="183"/>
      <c r="AK22199" s="183"/>
      <c r="AL22199" s="183"/>
    </row>
    <row r="22200" spans="1:38">
      <c r="A22200" s="182"/>
      <c r="Q22200" s="183"/>
      <c r="R22200" s="183"/>
      <c r="S22200" s="183"/>
      <c r="AJ22200" s="183"/>
      <c r="AK22200" s="183"/>
      <c r="AL22200" s="183"/>
    </row>
    <row r="22201" spans="1:38">
      <c r="A22201" s="182"/>
      <c r="Q22201" s="183"/>
      <c r="R22201" s="183"/>
      <c r="S22201" s="183"/>
      <c r="AJ22201" s="183"/>
      <c r="AK22201" s="183"/>
      <c r="AL22201" s="183"/>
    </row>
    <row r="22202" spans="1:38">
      <c r="A22202" s="182"/>
      <c r="Q22202" s="183"/>
      <c r="R22202" s="183"/>
      <c r="S22202" s="183"/>
      <c r="AJ22202" s="183"/>
      <c r="AK22202" s="183"/>
      <c r="AL22202" s="183"/>
    </row>
    <row r="22203" spans="1:38">
      <c r="A22203" s="182"/>
      <c r="Q22203" s="183"/>
      <c r="R22203" s="183"/>
      <c r="S22203" s="183"/>
      <c r="AJ22203" s="183"/>
    </row>
    <row r="22204" spans="1:38">
      <c r="A22204" s="182"/>
      <c r="Q22204" s="183"/>
      <c r="R22204" s="183"/>
      <c r="S22204" s="183"/>
    </row>
    <row r="22205" spans="1:38">
      <c r="A22205" s="182"/>
      <c r="Q22205" s="183"/>
      <c r="R22205" s="183"/>
      <c r="S22205" s="183"/>
    </row>
    <row r="22206" spans="1:38">
      <c r="A22206" s="182"/>
      <c r="Q22206" s="183"/>
      <c r="R22206" s="183"/>
      <c r="S22206" s="183"/>
    </row>
    <row r="22207" spans="1:38">
      <c r="A22207" s="182"/>
      <c r="Q22207" s="183"/>
      <c r="R22207" s="183"/>
      <c r="S22207" s="183"/>
    </row>
    <row r="22208" spans="1:38">
      <c r="A22208" s="182"/>
      <c r="Q22208" s="183"/>
      <c r="R22208" s="183"/>
      <c r="S22208" s="183"/>
    </row>
    <row r="22209" spans="1:38">
      <c r="A22209" s="182"/>
      <c r="Q22209" s="183"/>
      <c r="R22209" s="183"/>
      <c r="S22209" s="183"/>
    </row>
    <row r="22210" spans="1:38">
      <c r="A22210" s="182"/>
      <c r="Q22210" s="183"/>
      <c r="R22210" s="183"/>
      <c r="S22210" s="183"/>
    </row>
    <row r="22211" spans="1:38">
      <c r="A22211" s="182"/>
      <c r="Q22211" s="183"/>
      <c r="R22211" s="183"/>
      <c r="S22211" s="183"/>
      <c r="AK22211" s="183"/>
      <c r="AL22211" s="183"/>
    </row>
    <row r="22212" spans="1:38">
      <c r="A22212" s="182"/>
      <c r="Q22212" s="183"/>
      <c r="R22212" s="183"/>
      <c r="S22212" s="183"/>
      <c r="AJ22212" s="183"/>
      <c r="AK22212" s="183"/>
      <c r="AL22212" s="183"/>
    </row>
    <row r="22213" spans="1:38">
      <c r="A22213" s="182"/>
      <c r="Q22213" s="183"/>
      <c r="R22213" s="183"/>
      <c r="S22213" s="183"/>
      <c r="AJ22213" s="183"/>
      <c r="AK22213" s="183"/>
      <c r="AL22213" s="183"/>
    </row>
    <row r="22214" spans="1:38">
      <c r="A22214" s="182"/>
      <c r="Q22214" s="183"/>
      <c r="R22214" s="183"/>
      <c r="S22214" s="183"/>
      <c r="AJ22214" s="183"/>
      <c r="AK22214" s="183"/>
      <c r="AL22214" s="183"/>
    </row>
    <row r="22215" spans="1:38">
      <c r="A22215" s="182"/>
      <c r="Q22215" s="183"/>
      <c r="R22215" s="183"/>
      <c r="S22215" s="183"/>
      <c r="AJ22215" s="183"/>
      <c r="AK22215" s="183"/>
      <c r="AL22215" s="183"/>
    </row>
    <row r="22216" spans="1:38">
      <c r="A22216" s="182"/>
      <c r="Q22216" s="183"/>
      <c r="R22216" s="183"/>
      <c r="S22216" s="183"/>
      <c r="AJ22216" s="183"/>
      <c r="AK22216" s="183"/>
      <c r="AL22216" s="183"/>
    </row>
    <row r="22217" spans="1:38">
      <c r="A22217" s="182"/>
      <c r="Q22217" s="183"/>
      <c r="R22217" s="183"/>
      <c r="S22217" s="183"/>
      <c r="AJ22217" s="183"/>
      <c r="AK22217" s="183"/>
      <c r="AL22217" s="183"/>
    </row>
    <row r="22218" spans="1:38">
      <c r="A22218" s="182"/>
      <c r="Q22218" s="183"/>
      <c r="R22218" s="183"/>
      <c r="S22218" s="183"/>
      <c r="AJ22218" s="183"/>
      <c r="AK22218" s="183"/>
      <c r="AL22218" s="183"/>
    </row>
    <row r="22219" spans="1:38">
      <c r="A22219" s="182"/>
      <c r="Q22219" s="183"/>
      <c r="R22219" s="183"/>
      <c r="S22219" s="183"/>
      <c r="AJ22219" s="183"/>
    </row>
    <row r="22220" spans="1:38">
      <c r="A22220" s="182"/>
      <c r="Q22220" s="183"/>
      <c r="R22220" s="183"/>
      <c r="S22220" s="183"/>
    </row>
    <row r="22221" spans="1:38">
      <c r="A22221" s="182"/>
      <c r="Q22221" s="183"/>
      <c r="R22221" s="183"/>
      <c r="S22221" s="183"/>
    </row>
    <row r="22222" spans="1:38">
      <c r="A22222" s="182"/>
      <c r="Q22222" s="183"/>
      <c r="R22222" s="183"/>
      <c r="S22222" s="183"/>
    </row>
    <row r="22223" spans="1:38">
      <c r="A22223" s="182"/>
      <c r="Q22223" s="183"/>
      <c r="R22223" s="183"/>
      <c r="S22223" s="183"/>
    </row>
    <row r="22224" spans="1:38">
      <c r="A22224" s="182"/>
      <c r="Q22224" s="183"/>
      <c r="R22224" s="183"/>
      <c r="S22224" s="183"/>
    </row>
    <row r="22225" spans="1:38">
      <c r="A22225" s="182"/>
      <c r="Q22225" s="183"/>
      <c r="R22225" s="183"/>
      <c r="S22225" s="183"/>
    </row>
    <row r="22226" spans="1:38">
      <c r="A22226" s="182"/>
      <c r="Q22226" s="183"/>
      <c r="R22226" s="183"/>
      <c r="S22226" s="183"/>
    </row>
    <row r="22227" spans="1:38">
      <c r="A22227" s="182"/>
      <c r="Q22227" s="183"/>
      <c r="R22227" s="183"/>
      <c r="S22227" s="183"/>
      <c r="AK22227" s="183"/>
      <c r="AL22227" s="183"/>
    </row>
    <row r="22228" spans="1:38">
      <c r="A22228" s="182"/>
      <c r="Q22228" s="183"/>
      <c r="R22228" s="183"/>
      <c r="S22228" s="183"/>
      <c r="AJ22228" s="183"/>
      <c r="AK22228" s="183"/>
      <c r="AL22228" s="183"/>
    </row>
    <row r="22229" spans="1:38">
      <c r="A22229" s="182"/>
      <c r="Q22229" s="183"/>
      <c r="R22229" s="183"/>
      <c r="S22229" s="183"/>
      <c r="AJ22229" s="183"/>
      <c r="AK22229" s="183"/>
      <c r="AL22229" s="183"/>
    </row>
    <row r="22230" spans="1:38">
      <c r="A22230" s="182"/>
      <c r="Q22230" s="183"/>
      <c r="R22230" s="183"/>
      <c r="S22230" s="183"/>
      <c r="AJ22230" s="183"/>
      <c r="AK22230" s="183"/>
      <c r="AL22230" s="183"/>
    </row>
    <row r="22231" spans="1:38">
      <c r="A22231" s="182"/>
      <c r="Q22231" s="183"/>
      <c r="R22231" s="183"/>
      <c r="S22231" s="183"/>
      <c r="AJ22231" s="183"/>
    </row>
    <row r="22232" spans="1:38">
      <c r="A22232" s="182"/>
      <c r="Q22232" s="183"/>
      <c r="R22232" s="183"/>
      <c r="S22232" s="183"/>
    </row>
    <row r="22233" spans="1:38">
      <c r="A22233" s="182"/>
      <c r="Q22233" s="183"/>
      <c r="R22233" s="183"/>
      <c r="S22233" s="183"/>
    </row>
    <row r="22234" spans="1:38">
      <c r="A22234" s="182"/>
      <c r="Q22234" s="183"/>
      <c r="R22234" s="183"/>
      <c r="S22234" s="183"/>
    </row>
    <row r="22235" spans="1:38">
      <c r="A22235" s="182"/>
      <c r="Q22235" s="183"/>
      <c r="R22235" s="183"/>
      <c r="S22235" s="183"/>
    </row>
    <row r="22236" spans="1:38">
      <c r="A22236" s="182"/>
      <c r="Q22236" s="183"/>
      <c r="R22236" s="183"/>
      <c r="S22236" s="183"/>
    </row>
    <row r="22237" spans="1:38">
      <c r="A22237" s="182"/>
      <c r="Q22237" s="183"/>
      <c r="R22237" s="183"/>
      <c r="S22237" s="183"/>
    </row>
    <row r="22238" spans="1:38">
      <c r="A22238" s="182"/>
      <c r="Q22238" s="183"/>
      <c r="R22238" s="183"/>
      <c r="S22238" s="183"/>
    </row>
    <row r="22239" spans="1:38">
      <c r="A22239" s="182"/>
      <c r="Q22239" s="183"/>
      <c r="R22239" s="183"/>
      <c r="S22239" s="183"/>
    </row>
    <row r="22240" spans="1:38">
      <c r="A22240" s="182"/>
      <c r="Q22240" s="183"/>
      <c r="R22240" s="183"/>
      <c r="S22240" s="183"/>
    </row>
    <row r="22241" spans="1:19">
      <c r="A22241" s="182"/>
      <c r="Q22241" s="183"/>
      <c r="R22241" s="183"/>
      <c r="S22241" s="183"/>
    </row>
    <row r="22242" spans="1:19">
      <c r="A22242" s="182"/>
      <c r="Q22242" s="183"/>
      <c r="R22242" s="183"/>
      <c r="S22242" s="183"/>
    </row>
    <row r="22243" spans="1:19">
      <c r="A22243" s="182"/>
      <c r="Q22243" s="183"/>
      <c r="R22243" s="183"/>
      <c r="S22243" s="183"/>
    </row>
    <row r="22244" spans="1:19">
      <c r="A22244" s="182"/>
      <c r="Q22244" s="183"/>
      <c r="R22244" s="183"/>
      <c r="S22244" s="183"/>
    </row>
    <row r="22245" spans="1:19">
      <c r="A22245" s="182"/>
      <c r="Q22245" s="183"/>
      <c r="R22245" s="183"/>
      <c r="S22245" s="183"/>
    </row>
    <row r="22246" spans="1:19">
      <c r="A22246" s="182"/>
      <c r="Q22246" s="183"/>
      <c r="R22246" s="183"/>
      <c r="S22246" s="183"/>
    </row>
    <row r="22247" spans="1:19">
      <c r="A22247" s="182"/>
      <c r="Q22247" s="183"/>
      <c r="R22247" s="183"/>
      <c r="S22247" s="183"/>
    </row>
    <row r="22248" spans="1:19">
      <c r="A22248" s="182"/>
      <c r="Q22248" s="183"/>
      <c r="R22248" s="183"/>
      <c r="S22248" s="183"/>
    </row>
    <row r="22249" spans="1:19">
      <c r="A22249" s="182"/>
      <c r="Q22249" s="183"/>
      <c r="R22249" s="183"/>
      <c r="S22249" s="183"/>
    </row>
    <row r="22250" spans="1:19">
      <c r="A22250" s="182"/>
      <c r="Q22250" s="183"/>
      <c r="R22250" s="183"/>
      <c r="S22250" s="183"/>
    </row>
    <row r="22251" spans="1:19">
      <c r="A22251" s="182"/>
      <c r="Q22251" s="183"/>
      <c r="R22251" s="183"/>
      <c r="S22251" s="183"/>
    </row>
    <row r="22252" spans="1:19">
      <c r="A22252" s="182"/>
      <c r="Q22252" s="183"/>
      <c r="R22252" s="183"/>
      <c r="S22252" s="183"/>
    </row>
    <row r="22253" spans="1:19">
      <c r="A22253" s="182"/>
      <c r="Q22253" s="183"/>
      <c r="R22253" s="183"/>
      <c r="S22253" s="183"/>
    </row>
    <row r="22254" spans="1:19">
      <c r="A22254" s="182"/>
      <c r="Q22254" s="183"/>
      <c r="R22254" s="183"/>
      <c r="S22254" s="183"/>
    </row>
    <row r="22255" spans="1:19">
      <c r="A22255" s="182"/>
      <c r="Q22255" s="183"/>
      <c r="R22255" s="183"/>
      <c r="S22255" s="183"/>
    </row>
    <row r="22256" spans="1:19">
      <c r="A22256" s="182"/>
      <c r="Q22256" s="183"/>
      <c r="R22256" s="183"/>
      <c r="S22256" s="183"/>
    </row>
    <row r="22257" spans="1:38">
      <c r="A22257" s="182"/>
      <c r="Q22257" s="183"/>
      <c r="R22257" s="183"/>
      <c r="S22257" s="183"/>
    </row>
    <row r="22258" spans="1:38">
      <c r="A22258" s="182"/>
      <c r="Q22258" s="183"/>
      <c r="R22258" s="183"/>
      <c r="S22258" s="183"/>
    </row>
    <row r="22259" spans="1:38">
      <c r="A22259" s="182"/>
      <c r="Q22259" s="183"/>
      <c r="R22259" s="183"/>
      <c r="S22259" s="183"/>
    </row>
    <row r="22260" spans="1:38">
      <c r="A22260" s="182"/>
      <c r="Q22260" s="183"/>
      <c r="R22260" s="183"/>
      <c r="S22260" s="183"/>
    </row>
    <row r="22261" spans="1:38">
      <c r="A22261" s="182"/>
      <c r="Q22261" s="183"/>
      <c r="R22261" s="183"/>
      <c r="S22261" s="183"/>
    </row>
    <row r="22262" spans="1:38">
      <c r="A22262" s="182"/>
      <c r="Q22262" s="183"/>
      <c r="R22262" s="183"/>
      <c r="S22262" s="183"/>
    </row>
    <row r="22263" spans="1:38">
      <c r="A22263" s="182"/>
      <c r="Q22263" s="183"/>
      <c r="R22263" s="183"/>
      <c r="S22263" s="183"/>
    </row>
    <row r="22264" spans="1:38">
      <c r="A22264" s="182"/>
      <c r="Q22264" s="183"/>
      <c r="R22264" s="183"/>
      <c r="S22264" s="183"/>
    </row>
    <row r="22265" spans="1:38">
      <c r="A22265" s="182"/>
      <c r="Q22265" s="183"/>
      <c r="R22265" s="183"/>
      <c r="S22265" s="183"/>
    </row>
    <row r="22266" spans="1:38">
      <c r="A22266" s="182"/>
      <c r="Q22266" s="183"/>
      <c r="R22266" s="183"/>
      <c r="S22266" s="183"/>
    </row>
    <row r="22267" spans="1:38">
      <c r="A22267" s="182"/>
      <c r="Q22267" s="183"/>
      <c r="R22267" s="183"/>
      <c r="S22267" s="183"/>
    </row>
    <row r="22268" spans="1:38">
      <c r="A22268" s="182"/>
      <c r="Q22268" s="183"/>
      <c r="R22268" s="183"/>
      <c r="S22268" s="183"/>
    </row>
    <row r="22269" spans="1:38">
      <c r="A22269" s="182"/>
      <c r="Q22269" s="183"/>
      <c r="R22269" s="183"/>
      <c r="S22269" s="183"/>
    </row>
    <row r="22270" spans="1:38">
      <c r="A22270" s="182"/>
      <c r="Q22270" s="183"/>
      <c r="R22270" s="183"/>
      <c r="S22270" s="183"/>
    </row>
    <row r="22271" spans="1:38">
      <c r="A22271" s="182"/>
      <c r="Q22271" s="183"/>
      <c r="R22271" s="183"/>
      <c r="S22271" s="183"/>
      <c r="AK22271" s="183"/>
      <c r="AL22271" s="183"/>
    </row>
    <row r="22272" spans="1:38">
      <c r="A22272" s="182"/>
      <c r="Q22272" s="183"/>
      <c r="R22272" s="183"/>
      <c r="S22272" s="183"/>
      <c r="AJ22272" s="183"/>
      <c r="AK22272" s="183"/>
      <c r="AL22272" s="183"/>
    </row>
    <row r="22273" spans="1:38">
      <c r="A22273" s="182"/>
      <c r="Q22273" s="183"/>
      <c r="R22273" s="183"/>
      <c r="S22273" s="183"/>
      <c r="AJ22273" s="183"/>
      <c r="AK22273" s="183"/>
      <c r="AL22273" s="183"/>
    </row>
    <row r="22274" spans="1:38">
      <c r="A22274" s="182"/>
      <c r="Q22274" s="183"/>
      <c r="R22274" s="183"/>
      <c r="S22274" s="183"/>
      <c r="AJ22274" s="183"/>
      <c r="AK22274" s="183"/>
      <c r="AL22274" s="183"/>
    </row>
    <row r="22275" spans="1:38">
      <c r="A22275" s="182"/>
      <c r="Q22275" s="183"/>
      <c r="R22275" s="183"/>
      <c r="S22275" s="183"/>
      <c r="AJ22275" s="183"/>
    </row>
    <row r="22276" spans="1:38">
      <c r="A22276" s="182"/>
      <c r="Q22276" s="183"/>
      <c r="R22276" s="183"/>
      <c r="S22276" s="183"/>
    </row>
    <row r="22277" spans="1:38">
      <c r="A22277" s="182"/>
      <c r="Q22277" s="183"/>
      <c r="R22277" s="183"/>
      <c r="S22277" s="183"/>
    </row>
    <row r="22278" spans="1:38">
      <c r="A22278" s="182"/>
      <c r="Q22278" s="183"/>
      <c r="R22278" s="183"/>
      <c r="S22278" s="183"/>
    </row>
    <row r="22279" spans="1:38">
      <c r="A22279" s="182"/>
      <c r="Q22279" s="183"/>
      <c r="R22279" s="183"/>
      <c r="S22279" s="183"/>
      <c r="AK22279" s="183"/>
      <c r="AL22279" s="183"/>
    </row>
    <row r="22280" spans="1:38">
      <c r="A22280" s="182"/>
      <c r="Q22280" s="183"/>
      <c r="R22280" s="183"/>
      <c r="S22280" s="183"/>
      <c r="AJ22280" s="183"/>
      <c r="AK22280" s="183"/>
      <c r="AL22280" s="183"/>
    </row>
    <row r="22281" spans="1:38">
      <c r="A22281" s="182"/>
      <c r="Q22281" s="183"/>
      <c r="R22281" s="183"/>
      <c r="S22281" s="183"/>
      <c r="AJ22281" s="183"/>
      <c r="AK22281" s="183"/>
      <c r="AL22281" s="183"/>
    </row>
    <row r="22282" spans="1:38">
      <c r="A22282" s="182"/>
      <c r="Q22282" s="183"/>
      <c r="R22282" s="183"/>
      <c r="S22282" s="183"/>
      <c r="AJ22282" s="183"/>
      <c r="AK22282" s="183"/>
      <c r="AL22282" s="183"/>
    </row>
    <row r="22283" spans="1:38">
      <c r="A22283" s="182"/>
      <c r="Q22283" s="183"/>
      <c r="R22283" s="183"/>
      <c r="S22283" s="183"/>
      <c r="AJ22283" s="183"/>
      <c r="AK22283" s="183"/>
      <c r="AL22283" s="183"/>
    </row>
    <row r="22284" spans="1:38">
      <c r="A22284" s="182"/>
      <c r="Q22284" s="183"/>
      <c r="R22284" s="183"/>
      <c r="S22284" s="183"/>
      <c r="AJ22284" s="183"/>
      <c r="AK22284" s="183"/>
      <c r="AL22284" s="183"/>
    </row>
    <row r="22285" spans="1:38">
      <c r="A22285" s="182"/>
      <c r="Q22285" s="183"/>
      <c r="R22285" s="183"/>
      <c r="S22285" s="183"/>
      <c r="AJ22285" s="183"/>
      <c r="AK22285" s="183"/>
      <c r="AL22285" s="183"/>
    </row>
    <row r="22286" spans="1:38">
      <c r="A22286" s="182"/>
      <c r="Q22286" s="183"/>
      <c r="R22286" s="183"/>
      <c r="S22286" s="183"/>
      <c r="AJ22286" s="183"/>
      <c r="AK22286" s="183"/>
      <c r="AL22286" s="183"/>
    </row>
    <row r="22287" spans="1:38">
      <c r="A22287" s="182"/>
      <c r="Q22287" s="183"/>
      <c r="R22287" s="183"/>
      <c r="S22287" s="183"/>
      <c r="AJ22287" s="183"/>
    </row>
    <row r="22288" spans="1:38">
      <c r="A22288" s="182"/>
      <c r="Q22288" s="183"/>
      <c r="R22288" s="183"/>
      <c r="S22288" s="183"/>
    </row>
    <row r="22289" spans="1:38">
      <c r="A22289" s="182"/>
      <c r="Q22289" s="183"/>
      <c r="R22289" s="183"/>
      <c r="S22289" s="183"/>
    </row>
    <row r="22290" spans="1:38">
      <c r="A22290" s="182"/>
      <c r="Q22290" s="183"/>
      <c r="R22290" s="183"/>
      <c r="S22290" s="183"/>
    </row>
    <row r="22291" spans="1:38">
      <c r="A22291" s="182"/>
      <c r="Q22291" s="183"/>
      <c r="R22291" s="183"/>
      <c r="S22291" s="183"/>
      <c r="AK22291" s="183"/>
      <c r="AL22291" s="183"/>
    </row>
    <row r="22292" spans="1:38">
      <c r="A22292" s="182"/>
      <c r="Q22292" s="183"/>
      <c r="R22292" s="183"/>
      <c r="S22292" s="183"/>
      <c r="AJ22292" s="183"/>
      <c r="AK22292" s="183"/>
      <c r="AL22292" s="183"/>
    </row>
    <row r="22293" spans="1:38">
      <c r="A22293" s="182"/>
      <c r="Q22293" s="183"/>
      <c r="R22293" s="183"/>
      <c r="S22293" s="183"/>
      <c r="AJ22293" s="183"/>
      <c r="AK22293" s="183"/>
      <c r="AL22293" s="183"/>
    </row>
    <row r="22294" spans="1:38">
      <c r="A22294" s="182"/>
      <c r="Q22294" s="183"/>
      <c r="R22294" s="183"/>
      <c r="S22294" s="183"/>
      <c r="AJ22294" s="183"/>
      <c r="AK22294" s="183"/>
      <c r="AL22294" s="183"/>
    </row>
    <row r="22295" spans="1:38">
      <c r="A22295" s="182"/>
      <c r="Q22295" s="183"/>
      <c r="R22295" s="183"/>
      <c r="S22295" s="183"/>
      <c r="AJ22295" s="183"/>
    </row>
    <row r="22296" spans="1:38">
      <c r="A22296" s="182"/>
      <c r="Q22296" s="183"/>
      <c r="R22296" s="183"/>
      <c r="S22296" s="183"/>
    </row>
    <row r="22297" spans="1:38">
      <c r="A22297" s="182"/>
      <c r="Q22297" s="183"/>
      <c r="R22297" s="183"/>
      <c r="S22297" s="183"/>
    </row>
    <row r="22298" spans="1:38">
      <c r="A22298" s="182"/>
      <c r="Q22298" s="183"/>
      <c r="R22298" s="183"/>
      <c r="S22298" s="183"/>
    </row>
    <row r="22299" spans="1:38">
      <c r="A22299" s="182"/>
      <c r="Q22299" s="183"/>
      <c r="R22299" s="183"/>
      <c r="S22299" s="183"/>
      <c r="AK22299" s="183"/>
      <c r="AL22299" s="183"/>
    </row>
    <row r="22300" spans="1:38">
      <c r="A22300" s="182"/>
      <c r="Q22300" s="183"/>
      <c r="R22300" s="183"/>
      <c r="S22300" s="183"/>
      <c r="AJ22300" s="183"/>
      <c r="AK22300" s="183"/>
      <c r="AL22300" s="183"/>
    </row>
    <row r="22301" spans="1:38">
      <c r="A22301" s="182"/>
      <c r="Q22301" s="183"/>
      <c r="R22301" s="183"/>
      <c r="S22301" s="183"/>
      <c r="AJ22301" s="183"/>
      <c r="AK22301" s="183"/>
      <c r="AL22301" s="183"/>
    </row>
    <row r="22302" spans="1:38">
      <c r="A22302" s="182"/>
      <c r="Q22302" s="183"/>
      <c r="R22302" s="183"/>
      <c r="S22302" s="183"/>
      <c r="AJ22302" s="183"/>
      <c r="AK22302" s="183"/>
      <c r="AL22302" s="183"/>
    </row>
    <row r="22303" spans="1:38">
      <c r="A22303" s="182"/>
      <c r="Q22303" s="183"/>
      <c r="R22303" s="183"/>
      <c r="S22303" s="183"/>
      <c r="AJ22303" s="183"/>
    </row>
    <row r="22304" spans="1:38">
      <c r="A22304" s="182"/>
      <c r="Q22304" s="183"/>
      <c r="R22304" s="183"/>
      <c r="S22304" s="183"/>
    </row>
    <row r="22305" spans="1:38">
      <c r="A22305" s="182"/>
      <c r="Q22305" s="183"/>
      <c r="R22305" s="183"/>
      <c r="S22305" s="183"/>
    </row>
    <row r="22306" spans="1:38">
      <c r="A22306" s="182"/>
      <c r="Q22306" s="183"/>
      <c r="R22306" s="183"/>
      <c r="S22306" s="183"/>
    </row>
    <row r="22307" spans="1:38">
      <c r="A22307" s="182"/>
      <c r="Q22307" s="183"/>
      <c r="R22307" s="183"/>
      <c r="S22307" s="183"/>
    </row>
    <row r="22308" spans="1:38">
      <c r="A22308" s="182"/>
      <c r="Q22308" s="183"/>
      <c r="R22308" s="183"/>
      <c r="S22308" s="183"/>
    </row>
    <row r="22309" spans="1:38">
      <c r="A22309" s="182"/>
      <c r="Q22309" s="183"/>
      <c r="R22309" s="183"/>
      <c r="S22309" s="183"/>
    </row>
    <row r="22310" spans="1:38">
      <c r="A22310" s="182"/>
      <c r="Q22310" s="183"/>
      <c r="R22310" s="183"/>
      <c r="S22310" s="183"/>
    </row>
    <row r="22311" spans="1:38">
      <c r="A22311" s="182"/>
      <c r="Q22311" s="183"/>
      <c r="R22311" s="183"/>
      <c r="S22311" s="183"/>
      <c r="AK22311" s="183"/>
      <c r="AL22311" s="183"/>
    </row>
    <row r="22312" spans="1:38">
      <c r="A22312" s="182"/>
      <c r="Q22312" s="183"/>
      <c r="R22312" s="183"/>
      <c r="S22312" s="183"/>
      <c r="AJ22312" s="183"/>
      <c r="AK22312" s="183"/>
      <c r="AL22312" s="183"/>
    </row>
    <row r="22313" spans="1:38">
      <c r="A22313" s="182"/>
      <c r="Q22313" s="183"/>
      <c r="R22313" s="183"/>
      <c r="S22313" s="183"/>
      <c r="AJ22313" s="183"/>
      <c r="AK22313" s="183"/>
      <c r="AL22313" s="183"/>
    </row>
    <row r="22314" spans="1:38">
      <c r="A22314" s="182"/>
      <c r="Q22314" s="183"/>
      <c r="R22314" s="183"/>
      <c r="S22314" s="183"/>
      <c r="AJ22314" s="183"/>
      <c r="AK22314" s="183"/>
      <c r="AL22314" s="183"/>
    </row>
    <row r="22315" spans="1:38">
      <c r="A22315" s="182"/>
      <c r="Q22315" s="183"/>
      <c r="R22315" s="183"/>
      <c r="S22315" s="183"/>
      <c r="AJ22315" s="183"/>
      <c r="AK22315" s="183"/>
      <c r="AL22315" s="183"/>
    </row>
    <row r="22316" spans="1:38">
      <c r="A22316" s="182"/>
      <c r="Q22316" s="183"/>
      <c r="R22316" s="183"/>
      <c r="S22316" s="183"/>
      <c r="AJ22316" s="183"/>
      <c r="AK22316" s="183"/>
      <c r="AL22316" s="183"/>
    </row>
    <row r="22317" spans="1:38">
      <c r="A22317" s="182"/>
      <c r="Q22317" s="183"/>
      <c r="R22317" s="183"/>
      <c r="S22317" s="183"/>
      <c r="AJ22317" s="183"/>
      <c r="AK22317" s="183"/>
      <c r="AL22317" s="183"/>
    </row>
    <row r="22318" spans="1:38">
      <c r="A22318" s="182"/>
      <c r="Q22318" s="183"/>
      <c r="R22318" s="183"/>
      <c r="S22318" s="183"/>
      <c r="AJ22318" s="183"/>
      <c r="AK22318" s="183"/>
      <c r="AL22318" s="183"/>
    </row>
    <row r="22319" spans="1:38">
      <c r="A22319" s="182"/>
      <c r="Q22319" s="183"/>
      <c r="R22319" s="183"/>
      <c r="S22319" s="183"/>
      <c r="AJ22319" s="183"/>
    </row>
    <row r="22320" spans="1:38">
      <c r="A22320" s="182"/>
      <c r="Q22320" s="183"/>
      <c r="R22320" s="183"/>
      <c r="S22320" s="183"/>
    </row>
    <row r="22321" spans="1:38">
      <c r="A22321" s="182"/>
      <c r="Q22321" s="183"/>
      <c r="R22321" s="183"/>
      <c r="S22321" s="183"/>
    </row>
    <row r="22322" spans="1:38">
      <c r="A22322" s="182"/>
      <c r="Q22322" s="183"/>
      <c r="R22322" s="183"/>
      <c r="S22322" s="183"/>
    </row>
    <row r="22323" spans="1:38">
      <c r="A22323" s="182"/>
      <c r="Q22323" s="183"/>
      <c r="R22323" s="183"/>
      <c r="S22323" s="183"/>
      <c r="AK22323" s="183"/>
      <c r="AL22323" s="183"/>
    </row>
    <row r="22324" spans="1:38">
      <c r="A22324" s="182"/>
      <c r="Q22324" s="183"/>
      <c r="R22324" s="183"/>
      <c r="S22324" s="183"/>
      <c r="AJ22324" s="183"/>
      <c r="AK22324" s="183"/>
      <c r="AL22324" s="183"/>
    </row>
    <row r="22325" spans="1:38">
      <c r="A22325" s="182"/>
      <c r="Q22325" s="183"/>
      <c r="R22325" s="183"/>
      <c r="S22325" s="183"/>
      <c r="AJ22325" s="183"/>
      <c r="AK22325" s="183"/>
      <c r="AL22325" s="183"/>
    </row>
    <row r="22326" spans="1:38">
      <c r="A22326" s="182"/>
      <c r="Q22326" s="183"/>
      <c r="R22326" s="183"/>
      <c r="S22326" s="183"/>
      <c r="AJ22326" s="183"/>
      <c r="AK22326" s="183"/>
      <c r="AL22326" s="183"/>
    </row>
    <row r="22327" spans="1:38">
      <c r="A22327" s="182"/>
      <c r="Q22327" s="183"/>
      <c r="R22327" s="183"/>
      <c r="S22327" s="183"/>
      <c r="AJ22327" s="183"/>
    </row>
    <row r="22328" spans="1:38">
      <c r="A22328" s="182"/>
      <c r="Q22328" s="183"/>
      <c r="R22328" s="183"/>
      <c r="S22328" s="183"/>
    </row>
    <row r="22329" spans="1:38">
      <c r="A22329" s="182"/>
      <c r="Q22329" s="183"/>
      <c r="R22329" s="183"/>
      <c r="S22329" s="183"/>
    </row>
    <row r="22330" spans="1:38">
      <c r="A22330" s="182"/>
      <c r="Q22330" s="183"/>
      <c r="R22330" s="183"/>
      <c r="S22330" s="183"/>
    </row>
    <row r="22331" spans="1:38">
      <c r="A22331" s="182"/>
      <c r="Q22331" s="183"/>
      <c r="R22331" s="183"/>
      <c r="S22331" s="183"/>
    </row>
    <row r="22332" spans="1:38">
      <c r="A22332" s="182"/>
      <c r="Q22332" s="183"/>
      <c r="R22332" s="183"/>
      <c r="S22332" s="183"/>
    </row>
    <row r="22333" spans="1:38">
      <c r="A22333" s="182"/>
      <c r="Q22333" s="183"/>
      <c r="R22333" s="183"/>
      <c r="S22333" s="183"/>
    </row>
    <row r="22334" spans="1:38">
      <c r="A22334" s="182"/>
      <c r="Q22334" s="183"/>
      <c r="R22334" s="183"/>
      <c r="S22334" s="183"/>
    </row>
    <row r="22335" spans="1:38">
      <c r="A22335" s="182"/>
      <c r="Q22335" s="183"/>
      <c r="R22335" s="183"/>
      <c r="S22335" s="183"/>
    </row>
    <row r="22336" spans="1:38">
      <c r="A22336" s="182"/>
      <c r="Q22336" s="183"/>
      <c r="R22336" s="183"/>
      <c r="S22336" s="183"/>
    </row>
    <row r="22337" spans="1:19">
      <c r="A22337" s="182"/>
      <c r="Q22337" s="183"/>
      <c r="R22337" s="183"/>
      <c r="S22337" s="183"/>
    </row>
    <row r="22338" spans="1:19">
      <c r="A22338" s="182"/>
      <c r="Q22338" s="183"/>
      <c r="R22338" s="183"/>
      <c r="S22338" s="183"/>
    </row>
    <row r="22339" spans="1:19">
      <c r="A22339" s="182"/>
      <c r="Q22339" s="183"/>
      <c r="R22339" s="183"/>
      <c r="S22339" s="183"/>
    </row>
    <row r="22340" spans="1:19">
      <c r="A22340" s="182"/>
      <c r="Q22340" s="183"/>
      <c r="R22340" s="183"/>
      <c r="S22340" s="183"/>
    </row>
    <row r="22341" spans="1:19">
      <c r="A22341" s="182"/>
      <c r="Q22341" s="183"/>
      <c r="R22341" s="183"/>
      <c r="S22341" s="183"/>
    </row>
    <row r="22342" spans="1:19">
      <c r="A22342" s="182"/>
      <c r="Q22342" s="183"/>
      <c r="R22342" s="183"/>
      <c r="S22342" s="183"/>
    </row>
    <row r="22343" spans="1:19">
      <c r="A22343" s="182"/>
      <c r="Q22343" s="183"/>
      <c r="R22343" s="183"/>
      <c r="S22343" s="183"/>
    </row>
    <row r="22344" spans="1:19">
      <c r="A22344" s="182"/>
      <c r="Q22344" s="183"/>
      <c r="R22344" s="183"/>
      <c r="S22344" s="183"/>
    </row>
    <row r="22345" spans="1:19">
      <c r="A22345" s="182"/>
      <c r="Q22345" s="183"/>
      <c r="R22345" s="183"/>
      <c r="S22345" s="183"/>
    </row>
    <row r="22346" spans="1:19">
      <c r="A22346" s="182"/>
      <c r="Q22346" s="183"/>
      <c r="R22346" s="183"/>
      <c r="S22346" s="183"/>
    </row>
    <row r="22347" spans="1:19">
      <c r="A22347" s="182"/>
      <c r="Q22347" s="183"/>
      <c r="R22347" s="183"/>
      <c r="S22347" s="183"/>
    </row>
    <row r="22348" spans="1:19">
      <c r="A22348" s="182"/>
      <c r="Q22348" s="183"/>
      <c r="R22348" s="183"/>
      <c r="S22348" s="183"/>
    </row>
    <row r="22349" spans="1:19">
      <c r="A22349" s="182"/>
      <c r="Q22349" s="183"/>
      <c r="R22349" s="183"/>
      <c r="S22349" s="183"/>
    </row>
    <row r="22350" spans="1:19">
      <c r="A22350" s="182"/>
      <c r="Q22350" s="183"/>
      <c r="R22350" s="183"/>
      <c r="S22350" s="183"/>
    </row>
    <row r="22351" spans="1:19">
      <c r="A22351" s="182"/>
      <c r="Q22351" s="183"/>
      <c r="R22351" s="183"/>
      <c r="S22351" s="183"/>
    </row>
    <row r="22352" spans="1:19">
      <c r="A22352" s="182"/>
      <c r="Q22352" s="183"/>
      <c r="R22352" s="183"/>
      <c r="S22352" s="183"/>
    </row>
    <row r="22353" spans="1:38">
      <c r="A22353" s="182"/>
      <c r="Q22353" s="183"/>
      <c r="R22353" s="183"/>
      <c r="S22353" s="183"/>
    </row>
    <row r="22354" spans="1:38">
      <c r="A22354" s="182"/>
      <c r="Q22354" s="183"/>
      <c r="R22354" s="183"/>
      <c r="S22354" s="183"/>
    </row>
    <row r="22355" spans="1:38">
      <c r="A22355" s="182"/>
      <c r="Q22355" s="183"/>
      <c r="R22355" s="183"/>
      <c r="S22355" s="183"/>
    </row>
    <row r="22356" spans="1:38">
      <c r="A22356" s="182"/>
      <c r="Q22356" s="183"/>
      <c r="R22356" s="183"/>
      <c r="S22356" s="183"/>
    </row>
    <row r="22357" spans="1:38">
      <c r="A22357" s="182"/>
      <c r="Q22357" s="183"/>
      <c r="R22357" s="183"/>
      <c r="S22357" s="183"/>
    </row>
    <row r="22358" spans="1:38">
      <c r="A22358" s="182"/>
      <c r="Q22358" s="183"/>
      <c r="R22358" s="183"/>
      <c r="S22358" s="183"/>
    </row>
    <row r="22359" spans="1:38">
      <c r="A22359" s="182"/>
      <c r="Q22359" s="183"/>
      <c r="R22359" s="183"/>
      <c r="S22359" s="183"/>
      <c r="AK22359" s="183"/>
      <c r="AL22359" s="183"/>
    </row>
    <row r="22360" spans="1:38">
      <c r="A22360" s="182"/>
      <c r="Q22360" s="183"/>
      <c r="R22360" s="183"/>
      <c r="S22360" s="183"/>
      <c r="AJ22360" s="183"/>
      <c r="AK22360" s="183"/>
      <c r="AL22360" s="183"/>
    </row>
    <row r="22361" spans="1:38">
      <c r="A22361" s="182"/>
      <c r="Q22361" s="183"/>
      <c r="R22361" s="183"/>
      <c r="S22361" s="183"/>
      <c r="AJ22361" s="183"/>
      <c r="AK22361" s="183"/>
      <c r="AL22361" s="183"/>
    </row>
    <row r="22362" spans="1:38">
      <c r="A22362" s="182"/>
      <c r="Q22362" s="183"/>
      <c r="R22362" s="183"/>
      <c r="S22362" s="183"/>
      <c r="AJ22362" s="183"/>
      <c r="AK22362" s="183"/>
      <c r="AL22362" s="183"/>
    </row>
    <row r="22363" spans="1:38">
      <c r="A22363" s="182"/>
      <c r="Q22363" s="183"/>
      <c r="R22363" s="183"/>
      <c r="S22363" s="183"/>
      <c r="AJ22363" s="183"/>
      <c r="AK22363" s="183"/>
      <c r="AL22363" s="183"/>
    </row>
    <row r="22364" spans="1:38">
      <c r="A22364" s="182"/>
      <c r="Q22364" s="183"/>
      <c r="R22364" s="183"/>
      <c r="S22364" s="183"/>
      <c r="AJ22364" s="183"/>
      <c r="AK22364" s="183"/>
      <c r="AL22364" s="183"/>
    </row>
    <row r="22365" spans="1:38">
      <c r="A22365" s="182"/>
      <c r="Q22365" s="183"/>
      <c r="R22365" s="183"/>
      <c r="S22365" s="183"/>
      <c r="AJ22365" s="183"/>
      <c r="AK22365" s="183"/>
      <c r="AL22365" s="183"/>
    </row>
    <row r="22366" spans="1:38">
      <c r="A22366" s="182"/>
      <c r="Q22366" s="183"/>
      <c r="R22366" s="183"/>
      <c r="S22366" s="183"/>
      <c r="AJ22366" s="183"/>
      <c r="AK22366" s="183"/>
      <c r="AL22366" s="183"/>
    </row>
    <row r="22367" spans="1:38">
      <c r="A22367" s="182"/>
      <c r="Q22367" s="183"/>
      <c r="R22367" s="183"/>
      <c r="S22367" s="183"/>
      <c r="AJ22367" s="183"/>
    </row>
    <row r="22368" spans="1:38">
      <c r="A22368" s="182"/>
      <c r="Q22368" s="183"/>
      <c r="R22368" s="183"/>
      <c r="S22368" s="183"/>
    </row>
    <row r="22369" spans="1:38">
      <c r="A22369" s="182"/>
      <c r="Q22369" s="183"/>
      <c r="R22369" s="183"/>
      <c r="S22369" s="183"/>
    </row>
    <row r="22370" spans="1:38">
      <c r="A22370" s="182"/>
      <c r="Q22370" s="183"/>
      <c r="R22370" s="183"/>
      <c r="S22370" s="183"/>
    </row>
    <row r="22371" spans="1:38">
      <c r="A22371" s="182"/>
      <c r="Q22371" s="183"/>
      <c r="R22371" s="183"/>
      <c r="S22371" s="183"/>
    </row>
    <row r="22372" spans="1:38">
      <c r="A22372" s="182"/>
      <c r="Q22372" s="183"/>
      <c r="R22372" s="183"/>
      <c r="S22372" s="183"/>
    </row>
    <row r="22373" spans="1:38">
      <c r="A22373" s="182"/>
      <c r="Q22373" s="183"/>
      <c r="R22373" s="183"/>
      <c r="S22373" s="183"/>
    </row>
    <row r="22374" spans="1:38">
      <c r="A22374" s="182"/>
      <c r="Q22374" s="183"/>
      <c r="R22374" s="183"/>
      <c r="S22374" s="183"/>
    </row>
    <row r="22375" spans="1:38">
      <c r="A22375" s="182"/>
      <c r="Q22375" s="183"/>
      <c r="R22375" s="183"/>
      <c r="S22375" s="183"/>
    </row>
    <row r="22376" spans="1:38">
      <c r="A22376" s="182"/>
      <c r="Q22376" s="183"/>
      <c r="R22376" s="183"/>
      <c r="S22376" s="183"/>
    </row>
    <row r="22377" spans="1:38">
      <c r="A22377" s="182"/>
      <c r="Q22377" s="183"/>
      <c r="R22377" s="183"/>
      <c r="S22377" s="183"/>
    </row>
    <row r="22378" spans="1:38">
      <c r="A22378" s="182"/>
      <c r="Q22378" s="183"/>
      <c r="R22378" s="183"/>
      <c r="S22378" s="183"/>
    </row>
    <row r="22379" spans="1:38">
      <c r="A22379" s="182"/>
      <c r="Q22379" s="183"/>
      <c r="R22379" s="183"/>
      <c r="S22379" s="183"/>
      <c r="AK22379" s="183"/>
      <c r="AL22379" s="183"/>
    </row>
    <row r="22380" spans="1:38">
      <c r="A22380" s="182"/>
      <c r="Q22380" s="183"/>
      <c r="R22380" s="183"/>
      <c r="S22380" s="183"/>
      <c r="AJ22380" s="183"/>
      <c r="AK22380" s="183"/>
      <c r="AL22380" s="183"/>
    </row>
    <row r="22381" spans="1:38">
      <c r="A22381" s="182"/>
      <c r="Q22381" s="183"/>
      <c r="R22381" s="183"/>
      <c r="S22381" s="183"/>
      <c r="AJ22381" s="183"/>
      <c r="AK22381" s="183"/>
      <c r="AL22381" s="183"/>
    </row>
    <row r="22382" spans="1:38">
      <c r="A22382" s="182"/>
      <c r="Q22382" s="183"/>
      <c r="R22382" s="183"/>
      <c r="S22382" s="183"/>
      <c r="AJ22382" s="183"/>
      <c r="AK22382" s="183"/>
      <c r="AL22382" s="183"/>
    </row>
    <row r="22383" spans="1:38">
      <c r="A22383" s="182"/>
      <c r="Q22383" s="183"/>
      <c r="R22383" s="183"/>
      <c r="S22383" s="183"/>
      <c r="AJ22383" s="183"/>
    </row>
    <row r="22384" spans="1:38">
      <c r="A22384" s="182"/>
      <c r="Q22384" s="183"/>
      <c r="R22384" s="183"/>
      <c r="S22384" s="183"/>
    </row>
    <row r="22385" spans="1:38">
      <c r="A22385" s="182"/>
      <c r="Q22385" s="183"/>
      <c r="R22385" s="183"/>
      <c r="S22385" s="183"/>
    </row>
    <row r="22386" spans="1:38">
      <c r="A22386" s="182"/>
      <c r="Q22386" s="183"/>
      <c r="R22386" s="183"/>
      <c r="S22386" s="183"/>
    </row>
    <row r="22387" spans="1:38">
      <c r="A22387" s="182"/>
      <c r="Q22387" s="183"/>
      <c r="R22387" s="183"/>
      <c r="S22387" s="183"/>
    </row>
    <row r="22388" spans="1:38">
      <c r="A22388" s="182"/>
      <c r="Q22388" s="183"/>
      <c r="R22388" s="183"/>
      <c r="S22388" s="183"/>
    </row>
    <row r="22389" spans="1:38">
      <c r="A22389" s="182"/>
      <c r="Q22389" s="183"/>
      <c r="R22389" s="183"/>
      <c r="S22389" s="183"/>
    </row>
    <row r="22390" spans="1:38">
      <c r="A22390" s="182"/>
      <c r="Q22390" s="183"/>
      <c r="R22390" s="183"/>
      <c r="S22390" s="183"/>
    </row>
    <row r="22391" spans="1:38">
      <c r="A22391" s="182"/>
      <c r="Q22391" s="183"/>
      <c r="R22391" s="183"/>
      <c r="S22391" s="183"/>
      <c r="AK22391" s="183"/>
      <c r="AL22391" s="183"/>
    </row>
    <row r="22392" spans="1:38">
      <c r="A22392" s="182"/>
      <c r="Q22392" s="183"/>
      <c r="R22392" s="183"/>
      <c r="S22392" s="183"/>
      <c r="AJ22392" s="183"/>
      <c r="AK22392" s="183"/>
      <c r="AL22392" s="183"/>
    </row>
    <row r="22393" spans="1:38">
      <c r="A22393" s="182"/>
      <c r="Q22393" s="183"/>
      <c r="R22393" s="183"/>
      <c r="S22393" s="183"/>
      <c r="AJ22393" s="183"/>
      <c r="AK22393" s="183"/>
      <c r="AL22393" s="183"/>
    </row>
    <row r="22394" spans="1:38">
      <c r="A22394" s="182"/>
      <c r="Q22394" s="183"/>
      <c r="R22394" s="183"/>
      <c r="S22394" s="183"/>
      <c r="AJ22394" s="183"/>
      <c r="AK22394" s="183"/>
      <c r="AL22394" s="183"/>
    </row>
    <row r="22395" spans="1:38">
      <c r="A22395" s="182"/>
      <c r="Q22395" s="183"/>
      <c r="R22395" s="183"/>
      <c r="S22395" s="183"/>
      <c r="AJ22395" s="183"/>
    </row>
    <row r="22396" spans="1:38">
      <c r="A22396" s="182"/>
      <c r="Q22396" s="183"/>
      <c r="R22396" s="183"/>
      <c r="S22396" s="183"/>
    </row>
    <row r="22397" spans="1:38">
      <c r="A22397" s="182"/>
      <c r="Q22397" s="183"/>
      <c r="R22397" s="183"/>
      <c r="S22397" s="183"/>
    </row>
    <row r="22398" spans="1:38">
      <c r="A22398" s="182"/>
      <c r="Q22398" s="183"/>
      <c r="R22398" s="183"/>
      <c r="S22398" s="183"/>
    </row>
    <row r="22399" spans="1:38">
      <c r="A22399" s="182"/>
      <c r="Q22399" s="183"/>
      <c r="R22399" s="183"/>
      <c r="S22399" s="183"/>
    </row>
    <row r="22400" spans="1:38">
      <c r="A22400" s="182"/>
      <c r="Q22400" s="183"/>
      <c r="R22400" s="183"/>
      <c r="S22400" s="183"/>
    </row>
    <row r="22401" spans="1:38">
      <c r="A22401" s="182"/>
      <c r="Q22401" s="183"/>
      <c r="R22401" s="183"/>
      <c r="S22401" s="183"/>
    </row>
    <row r="22402" spans="1:38">
      <c r="A22402" s="182"/>
      <c r="Q22402" s="183"/>
      <c r="R22402" s="183"/>
      <c r="S22402" s="183"/>
    </row>
    <row r="22403" spans="1:38">
      <c r="A22403" s="182"/>
      <c r="Q22403" s="183"/>
      <c r="R22403" s="183"/>
      <c r="S22403" s="183"/>
      <c r="AK22403" s="183"/>
      <c r="AL22403" s="183"/>
    </row>
    <row r="22404" spans="1:38">
      <c r="A22404" s="182"/>
      <c r="Q22404" s="183"/>
      <c r="R22404" s="183"/>
      <c r="S22404" s="183"/>
      <c r="AJ22404" s="183"/>
      <c r="AK22404" s="183"/>
      <c r="AL22404" s="183"/>
    </row>
    <row r="22405" spans="1:38">
      <c r="A22405" s="182"/>
      <c r="Q22405" s="183"/>
      <c r="R22405" s="183"/>
      <c r="S22405" s="183"/>
      <c r="AJ22405" s="183"/>
      <c r="AK22405" s="183"/>
      <c r="AL22405" s="183"/>
    </row>
    <row r="22406" spans="1:38">
      <c r="A22406" s="182"/>
      <c r="Q22406" s="183"/>
      <c r="R22406" s="183"/>
      <c r="S22406" s="183"/>
      <c r="AJ22406" s="183"/>
      <c r="AK22406" s="183"/>
      <c r="AL22406" s="183"/>
    </row>
    <row r="22407" spans="1:38">
      <c r="A22407" s="182"/>
      <c r="Q22407" s="183"/>
      <c r="R22407" s="183"/>
      <c r="S22407" s="183"/>
      <c r="AJ22407" s="183"/>
    </row>
    <row r="22408" spans="1:38">
      <c r="A22408" s="182"/>
      <c r="Q22408" s="183"/>
      <c r="R22408" s="183"/>
      <c r="S22408" s="183"/>
    </row>
    <row r="22409" spans="1:38">
      <c r="A22409" s="182"/>
      <c r="Q22409" s="183"/>
      <c r="R22409" s="183"/>
      <c r="S22409" s="183"/>
    </row>
    <row r="22410" spans="1:38">
      <c r="A22410" s="182"/>
      <c r="Q22410" s="183"/>
      <c r="R22410" s="183"/>
      <c r="S22410" s="183"/>
    </row>
    <row r="22411" spans="1:38">
      <c r="A22411" s="182"/>
      <c r="Q22411" s="183"/>
      <c r="R22411" s="183"/>
      <c r="S22411" s="183"/>
    </row>
    <row r="22412" spans="1:38">
      <c r="A22412" s="182"/>
      <c r="Q22412" s="183"/>
      <c r="R22412" s="183"/>
      <c r="S22412" s="183"/>
    </row>
    <row r="22413" spans="1:38">
      <c r="A22413" s="182"/>
      <c r="Q22413" s="183"/>
      <c r="R22413" s="183"/>
      <c r="S22413" s="183"/>
    </row>
    <row r="22414" spans="1:38">
      <c r="A22414" s="182"/>
      <c r="Q22414" s="183"/>
      <c r="R22414" s="183"/>
      <c r="S22414" s="183"/>
    </row>
    <row r="22415" spans="1:38">
      <c r="A22415" s="182"/>
      <c r="Q22415" s="183"/>
      <c r="R22415" s="183"/>
      <c r="S22415" s="183"/>
      <c r="AK22415" s="183"/>
      <c r="AL22415" s="183"/>
    </row>
    <row r="22416" spans="1:38">
      <c r="A22416" s="182"/>
      <c r="Q22416" s="183"/>
      <c r="R22416" s="183"/>
      <c r="S22416" s="183"/>
      <c r="AJ22416" s="183"/>
      <c r="AK22416" s="183"/>
      <c r="AL22416" s="183"/>
    </row>
    <row r="22417" spans="1:38">
      <c r="A22417" s="182"/>
      <c r="Q22417" s="183"/>
      <c r="R22417" s="183"/>
      <c r="S22417" s="183"/>
      <c r="AJ22417" s="183"/>
      <c r="AK22417" s="183"/>
      <c r="AL22417" s="183"/>
    </row>
    <row r="22418" spans="1:38">
      <c r="A22418" s="182"/>
      <c r="Q22418" s="183"/>
      <c r="R22418" s="183"/>
      <c r="S22418" s="183"/>
      <c r="AJ22418" s="183"/>
      <c r="AK22418" s="183"/>
      <c r="AL22418" s="183"/>
    </row>
    <row r="22419" spans="1:38">
      <c r="A22419" s="182"/>
      <c r="Q22419" s="183"/>
      <c r="R22419" s="183"/>
      <c r="S22419" s="183"/>
      <c r="AJ22419" s="183"/>
    </row>
    <row r="22420" spans="1:38">
      <c r="A22420" s="182"/>
      <c r="Q22420" s="183"/>
      <c r="R22420" s="183"/>
      <c r="S22420" s="183"/>
    </row>
    <row r="22421" spans="1:38">
      <c r="A22421" s="182"/>
      <c r="Q22421" s="183"/>
      <c r="R22421" s="183"/>
      <c r="S22421" s="183"/>
    </row>
    <row r="22422" spans="1:38">
      <c r="A22422" s="182"/>
      <c r="Q22422" s="183"/>
      <c r="R22422" s="183"/>
      <c r="S22422" s="183"/>
    </row>
    <row r="22423" spans="1:38">
      <c r="A22423" s="182"/>
      <c r="Q22423" s="183"/>
      <c r="R22423" s="183"/>
      <c r="S22423" s="183"/>
      <c r="AK22423" s="183"/>
      <c r="AL22423" s="183"/>
    </row>
    <row r="22424" spans="1:38">
      <c r="A22424" s="182"/>
      <c r="Q22424" s="183"/>
      <c r="R22424" s="183"/>
      <c r="S22424" s="183"/>
      <c r="AJ22424" s="183"/>
      <c r="AK22424" s="183"/>
      <c r="AL22424" s="183"/>
    </row>
    <row r="22425" spans="1:38">
      <c r="A22425" s="182"/>
      <c r="Q22425" s="183"/>
      <c r="R22425" s="183"/>
      <c r="S22425" s="183"/>
      <c r="AJ22425" s="183"/>
      <c r="AK22425" s="183"/>
      <c r="AL22425" s="183"/>
    </row>
    <row r="22426" spans="1:38">
      <c r="A22426" s="182"/>
      <c r="Q22426" s="183"/>
      <c r="R22426" s="183"/>
      <c r="S22426" s="183"/>
      <c r="AJ22426" s="183"/>
      <c r="AK22426" s="183"/>
      <c r="AL22426" s="183"/>
    </row>
    <row r="22427" spans="1:38">
      <c r="A22427" s="182"/>
      <c r="Q22427" s="183"/>
      <c r="R22427" s="183"/>
      <c r="S22427" s="183"/>
      <c r="AJ22427" s="183"/>
    </row>
    <row r="22428" spans="1:38">
      <c r="A22428" s="182"/>
      <c r="Q22428" s="183"/>
      <c r="R22428" s="183"/>
      <c r="S22428" s="183"/>
    </row>
    <row r="22429" spans="1:38">
      <c r="A22429" s="182"/>
      <c r="Q22429" s="183"/>
      <c r="R22429" s="183"/>
      <c r="S22429" s="183"/>
    </row>
    <row r="22430" spans="1:38">
      <c r="A22430" s="182"/>
      <c r="Q22430" s="183"/>
      <c r="R22430" s="183"/>
      <c r="S22430" s="183"/>
    </row>
    <row r="22431" spans="1:38">
      <c r="A22431" s="182"/>
      <c r="Q22431" s="183"/>
      <c r="R22431" s="183"/>
      <c r="S22431" s="183"/>
    </row>
    <row r="22432" spans="1:38">
      <c r="A22432" s="182"/>
      <c r="Q22432" s="183"/>
      <c r="R22432" s="183"/>
      <c r="S22432" s="183"/>
    </row>
    <row r="22433" spans="1:38">
      <c r="A22433" s="182"/>
      <c r="Q22433" s="183"/>
      <c r="R22433" s="183"/>
      <c r="S22433" s="183"/>
    </row>
    <row r="22434" spans="1:38">
      <c r="A22434" s="182"/>
      <c r="Q22434" s="183"/>
      <c r="R22434" s="183"/>
      <c r="S22434" s="183"/>
    </row>
    <row r="22435" spans="1:38">
      <c r="A22435" s="182"/>
      <c r="Q22435" s="183"/>
      <c r="R22435" s="183"/>
      <c r="S22435" s="183"/>
    </row>
    <row r="22436" spans="1:38">
      <c r="A22436" s="182"/>
      <c r="Q22436" s="183"/>
      <c r="R22436" s="183"/>
      <c r="S22436" s="183"/>
    </row>
    <row r="22437" spans="1:38">
      <c r="A22437" s="182"/>
      <c r="Q22437" s="183"/>
      <c r="R22437" s="183"/>
      <c r="S22437" s="183"/>
    </row>
    <row r="22438" spans="1:38">
      <c r="A22438" s="182"/>
      <c r="Q22438" s="183"/>
      <c r="R22438" s="183"/>
      <c r="S22438" s="183"/>
    </row>
    <row r="22439" spans="1:38">
      <c r="A22439" s="182"/>
      <c r="Q22439" s="183"/>
      <c r="R22439" s="183"/>
      <c r="S22439" s="183"/>
      <c r="AK22439" s="183"/>
      <c r="AL22439" s="183"/>
    </row>
    <row r="22440" spans="1:38">
      <c r="A22440" s="182"/>
      <c r="Q22440" s="183"/>
      <c r="R22440" s="183"/>
      <c r="S22440" s="183"/>
      <c r="AJ22440" s="183"/>
      <c r="AK22440" s="183"/>
      <c r="AL22440" s="183"/>
    </row>
    <row r="22441" spans="1:38">
      <c r="A22441" s="182"/>
      <c r="Q22441" s="183"/>
      <c r="R22441" s="183"/>
      <c r="S22441" s="183"/>
      <c r="AJ22441" s="183"/>
      <c r="AK22441" s="183"/>
      <c r="AL22441" s="183"/>
    </row>
    <row r="22442" spans="1:38">
      <c r="A22442" s="182"/>
      <c r="Q22442" s="183"/>
      <c r="R22442" s="183"/>
      <c r="S22442" s="183"/>
      <c r="AJ22442" s="183"/>
      <c r="AK22442" s="183"/>
      <c r="AL22442" s="183"/>
    </row>
    <row r="22443" spans="1:38">
      <c r="A22443" s="182"/>
      <c r="Q22443" s="183"/>
      <c r="R22443" s="183"/>
      <c r="S22443" s="183"/>
      <c r="AJ22443" s="183"/>
    </row>
    <row r="22444" spans="1:38">
      <c r="A22444" s="182"/>
      <c r="M22444" s="183"/>
      <c r="N22444" s="183"/>
      <c r="Q22444" s="183"/>
      <c r="R22444" s="183"/>
      <c r="S22444" s="183"/>
    </row>
    <row r="22445" spans="1:38">
      <c r="A22445" s="182"/>
      <c r="L22445" s="183"/>
      <c r="Q22445" s="183"/>
      <c r="R22445" s="183"/>
      <c r="S22445" s="183"/>
    </row>
    <row r="22446" spans="1:38">
      <c r="A22446" s="182"/>
      <c r="Q22446" s="183"/>
      <c r="R22446" s="183"/>
      <c r="S22446" s="183"/>
    </row>
    <row r="22447" spans="1:38">
      <c r="A22447" s="182"/>
      <c r="Q22447" s="183"/>
      <c r="R22447" s="183"/>
      <c r="S22447" s="183"/>
      <c r="AK22447" s="183"/>
      <c r="AL22447" s="183"/>
    </row>
    <row r="22448" spans="1:38">
      <c r="A22448" s="182"/>
      <c r="Q22448" s="183"/>
      <c r="R22448" s="183"/>
      <c r="S22448" s="183"/>
      <c r="AJ22448" s="183"/>
      <c r="AK22448" s="183"/>
      <c r="AL22448" s="183"/>
    </row>
    <row r="22449" spans="1:38">
      <c r="A22449" s="182"/>
      <c r="Q22449" s="183"/>
      <c r="R22449" s="183"/>
      <c r="S22449" s="183"/>
      <c r="AJ22449" s="183"/>
      <c r="AK22449" s="183"/>
      <c r="AL22449" s="183"/>
    </row>
    <row r="22450" spans="1:38">
      <c r="A22450" s="182"/>
      <c r="Q22450" s="183"/>
      <c r="R22450" s="183"/>
      <c r="S22450" s="183"/>
      <c r="AJ22450" s="183"/>
      <c r="AK22450" s="183"/>
      <c r="AL22450" s="183"/>
    </row>
    <row r="22451" spans="1:38">
      <c r="A22451" s="182"/>
      <c r="Q22451" s="183"/>
      <c r="R22451" s="183"/>
      <c r="S22451" s="183"/>
      <c r="AJ22451" s="183"/>
    </row>
    <row r="22452" spans="1:38">
      <c r="A22452" s="182"/>
      <c r="Q22452" s="183"/>
      <c r="R22452" s="183"/>
      <c r="S22452" s="183"/>
    </row>
    <row r="22453" spans="1:38">
      <c r="A22453" s="182"/>
      <c r="Q22453" s="183"/>
      <c r="R22453" s="183"/>
      <c r="S22453" s="183"/>
    </row>
    <row r="22454" spans="1:38">
      <c r="A22454" s="182"/>
      <c r="Q22454" s="183"/>
      <c r="R22454" s="183"/>
      <c r="S22454" s="183"/>
    </row>
    <row r="22455" spans="1:38">
      <c r="A22455" s="182"/>
      <c r="Q22455" s="183"/>
      <c r="R22455" s="183"/>
      <c r="S22455" s="183"/>
    </row>
    <row r="22456" spans="1:38">
      <c r="A22456" s="182"/>
      <c r="Q22456" s="183"/>
      <c r="R22456" s="183"/>
      <c r="S22456" s="183"/>
    </row>
    <row r="22457" spans="1:38">
      <c r="A22457" s="182"/>
      <c r="Q22457" s="183"/>
      <c r="R22457" s="183"/>
      <c r="S22457" s="183"/>
    </row>
    <row r="22458" spans="1:38">
      <c r="A22458" s="182"/>
      <c r="Q22458" s="183"/>
      <c r="R22458" s="183"/>
      <c r="S22458" s="183"/>
    </row>
    <row r="22459" spans="1:38">
      <c r="A22459" s="182"/>
      <c r="Q22459" s="183"/>
      <c r="R22459" s="183"/>
      <c r="S22459" s="183"/>
    </row>
    <row r="22460" spans="1:38">
      <c r="A22460" s="182"/>
      <c r="Q22460" s="183"/>
      <c r="R22460" s="183"/>
      <c r="S22460" s="183"/>
    </row>
    <row r="22461" spans="1:38">
      <c r="A22461" s="182"/>
      <c r="Q22461" s="183"/>
      <c r="R22461" s="183"/>
      <c r="S22461" s="183"/>
    </row>
    <row r="22462" spans="1:38">
      <c r="A22462" s="182"/>
      <c r="Q22462" s="183"/>
      <c r="R22462" s="183"/>
      <c r="S22462" s="183"/>
    </row>
    <row r="22463" spans="1:38">
      <c r="A22463" s="182"/>
      <c r="Q22463" s="183"/>
      <c r="R22463" s="183"/>
      <c r="S22463" s="183"/>
    </row>
    <row r="22464" spans="1:38">
      <c r="A22464" s="182"/>
      <c r="Q22464" s="183"/>
      <c r="R22464" s="183"/>
      <c r="S22464" s="183"/>
    </row>
    <row r="22465" spans="1:19">
      <c r="A22465" s="182"/>
      <c r="Q22465" s="183"/>
      <c r="R22465" s="183"/>
      <c r="S22465" s="183"/>
    </row>
    <row r="22466" spans="1:19">
      <c r="A22466" s="182"/>
      <c r="Q22466" s="183"/>
      <c r="R22466" s="183"/>
      <c r="S22466" s="183"/>
    </row>
    <row r="22467" spans="1:19">
      <c r="A22467" s="182"/>
      <c r="Q22467" s="183"/>
      <c r="R22467" s="183"/>
      <c r="S22467" s="183"/>
    </row>
    <row r="22468" spans="1:19">
      <c r="A22468" s="182"/>
      <c r="Q22468" s="183"/>
      <c r="R22468" s="183"/>
      <c r="S22468" s="183"/>
    </row>
    <row r="22469" spans="1:19">
      <c r="A22469" s="182"/>
      <c r="Q22469" s="183"/>
      <c r="R22469" s="183"/>
      <c r="S22469" s="183"/>
    </row>
    <row r="22470" spans="1:19">
      <c r="A22470" s="182"/>
      <c r="Q22470" s="183"/>
      <c r="R22470" s="183"/>
      <c r="S22470" s="183"/>
    </row>
    <row r="22471" spans="1:19">
      <c r="A22471" s="182"/>
      <c r="Q22471" s="183"/>
      <c r="R22471" s="183"/>
      <c r="S22471" s="183"/>
    </row>
    <row r="22472" spans="1:19">
      <c r="A22472" s="182"/>
      <c r="Q22472" s="183"/>
      <c r="R22472" s="183"/>
      <c r="S22472" s="183"/>
    </row>
    <row r="22473" spans="1:19">
      <c r="A22473" s="182"/>
      <c r="Q22473" s="183"/>
      <c r="R22473" s="183"/>
      <c r="S22473" s="183"/>
    </row>
    <row r="22474" spans="1:19">
      <c r="A22474" s="182"/>
      <c r="Q22474" s="183"/>
      <c r="R22474" s="183"/>
      <c r="S22474" s="183"/>
    </row>
    <row r="22475" spans="1:19">
      <c r="A22475" s="182"/>
      <c r="Q22475" s="183"/>
      <c r="R22475" s="183"/>
      <c r="S22475" s="183"/>
    </row>
    <row r="22476" spans="1:19">
      <c r="A22476" s="182"/>
      <c r="Q22476" s="183"/>
      <c r="R22476" s="183"/>
      <c r="S22476" s="183"/>
    </row>
    <row r="22477" spans="1:19">
      <c r="A22477" s="182"/>
      <c r="Q22477" s="183"/>
      <c r="R22477" s="183"/>
      <c r="S22477" s="183"/>
    </row>
    <row r="22478" spans="1:19">
      <c r="A22478" s="182"/>
      <c r="Q22478" s="183"/>
      <c r="R22478" s="183"/>
      <c r="S22478" s="183"/>
    </row>
    <row r="22479" spans="1:19">
      <c r="A22479" s="182"/>
      <c r="Q22479" s="183"/>
      <c r="R22479" s="183"/>
      <c r="S22479" s="183"/>
    </row>
    <row r="22480" spans="1:19">
      <c r="A22480" s="182"/>
      <c r="Q22480" s="183"/>
      <c r="R22480" s="183"/>
      <c r="S22480" s="183"/>
    </row>
    <row r="22481" spans="1:38">
      <c r="A22481" s="182"/>
      <c r="Q22481" s="183"/>
      <c r="R22481" s="183"/>
      <c r="S22481" s="183"/>
    </row>
    <row r="22482" spans="1:38">
      <c r="A22482" s="182"/>
      <c r="Q22482" s="183"/>
      <c r="R22482" s="183"/>
      <c r="S22482" s="183"/>
    </row>
    <row r="22483" spans="1:38">
      <c r="A22483" s="182"/>
      <c r="Q22483" s="183"/>
      <c r="R22483" s="183"/>
      <c r="S22483" s="183"/>
    </row>
    <row r="22484" spans="1:38">
      <c r="A22484" s="182"/>
      <c r="Q22484" s="183"/>
      <c r="R22484" s="183"/>
      <c r="S22484" s="183"/>
    </row>
    <row r="22485" spans="1:38">
      <c r="A22485" s="182"/>
      <c r="Q22485" s="183"/>
      <c r="R22485" s="183"/>
      <c r="S22485" s="183"/>
    </row>
    <row r="22486" spans="1:38">
      <c r="A22486" s="182"/>
      <c r="Q22486" s="183"/>
      <c r="R22486" s="183"/>
      <c r="S22486" s="183"/>
    </row>
    <row r="22487" spans="1:38">
      <c r="A22487" s="182"/>
      <c r="Q22487" s="183"/>
      <c r="R22487" s="183"/>
      <c r="S22487" s="183"/>
    </row>
    <row r="22488" spans="1:38">
      <c r="A22488" s="182"/>
      <c r="Q22488" s="183"/>
      <c r="R22488" s="183"/>
      <c r="S22488" s="183"/>
    </row>
    <row r="22489" spans="1:38">
      <c r="A22489" s="182"/>
      <c r="Q22489" s="183"/>
      <c r="R22489" s="183"/>
      <c r="S22489" s="183"/>
    </row>
    <row r="22490" spans="1:38">
      <c r="A22490" s="182"/>
      <c r="Q22490" s="183"/>
      <c r="R22490" s="183"/>
      <c r="S22490" s="183"/>
    </row>
    <row r="22491" spans="1:38">
      <c r="A22491" s="182"/>
      <c r="Q22491" s="183"/>
      <c r="R22491" s="183"/>
      <c r="S22491" s="183"/>
    </row>
    <row r="22492" spans="1:38">
      <c r="A22492" s="182"/>
      <c r="Q22492" s="183"/>
      <c r="R22492" s="183"/>
      <c r="S22492" s="183"/>
    </row>
    <row r="22493" spans="1:38">
      <c r="A22493" s="182"/>
      <c r="Q22493" s="183"/>
      <c r="R22493" s="183"/>
      <c r="S22493" s="183"/>
    </row>
    <row r="22494" spans="1:38">
      <c r="A22494" s="182"/>
      <c r="Q22494" s="183"/>
      <c r="R22494" s="183"/>
      <c r="S22494" s="183"/>
    </row>
    <row r="22495" spans="1:38">
      <c r="A22495" s="182"/>
      <c r="Q22495" s="183"/>
      <c r="R22495" s="183"/>
      <c r="S22495" s="183"/>
      <c r="AK22495" s="183"/>
      <c r="AL22495" s="183"/>
    </row>
    <row r="22496" spans="1:38">
      <c r="A22496" s="182"/>
      <c r="Q22496" s="183"/>
      <c r="R22496" s="183"/>
      <c r="S22496" s="183"/>
      <c r="AJ22496" s="183"/>
      <c r="AK22496" s="183"/>
      <c r="AL22496" s="183"/>
    </row>
    <row r="22497" spans="1:38">
      <c r="A22497" s="182"/>
      <c r="Q22497" s="183"/>
      <c r="R22497" s="183"/>
      <c r="S22497" s="183"/>
      <c r="AJ22497" s="183"/>
      <c r="AK22497" s="183"/>
      <c r="AL22497" s="183"/>
    </row>
    <row r="22498" spans="1:38">
      <c r="A22498" s="182"/>
      <c r="Q22498" s="183"/>
      <c r="R22498" s="183"/>
      <c r="S22498" s="183"/>
      <c r="AJ22498" s="183"/>
      <c r="AK22498" s="183"/>
      <c r="AL22498" s="183"/>
    </row>
    <row r="22499" spans="1:38">
      <c r="A22499" s="182"/>
      <c r="Q22499" s="183"/>
      <c r="R22499" s="183"/>
      <c r="S22499" s="183"/>
      <c r="AJ22499" s="183"/>
    </row>
    <row r="22500" spans="1:38">
      <c r="A22500" s="182"/>
      <c r="Q22500" s="183"/>
      <c r="R22500" s="183"/>
      <c r="S22500" s="183"/>
    </row>
    <row r="22501" spans="1:38">
      <c r="A22501" s="182"/>
      <c r="Q22501" s="183"/>
      <c r="R22501" s="183"/>
      <c r="S22501" s="183"/>
    </row>
    <row r="22502" spans="1:38">
      <c r="A22502" s="182"/>
      <c r="Q22502" s="183"/>
      <c r="R22502" s="183"/>
      <c r="S22502" s="183"/>
    </row>
    <row r="22503" spans="1:38">
      <c r="A22503" s="182"/>
      <c r="Q22503" s="183"/>
      <c r="R22503" s="183"/>
      <c r="S22503" s="183"/>
      <c r="AK22503" s="183"/>
      <c r="AL22503" s="183"/>
    </row>
    <row r="22504" spans="1:38">
      <c r="A22504" s="182"/>
      <c r="Q22504" s="183"/>
      <c r="R22504" s="183"/>
      <c r="S22504" s="183"/>
      <c r="AJ22504" s="183"/>
      <c r="AK22504" s="183"/>
      <c r="AL22504" s="183"/>
    </row>
    <row r="22505" spans="1:38">
      <c r="A22505" s="182"/>
      <c r="Q22505" s="183"/>
      <c r="R22505" s="183"/>
      <c r="S22505" s="183"/>
      <c r="AJ22505" s="183"/>
      <c r="AK22505" s="183"/>
      <c r="AL22505" s="183"/>
    </row>
    <row r="22506" spans="1:38">
      <c r="A22506" s="182"/>
      <c r="Q22506" s="183"/>
      <c r="R22506" s="183"/>
      <c r="S22506" s="183"/>
      <c r="AJ22506" s="183"/>
      <c r="AK22506" s="183"/>
      <c r="AL22506" s="183"/>
    </row>
    <row r="22507" spans="1:38">
      <c r="A22507" s="182"/>
      <c r="Q22507" s="183"/>
      <c r="R22507" s="183"/>
      <c r="S22507" s="183"/>
      <c r="AJ22507" s="183"/>
      <c r="AK22507" s="183"/>
      <c r="AL22507" s="183"/>
    </row>
    <row r="22508" spans="1:38">
      <c r="A22508" s="182"/>
      <c r="Q22508" s="183"/>
      <c r="R22508" s="183"/>
      <c r="S22508" s="183"/>
      <c r="AJ22508" s="183"/>
      <c r="AK22508" s="183"/>
      <c r="AL22508" s="183"/>
    </row>
    <row r="22509" spans="1:38">
      <c r="A22509" s="182"/>
      <c r="Q22509" s="183"/>
      <c r="R22509" s="183"/>
      <c r="S22509" s="183"/>
      <c r="AJ22509" s="183"/>
      <c r="AK22509" s="183"/>
      <c r="AL22509" s="183"/>
    </row>
    <row r="22510" spans="1:38">
      <c r="A22510" s="182"/>
      <c r="Q22510" s="183"/>
      <c r="R22510" s="183"/>
      <c r="S22510" s="183"/>
      <c r="AJ22510" s="183"/>
      <c r="AK22510" s="183"/>
      <c r="AL22510" s="183"/>
    </row>
    <row r="22511" spans="1:38">
      <c r="A22511" s="182"/>
      <c r="Q22511" s="183"/>
      <c r="R22511" s="183"/>
      <c r="S22511" s="183"/>
      <c r="AJ22511" s="183"/>
    </row>
    <row r="22512" spans="1:38">
      <c r="A22512" s="182"/>
      <c r="Q22512" s="183"/>
      <c r="R22512" s="183"/>
      <c r="S22512" s="183"/>
    </row>
    <row r="22513" spans="1:38">
      <c r="A22513" s="182"/>
      <c r="Q22513" s="183"/>
      <c r="R22513" s="183"/>
      <c r="S22513" s="183"/>
    </row>
    <row r="22514" spans="1:38">
      <c r="A22514" s="182"/>
      <c r="Q22514" s="183"/>
      <c r="R22514" s="183"/>
      <c r="S22514" s="183"/>
    </row>
    <row r="22515" spans="1:38">
      <c r="A22515" s="182"/>
      <c r="Q22515" s="183"/>
      <c r="R22515" s="183"/>
      <c r="S22515" s="183"/>
      <c r="AK22515" s="183"/>
      <c r="AL22515" s="183"/>
    </row>
    <row r="22516" spans="1:38">
      <c r="A22516" s="182"/>
      <c r="Q22516" s="183"/>
      <c r="R22516" s="183"/>
      <c r="S22516" s="183"/>
      <c r="AJ22516" s="183"/>
      <c r="AK22516" s="183"/>
      <c r="AL22516" s="183"/>
    </row>
    <row r="22517" spans="1:38">
      <c r="A22517" s="182"/>
      <c r="Q22517" s="183"/>
      <c r="R22517" s="183"/>
      <c r="S22517" s="183"/>
      <c r="AJ22517" s="183"/>
      <c r="AK22517" s="183"/>
      <c r="AL22517" s="183"/>
    </row>
    <row r="22518" spans="1:38">
      <c r="A22518" s="182"/>
      <c r="Q22518" s="183"/>
      <c r="R22518" s="183"/>
      <c r="S22518" s="183"/>
      <c r="AJ22518" s="183"/>
      <c r="AK22518" s="183"/>
      <c r="AL22518" s="183"/>
    </row>
    <row r="22519" spans="1:38">
      <c r="A22519" s="182"/>
      <c r="Q22519" s="183"/>
      <c r="R22519" s="183"/>
      <c r="S22519" s="183"/>
      <c r="AJ22519" s="183"/>
    </row>
    <row r="22520" spans="1:38">
      <c r="A22520" s="182"/>
      <c r="Q22520" s="183"/>
      <c r="R22520" s="183"/>
      <c r="S22520" s="183"/>
    </row>
    <row r="22521" spans="1:38">
      <c r="A22521" s="182"/>
      <c r="Q22521" s="183"/>
      <c r="R22521" s="183"/>
      <c r="S22521" s="183"/>
    </row>
    <row r="22522" spans="1:38">
      <c r="A22522" s="182"/>
      <c r="Q22522" s="183"/>
      <c r="R22522" s="183"/>
      <c r="S22522" s="183"/>
    </row>
    <row r="22523" spans="1:38">
      <c r="A22523" s="182"/>
      <c r="Q22523" s="183"/>
      <c r="R22523" s="183"/>
      <c r="S22523" s="183"/>
      <c r="AK22523" s="183"/>
      <c r="AL22523" s="183"/>
    </row>
    <row r="22524" spans="1:38">
      <c r="A22524" s="182"/>
      <c r="Q22524" s="183"/>
      <c r="R22524" s="183"/>
      <c r="S22524" s="183"/>
      <c r="AJ22524" s="183"/>
      <c r="AK22524" s="183"/>
      <c r="AL22524" s="183"/>
    </row>
    <row r="22525" spans="1:38">
      <c r="A22525" s="182"/>
      <c r="Q22525" s="183"/>
      <c r="R22525" s="183"/>
      <c r="S22525" s="183"/>
      <c r="AJ22525" s="183"/>
      <c r="AK22525" s="183"/>
      <c r="AL22525" s="183"/>
    </row>
    <row r="22526" spans="1:38">
      <c r="A22526" s="182"/>
      <c r="Q22526" s="183"/>
      <c r="AJ22526" s="183"/>
      <c r="AK22526" s="183"/>
      <c r="AL22526" s="183"/>
    </row>
    <row r="22527" spans="1:38">
      <c r="A22527" s="182"/>
      <c r="AJ22527" s="183"/>
    </row>
    <row r="22528" spans="1:38">
      <c r="A22528" s="182"/>
    </row>
    <row r="22529" spans="1:19">
      <c r="A22529" s="182"/>
    </row>
    <row r="22530" spans="1:19">
      <c r="A22530" s="182"/>
    </row>
    <row r="22531" spans="1:19">
      <c r="A22531" s="182"/>
    </row>
    <row r="22532" spans="1:19">
      <c r="A22532" s="182"/>
    </row>
    <row r="22533" spans="1:19">
      <c r="A22533" s="182"/>
    </row>
    <row r="22534" spans="1:19">
      <c r="A22534" s="182"/>
    </row>
    <row r="22535" spans="1:19">
      <c r="A22535" s="182"/>
    </row>
    <row r="22536" spans="1:19">
      <c r="A22536" s="182"/>
    </row>
    <row r="22537" spans="1:19">
      <c r="A22537" s="182"/>
      <c r="R22537" s="183"/>
      <c r="S22537" s="183"/>
    </row>
    <row r="22538" spans="1:19">
      <c r="A22538" s="182"/>
      <c r="Q22538" s="183"/>
      <c r="R22538" s="183"/>
      <c r="S22538" s="183"/>
    </row>
    <row r="22539" spans="1:19">
      <c r="A22539" s="182"/>
      <c r="Q22539" s="183"/>
      <c r="R22539" s="183"/>
      <c r="S22539" s="183"/>
    </row>
    <row r="22540" spans="1:19">
      <c r="A22540" s="182"/>
      <c r="Q22540" s="183"/>
      <c r="R22540" s="183"/>
      <c r="S22540" s="183"/>
    </row>
    <row r="22541" spans="1:19">
      <c r="A22541" s="182"/>
      <c r="Q22541" s="183"/>
      <c r="R22541" s="183"/>
      <c r="S22541" s="183"/>
    </row>
    <row r="22542" spans="1:19">
      <c r="A22542" s="182"/>
      <c r="Q22542" s="183"/>
      <c r="R22542" s="183"/>
      <c r="S22542" s="183"/>
    </row>
    <row r="22543" spans="1:19">
      <c r="A22543" s="182"/>
      <c r="Q22543" s="183"/>
      <c r="R22543" s="183"/>
      <c r="S22543" s="183"/>
    </row>
    <row r="22544" spans="1:19">
      <c r="A22544" s="182"/>
      <c r="Q22544" s="183"/>
      <c r="R22544" s="183"/>
      <c r="S22544" s="183"/>
    </row>
    <row r="22545" spans="1:19">
      <c r="A22545" s="182"/>
      <c r="Q22545" s="183"/>
      <c r="R22545" s="183"/>
      <c r="S22545" s="183"/>
    </row>
    <row r="22546" spans="1:19">
      <c r="A22546" s="182"/>
      <c r="Q22546" s="183"/>
      <c r="R22546" s="183"/>
      <c r="S22546" s="183"/>
    </row>
    <row r="22547" spans="1:19">
      <c r="A22547" s="182"/>
      <c r="Q22547" s="183"/>
      <c r="R22547" s="183"/>
      <c r="S22547" s="183"/>
    </row>
    <row r="22548" spans="1:19">
      <c r="A22548" s="182"/>
      <c r="Q22548" s="183"/>
      <c r="R22548" s="183"/>
      <c r="S22548" s="183"/>
    </row>
    <row r="22549" spans="1:19">
      <c r="A22549" s="182"/>
      <c r="Q22549" s="183"/>
      <c r="R22549" s="183"/>
      <c r="S22549" s="183"/>
    </row>
    <row r="22550" spans="1:19">
      <c r="A22550" s="182"/>
      <c r="Q22550" s="183"/>
      <c r="R22550" s="183"/>
      <c r="S22550" s="183"/>
    </row>
    <row r="22551" spans="1:19">
      <c r="A22551" s="182"/>
      <c r="Q22551" s="183"/>
      <c r="R22551" s="183"/>
      <c r="S22551" s="183"/>
    </row>
    <row r="22552" spans="1:19">
      <c r="A22552" s="182"/>
      <c r="Q22552" s="183"/>
      <c r="R22552" s="183"/>
      <c r="S22552" s="183"/>
    </row>
    <row r="22553" spans="1:19">
      <c r="A22553" s="182"/>
      <c r="M22553" s="183"/>
      <c r="N22553" s="183"/>
      <c r="Q22553" s="183"/>
      <c r="R22553" s="183"/>
      <c r="S22553" s="183"/>
    </row>
    <row r="22554" spans="1:19">
      <c r="A22554" s="182"/>
      <c r="L22554" s="183"/>
      <c r="Q22554" s="183"/>
      <c r="R22554" s="183"/>
      <c r="S22554" s="183"/>
    </row>
    <row r="22555" spans="1:19">
      <c r="A22555" s="182"/>
      <c r="Q22555" s="183"/>
      <c r="R22555" s="183"/>
      <c r="S22555" s="183"/>
    </row>
    <row r="22556" spans="1:19">
      <c r="A22556" s="182"/>
      <c r="Q22556" s="183"/>
      <c r="R22556" s="183"/>
      <c r="S22556" s="183"/>
    </row>
    <row r="22557" spans="1:19">
      <c r="A22557" s="182"/>
      <c r="Q22557" s="183"/>
      <c r="R22557" s="183"/>
      <c r="S22557" s="183"/>
    </row>
    <row r="22558" spans="1:19">
      <c r="A22558" s="182"/>
      <c r="Q22558" s="183"/>
      <c r="R22558" s="183"/>
      <c r="S22558" s="183"/>
    </row>
    <row r="22559" spans="1:19">
      <c r="A22559" s="182"/>
      <c r="Q22559" s="183"/>
      <c r="R22559" s="183"/>
      <c r="S22559" s="183"/>
    </row>
    <row r="22560" spans="1:19">
      <c r="A22560" s="182"/>
      <c r="Q22560" s="183"/>
      <c r="R22560" s="183"/>
      <c r="S22560" s="183"/>
    </row>
    <row r="22561" spans="1:38">
      <c r="A22561" s="182"/>
      <c r="Q22561" s="183"/>
      <c r="R22561" s="183"/>
      <c r="S22561" s="183"/>
    </row>
    <row r="22562" spans="1:38">
      <c r="A22562" s="182"/>
      <c r="Q22562" s="183"/>
      <c r="R22562" s="183"/>
      <c r="S22562" s="183"/>
    </row>
    <row r="22563" spans="1:38">
      <c r="A22563" s="182"/>
      <c r="Q22563" s="183"/>
      <c r="R22563" s="183"/>
      <c r="S22563" s="183"/>
    </row>
    <row r="22564" spans="1:38">
      <c r="A22564" s="182"/>
      <c r="Q22564" s="183"/>
      <c r="R22564" s="183"/>
      <c r="S22564" s="183"/>
    </row>
    <row r="22565" spans="1:38">
      <c r="A22565" s="182"/>
      <c r="Q22565" s="183"/>
      <c r="R22565" s="183"/>
      <c r="S22565" s="183"/>
    </row>
    <row r="22566" spans="1:38">
      <c r="A22566" s="182"/>
      <c r="Q22566" s="183"/>
      <c r="R22566" s="183"/>
      <c r="S22566" s="183"/>
    </row>
    <row r="22567" spans="1:38">
      <c r="A22567" s="182"/>
      <c r="M22567" s="183"/>
      <c r="N22567" s="183"/>
      <c r="O22567" s="183"/>
      <c r="Q22567" s="183"/>
      <c r="R22567" s="183"/>
      <c r="S22567" s="183"/>
    </row>
    <row r="22568" spans="1:38">
      <c r="A22568" s="182"/>
      <c r="L22568" s="183"/>
      <c r="M22568" s="183"/>
      <c r="Q22568" s="183"/>
      <c r="R22568" s="183"/>
      <c r="S22568" s="183"/>
    </row>
    <row r="22569" spans="1:38">
      <c r="A22569" s="182"/>
      <c r="Q22569" s="183"/>
      <c r="R22569" s="183"/>
      <c r="S22569" s="183"/>
    </row>
    <row r="22570" spans="1:38">
      <c r="A22570" s="182"/>
      <c r="Q22570" s="183"/>
      <c r="R22570" s="183"/>
      <c r="S22570" s="183"/>
    </row>
    <row r="22571" spans="1:38">
      <c r="A22571" s="182"/>
      <c r="Q22571" s="183"/>
      <c r="R22571" s="183"/>
      <c r="S22571" s="183"/>
      <c r="AK22571" s="183"/>
      <c r="AL22571" s="183"/>
    </row>
    <row r="22572" spans="1:38">
      <c r="A22572" s="182"/>
      <c r="Q22572" s="183"/>
      <c r="R22572" s="183"/>
      <c r="S22572" s="183"/>
      <c r="AJ22572" s="183"/>
      <c r="AK22572" s="183"/>
      <c r="AL22572" s="183"/>
    </row>
    <row r="22573" spans="1:38">
      <c r="A22573" s="182"/>
      <c r="Q22573" s="183"/>
      <c r="R22573" s="183"/>
      <c r="S22573" s="183"/>
      <c r="AJ22573" s="183"/>
      <c r="AK22573" s="183"/>
      <c r="AL22573" s="183"/>
    </row>
    <row r="22574" spans="1:38">
      <c r="A22574" s="182"/>
      <c r="Q22574" s="183"/>
      <c r="R22574" s="183"/>
      <c r="S22574" s="183"/>
      <c r="AJ22574" s="183"/>
      <c r="AK22574" s="183"/>
      <c r="AL22574" s="183"/>
    </row>
    <row r="22575" spans="1:38">
      <c r="A22575" s="182"/>
      <c r="Q22575" s="183"/>
      <c r="R22575" s="183"/>
      <c r="S22575" s="183"/>
      <c r="AJ22575" s="183"/>
      <c r="AK22575" s="183"/>
      <c r="AL22575" s="183"/>
    </row>
    <row r="22576" spans="1:38">
      <c r="A22576" s="182"/>
      <c r="Q22576" s="183"/>
      <c r="R22576" s="183"/>
      <c r="S22576" s="183"/>
      <c r="AJ22576" s="183"/>
      <c r="AK22576" s="183"/>
      <c r="AL22576" s="183"/>
    </row>
    <row r="22577" spans="1:38">
      <c r="A22577" s="182"/>
      <c r="Q22577" s="183"/>
      <c r="R22577" s="183"/>
      <c r="S22577" s="183"/>
      <c r="AJ22577" s="183"/>
      <c r="AK22577" s="183"/>
      <c r="AL22577" s="183"/>
    </row>
    <row r="22578" spans="1:38">
      <c r="A22578" s="182"/>
      <c r="Q22578" s="183"/>
      <c r="R22578" s="183"/>
      <c r="S22578" s="183"/>
      <c r="AJ22578" s="183"/>
      <c r="AK22578" s="183"/>
      <c r="AL22578" s="183"/>
    </row>
    <row r="22579" spans="1:38">
      <c r="A22579" s="182"/>
      <c r="Q22579" s="183"/>
      <c r="R22579" s="183"/>
      <c r="S22579" s="183"/>
      <c r="AJ22579" s="183"/>
    </row>
    <row r="22580" spans="1:38">
      <c r="A22580" s="182"/>
      <c r="Q22580" s="183"/>
      <c r="R22580" s="183"/>
      <c r="S22580" s="183"/>
    </row>
    <row r="22581" spans="1:38">
      <c r="A22581" s="182"/>
      <c r="Q22581" s="183"/>
      <c r="R22581" s="183"/>
      <c r="S22581" s="183"/>
    </row>
    <row r="22582" spans="1:38">
      <c r="A22582" s="182"/>
      <c r="Q22582" s="183"/>
      <c r="R22582" s="183"/>
      <c r="S22582" s="183"/>
    </row>
    <row r="22583" spans="1:38">
      <c r="A22583" s="182"/>
      <c r="Q22583" s="183"/>
      <c r="R22583" s="183"/>
      <c r="S22583" s="183"/>
    </row>
    <row r="22584" spans="1:38">
      <c r="A22584" s="182"/>
      <c r="Q22584" s="183"/>
      <c r="R22584" s="183"/>
      <c r="S22584" s="183"/>
    </row>
    <row r="22585" spans="1:38">
      <c r="A22585" s="182"/>
      <c r="Q22585" s="183"/>
      <c r="R22585" s="183"/>
      <c r="S22585" s="183"/>
    </row>
    <row r="22586" spans="1:38">
      <c r="A22586" s="182"/>
      <c r="Q22586" s="183"/>
      <c r="R22586" s="183"/>
      <c r="S22586" s="183"/>
    </row>
    <row r="22587" spans="1:38">
      <c r="A22587" s="182"/>
      <c r="Q22587" s="183"/>
      <c r="R22587" s="183"/>
      <c r="S22587" s="183"/>
    </row>
    <row r="22588" spans="1:38">
      <c r="A22588" s="182"/>
      <c r="Q22588" s="183"/>
      <c r="R22588" s="183"/>
      <c r="S22588" s="183"/>
    </row>
    <row r="22589" spans="1:38">
      <c r="A22589" s="182"/>
      <c r="Q22589" s="183"/>
      <c r="R22589" s="183"/>
      <c r="S22589" s="183"/>
    </row>
    <row r="22590" spans="1:38">
      <c r="A22590" s="182"/>
      <c r="Q22590" s="183"/>
      <c r="R22590" s="183"/>
      <c r="S22590" s="183"/>
    </row>
    <row r="22591" spans="1:38">
      <c r="A22591" s="182"/>
      <c r="Q22591" s="183"/>
      <c r="R22591" s="183"/>
      <c r="S22591" s="183"/>
    </row>
    <row r="22592" spans="1:38">
      <c r="A22592" s="182"/>
      <c r="Q22592" s="183"/>
      <c r="R22592" s="183"/>
      <c r="S22592" s="183"/>
    </row>
    <row r="22593" spans="1:38">
      <c r="A22593" s="182"/>
      <c r="Q22593" s="183"/>
      <c r="R22593" s="183"/>
      <c r="S22593" s="183"/>
    </row>
    <row r="22594" spans="1:38">
      <c r="A22594" s="182"/>
      <c r="Q22594" s="183"/>
      <c r="R22594" s="183"/>
      <c r="S22594" s="183"/>
    </row>
    <row r="22595" spans="1:38">
      <c r="A22595" s="182"/>
      <c r="Q22595" s="183"/>
      <c r="R22595" s="183"/>
      <c r="S22595" s="183"/>
    </row>
    <row r="22596" spans="1:38">
      <c r="A22596" s="182"/>
      <c r="Q22596" s="183"/>
      <c r="R22596" s="183"/>
      <c r="S22596" s="183"/>
    </row>
    <row r="22597" spans="1:38">
      <c r="A22597" s="182"/>
      <c r="Q22597" s="183"/>
      <c r="R22597" s="183"/>
      <c r="S22597" s="183"/>
    </row>
    <row r="22598" spans="1:38">
      <c r="A22598" s="182"/>
      <c r="Q22598" s="183"/>
      <c r="R22598" s="183"/>
      <c r="S22598" s="183"/>
    </row>
    <row r="22599" spans="1:38">
      <c r="A22599" s="182"/>
      <c r="Q22599" s="183"/>
      <c r="R22599" s="183"/>
      <c r="S22599" s="183"/>
      <c r="AK22599" s="183"/>
      <c r="AL22599" s="183"/>
    </row>
    <row r="22600" spans="1:38">
      <c r="A22600" s="182"/>
      <c r="Q22600" s="183"/>
      <c r="R22600" s="183"/>
      <c r="S22600" s="183"/>
      <c r="AJ22600" s="183"/>
      <c r="AK22600" s="183"/>
      <c r="AL22600" s="183"/>
    </row>
    <row r="22601" spans="1:38">
      <c r="A22601" s="182"/>
      <c r="Q22601" s="183"/>
      <c r="R22601" s="183"/>
      <c r="S22601" s="183"/>
      <c r="AJ22601" s="183"/>
      <c r="AK22601" s="183"/>
      <c r="AL22601" s="183"/>
    </row>
    <row r="22602" spans="1:38">
      <c r="A22602" s="182"/>
      <c r="Q22602" s="183"/>
      <c r="R22602" s="183"/>
      <c r="S22602" s="183"/>
      <c r="AJ22602" s="183"/>
      <c r="AK22602" s="183"/>
      <c r="AL22602" s="183"/>
    </row>
    <row r="22603" spans="1:38">
      <c r="A22603" s="182"/>
      <c r="Q22603" s="183"/>
      <c r="R22603" s="183"/>
      <c r="S22603" s="183"/>
      <c r="AJ22603" s="183"/>
      <c r="AK22603" s="183"/>
      <c r="AL22603" s="183"/>
    </row>
    <row r="22604" spans="1:38">
      <c r="A22604" s="182"/>
      <c r="Q22604" s="183"/>
      <c r="R22604" s="183"/>
      <c r="S22604" s="183"/>
      <c r="AJ22604" s="183"/>
      <c r="AK22604" s="183"/>
      <c r="AL22604" s="183"/>
    </row>
    <row r="22605" spans="1:38">
      <c r="A22605" s="182"/>
      <c r="Q22605" s="183"/>
      <c r="R22605" s="183"/>
      <c r="S22605" s="183"/>
      <c r="AJ22605" s="183"/>
      <c r="AK22605" s="183"/>
      <c r="AL22605" s="183"/>
    </row>
    <row r="22606" spans="1:38">
      <c r="A22606" s="182"/>
      <c r="Q22606" s="183"/>
      <c r="R22606" s="183"/>
      <c r="S22606" s="183"/>
      <c r="AJ22606" s="183"/>
      <c r="AK22606" s="183"/>
      <c r="AL22606" s="183"/>
    </row>
    <row r="22607" spans="1:38">
      <c r="A22607" s="182"/>
      <c r="Q22607" s="183"/>
      <c r="R22607" s="183"/>
      <c r="S22607" s="183"/>
      <c r="AJ22607" s="183"/>
    </row>
    <row r="22608" spans="1:38">
      <c r="A22608" s="182"/>
      <c r="Q22608" s="183"/>
      <c r="R22608" s="183"/>
      <c r="S22608" s="183"/>
    </row>
    <row r="22609" spans="1:38">
      <c r="A22609" s="182"/>
      <c r="Q22609" s="183"/>
      <c r="R22609" s="183"/>
      <c r="S22609" s="183"/>
    </row>
    <row r="22610" spans="1:38">
      <c r="A22610" s="182"/>
      <c r="Q22610" s="183"/>
      <c r="R22610" s="183"/>
      <c r="S22610" s="183"/>
    </row>
    <row r="22611" spans="1:38">
      <c r="A22611" s="182"/>
      <c r="Q22611" s="183"/>
      <c r="R22611" s="183"/>
      <c r="S22611" s="183"/>
      <c r="AK22611" s="183"/>
      <c r="AL22611" s="183"/>
    </row>
    <row r="22612" spans="1:38">
      <c r="A22612" s="182"/>
      <c r="Q22612" s="183"/>
      <c r="R22612" s="183"/>
      <c r="S22612" s="183"/>
      <c r="AJ22612" s="183"/>
      <c r="AK22612" s="183"/>
      <c r="AL22612" s="183"/>
    </row>
    <row r="22613" spans="1:38">
      <c r="A22613" s="182"/>
      <c r="Q22613" s="183"/>
      <c r="R22613" s="183"/>
      <c r="S22613" s="183"/>
      <c r="AJ22613" s="183"/>
      <c r="AK22613" s="183"/>
      <c r="AL22613" s="183"/>
    </row>
    <row r="22614" spans="1:38">
      <c r="A22614" s="182"/>
      <c r="Q22614" s="183"/>
      <c r="R22614" s="183"/>
      <c r="S22614" s="183"/>
      <c r="AJ22614" s="183"/>
      <c r="AK22614" s="183"/>
      <c r="AL22614" s="183"/>
    </row>
    <row r="22615" spans="1:38">
      <c r="A22615" s="182"/>
      <c r="Q22615" s="183"/>
      <c r="R22615" s="183"/>
      <c r="S22615" s="183"/>
      <c r="AJ22615" s="183"/>
    </row>
    <row r="22616" spans="1:38">
      <c r="A22616" s="182"/>
      <c r="Q22616" s="183"/>
      <c r="R22616" s="183"/>
      <c r="S22616" s="183"/>
    </row>
    <row r="22617" spans="1:38">
      <c r="A22617" s="182"/>
      <c r="Q22617" s="183"/>
      <c r="R22617" s="183"/>
      <c r="S22617" s="183"/>
    </row>
    <row r="22618" spans="1:38">
      <c r="A22618" s="182"/>
      <c r="Q22618" s="183"/>
      <c r="R22618" s="183"/>
      <c r="S22618" s="183"/>
    </row>
    <row r="22619" spans="1:38">
      <c r="A22619" s="182"/>
      <c r="Q22619" s="183"/>
      <c r="R22619" s="183"/>
      <c r="S22619" s="183"/>
    </row>
    <row r="22620" spans="1:38">
      <c r="A22620" s="182"/>
      <c r="Q22620" s="183"/>
      <c r="R22620" s="183"/>
      <c r="S22620" s="183"/>
    </row>
    <row r="22621" spans="1:38">
      <c r="A22621" s="182"/>
      <c r="Q22621" s="183"/>
      <c r="R22621" s="183"/>
      <c r="S22621" s="183"/>
    </row>
    <row r="22622" spans="1:38">
      <c r="A22622" s="182"/>
      <c r="Q22622" s="183"/>
      <c r="R22622" s="183"/>
      <c r="S22622" s="183"/>
    </row>
    <row r="22623" spans="1:38">
      <c r="A22623" s="182"/>
      <c r="Q22623" s="183"/>
      <c r="R22623" s="183"/>
      <c r="S22623" s="183"/>
    </row>
    <row r="22624" spans="1:38">
      <c r="A22624" s="182"/>
      <c r="Q22624" s="183"/>
      <c r="R22624" s="183"/>
      <c r="S22624" s="183"/>
    </row>
    <row r="22625" spans="1:38">
      <c r="A22625" s="182"/>
      <c r="Q22625" s="183"/>
      <c r="R22625" s="183"/>
      <c r="S22625" s="183"/>
    </row>
    <row r="22626" spans="1:38">
      <c r="A22626" s="182"/>
      <c r="Q22626" s="183"/>
      <c r="R22626" s="183"/>
      <c r="S22626" s="183"/>
    </row>
    <row r="22627" spans="1:38">
      <c r="A22627" s="182"/>
      <c r="Q22627" s="183"/>
      <c r="R22627" s="183"/>
      <c r="S22627" s="183"/>
    </row>
    <row r="22628" spans="1:38">
      <c r="A22628" s="182"/>
      <c r="Q22628" s="183"/>
      <c r="R22628" s="183"/>
      <c r="S22628" s="183"/>
    </row>
    <row r="22629" spans="1:38">
      <c r="A22629" s="182"/>
      <c r="Q22629" s="183"/>
      <c r="R22629" s="183"/>
      <c r="S22629" s="183"/>
    </row>
    <row r="22630" spans="1:38">
      <c r="A22630" s="182"/>
      <c r="Q22630" s="183"/>
      <c r="R22630" s="183"/>
      <c r="S22630" s="183"/>
    </row>
    <row r="22631" spans="1:38">
      <c r="A22631" s="182"/>
      <c r="Q22631" s="183"/>
      <c r="R22631" s="183"/>
      <c r="S22631" s="183"/>
      <c r="AK22631" s="183"/>
      <c r="AL22631" s="183"/>
    </row>
    <row r="22632" spans="1:38">
      <c r="A22632" s="182"/>
      <c r="Q22632" s="183"/>
      <c r="R22632" s="183"/>
      <c r="S22632" s="183"/>
      <c r="AJ22632" s="183"/>
      <c r="AK22632" s="183"/>
      <c r="AL22632" s="183"/>
    </row>
    <row r="22633" spans="1:38">
      <c r="A22633" s="182"/>
      <c r="Q22633" s="183"/>
      <c r="R22633" s="183"/>
      <c r="S22633" s="183"/>
      <c r="AJ22633" s="183"/>
      <c r="AK22633" s="183"/>
      <c r="AL22633" s="183"/>
    </row>
    <row r="22634" spans="1:38">
      <c r="A22634" s="182"/>
      <c r="Q22634" s="183"/>
      <c r="R22634" s="183"/>
      <c r="S22634" s="183"/>
      <c r="AJ22634" s="183"/>
      <c r="AK22634" s="183"/>
      <c r="AL22634" s="183"/>
    </row>
    <row r="22635" spans="1:38">
      <c r="A22635" s="182"/>
      <c r="Q22635" s="183"/>
      <c r="R22635" s="183"/>
      <c r="S22635" s="183"/>
      <c r="AJ22635" s="183"/>
    </row>
    <row r="22636" spans="1:38">
      <c r="A22636" s="182"/>
      <c r="Q22636" s="183"/>
      <c r="R22636" s="183"/>
      <c r="S22636" s="183"/>
    </row>
    <row r="22637" spans="1:38">
      <c r="A22637" s="182"/>
      <c r="Q22637" s="183"/>
      <c r="R22637" s="183"/>
      <c r="S22637" s="183"/>
    </row>
    <row r="22638" spans="1:38">
      <c r="A22638" s="182"/>
      <c r="Q22638" s="183"/>
      <c r="R22638" s="183"/>
      <c r="S22638" s="183"/>
    </row>
    <row r="22639" spans="1:38">
      <c r="A22639" s="182"/>
      <c r="Q22639" s="183"/>
      <c r="R22639" s="183"/>
      <c r="S22639" s="183"/>
      <c r="AK22639" s="183"/>
      <c r="AL22639" s="183"/>
    </row>
    <row r="22640" spans="1:38">
      <c r="A22640" s="182"/>
      <c r="Q22640" s="183"/>
      <c r="R22640" s="183"/>
      <c r="S22640" s="183"/>
      <c r="AJ22640" s="183"/>
      <c r="AK22640" s="183"/>
      <c r="AL22640" s="183"/>
    </row>
    <row r="22641" spans="1:38">
      <c r="A22641" s="182"/>
      <c r="N22641" s="183"/>
      <c r="O22641" s="183"/>
      <c r="Q22641" s="183"/>
      <c r="R22641" s="183"/>
      <c r="S22641" s="183"/>
      <c r="AJ22641" s="183"/>
      <c r="AK22641" s="183"/>
      <c r="AL22641" s="183"/>
    </row>
    <row r="22642" spans="1:38">
      <c r="A22642" s="182"/>
      <c r="M22642" s="183"/>
      <c r="Q22642" s="183"/>
      <c r="R22642" s="183"/>
      <c r="S22642" s="183"/>
      <c r="AJ22642" s="183"/>
      <c r="AK22642" s="183"/>
      <c r="AL22642" s="183"/>
    </row>
    <row r="22643" spans="1:38">
      <c r="A22643" s="182"/>
      <c r="Q22643" s="183"/>
      <c r="R22643" s="183"/>
      <c r="S22643" s="183"/>
      <c r="AJ22643" s="183"/>
      <c r="AK22643" s="183"/>
      <c r="AL22643" s="183"/>
    </row>
    <row r="22644" spans="1:38">
      <c r="A22644" s="182"/>
      <c r="Q22644" s="183"/>
      <c r="R22644" s="183"/>
      <c r="S22644" s="183"/>
      <c r="AJ22644" s="183"/>
      <c r="AK22644" s="183"/>
      <c r="AL22644" s="183"/>
    </row>
    <row r="22645" spans="1:38">
      <c r="A22645" s="182"/>
      <c r="Q22645" s="183"/>
      <c r="R22645" s="183"/>
      <c r="S22645" s="183"/>
      <c r="AJ22645" s="183"/>
      <c r="AK22645" s="183"/>
      <c r="AL22645" s="183"/>
    </row>
    <row r="22646" spans="1:38">
      <c r="A22646" s="182"/>
      <c r="Q22646" s="183"/>
      <c r="R22646" s="183"/>
      <c r="S22646" s="183"/>
      <c r="AJ22646" s="183"/>
      <c r="AK22646" s="183"/>
      <c r="AL22646" s="183"/>
    </row>
    <row r="22647" spans="1:38">
      <c r="A22647" s="182"/>
      <c r="Q22647" s="183"/>
      <c r="R22647" s="183"/>
      <c r="S22647" s="183"/>
      <c r="AJ22647" s="183"/>
    </row>
    <row r="22648" spans="1:38">
      <c r="A22648" s="182"/>
      <c r="Q22648" s="183"/>
      <c r="R22648" s="183"/>
      <c r="S22648" s="183"/>
    </row>
    <row r="22649" spans="1:38">
      <c r="A22649" s="182"/>
      <c r="Q22649" s="183"/>
      <c r="R22649" s="183"/>
      <c r="S22649" s="183"/>
    </row>
    <row r="22650" spans="1:38">
      <c r="A22650" s="182"/>
      <c r="Q22650" s="183"/>
      <c r="R22650" s="183"/>
      <c r="S22650" s="183"/>
    </row>
    <row r="22651" spans="1:38">
      <c r="A22651" s="182"/>
      <c r="Q22651" s="183"/>
      <c r="R22651" s="183"/>
      <c r="S22651" s="183"/>
      <c r="AK22651" s="183"/>
      <c r="AL22651" s="183"/>
    </row>
    <row r="22652" spans="1:38">
      <c r="A22652" s="182"/>
      <c r="Q22652" s="183"/>
      <c r="R22652" s="183"/>
      <c r="S22652" s="183"/>
      <c r="AJ22652" s="183"/>
      <c r="AK22652" s="183"/>
      <c r="AL22652" s="183"/>
    </row>
    <row r="22653" spans="1:38">
      <c r="A22653" s="182"/>
      <c r="Q22653" s="183"/>
      <c r="R22653" s="183"/>
      <c r="S22653" s="183"/>
      <c r="AJ22653" s="183"/>
      <c r="AK22653" s="183"/>
      <c r="AL22653" s="183"/>
    </row>
    <row r="22654" spans="1:38">
      <c r="A22654" s="182"/>
      <c r="Q22654" s="183"/>
      <c r="R22654" s="183"/>
      <c r="S22654" s="183"/>
      <c r="AJ22654" s="183"/>
      <c r="AK22654" s="183"/>
      <c r="AL22654" s="183"/>
    </row>
    <row r="22655" spans="1:38">
      <c r="A22655" s="182"/>
      <c r="Q22655" s="183"/>
      <c r="R22655" s="183"/>
      <c r="S22655" s="183"/>
      <c r="AJ22655" s="183"/>
    </row>
    <row r="22656" spans="1:38">
      <c r="A22656" s="182"/>
      <c r="Q22656" s="183"/>
      <c r="R22656" s="183"/>
      <c r="S22656" s="183"/>
    </row>
    <row r="22657" spans="1:38">
      <c r="A22657" s="182"/>
      <c r="Q22657" s="183"/>
      <c r="R22657" s="183"/>
      <c r="S22657" s="183"/>
    </row>
    <row r="22658" spans="1:38">
      <c r="A22658" s="182"/>
      <c r="Q22658" s="183"/>
      <c r="R22658" s="183"/>
      <c r="S22658" s="183"/>
    </row>
    <row r="22659" spans="1:38">
      <c r="A22659" s="182"/>
      <c r="Q22659" s="183"/>
      <c r="R22659" s="183"/>
      <c r="S22659" s="183"/>
      <c r="AK22659" s="183"/>
      <c r="AL22659" s="183"/>
    </row>
    <row r="22660" spans="1:38">
      <c r="A22660" s="182"/>
      <c r="Q22660" s="183"/>
      <c r="R22660" s="183"/>
      <c r="S22660" s="183"/>
      <c r="AJ22660" s="183"/>
      <c r="AK22660" s="183"/>
      <c r="AL22660" s="183"/>
    </row>
    <row r="22661" spans="1:38">
      <c r="A22661" s="182"/>
      <c r="Q22661" s="183"/>
      <c r="R22661" s="183"/>
      <c r="S22661" s="183"/>
      <c r="AJ22661" s="183"/>
      <c r="AK22661" s="183"/>
      <c r="AL22661" s="183"/>
    </row>
    <row r="22662" spans="1:38">
      <c r="A22662" s="182"/>
      <c r="Q22662" s="183"/>
      <c r="R22662" s="183"/>
      <c r="S22662" s="183"/>
      <c r="AJ22662" s="183"/>
      <c r="AK22662" s="183"/>
      <c r="AL22662" s="183"/>
    </row>
    <row r="22663" spans="1:38">
      <c r="A22663" s="182"/>
      <c r="Q22663" s="183"/>
      <c r="R22663" s="183"/>
      <c r="S22663" s="183"/>
      <c r="AJ22663" s="183"/>
    </row>
    <row r="22664" spans="1:38">
      <c r="A22664" s="182"/>
      <c r="Q22664" s="183"/>
      <c r="R22664" s="183"/>
      <c r="S22664" s="183"/>
    </row>
    <row r="22665" spans="1:38">
      <c r="A22665" s="182"/>
      <c r="Q22665" s="183"/>
      <c r="R22665" s="183"/>
      <c r="S22665" s="183"/>
    </row>
    <row r="22666" spans="1:38">
      <c r="A22666" s="182"/>
      <c r="Q22666" s="183"/>
      <c r="R22666" s="183"/>
      <c r="S22666" s="183"/>
    </row>
    <row r="22667" spans="1:38">
      <c r="A22667" s="182"/>
      <c r="Q22667" s="183"/>
      <c r="R22667" s="183"/>
      <c r="S22667" s="183"/>
      <c r="AK22667" s="183"/>
      <c r="AL22667" s="183"/>
    </row>
    <row r="22668" spans="1:38">
      <c r="A22668" s="182"/>
      <c r="Q22668" s="183"/>
      <c r="R22668" s="183"/>
      <c r="S22668" s="183"/>
      <c r="AJ22668" s="183"/>
      <c r="AK22668" s="183"/>
      <c r="AL22668" s="183"/>
    </row>
    <row r="22669" spans="1:38">
      <c r="A22669" s="182"/>
      <c r="Q22669" s="183"/>
      <c r="R22669" s="183"/>
      <c r="S22669" s="183"/>
      <c r="AJ22669" s="183"/>
      <c r="AK22669" s="183"/>
      <c r="AL22669" s="183"/>
    </row>
    <row r="22670" spans="1:38">
      <c r="A22670" s="182"/>
      <c r="Q22670" s="183"/>
      <c r="R22670" s="183"/>
      <c r="S22670" s="183"/>
      <c r="AJ22670" s="183"/>
      <c r="AK22670" s="183"/>
      <c r="AL22670" s="183"/>
    </row>
    <row r="22671" spans="1:38">
      <c r="A22671" s="182"/>
      <c r="Q22671" s="183"/>
      <c r="R22671" s="183"/>
      <c r="S22671" s="183"/>
      <c r="AJ22671" s="183"/>
    </row>
    <row r="22672" spans="1:38">
      <c r="A22672" s="182"/>
      <c r="Q22672" s="183"/>
      <c r="R22672" s="183"/>
      <c r="S22672" s="183"/>
    </row>
    <row r="22673" spans="1:38">
      <c r="A22673" s="182"/>
      <c r="Q22673" s="183"/>
      <c r="R22673" s="183"/>
      <c r="S22673" s="183"/>
    </row>
    <row r="22674" spans="1:38">
      <c r="A22674" s="182"/>
      <c r="Q22674" s="183"/>
      <c r="R22674" s="183"/>
      <c r="S22674" s="183"/>
    </row>
    <row r="22675" spans="1:38">
      <c r="A22675" s="182"/>
      <c r="Q22675" s="183"/>
      <c r="R22675" s="183"/>
      <c r="S22675" s="183"/>
    </row>
    <row r="22676" spans="1:38">
      <c r="A22676" s="182"/>
      <c r="Q22676" s="183"/>
      <c r="R22676" s="183"/>
      <c r="S22676" s="183"/>
    </row>
    <row r="22677" spans="1:38">
      <c r="A22677" s="182"/>
      <c r="Q22677" s="183"/>
      <c r="R22677" s="183"/>
      <c r="S22677" s="183"/>
    </row>
    <row r="22678" spans="1:38">
      <c r="A22678" s="182"/>
      <c r="Q22678" s="183"/>
      <c r="R22678" s="183"/>
      <c r="S22678" s="183"/>
    </row>
    <row r="22679" spans="1:38">
      <c r="A22679" s="182"/>
      <c r="Q22679" s="183"/>
      <c r="R22679" s="183"/>
      <c r="S22679" s="183"/>
    </row>
    <row r="22680" spans="1:38">
      <c r="A22680" s="182"/>
      <c r="Q22680" s="183"/>
      <c r="R22680" s="183"/>
      <c r="S22680" s="183"/>
    </row>
    <row r="22681" spans="1:38">
      <c r="A22681" s="182"/>
      <c r="Q22681" s="183"/>
      <c r="R22681" s="183"/>
      <c r="S22681" s="183"/>
    </row>
    <row r="22682" spans="1:38">
      <c r="A22682" s="182"/>
      <c r="Q22682" s="183"/>
      <c r="R22682" s="183"/>
      <c r="S22682" s="183"/>
    </row>
    <row r="22683" spans="1:38">
      <c r="A22683" s="182"/>
      <c r="Q22683" s="183"/>
      <c r="R22683" s="183"/>
      <c r="S22683" s="183"/>
      <c r="AK22683" s="183"/>
      <c r="AL22683" s="183"/>
    </row>
    <row r="22684" spans="1:38">
      <c r="A22684" s="182"/>
      <c r="Q22684" s="183"/>
      <c r="R22684" s="183"/>
      <c r="S22684" s="183"/>
      <c r="AJ22684" s="183"/>
      <c r="AK22684" s="183"/>
      <c r="AL22684" s="183"/>
    </row>
    <row r="22685" spans="1:38">
      <c r="A22685" s="182"/>
      <c r="Q22685" s="183"/>
      <c r="R22685" s="183"/>
      <c r="S22685" s="183"/>
      <c r="AJ22685" s="183"/>
      <c r="AK22685" s="183"/>
      <c r="AL22685" s="183"/>
    </row>
    <row r="22686" spans="1:38">
      <c r="A22686" s="182"/>
      <c r="Q22686" s="183"/>
      <c r="R22686" s="183"/>
      <c r="S22686" s="183"/>
      <c r="AJ22686" s="183"/>
      <c r="AK22686" s="183"/>
      <c r="AL22686" s="183"/>
    </row>
    <row r="22687" spans="1:38">
      <c r="A22687" s="182"/>
      <c r="Q22687" s="183"/>
      <c r="R22687" s="183"/>
      <c r="S22687" s="183"/>
      <c r="AJ22687" s="183"/>
      <c r="AK22687" s="183"/>
      <c r="AL22687" s="183"/>
    </row>
    <row r="22688" spans="1:38">
      <c r="A22688" s="182"/>
      <c r="Q22688" s="183"/>
      <c r="R22688" s="183"/>
      <c r="S22688" s="183"/>
      <c r="AJ22688" s="183"/>
      <c r="AK22688" s="183"/>
      <c r="AL22688" s="183"/>
    </row>
    <row r="22689" spans="1:38">
      <c r="A22689" s="182"/>
      <c r="Q22689" s="183"/>
      <c r="R22689" s="183"/>
      <c r="S22689" s="183"/>
      <c r="AJ22689" s="183"/>
      <c r="AK22689" s="183"/>
      <c r="AL22689" s="183"/>
    </row>
    <row r="22690" spans="1:38">
      <c r="A22690" s="182"/>
      <c r="Q22690" s="183"/>
      <c r="R22690" s="183"/>
      <c r="S22690" s="183"/>
      <c r="AJ22690" s="183"/>
      <c r="AK22690" s="183"/>
      <c r="AL22690" s="183"/>
    </row>
    <row r="22691" spans="1:38">
      <c r="A22691" s="182"/>
      <c r="Q22691" s="183"/>
      <c r="R22691" s="183"/>
      <c r="S22691" s="183"/>
      <c r="AJ22691" s="183"/>
    </row>
    <row r="22692" spans="1:38">
      <c r="A22692" s="182"/>
      <c r="Q22692" s="183"/>
      <c r="R22692" s="183"/>
      <c r="S22692" s="183"/>
    </row>
    <row r="22693" spans="1:38">
      <c r="A22693" s="182"/>
      <c r="Q22693" s="183"/>
      <c r="R22693" s="183"/>
      <c r="S22693" s="183"/>
    </row>
    <row r="22694" spans="1:38">
      <c r="A22694" s="182"/>
      <c r="Q22694" s="183"/>
      <c r="R22694" s="183"/>
      <c r="S22694" s="183"/>
    </row>
    <row r="22695" spans="1:38">
      <c r="A22695" s="182"/>
      <c r="Q22695" s="183"/>
      <c r="R22695" s="183"/>
      <c r="S22695" s="183"/>
      <c r="AK22695" s="183"/>
      <c r="AL22695" s="183"/>
    </row>
    <row r="22696" spans="1:38">
      <c r="A22696" s="182"/>
      <c r="Q22696" s="183"/>
      <c r="R22696" s="183"/>
      <c r="S22696" s="183"/>
      <c r="AJ22696" s="183"/>
      <c r="AK22696" s="183"/>
      <c r="AL22696" s="183"/>
    </row>
    <row r="22697" spans="1:38">
      <c r="A22697" s="182"/>
      <c r="Q22697" s="183"/>
      <c r="R22697" s="183"/>
      <c r="S22697" s="183"/>
      <c r="AJ22697" s="183"/>
      <c r="AK22697" s="183"/>
      <c r="AL22697" s="183"/>
    </row>
    <row r="22698" spans="1:38">
      <c r="A22698" s="182"/>
      <c r="Q22698" s="183"/>
      <c r="R22698" s="183"/>
      <c r="S22698" s="183"/>
      <c r="AJ22698" s="183"/>
      <c r="AK22698" s="183"/>
      <c r="AL22698" s="183"/>
    </row>
    <row r="22699" spans="1:38">
      <c r="A22699" s="182"/>
      <c r="Q22699" s="183"/>
      <c r="R22699" s="183"/>
      <c r="S22699" s="183"/>
      <c r="AJ22699" s="183"/>
    </row>
    <row r="22700" spans="1:38">
      <c r="A22700" s="182"/>
      <c r="Q22700" s="183"/>
      <c r="R22700" s="183"/>
      <c r="S22700" s="183"/>
    </row>
    <row r="22701" spans="1:38">
      <c r="A22701" s="182"/>
      <c r="Q22701" s="183"/>
      <c r="R22701" s="183"/>
      <c r="S22701" s="183"/>
    </row>
    <row r="22702" spans="1:38">
      <c r="A22702" s="182"/>
      <c r="Q22702" s="183"/>
      <c r="R22702" s="183"/>
      <c r="S22702" s="183"/>
    </row>
    <row r="22703" spans="1:38">
      <c r="A22703" s="182"/>
      <c r="Q22703" s="183"/>
      <c r="R22703" s="183"/>
      <c r="S22703" s="183"/>
      <c r="AK22703" s="183"/>
      <c r="AL22703" s="183"/>
    </row>
    <row r="22704" spans="1:38">
      <c r="A22704" s="182"/>
      <c r="Q22704" s="183"/>
      <c r="R22704" s="183"/>
      <c r="S22704" s="183"/>
      <c r="AJ22704" s="183"/>
      <c r="AK22704" s="183"/>
      <c r="AL22704" s="183"/>
    </row>
    <row r="22705" spans="1:38">
      <c r="A22705" s="182"/>
      <c r="Q22705" s="183"/>
      <c r="R22705" s="183"/>
      <c r="S22705" s="183"/>
      <c r="AJ22705" s="183"/>
      <c r="AK22705" s="183"/>
      <c r="AL22705" s="183"/>
    </row>
    <row r="22706" spans="1:38">
      <c r="A22706" s="182"/>
      <c r="Q22706" s="183"/>
      <c r="R22706" s="183"/>
      <c r="S22706" s="183"/>
      <c r="AJ22706" s="183"/>
      <c r="AK22706" s="183"/>
      <c r="AL22706" s="183"/>
    </row>
    <row r="22707" spans="1:38">
      <c r="A22707" s="182"/>
      <c r="Q22707" s="183"/>
      <c r="R22707" s="183"/>
      <c r="S22707" s="183"/>
      <c r="AJ22707" s="183"/>
    </row>
    <row r="22708" spans="1:38">
      <c r="A22708" s="182"/>
      <c r="Q22708" s="183"/>
      <c r="R22708" s="183"/>
      <c r="S22708" s="183"/>
    </row>
    <row r="22709" spans="1:38">
      <c r="A22709" s="182"/>
      <c r="Q22709" s="183"/>
      <c r="R22709" s="183"/>
      <c r="S22709" s="183"/>
    </row>
    <row r="22710" spans="1:38">
      <c r="A22710" s="182"/>
      <c r="Q22710" s="183"/>
      <c r="R22710" s="183"/>
      <c r="S22710" s="183"/>
    </row>
    <row r="22711" spans="1:38">
      <c r="A22711" s="182"/>
      <c r="Q22711" s="183"/>
      <c r="R22711" s="183"/>
      <c r="S22711" s="183"/>
      <c r="AK22711" s="183"/>
      <c r="AL22711" s="183"/>
    </row>
    <row r="22712" spans="1:38">
      <c r="A22712" s="182"/>
      <c r="Q22712" s="183"/>
      <c r="R22712" s="183"/>
      <c r="S22712" s="183"/>
      <c r="AJ22712" s="183"/>
      <c r="AK22712" s="183"/>
      <c r="AL22712" s="183"/>
    </row>
    <row r="22713" spans="1:38">
      <c r="A22713" s="182"/>
      <c r="Q22713" s="183"/>
      <c r="R22713" s="183"/>
      <c r="S22713" s="183"/>
      <c r="AJ22713" s="183"/>
      <c r="AK22713" s="183"/>
      <c r="AL22713" s="183"/>
    </row>
    <row r="22714" spans="1:38">
      <c r="A22714" s="182"/>
      <c r="Q22714" s="183"/>
      <c r="R22714" s="183"/>
      <c r="S22714" s="183"/>
      <c r="AJ22714" s="183"/>
      <c r="AK22714" s="183"/>
      <c r="AL22714" s="183"/>
    </row>
    <row r="22715" spans="1:38">
      <c r="A22715" s="182"/>
      <c r="Q22715" s="183"/>
      <c r="R22715" s="183"/>
      <c r="S22715" s="183"/>
      <c r="AJ22715" s="183"/>
    </row>
    <row r="22716" spans="1:38">
      <c r="A22716" s="182"/>
      <c r="Q22716" s="183"/>
      <c r="R22716" s="183"/>
      <c r="S22716" s="183"/>
    </row>
    <row r="22717" spans="1:38">
      <c r="A22717" s="182"/>
      <c r="Q22717" s="183"/>
      <c r="R22717" s="183"/>
      <c r="S22717" s="183"/>
    </row>
    <row r="22718" spans="1:38">
      <c r="A22718" s="182"/>
      <c r="Q22718" s="183"/>
      <c r="R22718" s="183"/>
      <c r="S22718" s="183"/>
    </row>
    <row r="22719" spans="1:38">
      <c r="A22719" s="182"/>
      <c r="Q22719" s="183"/>
      <c r="R22719" s="183"/>
      <c r="S22719" s="183"/>
    </row>
    <row r="22720" spans="1:38">
      <c r="A22720" s="182"/>
      <c r="Q22720" s="183"/>
      <c r="R22720" s="183"/>
      <c r="S22720" s="183"/>
    </row>
    <row r="22721" spans="1:38">
      <c r="A22721" s="182"/>
      <c r="Q22721" s="183"/>
      <c r="R22721" s="183"/>
      <c r="S22721" s="183"/>
    </row>
    <row r="22722" spans="1:38">
      <c r="A22722" s="182"/>
      <c r="Q22722" s="183"/>
      <c r="R22722" s="183"/>
      <c r="S22722" s="183"/>
    </row>
    <row r="22723" spans="1:38">
      <c r="A22723" s="182"/>
      <c r="Q22723" s="183"/>
      <c r="R22723" s="183"/>
      <c r="S22723" s="183"/>
    </row>
    <row r="22724" spans="1:38">
      <c r="A22724" s="182"/>
      <c r="Q22724" s="183"/>
      <c r="R22724" s="183"/>
      <c r="S22724" s="183"/>
    </row>
    <row r="22725" spans="1:38">
      <c r="A22725" s="182"/>
      <c r="Q22725" s="183"/>
      <c r="R22725" s="183"/>
      <c r="S22725" s="183"/>
    </row>
    <row r="22726" spans="1:38">
      <c r="A22726" s="182"/>
      <c r="Q22726" s="183"/>
      <c r="R22726" s="183"/>
      <c r="S22726" s="183"/>
    </row>
    <row r="22727" spans="1:38">
      <c r="A22727" s="182"/>
      <c r="Q22727" s="183"/>
      <c r="R22727" s="183"/>
      <c r="S22727" s="183"/>
    </row>
    <row r="22728" spans="1:38">
      <c r="A22728" s="182"/>
      <c r="Q22728" s="183"/>
      <c r="R22728" s="183"/>
      <c r="S22728" s="183"/>
    </row>
    <row r="22729" spans="1:38">
      <c r="A22729" s="182"/>
      <c r="Q22729" s="183"/>
      <c r="R22729" s="183"/>
      <c r="S22729" s="183"/>
    </row>
    <row r="22730" spans="1:38">
      <c r="A22730" s="182"/>
      <c r="Q22730" s="183"/>
      <c r="R22730" s="183"/>
      <c r="S22730" s="183"/>
    </row>
    <row r="22731" spans="1:38">
      <c r="A22731" s="182"/>
      <c r="Q22731" s="183"/>
      <c r="R22731" s="183"/>
      <c r="S22731" s="183"/>
    </row>
    <row r="22732" spans="1:38">
      <c r="A22732" s="182"/>
      <c r="Q22732" s="183"/>
      <c r="R22732" s="183"/>
      <c r="S22732" s="183"/>
    </row>
    <row r="22733" spans="1:38">
      <c r="A22733" s="182"/>
      <c r="Q22733" s="183"/>
      <c r="R22733" s="183"/>
      <c r="S22733" s="183"/>
    </row>
    <row r="22734" spans="1:38">
      <c r="A22734" s="182"/>
      <c r="Q22734" s="183"/>
      <c r="R22734" s="183"/>
      <c r="S22734" s="183"/>
    </row>
    <row r="22735" spans="1:38">
      <c r="A22735" s="182"/>
      <c r="Q22735" s="183"/>
      <c r="R22735" s="183"/>
      <c r="S22735" s="183"/>
      <c r="AK22735" s="183"/>
      <c r="AL22735" s="183"/>
    </row>
    <row r="22736" spans="1:38">
      <c r="A22736" s="182"/>
      <c r="Q22736" s="183"/>
      <c r="R22736" s="183"/>
      <c r="S22736" s="183"/>
      <c r="AJ22736" s="183"/>
      <c r="AK22736" s="183"/>
      <c r="AL22736" s="183"/>
    </row>
    <row r="22737" spans="1:38">
      <c r="A22737" s="182"/>
      <c r="Q22737" s="183"/>
      <c r="R22737" s="183"/>
      <c r="S22737" s="183"/>
      <c r="AJ22737" s="183"/>
      <c r="AK22737" s="183"/>
      <c r="AL22737" s="183"/>
    </row>
    <row r="22738" spans="1:38">
      <c r="A22738" s="182"/>
      <c r="Q22738" s="183"/>
      <c r="R22738" s="183"/>
      <c r="S22738" s="183"/>
      <c r="AJ22738" s="183"/>
      <c r="AK22738" s="183"/>
      <c r="AL22738" s="183"/>
    </row>
    <row r="22739" spans="1:38">
      <c r="A22739" s="182"/>
      <c r="Q22739" s="183"/>
      <c r="R22739" s="183"/>
      <c r="S22739" s="183"/>
      <c r="AJ22739" s="183"/>
    </row>
    <row r="22740" spans="1:38">
      <c r="A22740" s="182"/>
      <c r="Q22740" s="183"/>
      <c r="R22740" s="183"/>
      <c r="S22740" s="183"/>
    </row>
    <row r="22741" spans="1:38">
      <c r="A22741" s="182"/>
      <c r="Q22741" s="183"/>
      <c r="R22741" s="183"/>
      <c r="S22741" s="183"/>
    </row>
    <row r="22742" spans="1:38">
      <c r="A22742" s="182"/>
      <c r="Q22742" s="183"/>
      <c r="R22742" s="183"/>
      <c r="S22742" s="183"/>
    </row>
    <row r="22743" spans="1:38">
      <c r="A22743" s="182"/>
      <c r="Q22743" s="183"/>
      <c r="R22743" s="183"/>
      <c r="S22743" s="183"/>
      <c r="AK22743" s="183"/>
      <c r="AL22743" s="183"/>
    </row>
    <row r="22744" spans="1:38">
      <c r="A22744" s="182"/>
      <c r="Q22744" s="183"/>
      <c r="R22744" s="183"/>
      <c r="S22744" s="183"/>
      <c r="AJ22744" s="183"/>
      <c r="AK22744" s="183"/>
      <c r="AL22744" s="183"/>
    </row>
    <row r="22745" spans="1:38">
      <c r="A22745" s="182"/>
      <c r="Q22745" s="183"/>
      <c r="R22745" s="183"/>
      <c r="S22745" s="183"/>
      <c r="AJ22745" s="183"/>
      <c r="AK22745" s="183"/>
      <c r="AL22745" s="183"/>
    </row>
    <row r="22746" spans="1:38">
      <c r="A22746" s="182"/>
      <c r="Q22746" s="183"/>
      <c r="R22746" s="183"/>
      <c r="S22746" s="183"/>
      <c r="AJ22746" s="183"/>
      <c r="AK22746" s="183"/>
      <c r="AL22746" s="183"/>
    </row>
    <row r="22747" spans="1:38">
      <c r="A22747" s="182"/>
      <c r="Q22747" s="183"/>
      <c r="R22747" s="183"/>
      <c r="S22747" s="183"/>
      <c r="AJ22747" s="183"/>
    </row>
    <row r="22748" spans="1:38">
      <c r="A22748" s="182"/>
      <c r="Q22748" s="183"/>
      <c r="R22748" s="183"/>
      <c r="S22748" s="183"/>
    </row>
    <row r="22749" spans="1:38">
      <c r="A22749" s="182"/>
      <c r="Q22749" s="183"/>
      <c r="R22749" s="183"/>
      <c r="S22749" s="183"/>
    </row>
    <row r="22750" spans="1:38">
      <c r="A22750" s="182"/>
      <c r="Q22750" s="183"/>
      <c r="R22750" s="183"/>
      <c r="S22750" s="183"/>
    </row>
    <row r="22751" spans="1:38">
      <c r="A22751" s="182"/>
      <c r="Q22751" s="183"/>
      <c r="R22751" s="183"/>
      <c r="S22751" s="183"/>
    </row>
    <row r="22752" spans="1:38">
      <c r="A22752" s="182"/>
      <c r="Q22752" s="183"/>
      <c r="R22752" s="183"/>
      <c r="S22752" s="183"/>
    </row>
    <row r="22753" spans="1:38">
      <c r="A22753" s="182"/>
      <c r="Q22753" s="183"/>
      <c r="R22753" s="183"/>
      <c r="S22753" s="183"/>
    </row>
    <row r="22754" spans="1:38">
      <c r="A22754" s="182"/>
      <c r="Q22754" s="183"/>
      <c r="R22754" s="183"/>
      <c r="S22754" s="183"/>
    </row>
    <row r="22755" spans="1:38">
      <c r="A22755" s="182"/>
      <c r="Q22755" s="183"/>
      <c r="R22755" s="183"/>
      <c r="S22755" s="183"/>
      <c r="AK22755" s="183"/>
      <c r="AL22755" s="183"/>
    </row>
    <row r="22756" spans="1:38">
      <c r="A22756" s="182"/>
      <c r="Q22756" s="183"/>
      <c r="R22756" s="183"/>
      <c r="S22756" s="183"/>
      <c r="AJ22756" s="183"/>
      <c r="AK22756" s="183"/>
      <c r="AL22756" s="183"/>
    </row>
    <row r="22757" spans="1:38">
      <c r="A22757" s="182"/>
      <c r="Q22757" s="183"/>
      <c r="R22757" s="183"/>
      <c r="S22757" s="183"/>
      <c r="AJ22757" s="183"/>
      <c r="AK22757" s="183"/>
      <c r="AL22757" s="183"/>
    </row>
    <row r="22758" spans="1:38">
      <c r="A22758" s="182"/>
      <c r="Q22758" s="183"/>
      <c r="R22758" s="183"/>
      <c r="S22758" s="183"/>
      <c r="AJ22758" s="183"/>
      <c r="AK22758" s="183"/>
      <c r="AL22758" s="183"/>
    </row>
    <row r="22759" spans="1:38">
      <c r="A22759" s="182"/>
      <c r="Q22759" s="183"/>
      <c r="R22759" s="183"/>
      <c r="S22759" s="183"/>
      <c r="AJ22759" s="183"/>
    </row>
    <row r="22760" spans="1:38">
      <c r="A22760" s="182"/>
      <c r="Q22760" s="183"/>
      <c r="R22760" s="183"/>
      <c r="S22760" s="183"/>
    </row>
    <row r="22761" spans="1:38">
      <c r="A22761" s="182"/>
      <c r="Q22761" s="183"/>
      <c r="R22761" s="183"/>
      <c r="S22761" s="183"/>
    </row>
    <row r="22762" spans="1:38">
      <c r="A22762" s="182"/>
      <c r="Q22762" s="183"/>
      <c r="R22762" s="183"/>
      <c r="S22762" s="183"/>
    </row>
    <row r="22763" spans="1:38">
      <c r="A22763" s="182"/>
      <c r="Q22763" s="183"/>
      <c r="R22763" s="183"/>
      <c r="S22763" s="183"/>
    </row>
    <row r="22764" spans="1:38">
      <c r="A22764" s="182"/>
      <c r="Q22764" s="183"/>
      <c r="R22764" s="183"/>
      <c r="S22764" s="183"/>
    </row>
    <row r="22765" spans="1:38">
      <c r="A22765" s="182"/>
      <c r="Q22765" s="183"/>
      <c r="R22765" s="183"/>
      <c r="S22765" s="183"/>
    </row>
    <row r="22766" spans="1:38">
      <c r="A22766" s="182"/>
      <c r="Q22766" s="183"/>
      <c r="R22766" s="183"/>
      <c r="S22766" s="183"/>
    </row>
    <row r="22767" spans="1:38">
      <c r="A22767" s="182"/>
      <c r="Q22767" s="183"/>
      <c r="R22767" s="183"/>
      <c r="S22767" s="183"/>
      <c r="AK22767" s="183"/>
      <c r="AL22767" s="183"/>
    </row>
    <row r="22768" spans="1:38">
      <c r="A22768" s="182"/>
      <c r="Q22768" s="183"/>
      <c r="R22768" s="183"/>
      <c r="S22768" s="183"/>
      <c r="AJ22768" s="183"/>
      <c r="AK22768" s="183"/>
      <c r="AL22768" s="183"/>
    </row>
    <row r="22769" spans="1:38">
      <c r="A22769" s="182"/>
      <c r="Q22769" s="183"/>
      <c r="R22769" s="183"/>
      <c r="S22769" s="183"/>
      <c r="AJ22769" s="183"/>
      <c r="AK22769" s="183"/>
      <c r="AL22769" s="183"/>
    </row>
    <row r="22770" spans="1:38">
      <c r="A22770" s="182"/>
      <c r="Q22770" s="183"/>
      <c r="R22770" s="183"/>
      <c r="S22770" s="183"/>
      <c r="AJ22770" s="183"/>
      <c r="AK22770" s="183"/>
      <c r="AL22770" s="183"/>
    </row>
    <row r="22771" spans="1:38">
      <c r="A22771" s="182"/>
      <c r="Q22771" s="183"/>
      <c r="R22771" s="183"/>
      <c r="S22771" s="183"/>
      <c r="AJ22771" s="183"/>
    </row>
    <row r="22772" spans="1:38">
      <c r="A22772" s="182"/>
      <c r="Q22772" s="183"/>
      <c r="R22772" s="183"/>
      <c r="S22772" s="183"/>
    </row>
    <row r="22773" spans="1:38">
      <c r="A22773" s="182"/>
      <c r="Q22773" s="183"/>
      <c r="R22773" s="183"/>
      <c r="S22773" s="183"/>
    </row>
    <row r="22774" spans="1:38">
      <c r="A22774" s="182"/>
      <c r="Q22774" s="183"/>
      <c r="R22774" s="183"/>
      <c r="S22774" s="183"/>
    </row>
    <row r="22775" spans="1:38">
      <c r="A22775" s="182"/>
      <c r="Q22775" s="183"/>
      <c r="R22775" s="183"/>
      <c r="S22775" s="183"/>
    </row>
    <row r="22776" spans="1:38">
      <c r="A22776" s="182"/>
      <c r="Q22776" s="183"/>
      <c r="R22776" s="183"/>
      <c r="S22776" s="183"/>
    </row>
    <row r="22777" spans="1:38">
      <c r="A22777" s="182"/>
      <c r="Q22777" s="183"/>
      <c r="R22777" s="183"/>
      <c r="S22777" s="183"/>
    </row>
    <row r="22778" spans="1:38">
      <c r="A22778" s="182"/>
      <c r="Q22778" s="183"/>
      <c r="R22778" s="183"/>
      <c r="S22778" s="183"/>
    </row>
    <row r="22779" spans="1:38">
      <c r="A22779" s="182"/>
      <c r="Q22779" s="183"/>
      <c r="R22779" s="183"/>
      <c r="S22779" s="183"/>
    </row>
    <row r="22780" spans="1:38">
      <c r="A22780" s="182"/>
      <c r="Q22780" s="183"/>
      <c r="R22780" s="183"/>
      <c r="S22780" s="183"/>
    </row>
    <row r="22781" spans="1:38">
      <c r="A22781" s="182"/>
      <c r="Q22781" s="183"/>
      <c r="R22781" s="183"/>
      <c r="S22781" s="183"/>
    </row>
    <row r="22782" spans="1:38">
      <c r="A22782" s="182"/>
      <c r="Q22782" s="183"/>
      <c r="R22782" s="183"/>
      <c r="S22782" s="183"/>
    </row>
    <row r="22783" spans="1:38">
      <c r="A22783" s="182"/>
      <c r="Q22783" s="183"/>
      <c r="R22783" s="183"/>
      <c r="S22783" s="183"/>
    </row>
    <row r="22784" spans="1:38">
      <c r="A22784" s="182"/>
      <c r="Q22784" s="183"/>
      <c r="R22784" s="183"/>
      <c r="S22784" s="183"/>
    </row>
    <row r="22785" spans="1:38">
      <c r="A22785" s="182"/>
      <c r="Q22785" s="183"/>
      <c r="R22785" s="183"/>
      <c r="S22785" s="183"/>
    </row>
    <row r="22786" spans="1:38">
      <c r="A22786" s="182"/>
      <c r="Q22786" s="183"/>
      <c r="R22786" s="183"/>
      <c r="S22786" s="183"/>
    </row>
    <row r="22787" spans="1:38">
      <c r="A22787" s="182"/>
      <c r="Q22787" s="183"/>
      <c r="R22787" s="183"/>
      <c r="S22787" s="183"/>
    </row>
    <row r="22788" spans="1:38">
      <c r="A22788" s="182"/>
      <c r="Q22788" s="183"/>
      <c r="R22788" s="183"/>
      <c r="S22788" s="183"/>
    </row>
    <row r="22789" spans="1:38">
      <c r="A22789" s="182"/>
      <c r="Q22789" s="183"/>
      <c r="R22789" s="183"/>
      <c r="S22789" s="183"/>
    </row>
    <row r="22790" spans="1:38">
      <c r="A22790" s="182"/>
      <c r="Q22790" s="183"/>
      <c r="R22790" s="183"/>
      <c r="S22790" s="183"/>
    </row>
    <row r="22791" spans="1:38">
      <c r="A22791" s="182"/>
      <c r="Q22791" s="183"/>
      <c r="R22791" s="183"/>
      <c r="S22791" s="183"/>
      <c r="AK22791" s="183"/>
      <c r="AL22791" s="183"/>
    </row>
    <row r="22792" spans="1:38">
      <c r="A22792" s="182"/>
      <c r="Q22792" s="183"/>
      <c r="R22792" s="183"/>
      <c r="S22792" s="183"/>
      <c r="AJ22792" s="183"/>
      <c r="AK22792" s="183"/>
      <c r="AL22792" s="183"/>
    </row>
    <row r="22793" spans="1:38">
      <c r="A22793" s="182"/>
      <c r="Q22793" s="183"/>
      <c r="R22793" s="183"/>
      <c r="S22793" s="183"/>
      <c r="AJ22793" s="183"/>
      <c r="AK22793" s="183"/>
      <c r="AL22793" s="183"/>
    </row>
    <row r="22794" spans="1:38">
      <c r="A22794" s="182"/>
      <c r="Q22794" s="183"/>
      <c r="R22794" s="183"/>
      <c r="S22794" s="183"/>
      <c r="AJ22794" s="183"/>
      <c r="AK22794" s="183"/>
      <c r="AL22794" s="183"/>
    </row>
    <row r="22795" spans="1:38">
      <c r="A22795" s="182"/>
      <c r="Q22795" s="183"/>
      <c r="R22795" s="183"/>
      <c r="S22795" s="183"/>
      <c r="AJ22795" s="183"/>
      <c r="AK22795" s="183"/>
      <c r="AL22795" s="183"/>
    </row>
    <row r="22796" spans="1:38">
      <c r="A22796" s="182"/>
      <c r="Q22796" s="183"/>
      <c r="R22796" s="183"/>
      <c r="S22796" s="183"/>
      <c r="AJ22796" s="183"/>
      <c r="AK22796" s="183"/>
      <c r="AL22796" s="183"/>
    </row>
    <row r="22797" spans="1:38">
      <c r="A22797" s="182"/>
      <c r="Q22797" s="183"/>
      <c r="R22797" s="183"/>
      <c r="S22797" s="183"/>
      <c r="AJ22797" s="183"/>
      <c r="AK22797" s="183"/>
      <c r="AL22797" s="183"/>
    </row>
    <row r="22798" spans="1:38">
      <c r="A22798" s="182"/>
      <c r="Q22798" s="183"/>
      <c r="R22798" s="183"/>
      <c r="S22798" s="183"/>
      <c r="AJ22798" s="183"/>
      <c r="AK22798" s="183"/>
      <c r="AL22798" s="183"/>
    </row>
    <row r="22799" spans="1:38">
      <c r="A22799" s="182"/>
      <c r="Q22799" s="183"/>
      <c r="R22799" s="183"/>
      <c r="S22799" s="183"/>
      <c r="AJ22799" s="183"/>
      <c r="AK22799" s="183"/>
      <c r="AL22799" s="183"/>
    </row>
    <row r="22800" spans="1:38">
      <c r="A22800" s="182"/>
      <c r="Q22800" s="183"/>
      <c r="R22800" s="183"/>
      <c r="S22800" s="183"/>
      <c r="AJ22800" s="183"/>
      <c r="AK22800" s="183"/>
      <c r="AL22800" s="183"/>
    </row>
    <row r="22801" spans="1:38">
      <c r="A22801" s="182"/>
      <c r="Q22801" s="183"/>
      <c r="R22801" s="183"/>
      <c r="S22801" s="183"/>
      <c r="AJ22801" s="183"/>
      <c r="AK22801" s="183"/>
      <c r="AL22801" s="183"/>
    </row>
    <row r="22802" spans="1:38">
      <c r="A22802" s="182"/>
      <c r="Q22802" s="183"/>
      <c r="R22802" s="183"/>
      <c r="S22802" s="183"/>
      <c r="AJ22802" s="183"/>
      <c r="AK22802" s="183"/>
      <c r="AL22802" s="183"/>
    </row>
    <row r="22803" spans="1:38">
      <c r="A22803" s="182"/>
      <c r="Q22803" s="183"/>
      <c r="R22803" s="183"/>
      <c r="S22803" s="183"/>
      <c r="AJ22803" s="183"/>
      <c r="AK22803" s="183"/>
      <c r="AL22803" s="183"/>
    </row>
    <row r="22804" spans="1:38">
      <c r="A22804" s="182"/>
      <c r="Q22804" s="183"/>
      <c r="R22804" s="183"/>
      <c r="S22804" s="183"/>
      <c r="AJ22804" s="183"/>
      <c r="AK22804" s="183"/>
      <c r="AL22804" s="183"/>
    </row>
    <row r="22805" spans="1:38">
      <c r="A22805" s="182"/>
      <c r="Q22805" s="183"/>
      <c r="R22805" s="183"/>
      <c r="S22805" s="183"/>
      <c r="AJ22805" s="183"/>
      <c r="AK22805" s="183"/>
      <c r="AL22805" s="183"/>
    </row>
    <row r="22806" spans="1:38">
      <c r="A22806" s="182"/>
      <c r="Q22806" s="183"/>
      <c r="R22806" s="183"/>
      <c r="S22806" s="183"/>
      <c r="AJ22806" s="183"/>
      <c r="AK22806" s="183"/>
      <c r="AL22806" s="183"/>
    </row>
    <row r="22807" spans="1:38">
      <c r="A22807" s="182"/>
      <c r="Q22807" s="183"/>
      <c r="R22807" s="183"/>
      <c r="S22807" s="183"/>
      <c r="AJ22807" s="183"/>
    </row>
    <row r="22808" spans="1:38">
      <c r="A22808" s="182"/>
      <c r="Q22808" s="183"/>
      <c r="R22808" s="183"/>
      <c r="S22808" s="183"/>
    </row>
    <row r="22809" spans="1:38">
      <c r="A22809" s="182"/>
      <c r="Q22809" s="183"/>
      <c r="R22809" s="183"/>
      <c r="S22809" s="183"/>
    </row>
    <row r="22810" spans="1:38">
      <c r="A22810" s="182"/>
      <c r="Q22810" s="183"/>
      <c r="R22810" s="183"/>
      <c r="S22810" s="183"/>
    </row>
    <row r="22811" spans="1:38">
      <c r="A22811" s="182"/>
      <c r="Q22811" s="183"/>
      <c r="R22811" s="183"/>
      <c r="S22811" s="183"/>
    </row>
    <row r="22812" spans="1:38">
      <c r="A22812" s="182"/>
      <c r="Q22812" s="183"/>
      <c r="R22812" s="183"/>
      <c r="S22812" s="183"/>
    </row>
    <row r="22813" spans="1:38">
      <c r="A22813" s="182"/>
      <c r="Q22813" s="183"/>
      <c r="R22813" s="183"/>
      <c r="S22813" s="183"/>
    </row>
    <row r="22814" spans="1:38">
      <c r="A22814" s="182"/>
      <c r="Q22814" s="183"/>
      <c r="R22814" s="183"/>
      <c r="S22814" s="183"/>
    </row>
    <row r="22815" spans="1:38">
      <c r="A22815" s="182"/>
      <c r="Q22815" s="183"/>
      <c r="R22815" s="183"/>
      <c r="S22815" s="183"/>
    </row>
    <row r="22816" spans="1:38">
      <c r="A22816" s="182"/>
      <c r="Q22816" s="183"/>
      <c r="R22816" s="183"/>
      <c r="S22816" s="183"/>
    </row>
    <row r="22817" spans="1:38">
      <c r="A22817" s="182"/>
      <c r="Q22817" s="183"/>
      <c r="R22817" s="183"/>
      <c r="S22817" s="183"/>
    </row>
    <row r="22818" spans="1:38">
      <c r="A22818" s="182"/>
      <c r="Q22818" s="183"/>
      <c r="R22818" s="183"/>
      <c r="S22818" s="183"/>
    </row>
    <row r="22819" spans="1:38">
      <c r="A22819" s="182"/>
      <c r="Q22819" s="183"/>
      <c r="R22819" s="183"/>
      <c r="S22819" s="183"/>
    </row>
    <row r="22820" spans="1:38">
      <c r="A22820" s="182"/>
      <c r="Q22820" s="183"/>
      <c r="R22820" s="183"/>
      <c r="S22820" s="183"/>
    </row>
    <row r="22821" spans="1:38">
      <c r="A22821" s="182"/>
      <c r="Q22821" s="183"/>
      <c r="R22821" s="183"/>
      <c r="S22821" s="183"/>
    </row>
    <row r="22822" spans="1:38">
      <c r="A22822" s="182"/>
      <c r="Q22822" s="183"/>
      <c r="R22822" s="183"/>
      <c r="S22822" s="183"/>
    </row>
    <row r="22823" spans="1:38">
      <c r="A22823" s="182"/>
      <c r="Q22823" s="183"/>
      <c r="R22823" s="183"/>
      <c r="S22823" s="183"/>
    </row>
    <row r="22824" spans="1:38">
      <c r="A22824" s="182"/>
      <c r="M22824" s="183"/>
      <c r="N22824" s="183"/>
      <c r="Q22824" s="183"/>
      <c r="R22824" s="183"/>
      <c r="S22824" s="183"/>
    </row>
    <row r="22825" spans="1:38">
      <c r="A22825" s="182"/>
      <c r="L22825" s="183"/>
      <c r="Q22825" s="183"/>
      <c r="R22825" s="183"/>
      <c r="S22825" s="183"/>
    </row>
    <row r="22826" spans="1:38">
      <c r="A22826" s="182"/>
      <c r="Q22826" s="183"/>
      <c r="R22826" s="183"/>
      <c r="S22826" s="183"/>
    </row>
    <row r="22827" spans="1:38">
      <c r="A22827" s="182"/>
      <c r="Q22827" s="183"/>
      <c r="R22827" s="183"/>
      <c r="S22827" s="183"/>
    </row>
    <row r="22828" spans="1:38">
      <c r="A22828" s="182"/>
      <c r="Q22828" s="183"/>
      <c r="R22828" s="183"/>
      <c r="S22828" s="183"/>
    </row>
    <row r="22829" spans="1:38">
      <c r="A22829" s="182"/>
      <c r="Q22829" s="183"/>
      <c r="R22829" s="183"/>
      <c r="S22829" s="183"/>
    </row>
    <row r="22830" spans="1:38">
      <c r="A22830" s="182"/>
      <c r="Q22830" s="183"/>
      <c r="R22830" s="183"/>
      <c r="S22830" s="183"/>
    </row>
    <row r="22831" spans="1:38">
      <c r="A22831" s="182"/>
      <c r="Q22831" s="183"/>
      <c r="R22831" s="183"/>
      <c r="S22831" s="183"/>
      <c r="AK22831" s="183"/>
      <c r="AL22831" s="183"/>
    </row>
    <row r="22832" spans="1:38">
      <c r="A22832" s="182"/>
      <c r="Q22832" s="183"/>
      <c r="R22832" s="183"/>
      <c r="S22832" s="183"/>
      <c r="AJ22832" s="183"/>
      <c r="AK22832" s="183"/>
      <c r="AL22832" s="183"/>
    </row>
    <row r="22833" spans="1:38">
      <c r="A22833" s="182"/>
      <c r="Q22833" s="183"/>
      <c r="R22833" s="183"/>
      <c r="S22833" s="183"/>
      <c r="AJ22833" s="183"/>
      <c r="AK22833" s="183"/>
      <c r="AL22833" s="183"/>
    </row>
    <row r="22834" spans="1:38">
      <c r="A22834" s="182"/>
      <c r="Q22834" s="183"/>
      <c r="R22834" s="183"/>
      <c r="S22834" s="183"/>
      <c r="AJ22834" s="183"/>
      <c r="AK22834" s="183"/>
      <c r="AL22834" s="183"/>
    </row>
    <row r="22835" spans="1:38">
      <c r="A22835" s="182"/>
      <c r="Q22835" s="183"/>
      <c r="R22835" s="183"/>
      <c r="S22835" s="183"/>
      <c r="AJ22835" s="183"/>
    </row>
    <row r="22836" spans="1:38">
      <c r="A22836" s="182"/>
      <c r="Q22836" s="183"/>
      <c r="R22836" s="183"/>
      <c r="S22836" s="183"/>
    </row>
    <row r="22837" spans="1:38">
      <c r="A22837" s="182"/>
      <c r="Q22837" s="183"/>
      <c r="R22837" s="183"/>
      <c r="S22837" s="183"/>
    </row>
    <row r="22838" spans="1:38">
      <c r="A22838" s="182"/>
      <c r="Q22838" s="183"/>
      <c r="R22838" s="183"/>
      <c r="S22838" s="183"/>
    </row>
    <row r="22839" spans="1:38">
      <c r="A22839" s="182"/>
      <c r="Q22839" s="183"/>
      <c r="R22839" s="183"/>
      <c r="S22839" s="183"/>
    </row>
    <row r="22840" spans="1:38">
      <c r="A22840" s="182"/>
      <c r="Q22840" s="183"/>
      <c r="R22840" s="183"/>
      <c r="S22840" s="183"/>
    </row>
    <row r="22841" spans="1:38">
      <c r="A22841" s="182"/>
      <c r="Q22841" s="183"/>
      <c r="R22841" s="183"/>
      <c r="S22841" s="183"/>
    </row>
    <row r="22842" spans="1:38">
      <c r="A22842" s="182"/>
      <c r="Q22842" s="183"/>
      <c r="R22842" s="183"/>
      <c r="S22842" s="183"/>
    </row>
    <row r="22843" spans="1:38">
      <c r="A22843" s="182"/>
      <c r="Q22843" s="183"/>
      <c r="R22843" s="183"/>
      <c r="S22843" s="183"/>
    </row>
    <row r="22844" spans="1:38">
      <c r="A22844" s="182"/>
      <c r="Q22844" s="183"/>
      <c r="R22844" s="183"/>
      <c r="S22844" s="183"/>
    </row>
    <row r="22845" spans="1:38">
      <c r="A22845" s="182"/>
      <c r="Q22845" s="183"/>
      <c r="R22845" s="183"/>
      <c r="S22845" s="183"/>
    </row>
    <row r="22846" spans="1:38">
      <c r="A22846" s="182"/>
      <c r="Q22846" s="183"/>
      <c r="R22846" s="183"/>
      <c r="S22846" s="183"/>
    </row>
    <row r="22847" spans="1:38">
      <c r="A22847" s="182"/>
      <c r="Q22847" s="183"/>
      <c r="R22847" s="183"/>
      <c r="S22847" s="183"/>
    </row>
    <row r="22848" spans="1:38">
      <c r="A22848" s="182"/>
      <c r="Q22848" s="183"/>
      <c r="R22848" s="183"/>
      <c r="S22848" s="183"/>
    </row>
    <row r="22849" spans="1:38">
      <c r="A22849" s="182"/>
      <c r="Q22849" s="183"/>
      <c r="R22849" s="183"/>
      <c r="S22849" s="183"/>
    </row>
    <row r="22850" spans="1:38">
      <c r="A22850" s="182"/>
      <c r="Q22850" s="183"/>
      <c r="R22850" s="183"/>
      <c r="S22850" s="183"/>
    </row>
    <row r="22851" spans="1:38">
      <c r="A22851" s="182"/>
      <c r="Q22851" s="183"/>
      <c r="R22851" s="183"/>
      <c r="S22851" s="183"/>
    </row>
    <row r="22852" spans="1:38">
      <c r="A22852" s="182"/>
      <c r="Q22852" s="183"/>
      <c r="R22852" s="183"/>
      <c r="S22852" s="183"/>
    </row>
    <row r="22853" spans="1:38">
      <c r="A22853" s="182"/>
      <c r="Q22853" s="183"/>
      <c r="R22853" s="183"/>
      <c r="S22853" s="183"/>
    </row>
    <row r="22854" spans="1:38">
      <c r="A22854" s="182"/>
      <c r="Q22854" s="183"/>
      <c r="R22854" s="183"/>
      <c r="S22854" s="183"/>
    </row>
    <row r="22855" spans="1:38">
      <c r="A22855" s="182"/>
      <c r="Q22855" s="183"/>
      <c r="R22855" s="183"/>
      <c r="S22855" s="183"/>
      <c r="AK22855" s="183"/>
      <c r="AL22855" s="183"/>
    </row>
    <row r="22856" spans="1:38">
      <c r="A22856" s="182"/>
      <c r="Q22856" s="183"/>
      <c r="R22856" s="183"/>
      <c r="S22856" s="183"/>
      <c r="AJ22856" s="183"/>
      <c r="AK22856" s="183"/>
      <c r="AL22856" s="183"/>
    </row>
    <row r="22857" spans="1:38">
      <c r="A22857" s="182"/>
      <c r="Q22857" s="183"/>
      <c r="R22857" s="183"/>
      <c r="S22857" s="183"/>
      <c r="AJ22857" s="183"/>
      <c r="AK22857" s="183"/>
      <c r="AL22857" s="183"/>
    </row>
    <row r="22858" spans="1:38">
      <c r="A22858" s="182"/>
      <c r="Q22858" s="183"/>
      <c r="R22858" s="183"/>
      <c r="S22858" s="183"/>
      <c r="AJ22858" s="183"/>
      <c r="AK22858" s="183"/>
      <c r="AL22858" s="183"/>
    </row>
    <row r="22859" spans="1:38">
      <c r="A22859" s="182"/>
      <c r="Q22859" s="183"/>
      <c r="R22859" s="183"/>
      <c r="S22859" s="183"/>
      <c r="AJ22859" s="183"/>
    </row>
    <row r="22860" spans="1:38">
      <c r="A22860" s="182"/>
      <c r="Q22860" s="183"/>
      <c r="R22860" s="183"/>
      <c r="S22860" s="183"/>
    </row>
    <row r="22861" spans="1:38">
      <c r="A22861" s="182"/>
      <c r="Q22861" s="183"/>
      <c r="R22861" s="183"/>
      <c r="S22861" s="183"/>
    </row>
    <row r="22862" spans="1:38">
      <c r="A22862" s="182"/>
      <c r="Q22862" s="183"/>
      <c r="R22862" s="183"/>
      <c r="S22862" s="183"/>
    </row>
    <row r="22863" spans="1:38">
      <c r="A22863" s="182"/>
      <c r="Q22863" s="183"/>
      <c r="R22863" s="183"/>
      <c r="S22863" s="183"/>
    </row>
    <row r="22864" spans="1:38">
      <c r="A22864" s="182"/>
      <c r="Q22864" s="183"/>
      <c r="R22864" s="183"/>
      <c r="S22864" s="183"/>
    </row>
    <row r="22865" spans="1:38">
      <c r="A22865" s="182"/>
      <c r="Q22865" s="183"/>
      <c r="R22865" s="183"/>
      <c r="S22865" s="183"/>
    </row>
    <row r="22866" spans="1:38">
      <c r="A22866" s="182"/>
      <c r="Q22866" s="183"/>
      <c r="R22866" s="183"/>
      <c r="S22866" s="183"/>
    </row>
    <row r="22867" spans="1:38">
      <c r="A22867" s="182"/>
      <c r="Q22867" s="183"/>
      <c r="R22867" s="183"/>
      <c r="S22867" s="183"/>
      <c r="AK22867" s="183"/>
      <c r="AL22867" s="183"/>
    </row>
    <row r="22868" spans="1:38">
      <c r="A22868" s="182"/>
      <c r="Q22868" s="183"/>
      <c r="R22868" s="183"/>
      <c r="S22868" s="183"/>
      <c r="AJ22868" s="183"/>
      <c r="AK22868" s="183"/>
      <c r="AL22868" s="183"/>
    </row>
    <row r="22869" spans="1:38">
      <c r="A22869" s="182"/>
      <c r="Q22869" s="183"/>
      <c r="R22869" s="183"/>
      <c r="S22869" s="183"/>
      <c r="AJ22869" s="183"/>
      <c r="AK22869" s="183"/>
      <c r="AL22869" s="183"/>
    </row>
    <row r="22870" spans="1:38">
      <c r="A22870" s="182"/>
      <c r="Q22870" s="183"/>
      <c r="R22870" s="183"/>
      <c r="S22870" s="183"/>
      <c r="AJ22870" s="183"/>
      <c r="AK22870" s="183"/>
      <c r="AL22870" s="183"/>
    </row>
    <row r="22871" spans="1:38">
      <c r="A22871" s="182"/>
      <c r="Q22871" s="183"/>
      <c r="R22871" s="183"/>
      <c r="S22871" s="183"/>
      <c r="AJ22871" s="183"/>
    </row>
    <row r="22872" spans="1:38">
      <c r="A22872" s="182"/>
      <c r="Q22872" s="183"/>
      <c r="R22872" s="183"/>
      <c r="S22872" s="183"/>
    </row>
    <row r="22873" spans="1:38">
      <c r="A22873" s="182"/>
      <c r="Q22873" s="183"/>
      <c r="R22873" s="183"/>
      <c r="S22873" s="183"/>
    </row>
    <row r="22874" spans="1:38">
      <c r="A22874" s="182"/>
      <c r="Q22874" s="183"/>
      <c r="R22874" s="183"/>
      <c r="S22874" s="183"/>
    </row>
    <row r="22875" spans="1:38">
      <c r="A22875" s="182"/>
      <c r="Q22875" s="183"/>
      <c r="R22875" s="183"/>
      <c r="S22875" s="183"/>
    </row>
    <row r="22876" spans="1:38">
      <c r="A22876" s="182"/>
      <c r="Q22876" s="183"/>
      <c r="R22876" s="183"/>
      <c r="S22876" s="183"/>
    </row>
    <row r="22877" spans="1:38">
      <c r="A22877" s="182"/>
      <c r="Q22877" s="183"/>
      <c r="R22877" s="183"/>
      <c r="S22877" s="183"/>
    </row>
    <row r="22878" spans="1:38">
      <c r="A22878" s="182"/>
      <c r="Q22878" s="183"/>
      <c r="R22878" s="183"/>
      <c r="S22878" s="183"/>
    </row>
    <row r="22879" spans="1:38">
      <c r="A22879" s="182"/>
      <c r="Q22879" s="183"/>
      <c r="R22879" s="183"/>
      <c r="S22879" s="183"/>
    </row>
    <row r="22880" spans="1:38">
      <c r="A22880" s="182"/>
      <c r="Q22880" s="183"/>
      <c r="R22880" s="183"/>
      <c r="S22880" s="183"/>
    </row>
    <row r="22881" spans="1:38">
      <c r="A22881" s="182"/>
      <c r="Q22881" s="183"/>
      <c r="R22881" s="183"/>
      <c r="S22881" s="183"/>
    </row>
    <row r="22882" spans="1:38">
      <c r="A22882" s="182"/>
      <c r="Q22882" s="183"/>
      <c r="R22882" s="183"/>
      <c r="S22882" s="183"/>
    </row>
    <row r="22883" spans="1:38">
      <c r="A22883" s="182"/>
      <c r="Q22883" s="183"/>
      <c r="R22883" s="183"/>
      <c r="S22883" s="183"/>
      <c r="AK22883" s="183"/>
      <c r="AL22883" s="183"/>
    </row>
    <row r="22884" spans="1:38">
      <c r="A22884" s="182"/>
      <c r="Q22884" s="183"/>
      <c r="R22884" s="183"/>
      <c r="S22884" s="183"/>
      <c r="AJ22884" s="183"/>
      <c r="AK22884" s="183"/>
      <c r="AL22884" s="183"/>
    </row>
    <row r="22885" spans="1:38">
      <c r="A22885" s="182"/>
      <c r="Q22885" s="183"/>
      <c r="R22885" s="183"/>
      <c r="S22885" s="183"/>
      <c r="AJ22885" s="183"/>
      <c r="AK22885" s="183"/>
      <c r="AL22885" s="183"/>
    </row>
    <row r="22886" spans="1:38">
      <c r="A22886" s="182"/>
      <c r="Q22886" s="183"/>
      <c r="R22886" s="183"/>
      <c r="S22886" s="183"/>
      <c r="AJ22886" s="183"/>
      <c r="AK22886" s="183"/>
      <c r="AL22886" s="183"/>
    </row>
    <row r="22887" spans="1:38">
      <c r="A22887" s="182"/>
      <c r="Q22887" s="183"/>
      <c r="R22887" s="183"/>
      <c r="S22887" s="183"/>
      <c r="AJ22887" s="183"/>
      <c r="AK22887" s="183"/>
      <c r="AL22887" s="183"/>
    </row>
    <row r="22888" spans="1:38">
      <c r="A22888" s="182"/>
      <c r="Q22888" s="183"/>
      <c r="R22888" s="183"/>
      <c r="S22888" s="183"/>
      <c r="AJ22888" s="183"/>
      <c r="AK22888" s="183"/>
      <c r="AL22888" s="183"/>
    </row>
    <row r="22889" spans="1:38">
      <c r="A22889" s="182"/>
      <c r="Q22889" s="183"/>
      <c r="R22889" s="183"/>
      <c r="S22889" s="183"/>
      <c r="AJ22889" s="183"/>
      <c r="AK22889" s="183"/>
      <c r="AL22889" s="183"/>
    </row>
    <row r="22890" spans="1:38">
      <c r="A22890" s="182"/>
      <c r="Q22890" s="183"/>
      <c r="R22890" s="183"/>
      <c r="S22890" s="183"/>
      <c r="AJ22890" s="183"/>
      <c r="AK22890" s="183"/>
      <c r="AL22890" s="183"/>
    </row>
    <row r="22891" spans="1:38">
      <c r="A22891" s="182"/>
      <c r="Q22891" s="183"/>
      <c r="R22891" s="183"/>
      <c r="S22891" s="183"/>
      <c r="AJ22891" s="183"/>
      <c r="AK22891" s="183"/>
      <c r="AL22891" s="183"/>
    </row>
    <row r="22892" spans="1:38">
      <c r="A22892" s="182"/>
      <c r="Q22892" s="183"/>
      <c r="R22892" s="183"/>
      <c r="S22892" s="183"/>
      <c r="AJ22892" s="183"/>
      <c r="AK22892" s="183"/>
      <c r="AL22892" s="183"/>
    </row>
    <row r="22893" spans="1:38">
      <c r="A22893" s="182"/>
      <c r="Q22893" s="183"/>
      <c r="R22893" s="183"/>
      <c r="S22893" s="183"/>
      <c r="AJ22893" s="183"/>
      <c r="AK22893" s="183"/>
      <c r="AL22893" s="183"/>
    </row>
    <row r="22894" spans="1:38">
      <c r="A22894" s="182"/>
      <c r="Q22894" s="183"/>
      <c r="R22894" s="183"/>
      <c r="S22894" s="183"/>
      <c r="AJ22894" s="183"/>
      <c r="AK22894" s="183"/>
      <c r="AL22894" s="183"/>
    </row>
    <row r="22895" spans="1:38">
      <c r="A22895" s="182"/>
      <c r="Q22895" s="183"/>
      <c r="R22895" s="183"/>
      <c r="S22895" s="183"/>
      <c r="AJ22895" s="183"/>
      <c r="AK22895" s="183"/>
      <c r="AL22895" s="183"/>
    </row>
    <row r="22896" spans="1:38">
      <c r="A22896" s="182"/>
      <c r="Q22896" s="183"/>
      <c r="R22896" s="183"/>
      <c r="S22896" s="183"/>
      <c r="AJ22896" s="183"/>
      <c r="AK22896" s="183"/>
      <c r="AL22896" s="183"/>
    </row>
    <row r="22897" spans="1:38">
      <c r="A22897" s="182"/>
      <c r="Q22897" s="183"/>
      <c r="R22897" s="183"/>
      <c r="S22897" s="183"/>
      <c r="AJ22897" s="183"/>
      <c r="AK22897" s="183"/>
      <c r="AL22897" s="183"/>
    </row>
    <row r="22898" spans="1:38">
      <c r="A22898" s="182"/>
      <c r="Q22898" s="183"/>
      <c r="R22898" s="183"/>
      <c r="S22898" s="183"/>
      <c r="AJ22898" s="183"/>
      <c r="AK22898" s="183"/>
      <c r="AL22898" s="183"/>
    </row>
    <row r="22899" spans="1:38">
      <c r="A22899" s="182"/>
      <c r="Q22899" s="183"/>
      <c r="R22899" s="183"/>
      <c r="S22899" s="183"/>
      <c r="AJ22899" s="183"/>
    </row>
    <row r="22900" spans="1:38">
      <c r="A22900" s="182"/>
      <c r="Q22900" s="183"/>
      <c r="R22900" s="183"/>
      <c r="S22900" s="183"/>
    </row>
    <row r="22901" spans="1:38">
      <c r="A22901" s="182"/>
      <c r="Q22901" s="183"/>
      <c r="R22901" s="183"/>
      <c r="S22901" s="183"/>
    </row>
    <row r="22902" spans="1:38">
      <c r="A22902" s="182"/>
      <c r="Q22902" s="183"/>
      <c r="R22902" s="183"/>
      <c r="S22902" s="183"/>
    </row>
    <row r="22903" spans="1:38">
      <c r="A22903" s="182"/>
      <c r="Q22903" s="183"/>
      <c r="R22903" s="183"/>
      <c r="S22903" s="183"/>
    </row>
    <row r="22904" spans="1:38">
      <c r="A22904" s="182"/>
      <c r="Q22904" s="183"/>
      <c r="R22904" s="183"/>
      <c r="S22904" s="183"/>
    </row>
    <row r="22905" spans="1:38">
      <c r="A22905" s="182"/>
      <c r="Q22905" s="183"/>
      <c r="R22905" s="183"/>
      <c r="S22905" s="183"/>
    </row>
    <row r="22906" spans="1:38">
      <c r="A22906" s="182"/>
      <c r="Q22906" s="183"/>
      <c r="R22906" s="183"/>
      <c r="S22906" s="183"/>
    </row>
    <row r="22907" spans="1:38">
      <c r="A22907" s="182"/>
      <c r="Q22907" s="183"/>
      <c r="R22907" s="183"/>
      <c r="S22907" s="183"/>
    </row>
    <row r="22908" spans="1:38">
      <c r="A22908" s="182"/>
      <c r="Q22908" s="183"/>
      <c r="R22908" s="183"/>
      <c r="S22908" s="183"/>
    </row>
    <row r="22909" spans="1:38">
      <c r="A22909" s="182"/>
      <c r="Q22909" s="183"/>
      <c r="R22909" s="183"/>
      <c r="S22909" s="183"/>
    </row>
    <row r="22910" spans="1:38">
      <c r="A22910" s="182"/>
      <c r="Q22910" s="183"/>
      <c r="R22910" s="183"/>
      <c r="S22910" s="183"/>
    </row>
    <row r="22911" spans="1:38">
      <c r="A22911" s="182"/>
      <c r="Q22911" s="183"/>
      <c r="R22911" s="183"/>
      <c r="S22911" s="183"/>
      <c r="AK22911" s="183"/>
      <c r="AL22911" s="183"/>
    </row>
    <row r="22912" spans="1:38">
      <c r="A22912" s="182"/>
      <c r="Q22912" s="183"/>
      <c r="R22912" s="183"/>
      <c r="S22912" s="183"/>
      <c r="AJ22912" s="183"/>
      <c r="AK22912" s="183"/>
      <c r="AL22912" s="183"/>
    </row>
    <row r="22913" spans="1:38">
      <c r="A22913" s="182"/>
      <c r="Q22913" s="183"/>
      <c r="R22913" s="183"/>
      <c r="S22913" s="183"/>
      <c r="AJ22913" s="183"/>
      <c r="AK22913" s="183"/>
      <c r="AL22913" s="183"/>
    </row>
    <row r="22914" spans="1:38">
      <c r="A22914" s="182"/>
      <c r="Q22914" s="183"/>
      <c r="R22914" s="183"/>
      <c r="S22914" s="183"/>
      <c r="AJ22914" s="183"/>
      <c r="AK22914" s="183"/>
      <c r="AL22914" s="183"/>
    </row>
    <row r="22915" spans="1:38">
      <c r="A22915" s="182"/>
      <c r="Q22915" s="183"/>
      <c r="R22915" s="183"/>
      <c r="S22915" s="183"/>
      <c r="AJ22915" s="183"/>
      <c r="AK22915" s="183"/>
      <c r="AL22915" s="183"/>
    </row>
    <row r="22916" spans="1:38">
      <c r="A22916" s="182"/>
      <c r="Q22916" s="183"/>
      <c r="R22916" s="183"/>
      <c r="S22916" s="183"/>
      <c r="AJ22916" s="183"/>
      <c r="AK22916" s="183"/>
      <c r="AL22916" s="183"/>
    </row>
    <row r="22917" spans="1:38">
      <c r="A22917" s="182"/>
      <c r="Q22917" s="183"/>
      <c r="R22917" s="183"/>
      <c r="S22917" s="183"/>
      <c r="AJ22917" s="183"/>
      <c r="AK22917" s="183"/>
      <c r="AL22917" s="183"/>
    </row>
    <row r="22918" spans="1:38">
      <c r="A22918" s="182"/>
      <c r="Q22918" s="183"/>
      <c r="R22918" s="183"/>
      <c r="S22918" s="183"/>
      <c r="AJ22918" s="183"/>
      <c r="AK22918" s="183"/>
      <c r="AL22918" s="183"/>
    </row>
    <row r="22919" spans="1:38">
      <c r="A22919" s="182"/>
      <c r="Q22919" s="183"/>
      <c r="R22919" s="183"/>
      <c r="S22919" s="183"/>
      <c r="AJ22919" s="183"/>
    </row>
    <row r="22920" spans="1:38">
      <c r="A22920" s="182"/>
      <c r="Q22920" s="183"/>
      <c r="R22920" s="183"/>
      <c r="S22920" s="183"/>
    </row>
    <row r="22921" spans="1:38">
      <c r="A22921" s="182"/>
      <c r="Q22921" s="183"/>
      <c r="R22921" s="183"/>
      <c r="S22921" s="183"/>
    </row>
    <row r="22922" spans="1:38">
      <c r="A22922" s="182"/>
      <c r="N22922" s="183"/>
      <c r="O22922" s="183"/>
      <c r="Q22922" s="183"/>
      <c r="R22922" s="183"/>
      <c r="S22922" s="183"/>
    </row>
    <row r="22923" spans="1:38">
      <c r="A22923" s="182"/>
      <c r="M22923" s="183"/>
      <c r="Q22923" s="183"/>
      <c r="R22923" s="183"/>
      <c r="S22923" s="183"/>
      <c r="AK22923" s="183"/>
      <c r="AL22923" s="183"/>
    </row>
    <row r="22924" spans="1:38">
      <c r="A22924" s="182"/>
      <c r="Q22924" s="183"/>
      <c r="R22924" s="183"/>
      <c r="S22924" s="183"/>
      <c r="AJ22924" s="183"/>
      <c r="AK22924" s="183"/>
      <c r="AL22924" s="183"/>
    </row>
    <row r="22925" spans="1:38">
      <c r="A22925" s="182"/>
      <c r="Q22925" s="183"/>
      <c r="R22925" s="183"/>
      <c r="S22925" s="183"/>
      <c r="AJ22925" s="183"/>
      <c r="AK22925" s="183"/>
      <c r="AL22925" s="183"/>
    </row>
    <row r="22926" spans="1:38">
      <c r="A22926" s="182"/>
      <c r="Q22926" s="183"/>
      <c r="R22926" s="183"/>
      <c r="S22926" s="183"/>
      <c r="AJ22926" s="183"/>
      <c r="AK22926" s="183"/>
      <c r="AL22926" s="183"/>
    </row>
    <row r="22927" spans="1:38">
      <c r="A22927" s="182"/>
      <c r="Q22927" s="183"/>
      <c r="R22927" s="183"/>
      <c r="S22927" s="183"/>
      <c r="AJ22927" s="183"/>
    </row>
    <row r="22928" spans="1:38">
      <c r="A22928" s="182"/>
      <c r="Q22928" s="183"/>
      <c r="R22928" s="183"/>
      <c r="S22928" s="183"/>
    </row>
    <row r="22929" spans="1:38">
      <c r="A22929" s="182"/>
      <c r="Q22929" s="183"/>
      <c r="R22929" s="183"/>
      <c r="S22929" s="183"/>
    </row>
    <row r="22930" spans="1:38">
      <c r="A22930" s="182"/>
      <c r="Q22930" s="183"/>
      <c r="R22930" s="183"/>
      <c r="S22930" s="183"/>
    </row>
    <row r="22931" spans="1:38">
      <c r="A22931" s="182"/>
      <c r="Q22931" s="183"/>
      <c r="R22931" s="183"/>
      <c r="S22931" s="183"/>
      <c r="AK22931" s="183"/>
      <c r="AL22931" s="183"/>
    </row>
    <row r="22932" spans="1:38">
      <c r="A22932" s="182"/>
      <c r="Q22932" s="183"/>
      <c r="R22932" s="183"/>
      <c r="S22932" s="183"/>
      <c r="AJ22932" s="183"/>
      <c r="AK22932" s="183"/>
      <c r="AL22932" s="183"/>
    </row>
    <row r="22933" spans="1:38">
      <c r="A22933" s="182"/>
      <c r="Q22933" s="183"/>
      <c r="R22933" s="183"/>
      <c r="S22933" s="183"/>
      <c r="AJ22933" s="183"/>
      <c r="AK22933" s="183"/>
      <c r="AL22933" s="183"/>
    </row>
    <row r="22934" spans="1:38">
      <c r="A22934" s="182"/>
      <c r="N22934" s="183"/>
      <c r="O22934" s="183"/>
      <c r="Q22934" s="183"/>
      <c r="R22934" s="183"/>
      <c r="S22934" s="183"/>
      <c r="AJ22934" s="183"/>
      <c r="AK22934" s="183"/>
      <c r="AL22934" s="183"/>
    </row>
    <row r="22935" spans="1:38">
      <c r="A22935" s="182"/>
      <c r="M22935" s="183"/>
      <c r="Q22935" s="183"/>
      <c r="R22935" s="183"/>
      <c r="S22935" s="183"/>
      <c r="AJ22935" s="183"/>
      <c r="AK22935" s="183"/>
      <c r="AL22935" s="183"/>
    </row>
    <row r="22936" spans="1:38">
      <c r="A22936" s="182"/>
      <c r="Q22936" s="183"/>
      <c r="R22936" s="183"/>
      <c r="S22936" s="183"/>
      <c r="AJ22936" s="183"/>
      <c r="AK22936" s="183"/>
      <c r="AL22936" s="183"/>
    </row>
    <row r="22937" spans="1:38">
      <c r="A22937" s="182"/>
      <c r="Q22937" s="183"/>
      <c r="R22937" s="183"/>
      <c r="S22937" s="183"/>
      <c r="AJ22937" s="183"/>
      <c r="AK22937" s="183"/>
      <c r="AL22937" s="183"/>
    </row>
    <row r="22938" spans="1:38">
      <c r="A22938" s="182"/>
      <c r="Q22938" s="183"/>
      <c r="R22938" s="183"/>
      <c r="S22938" s="183"/>
      <c r="AJ22938" s="183"/>
      <c r="AK22938" s="183"/>
      <c r="AL22938" s="183"/>
    </row>
    <row r="22939" spans="1:38">
      <c r="A22939" s="182"/>
      <c r="Q22939" s="183"/>
      <c r="R22939" s="183"/>
      <c r="S22939" s="183"/>
      <c r="AJ22939" s="183"/>
    </row>
    <row r="22940" spans="1:38">
      <c r="A22940" s="182"/>
      <c r="Q22940" s="183"/>
      <c r="R22940" s="183"/>
      <c r="S22940" s="183"/>
    </row>
    <row r="22941" spans="1:38">
      <c r="A22941" s="182"/>
      <c r="Q22941" s="183"/>
      <c r="R22941" s="183"/>
      <c r="S22941" s="183"/>
    </row>
    <row r="22942" spans="1:38">
      <c r="A22942" s="182"/>
      <c r="Q22942" s="183"/>
      <c r="R22942" s="183"/>
      <c r="S22942" s="183"/>
    </row>
    <row r="22943" spans="1:38">
      <c r="A22943" s="182"/>
      <c r="Q22943" s="183"/>
      <c r="R22943" s="183"/>
      <c r="S22943" s="183"/>
    </row>
    <row r="22944" spans="1:38">
      <c r="A22944" s="182"/>
      <c r="Q22944" s="183"/>
      <c r="R22944" s="183"/>
      <c r="S22944" s="183"/>
    </row>
    <row r="22945" spans="1:38">
      <c r="A22945" s="182"/>
      <c r="Q22945" s="183"/>
      <c r="R22945" s="183"/>
      <c r="S22945" s="183"/>
    </row>
    <row r="22946" spans="1:38">
      <c r="A22946" s="182"/>
      <c r="Q22946" s="183"/>
      <c r="R22946" s="183"/>
      <c r="S22946" s="183"/>
    </row>
    <row r="22947" spans="1:38">
      <c r="A22947" s="182"/>
      <c r="Q22947" s="183"/>
      <c r="R22947" s="183"/>
      <c r="S22947" s="183"/>
      <c r="AK22947" s="183"/>
      <c r="AL22947" s="183"/>
    </row>
    <row r="22948" spans="1:38">
      <c r="A22948" s="182"/>
      <c r="Q22948" s="183"/>
      <c r="R22948" s="183"/>
      <c r="S22948" s="183"/>
      <c r="AJ22948" s="183"/>
      <c r="AK22948" s="183"/>
      <c r="AL22948" s="183"/>
    </row>
    <row r="22949" spans="1:38">
      <c r="A22949" s="182"/>
      <c r="Q22949" s="183"/>
      <c r="R22949" s="183"/>
      <c r="S22949" s="183"/>
      <c r="AJ22949" s="183"/>
      <c r="AK22949" s="183"/>
      <c r="AL22949" s="183"/>
    </row>
    <row r="22950" spans="1:38">
      <c r="A22950" s="182"/>
      <c r="Q22950" s="183"/>
      <c r="R22950" s="183"/>
      <c r="S22950" s="183"/>
      <c r="AJ22950" s="183"/>
      <c r="AK22950" s="183"/>
      <c r="AL22950" s="183"/>
    </row>
    <row r="22951" spans="1:38">
      <c r="A22951" s="182"/>
      <c r="Q22951" s="183"/>
      <c r="R22951" s="183"/>
      <c r="S22951" s="183"/>
      <c r="AJ22951" s="183"/>
    </row>
    <row r="22952" spans="1:38">
      <c r="A22952" s="182"/>
      <c r="Q22952" s="183"/>
      <c r="R22952" s="183"/>
      <c r="S22952" s="183"/>
    </row>
    <row r="22953" spans="1:38">
      <c r="A22953" s="182"/>
      <c r="Q22953" s="183"/>
      <c r="R22953" s="183"/>
      <c r="S22953" s="183"/>
    </row>
    <row r="22954" spans="1:38">
      <c r="A22954" s="182"/>
      <c r="Q22954" s="183"/>
      <c r="R22954" s="183"/>
      <c r="S22954" s="183"/>
    </row>
    <row r="22955" spans="1:38">
      <c r="A22955" s="182"/>
      <c r="Q22955" s="183"/>
      <c r="R22955" s="183"/>
      <c r="S22955" s="183"/>
      <c r="AK22955" s="183"/>
      <c r="AL22955" s="183"/>
    </row>
    <row r="22956" spans="1:38">
      <c r="A22956" s="182"/>
      <c r="Q22956" s="183"/>
      <c r="R22956" s="183"/>
      <c r="S22956" s="183"/>
      <c r="AJ22956" s="183"/>
      <c r="AK22956" s="183"/>
      <c r="AL22956" s="183"/>
    </row>
    <row r="22957" spans="1:38">
      <c r="A22957" s="182"/>
      <c r="Q22957" s="183"/>
      <c r="R22957" s="183"/>
      <c r="S22957" s="183"/>
      <c r="AJ22957" s="183"/>
      <c r="AK22957" s="183"/>
      <c r="AL22957" s="183"/>
    </row>
    <row r="22958" spans="1:38">
      <c r="A22958" s="182"/>
      <c r="Q22958" s="183"/>
      <c r="R22958" s="183"/>
      <c r="S22958" s="183"/>
      <c r="AJ22958" s="183"/>
      <c r="AK22958" s="183"/>
      <c r="AL22958" s="183"/>
    </row>
    <row r="22959" spans="1:38">
      <c r="A22959" s="182"/>
      <c r="Q22959" s="183"/>
      <c r="R22959" s="183"/>
      <c r="S22959" s="183"/>
      <c r="AJ22959" s="183"/>
    </row>
    <row r="22960" spans="1:38">
      <c r="A22960" s="182"/>
      <c r="Q22960" s="183"/>
      <c r="R22960" s="183"/>
      <c r="S22960" s="183"/>
    </row>
    <row r="22961" spans="1:38">
      <c r="A22961" s="182"/>
      <c r="Q22961" s="183"/>
      <c r="R22961" s="183"/>
      <c r="S22961" s="183"/>
    </row>
    <row r="22962" spans="1:38">
      <c r="A22962" s="182"/>
      <c r="Q22962" s="183"/>
      <c r="R22962" s="183"/>
      <c r="S22962" s="183"/>
    </row>
    <row r="22963" spans="1:38">
      <c r="A22963" s="182"/>
      <c r="Q22963" s="183"/>
      <c r="R22963" s="183"/>
      <c r="S22963" s="183"/>
    </row>
    <row r="22964" spans="1:38">
      <c r="A22964" s="182"/>
      <c r="Q22964" s="183"/>
      <c r="R22964" s="183"/>
      <c r="S22964" s="183"/>
    </row>
    <row r="22965" spans="1:38">
      <c r="A22965" s="182"/>
      <c r="Q22965" s="183"/>
      <c r="R22965" s="183"/>
      <c r="S22965" s="183"/>
    </row>
    <row r="22966" spans="1:38">
      <c r="A22966" s="182"/>
      <c r="Q22966" s="183"/>
      <c r="R22966" s="183"/>
      <c r="S22966" s="183"/>
    </row>
    <row r="22967" spans="1:38">
      <c r="A22967" s="182"/>
      <c r="Q22967" s="183"/>
      <c r="R22967" s="183"/>
      <c r="S22967" s="183"/>
    </row>
    <row r="22968" spans="1:38">
      <c r="A22968" s="182"/>
      <c r="Q22968" s="183"/>
      <c r="R22968" s="183"/>
      <c r="S22968" s="183"/>
    </row>
    <row r="22969" spans="1:38">
      <c r="A22969" s="182"/>
      <c r="Q22969" s="183"/>
      <c r="R22969" s="183"/>
      <c r="S22969" s="183"/>
    </row>
    <row r="22970" spans="1:38">
      <c r="A22970" s="182"/>
      <c r="Q22970" s="183"/>
      <c r="R22970" s="183"/>
      <c r="S22970" s="183"/>
    </row>
    <row r="22971" spans="1:38">
      <c r="A22971" s="182"/>
      <c r="Q22971" s="183"/>
      <c r="R22971" s="183"/>
      <c r="S22971" s="183"/>
      <c r="AK22971" s="183"/>
      <c r="AL22971" s="183"/>
    </row>
    <row r="22972" spans="1:38">
      <c r="A22972" s="182"/>
      <c r="Q22972" s="183"/>
      <c r="R22972" s="183"/>
      <c r="S22972" s="183"/>
      <c r="AJ22972" s="183"/>
      <c r="AK22972" s="183"/>
      <c r="AL22972" s="183"/>
    </row>
    <row r="22973" spans="1:38">
      <c r="A22973" s="182"/>
      <c r="Q22973" s="183"/>
      <c r="R22973" s="183"/>
      <c r="S22973" s="183"/>
      <c r="AJ22973" s="183"/>
      <c r="AK22973" s="183"/>
      <c r="AL22973" s="183"/>
    </row>
    <row r="22974" spans="1:38">
      <c r="A22974" s="182"/>
      <c r="Q22974" s="183"/>
      <c r="R22974" s="183"/>
      <c r="S22974" s="183"/>
      <c r="AJ22974" s="183"/>
      <c r="AK22974" s="183"/>
      <c r="AL22974" s="183"/>
    </row>
    <row r="22975" spans="1:38">
      <c r="A22975" s="182"/>
      <c r="Q22975" s="183"/>
      <c r="R22975" s="183"/>
      <c r="S22975" s="183"/>
      <c r="AJ22975" s="183"/>
      <c r="AK22975" s="183"/>
      <c r="AL22975" s="183"/>
    </row>
    <row r="22976" spans="1:38">
      <c r="A22976" s="182"/>
      <c r="Q22976" s="183"/>
      <c r="R22976" s="183"/>
      <c r="S22976" s="183"/>
      <c r="AJ22976" s="183"/>
      <c r="AK22976" s="183"/>
      <c r="AL22976" s="183"/>
    </row>
    <row r="22977" spans="1:38">
      <c r="A22977" s="182"/>
      <c r="Q22977" s="183"/>
      <c r="R22977" s="183"/>
      <c r="S22977" s="183"/>
      <c r="AJ22977" s="183"/>
      <c r="AK22977" s="183"/>
      <c r="AL22977" s="183"/>
    </row>
    <row r="22978" spans="1:38">
      <c r="A22978" s="182"/>
      <c r="Q22978" s="183"/>
      <c r="R22978" s="183"/>
      <c r="S22978" s="183"/>
      <c r="AJ22978" s="183"/>
      <c r="AK22978" s="183"/>
      <c r="AL22978" s="183"/>
    </row>
    <row r="22979" spans="1:38">
      <c r="A22979" s="182"/>
      <c r="Q22979" s="183"/>
      <c r="R22979" s="183"/>
      <c r="S22979" s="183"/>
      <c r="AJ22979" s="183"/>
    </row>
    <row r="22980" spans="1:38">
      <c r="A22980" s="182"/>
      <c r="Q22980" s="183"/>
      <c r="R22980" s="183"/>
      <c r="S22980" s="183"/>
    </row>
    <row r="22981" spans="1:38">
      <c r="A22981" s="182"/>
      <c r="Q22981" s="183"/>
      <c r="R22981" s="183"/>
      <c r="S22981" s="183"/>
    </row>
    <row r="22982" spans="1:38">
      <c r="A22982" s="182"/>
      <c r="Q22982" s="183"/>
      <c r="R22982" s="183"/>
      <c r="S22982" s="183"/>
    </row>
    <row r="22983" spans="1:38">
      <c r="A22983" s="182"/>
      <c r="Q22983" s="183"/>
      <c r="R22983" s="183"/>
      <c r="S22983" s="183"/>
      <c r="AK22983" s="183"/>
      <c r="AL22983" s="183"/>
    </row>
    <row r="22984" spans="1:38">
      <c r="A22984" s="182"/>
      <c r="Q22984" s="183"/>
      <c r="R22984" s="183"/>
      <c r="S22984" s="183"/>
      <c r="AJ22984" s="183"/>
      <c r="AK22984" s="183"/>
      <c r="AL22984" s="183"/>
    </row>
    <row r="22985" spans="1:38">
      <c r="A22985" s="182"/>
      <c r="Q22985" s="183"/>
      <c r="R22985" s="183"/>
      <c r="S22985" s="183"/>
      <c r="AJ22985" s="183"/>
      <c r="AK22985" s="183"/>
      <c r="AL22985" s="183"/>
    </row>
    <row r="22986" spans="1:38">
      <c r="A22986" s="182"/>
      <c r="Q22986" s="183"/>
      <c r="R22986" s="183"/>
      <c r="S22986" s="183"/>
      <c r="AJ22986" s="183"/>
      <c r="AK22986" s="183"/>
      <c r="AL22986" s="183"/>
    </row>
    <row r="22987" spans="1:38">
      <c r="A22987" s="182"/>
      <c r="Q22987" s="183"/>
      <c r="R22987" s="183"/>
      <c r="S22987" s="183"/>
      <c r="AJ22987" s="183"/>
      <c r="AK22987" s="183"/>
      <c r="AL22987" s="183"/>
    </row>
    <row r="22988" spans="1:38">
      <c r="A22988" s="182"/>
      <c r="Q22988" s="183"/>
      <c r="R22988" s="183"/>
      <c r="S22988" s="183"/>
      <c r="AJ22988" s="183"/>
      <c r="AK22988" s="183"/>
      <c r="AL22988" s="183"/>
    </row>
    <row r="22989" spans="1:38">
      <c r="A22989" s="182"/>
      <c r="Q22989" s="183"/>
      <c r="R22989" s="183"/>
      <c r="S22989" s="183"/>
      <c r="AJ22989" s="183"/>
      <c r="AK22989" s="183"/>
      <c r="AL22989" s="183"/>
    </row>
    <row r="22990" spans="1:38">
      <c r="A22990" s="182"/>
      <c r="Q22990" s="183"/>
      <c r="R22990" s="183"/>
      <c r="S22990" s="183"/>
      <c r="AJ22990" s="183"/>
      <c r="AK22990" s="183"/>
      <c r="AL22990" s="183"/>
    </row>
    <row r="22991" spans="1:38">
      <c r="A22991" s="182"/>
      <c r="Q22991" s="183"/>
      <c r="R22991" s="183"/>
      <c r="S22991" s="183"/>
      <c r="AJ22991" s="183"/>
    </row>
    <row r="22992" spans="1:38">
      <c r="A22992" s="182"/>
      <c r="Q22992" s="183"/>
      <c r="R22992" s="183"/>
      <c r="S22992" s="183"/>
    </row>
    <row r="22993" spans="1:38">
      <c r="A22993" s="182"/>
      <c r="Q22993" s="183"/>
      <c r="R22993" s="183"/>
      <c r="S22993" s="183"/>
    </row>
    <row r="22994" spans="1:38">
      <c r="A22994" s="182"/>
      <c r="Q22994" s="183"/>
      <c r="R22994" s="183"/>
      <c r="S22994" s="183"/>
    </row>
    <row r="22995" spans="1:38">
      <c r="A22995" s="182"/>
      <c r="Q22995" s="183"/>
      <c r="R22995" s="183"/>
      <c r="S22995" s="183"/>
    </row>
    <row r="22996" spans="1:38">
      <c r="A22996" s="182"/>
      <c r="Q22996" s="183"/>
      <c r="R22996" s="183"/>
      <c r="S22996" s="183"/>
    </row>
    <row r="22997" spans="1:38">
      <c r="A22997" s="182"/>
      <c r="Q22997" s="183"/>
      <c r="R22997" s="183"/>
      <c r="S22997" s="183"/>
    </row>
    <row r="22998" spans="1:38">
      <c r="A22998" s="182"/>
      <c r="Q22998" s="183"/>
      <c r="R22998" s="183"/>
      <c r="S22998" s="183"/>
    </row>
    <row r="22999" spans="1:38">
      <c r="A22999" s="182"/>
      <c r="Q22999" s="183"/>
      <c r="R22999" s="183"/>
      <c r="S22999" s="183"/>
      <c r="AK22999" s="183"/>
      <c r="AL22999" s="183"/>
    </row>
    <row r="23000" spans="1:38">
      <c r="A23000" s="182"/>
      <c r="Q23000" s="183"/>
      <c r="R23000" s="183"/>
      <c r="S23000" s="183"/>
      <c r="AJ23000" s="183"/>
      <c r="AK23000" s="183"/>
      <c r="AL23000" s="183"/>
    </row>
    <row r="23001" spans="1:38">
      <c r="A23001" s="182"/>
      <c r="Q23001" s="183"/>
      <c r="R23001" s="183"/>
      <c r="S23001" s="183"/>
      <c r="AJ23001" s="183"/>
      <c r="AK23001" s="183"/>
      <c r="AL23001" s="183"/>
    </row>
    <row r="23002" spans="1:38">
      <c r="A23002" s="182"/>
      <c r="Q23002" s="183"/>
      <c r="R23002" s="183"/>
      <c r="S23002" s="183"/>
      <c r="AJ23002" s="183"/>
      <c r="AK23002" s="183"/>
      <c r="AL23002" s="183"/>
    </row>
    <row r="23003" spans="1:38">
      <c r="A23003" s="182"/>
      <c r="Q23003" s="183"/>
      <c r="R23003" s="183"/>
      <c r="S23003" s="183"/>
      <c r="AJ23003" s="183"/>
      <c r="AK23003" s="183"/>
      <c r="AL23003" s="183"/>
    </row>
    <row r="23004" spans="1:38">
      <c r="A23004" s="182"/>
      <c r="Q23004" s="183"/>
      <c r="R23004" s="183"/>
      <c r="S23004" s="183"/>
      <c r="AJ23004" s="183"/>
      <c r="AK23004" s="183"/>
      <c r="AL23004" s="183"/>
    </row>
    <row r="23005" spans="1:38">
      <c r="A23005" s="182"/>
      <c r="Q23005" s="183"/>
      <c r="R23005" s="183"/>
      <c r="S23005" s="183"/>
      <c r="AJ23005" s="183"/>
      <c r="AK23005" s="183"/>
      <c r="AL23005" s="183"/>
    </row>
    <row r="23006" spans="1:38">
      <c r="A23006" s="182"/>
      <c r="Q23006" s="183"/>
      <c r="R23006" s="183"/>
      <c r="S23006" s="183"/>
      <c r="AJ23006" s="183"/>
      <c r="AK23006" s="183"/>
      <c r="AL23006" s="183"/>
    </row>
    <row r="23007" spans="1:38">
      <c r="A23007" s="182"/>
      <c r="Q23007" s="183"/>
      <c r="R23007" s="183"/>
      <c r="S23007" s="183"/>
      <c r="AJ23007" s="183"/>
    </row>
    <row r="23008" spans="1:38">
      <c r="A23008" s="182"/>
      <c r="Q23008" s="183"/>
      <c r="R23008" s="183"/>
      <c r="S23008" s="183"/>
    </row>
    <row r="23009" spans="1:38">
      <c r="A23009" s="182"/>
      <c r="Q23009" s="183"/>
      <c r="R23009" s="183"/>
      <c r="S23009" s="183"/>
    </row>
    <row r="23010" spans="1:38">
      <c r="A23010" s="182"/>
      <c r="Q23010" s="183"/>
      <c r="R23010" s="183"/>
      <c r="S23010" s="183"/>
    </row>
    <row r="23011" spans="1:38">
      <c r="A23011" s="182"/>
      <c r="Q23011" s="183"/>
      <c r="R23011" s="183"/>
      <c r="S23011" s="183"/>
    </row>
    <row r="23012" spans="1:38">
      <c r="A23012" s="182"/>
      <c r="Q23012" s="183"/>
      <c r="R23012" s="183"/>
      <c r="S23012" s="183"/>
    </row>
    <row r="23013" spans="1:38">
      <c r="A23013" s="182"/>
      <c r="Q23013" s="183"/>
      <c r="R23013" s="183"/>
      <c r="S23013" s="183"/>
    </row>
    <row r="23014" spans="1:38">
      <c r="A23014" s="182"/>
      <c r="Q23014" s="183"/>
      <c r="R23014" s="183"/>
      <c r="S23014" s="183"/>
    </row>
    <row r="23015" spans="1:38">
      <c r="A23015" s="182"/>
      <c r="Q23015" s="183"/>
      <c r="R23015" s="183"/>
      <c r="S23015" s="183"/>
    </row>
    <row r="23016" spans="1:38">
      <c r="A23016" s="182"/>
      <c r="Q23016" s="183"/>
      <c r="R23016" s="183"/>
      <c r="S23016" s="183"/>
    </row>
    <row r="23017" spans="1:38">
      <c r="A23017" s="182"/>
      <c r="Q23017" s="183"/>
      <c r="R23017" s="183"/>
      <c r="S23017" s="183"/>
    </row>
    <row r="23018" spans="1:38">
      <c r="A23018" s="182"/>
      <c r="Q23018" s="183"/>
      <c r="R23018" s="183"/>
      <c r="S23018" s="183"/>
    </row>
    <row r="23019" spans="1:38">
      <c r="A23019" s="182"/>
      <c r="Q23019" s="183"/>
      <c r="R23019" s="183"/>
      <c r="S23019" s="183"/>
      <c r="AK23019" s="183"/>
      <c r="AL23019" s="183"/>
    </row>
    <row r="23020" spans="1:38">
      <c r="A23020" s="182"/>
      <c r="Q23020" s="183"/>
      <c r="R23020" s="183"/>
      <c r="S23020" s="183"/>
      <c r="AJ23020" s="183"/>
      <c r="AK23020" s="183"/>
      <c r="AL23020" s="183"/>
    </row>
    <row r="23021" spans="1:38">
      <c r="A23021" s="182"/>
      <c r="Q23021" s="183"/>
      <c r="R23021" s="183"/>
      <c r="S23021" s="183"/>
      <c r="AJ23021" s="183"/>
      <c r="AK23021" s="183"/>
      <c r="AL23021" s="183"/>
    </row>
    <row r="23022" spans="1:38">
      <c r="A23022" s="182"/>
      <c r="Q23022" s="183"/>
      <c r="R23022" s="183"/>
      <c r="S23022" s="183"/>
      <c r="AJ23022" s="183"/>
      <c r="AK23022" s="183"/>
      <c r="AL23022" s="183"/>
    </row>
    <row r="23023" spans="1:38">
      <c r="A23023" s="182"/>
      <c r="Q23023" s="183"/>
      <c r="R23023" s="183"/>
      <c r="S23023" s="183"/>
      <c r="AJ23023" s="183"/>
    </row>
    <row r="23024" spans="1:38">
      <c r="A23024" s="182"/>
      <c r="Q23024" s="183"/>
      <c r="R23024" s="183"/>
      <c r="S23024" s="183"/>
    </row>
    <row r="23025" spans="1:38">
      <c r="A23025" s="182"/>
      <c r="Q23025" s="183"/>
      <c r="R23025" s="183"/>
      <c r="S23025" s="183"/>
    </row>
    <row r="23026" spans="1:38">
      <c r="A23026" s="182"/>
      <c r="Q23026" s="183"/>
      <c r="R23026" s="183"/>
      <c r="S23026" s="183"/>
    </row>
    <row r="23027" spans="1:38">
      <c r="A23027" s="182"/>
      <c r="Q23027" s="183"/>
      <c r="R23027" s="183"/>
      <c r="S23027" s="183"/>
    </row>
    <row r="23028" spans="1:38">
      <c r="A23028" s="182"/>
      <c r="Q23028" s="183"/>
      <c r="R23028" s="183"/>
      <c r="S23028" s="183"/>
    </row>
    <row r="23029" spans="1:38">
      <c r="A23029" s="182"/>
      <c r="Q23029" s="183"/>
      <c r="R23029" s="183"/>
      <c r="S23029" s="183"/>
    </row>
    <row r="23030" spans="1:38">
      <c r="A23030" s="182"/>
      <c r="Q23030" s="183"/>
      <c r="R23030" s="183"/>
      <c r="S23030" s="183"/>
    </row>
    <row r="23031" spans="1:38">
      <c r="A23031" s="182"/>
      <c r="Q23031" s="183"/>
      <c r="R23031" s="183"/>
      <c r="S23031" s="183"/>
    </row>
    <row r="23032" spans="1:38">
      <c r="A23032" s="182"/>
      <c r="Q23032" s="183"/>
      <c r="R23032" s="183"/>
      <c r="S23032" s="183"/>
    </row>
    <row r="23033" spans="1:38">
      <c r="A23033" s="182"/>
      <c r="Q23033" s="183"/>
      <c r="R23033" s="183"/>
      <c r="S23033" s="183"/>
    </row>
    <row r="23034" spans="1:38">
      <c r="A23034" s="182"/>
      <c r="Q23034" s="183"/>
      <c r="R23034" s="183"/>
      <c r="S23034" s="183"/>
    </row>
    <row r="23035" spans="1:38">
      <c r="A23035" s="182"/>
      <c r="Q23035" s="183"/>
      <c r="R23035" s="183"/>
      <c r="S23035" s="183"/>
      <c r="AK23035" s="183"/>
      <c r="AL23035" s="183"/>
    </row>
    <row r="23036" spans="1:38">
      <c r="A23036" s="182"/>
      <c r="Q23036" s="183"/>
      <c r="R23036" s="183"/>
      <c r="S23036" s="183"/>
      <c r="AJ23036" s="183"/>
      <c r="AK23036" s="183"/>
      <c r="AL23036" s="183"/>
    </row>
    <row r="23037" spans="1:38">
      <c r="A23037" s="182"/>
      <c r="Q23037" s="183"/>
      <c r="R23037" s="183"/>
      <c r="S23037" s="183"/>
      <c r="AJ23037" s="183"/>
      <c r="AK23037" s="183"/>
      <c r="AL23037" s="183"/>
    </row>
    <row r="23038" spans="1:38">
      <c r="A23038" s="182"/>
      <c r="Q23038" s="183"/>
      <c r="R23038" s="183"/>
      <c r="S23038" s="183"/>
      <c r="AJ23038" s="183"/>
      <c r="AK23038" s="183"/>
      <c r="AL23038" s="183"/>
    </row>
    <row r="23039" spans="1:38">
      <c r="A23039" s="182"/>
      <c r="Q23039" s="183"/>
      <c r="R23039" s="183"/>
      <c r="S23039" s="183"/>
      <c r="AJ23039" s="183"/>
      <c r="AK23039" s="183"/>
      <c r="AL23039" s="183"/>
    </row>
    <row r="23040" spans="1:38">
      <c r="A23040" s="182"/>
      <c r="Q23040" s="183"/>
      <c r="R23040" s="183"/>
      <c r="S23040" s="183"/>
      <c r="AJ23040" s="183"/>
      <c r="AK23040" s="183"/>
      <c r="AL23040" s="183"/>
    </row>
    <row r="23041" spans="1:38">
      <c r="A23041" s="182"/>
      <c r="Q23041" s="183"/>
      <c r="R23041" s="183"/>
      <c r="S23041" s="183"/>
      <c r="AJ23041" s="183"/>
      <c r="AK23041" s="183"/>
      <c r="AL23041" s="183"/>
    </row>
    <row r="23042" spans="1:38">
      <c r="A23042" s="182"/>
      <c r="Q23042" s="183"/>
      <c r="R23042" s="183"/>
      <c r="S23042" s="183"/>
      <c r="AJ23042" s="183"/>
      <c r="AK23042" s="183"/>
      <c r="AL23042" s="183"/>
    </row>
    <row r="23043" spans="1:38">
      <c r="A23043" s="182"/>
      <c r="Q23043" s="183"/>
      <c r="R23043" s="183"/>
      <c r="S23043" s="183"/>
      <c r="AJ23043" s="183"/>
    </row>
    <row r="23044" spans="1:38">
      <c r="A23044" s="182"/>
      <c r="Q23044" s="183"/>
      <c r="R23044" s="183"/>
      <c r="S23044" s="183"/>
    </row>
    <row r="23045" spans="1:38">
      <c r="A23045" s="182"/>
      <c r="Q23045" s="183"/>
      <c r="R23045" s="183"/>
      <c r="S23045" s="183"/>
    </row>
    <row r="23046" spans="1:38">
      <c r="A23046" s="182"/>
      <c r="Q23046" s="183"/>
      <c r="R23046" s="183"/>
      <c r="S23046" s="183"/>
    </row>
    <row r="23047" spans="1:38">
      <c r="A23047" s="182"/>
      <c r="Q23047" s="183"/>
      <c r="R23047" s="183"/>
      <c r="S23047" s="183"/>
    </row>
    <row r="23048" spans="1:38">
      <c r="A23048" s="182"/>
      <c r="Q23048" s="183"/>
      <c r="R23048" s="183"/>
      <c r="S23048" s="183"/>
    </row>
    <row r="23049" spans="1:38">
      <c r="A23049" s="182"/>
      <c r="Q23049" s="183"/>
      <c r="R23049" s="183"/>
      <c r="S23049" s="183"/>
    </row>
    <row r="23050" spans="1:38">
      <c r="A23050" s="182"/>
      <c r="Q23050" s="183"/>
      <c r="R23050" s="183"/>
      <c r="S23050" s="183"/>
    </row>
    <row r="23051" spans="1:38">
      <c r="A23051" s="182"/>
      <c r="Q23051" s="183"/>
      <c r="R23051" s="183"/>
      <c r="S23051" s="183"/>
    </row>
    <row r="23052" spans="1:38">
      <c r="A23052" s="182"/>
      <c r="Q23052" s="183"/>
      <c r="R23052" s="183"/>
      <c r="S23052" s="183"/>
    </row>
    <row r="23053" spans="1:38">
      <c r="A23053" s="182"/>
      <c r="Q23053" s="183"/>
      <c r="R23053" s="183"/>
      <c r="S23053" s="183"/>
    </row>
    <row r="23054" spans="1:38">
      <c r="A23054" s="182"/>
      <c r="Q23054" s="183"/>
      <c r="R23054" s="183"/>
      <c r="S23054" s="183"/>
    </row>
    <row r="23055" spans="1:38">
      <c r="A23055" s="182"/>
      <c r="Q23055" s="183"/>
      <c r="R23055" s="183"/>
      <c r="S23055" s="183"/>
    </row>
    <row r="23056" spans="1:38">
      <c r="A23056" s="182"/>
      <c r="Q23056" s="183"/>
      <c r="R23056" s="183"/>
      <c r="S23056" s="183"/>
    </row>
    <row r="23057" spans="1:38">
      <c r="A23057" s="182"/>
      <c r="Q23057" s="183"/>
      <c r="R23057" s="183"/>
      <c r="S23057" s="183"/>
    </row>
    <row r="23058" spans="1:38">
      <c r="A23058" s="182"/>
      <c r="Q23058" s="183"/>
      <c r="R23058" s="183"/>
      <c r="S23058" s="183"/>
    </row>
    <row r="23059" spans="1:38">
      <c r="A23059" s="182"/>
      <c r="Q23059" s="183"/>
      <c r="R23059" s="183"/>
      <c r="S23059" s="183"/>
    </row>
    <row r="23060" spans="1:38">
      <c r="A23060" s="182"/>
      <c r="Q23060" s="183"/>
      <c r="R23060" s="183"/>
      <c r="S23060" s="183"/>
    </row>
    <row r="23061" spans="1:38">
      <c r="A23061" s="182"/>
      <c r="Q23061" s="183"/>
      <c r="R23061" s="183"/>
      <c r="S23061" s="183"/>
    </row>
    <row r="23062" spans="1:38">
      <c r="A23062" s="182"/>
      <c r="Q23062" s="183"/>
      <c r="R23062" s="183"/>
      <c r="S23062" s="183"/>
    </row>
    <row r="23063" spans="1:38">
      <c r="A23063" s="182"/>
      <c r="Q23063" s="183"/>
      <c r="R23063" s="183"/>
      <c r="S23063" s="183"/>
    </row>
    <row r="23064" spans="1:38">
      <c r="A23064" s="182"/>
      <c r="Q23064" s="183"/>
      <c r="R23064" s="183"/>
      <c r="S23064" s="183"/>
    </row>
    <row r="23065" spans="1:38">
      <c r="A23065" s="182"/>
      <c r="Q23065" s="183"/>
      <c r="R23065" s="183"/>
      <c r="S23065" s="183"/>
    </row>
    <row r="23066" spans="1:38">
      <c r="A23066" s="182"/>
      <c r="Q23066" s="183"/>
      <c r="R23066" s="183"/>
      <c r="S23066" s="183"/>
    </row>
    <row r="23067" spans="1:38">
      <c r="A23067" s="182"/>
      <c r="Q23067" s="183"/>
      <c r="R23067" s="183"/>
      <c r="S23067" s="183"/>
      <c r="AK23067" s="183"/>
      <c r="AL23067" s="183"/>
    </row>
    <row r="23068" spans="1:38">
      <c r="A23068" s="182"/>
      <c r="Q23068" s="183"/>
      <c r="R23068" s="183"/>
      <c r="S23068" s="183"/>
      <c r="AJ23068" s="183"/>
      <c r="AK23068" s="183"/>
      <c r="AL23068" s="183"/>
    </row>
    <row r="23069" spans="1:38">
      <c r="A23069" s="182"/>
      <c r="Q23069" s="183"/>
      <c r="R23069" s="183"/>
      <c r="S23069" s="183"/>
      <c r="AJ23069" s="183"/>
      <c r="AK23069" s="183"/>
      <c r="AL23069" s="183"/>
    </row>
    <row r="23070" spans="1:38">
      <c r="A23070" s="182"/>
      <c r="Q23070" s="183"/>
      <c r="R23070" s="183"/>
      <c r="S23070" s="183"/>
      <c r="AJ23070" s="183"/>
      <c r="AK23070" s="183"/>
      <c r="AL23070" s="183"/>
    </row>
    <row r="23071" spans="1:38">
      <c r="A23071" s="182"/>
      <c r="Q23071" s="183"/>
      <c r="R23071" s="183"/>
      <c r="S23071" s="183"/>
      <c r="AJ23071" s="183"/>
    </row>
    <row r="23072" spans="1:38">
      <c r="A23072" s="182"/>
      <c r="Q23072" s="183"/>
      <c r="R23072" s="183"/>
      <c r="S23072" s="183"/>
    </row>
    <row r="23073" spans="1:19">
      <c r="A23073" s="182"/>
      <c r="Q23073" s="183"/>
      <c r="R23073" s="183"/>
      <c r="S23073" s="183"/>
    </row>
    <row r="23074" spans="1:19">
      <c r="A23074" s="182"/>
      <c r="Q23074" s="183"/>
      <c r="R23074" s="183"/>
      <c r="S23074" s="183"/>
    </row>
    <row r="23075" spans="1:19">
      <c r="A23075" s="182"/>
      <c r="Q23075" s="183"/>
      <c r="R23075" s="183"/>
      <c r="S23075" s="183"/>
    </row>
    <row r="23076" spans="1:19">
      <c r="A23076" s="182"/>
      <c r="Q23076" s="183"/>
      <c r="R23076" s="183"/>
      <c r="S23076" s="183"/>
    </row>
    <row r="23077" spans="1:19">
      <c r="A23077" s="182"/>
      <c r="Q23077" s="183"/>
      <c r="R23077" s="183"/>
      <c r="S23077" s="183"/>
    </row>
    <row r="23078" spans="1:19">
      <c r="A23078" s="182"/>
      <c r="Q23078" s="183"/>
      <c r="R23078" s="183"/>
      <c r="S23078" s="183"/>
    </row>
    <row r="23079" spans="1:19">
      <c r="A23079" s="182"/>
      <c r="Q23079" s="183"/>
      <c r="R23079" s="183"/>
      <c r="S23079" s="183"/>
    </row>
    <row r="23080" spans="1:19">
      <c r="A23080" s="182"/>
      <c r="Q23080" s="183"/>
      <c r="R23080" s="183"/>
      <c r="S23080" s="183"/>
    </row>
    <row r="23081" spans="1:19">
      <c r="A23081" s="182"/>
      <c r="Q23081" s="183"/>
      <c r="R23081" s="183"/>
      <c r="S23081" s="183"/>
    </row>
    <row r="23082" spans="1:19">
      <c r="A23082" s="182"/>
      <c r="Q23082" s="183"/>
      <c r="R23082" s="183"/>
      <c r="S23082" s="183"/>
    </row>
    <row r="23083" spans="1:19">
      <c r="A23083" s="182"/>
      <c r="Q23083" s="183"/>
      <c r="R23083" s="183"/>
      <c r="S23083" s="183"/>
    </row>
    <row r="23084" spans="1:19">
      <c r="A23084" s="182"/>
      <c r="Q23084" s="183"/>
      <c r="R23084" s="183"/>
      <c r="S23084" s="183"/>
    </row>
    <row r="23085" spans="1:19">
      <c r="A23085" s="182"/>
      <c r="Q23085" s="183"/>
      <c r="R23085" s="183"/>
      <c r="S23085" s="183"/>
    </row>
    <row r="23086" spans="1:19">
      <c r="A23086" s="182"/>
      <c r="Q23086" s="183"/>
      <c r="R23086" s="183"/>
      <c r="S23086" s="183"/>
    </row>
    <row r="23087" spans="1:19">
      <c r="A23087" s="182"/>
      <c r="Q23087" s="183"/>
      <c r="R23087" s="183"/>
      <c r="S23087" s="183"/>
    </row>
    <row r="23088" spans="1:19">
      <c r="A23088" s="182"/>
      <c r="Q23088" s="183"/>
      <c r="R23088" s="183"/>
      <c r="S23088" s="183"/>
    </row>
    <row r="23089" spans="1:38">
      <c r="A23089" s="182"/>
      <c r="Q23089" s="183"/>
      <c r="R23089" s="183"/>
      <c r="S23089" s="183"/>
    </row>
    <row r="23090" spans="1:38">
      <c r="A23090" s="182"/>
      <c r="Q23090" s="183"/>
      <c r="R23090" s="183"/>
      <c r="S23090" s="183"/>
    </row>
    <row r="23091" spans="1:38">
      <c r="A23091" s="182"/>
      <c r="Q23091" s="183"/>
      <c r="R23091" s="183"/>
      <c r="S23091" s="183"/>
      <c r="AK23091" s="183"/>
      <c r="AL23091" s="183"/>
    </row>
    <row r="23092" spans="1:38">
      <c r="A23092" s="182"/>
      <c r="Q23092" s="183"/>
      <c r="R23092" s="183"/>
      <c r="S23092" s="183"/>
      <c r="AJ23092" s="183"/>
      <c r="AK23092" s="183"/>
      <c r="AL23092" s="183"/>
    </row>
    <row r="23093" spans="1:38">
      <c r="A23093" s="182"/>
      <c r="Q23093" s="183"/>
      <c r="R23093" s="183"/>
      <c r="S23093" s="183"/>
      <c r="AJ23093" s="183"/>
      <c r="AK23093" s="183"/>
      <c r="AL23093" s="183"/>
    </row>
    <row r="23094" spans="1:38">
      <c r="A23094" s="182"/>
      <c r="Q23094" s="183"/>
      <c r="R23094" s="183"/>
      <c r="S23094" s="183"/>
      <c r="AJ23094" s="183"/>
      <c r="AK23094" s="183"/>
      <c r="AL23094" s="183"/>
    </row>
    <row r="23095" spans="1:38">
      <c r="A23095" s="182"/>
      <c r="Q23095" s="183"/>
      <c r="R23095" s="183"/>
      <c r="S23095" s="183"/>
      <c r="AJ23095" s="183"/>
    </row>
    <row r="23096" spans="1:38">
      <c r="A23096" s="182"/>
      <c r="Q23096" s="183"/>
      <c r="R23096" s="183"/>
      <c r="S23096" s="183"/>
    </row>
    <row r="23097" spans="1:38">
      <c r="A23097" s="182"/>
      <c r="Q23097" s="183"/>
      <c r="R23097" s="183"/>
      <c r="S23097" s="183"/>
    </row>
    <row r="23098" spans="1:38">
      <c r="A23098" s="182"/>
      <c r="Q23098" s="183"/>
      <c r="R23098" s="183"/>
      <c r="S23098" s="183"/>
    </row>
    <row r="23099" spans="1:38">
      <c r="A23099" s="182"/>
      <c r="Q23099" s="183"/>
      <c r="R23099" s="183"/>
      <c r="S23099" s="183"/>
      <c r="AK23099" s="183"/>
      <c r="AL23099" s="183"/>
    </row>
    <row r="23100" spans="1:38">
      <c r="A23100" s="182"/>
      <c r="Q23100" s="183"/>
      <c r="R23100" s="183"/>
      <c r="S23100" s="183"/>
      <c r="AJ23100" s="183"/>
      <c r="AK23100" s="183"/>
      <c r="AL23100" s="183"/>
    </row>
    <row r="23101" spans="1:38">
      <c r="A23101" s="182"/>
      <c r="Q23101" s="183"/>
      <c r="R23101" s="183"/>
      <c r="S23101" s="183"/>
      <c r="AJ23101" s="183"/>
      <c r="AK23101" s="183"/>
      <c r="AL23101" s="183"/>
    </row>
    <row r="23102" spans="1:38">
      <c r="A23102" s="182"/>
      <c r="Q23102" s="183"/>
      <c r="R23102" s="183"/>
      <c r="S23102" s="183"/>
      <c r="AJ23102" s="183"/>
      <c r="AK23102" s="183"/>
      <c r="AL23102" s="183"/>
    </row>
    <row r="23103" spans="1:38">
      <c r="A23103" s="182"/>
      <c r="Q23103" s="183"/>
      <c r="R23103" s="183"/>
      <c r="S23103" s="183"/>
      <c r="AJ23103" s="183"/>
    </row>
    <row r="23104" spans="1:38">
      <c r="A23104" s="182"/>
      <c r="Q23104" s="183"/>
      <c r="R23104" s="183"/>
      <c r="S23104" s="183"/>
    </row>
    <row r="23105" spans="1:19">
      <c r="A23105" s="182"/>
      <c r="Q23105" s="183"/>
      <c r="R23105" s="183"/>
      <c r="S23105" s="183"/>
    </row>
    <row r="23106" spans="1:19">
      <c r="A23106" s="182"/>
      <c r="Q23106" s="183"/>
      <c r="R23106" s="183"/>
      <c r="S23106" s="183"/>
    </row>
    <row r="23107" spans="1:19">
      <c r="A23107" s="182"/>
      <c r="Q23107" s="183"/>
      <c r="R23107" s="183"/>
      <c r="S23107" s="183"/>
    </row>
    <row r="23108" spans="1:19">
      <c r="A23108" s="182"/>
      <c r="Q23108" s="183"/>
      <c r="R23108" s="183"/>
      <c r="S23108" s="183"/>
    </row>
    <row r="23109" spans="1:19">
      <c r="A23109" s="182"/>
      <c r="Q23109" s="183"/>
      <c r="R23109" s="183"/>
      <c r="S23109" s="183"/>
    </row>
    <row r="23110" spans="1:19">
      <c r="A23110" s="182"/>
      <c r="Q23110" s="183"/>
      <c r="R23110" s="183"/>
      <c r="S23110" s="183"/>
    </row>
    <row r="23111" spans="1:19">
      <c r="A23111" s="182"/>
      <c r="Q23111" s="183"/>
      <c r="R23111" s="183"/>
      <c r="S23111" s="183"/>
    </row>
    <row r="23112" spans="1:19">
      <c r="A23112" s="182"/>
      <c r="Q23112" s="183"/>
      <c r="R23112" s="183"/>
      <c r="S23112" s="183"/>
    </row>
    <row r="23113" spans="1:19">
      <c r="A23113" s="182"/>
      <c r="Q23113" s="183"/>
      <c r="R23113" s="183"/>
      <c r="S23113" s="183"/>
    </row>
    <row r="23114" spans="1:19">
      <c r="A23114" s="182"/>
      <c r="Q23114" s="183"/>
      <c r="R23114" s="183"/>
      <c r="S23114" s="183"/>
    </row>
    <row r="23115" spans="1:19">
      <c r="A23115" s="182"/>
      <c r="Q23115" s="183"/>
      <c r="R23115" s="183"/>
      <c r="S23115" s="183"/>
    </row>
    <row r="23116" spans="1:19">
      <c r="A23116" s="182"/>
      <c r="Q23116" s="183"/>
      <c r="R23116" s="183"/>
      <c r="S23116" s="183"/>
    </row>
    <row r="23117" spans="1:19">
      <c r="A23117" s="182"/>
      <c r="Q23117" s="183"/>
      <c r="R23117" s="183"/>
      <c r="S23117" s="183"/>
    </row>
    <row r="23118" spans="1:19">
      <c r="A23118" s="182"/>
      <c r="Q23118" s="183"/>
      <c r="R23118" s="183"/>
      <c r="S23118" s="183"/>
    </row>
    <row r="23119" spans="1:19">
      <c r="A23119" s="182"/>
      <c r="Q23119" s="183"/>
      <c r="R23119" s="183"/>
      <c r="S23119" s="183"/>
    </row>
    <row r="23120" spans="1:19">
      <c r="A23120" s="182"/>
      <c r="Q23120" s="183"/>
      <c r="R23120" s="183"/>
      <c r="S23120" s="183"/>
    </row>
    <row r="23121" spans="1:38">
      <c r="A23121" s="182"/>
      <c r="Q23121" s="183"/>
      <c r="R23121" s="183"/>
      <c r="S23121" s="183"/>
    </row>
    <row r="23122" spans="1:38">
      <c r="A23122" s="182"/>
      <c r="Q23122" s="183"/>
      <c r="R23122" s="183"/>
      <c r="S23122" s="183"/>
    </row>
    <row r="23123" spans="1:38">
      <c r="A23123" s="182"/>
      <c r="Q23123" s="183"/>
      <c r="R23123" s="183"/>
      <c r="S23123" s="183"/>
    </row>
    <row r="23124" spans="1:38">
      <c r="A23124" s="182"/>
      <c r="Q23124" s="183"/>
      <c r="R23124" s="183"/>
      <c r="S23124" s="183"/>
    </row>
    <row r="23125" spans="1:38">
      <c r="A23125" s="182"/>
      <c r="Q23125" s="183"/>
      <c r="R23125" s="183"/>
      <c r="S23125" s="183"/>
    </row>
    <row r="23126" spans="1:38">
      <c r="A23126" s="182"/>
      <c r="Q23126" s="183"/>
      <c r="R23126" s="183"/>
      <c r="S23126" s="183"/>
    </row>
    <row r="23127" spans="1:38">
      <c r="A23127" s="182"/>
      <c r="Q23127" s="183"/>
      <c r="R23127" s="183"/>
      <c r="S23127" s="183"/>
      <c r="AK23127" s="183"/>
      <c r="AL23127" s="183"/>
    </row>
    <row r="23128" spans="1:38">
      <c r="A23128" s="182"/>
      <c r="Q23128" s="183"/>
      <c r="R23128" s="183"/>
      <c r="S23128" s="183"/>
      <c r="AJ23128" s="183"/>
      <c r="AK23128" s="183"/>
      <c r="AL23128" s="183"/>
    </row>
    <row r="23129" spans="1:38">
      <c r="A23129" s="182"/>
      <c r="Q23129" s="183"/>
      <c r="R23129" s="183"/>
      <c r="S23129" s="183"/>
      <c r="AJ23129" s="183"/>
      <c r="AK23129" s="183"/>
      <c r="AL23129" s="183"/>
    </row>
    <row r="23130" spans="1:38">
      <c r="A23130" s="182"/>
      <c r="Q23130" s="183"/>
      <c r="R23130" s="183"/>
      <c r="S23130" s="183"/>
      <c r="AJ23130" s="183"/>
      <c r="AK23130" s="183"/>
      <c r="AL23130" s="183"/>
    </row>
    <row r="23131" spans="1:38">
      <c r="A23131" s="182"/>
      <c r="Q23131" s="183"/>
      <c r="R23131" s="183"/>
      <c r="S23131" s="183"/>
      <c r="AJ23131" s="183"/>
    </row>
    <row r="23132" spans="1:38">
      <c r="A23132" s="182"/>
      <c r="Q23132" s="183"/>
      <c r="R23132" s="183"/>
      <c r="S23132" s="183"/>
    </row>
    <row r="23133" spans="1:38">
      <c r="A23133" s="182"/>
      <c r="Q23133" s="183"/>
      <c r="R23133" s="183"/>
      <c r="S23133" s="183"/>
    </row>
    <row r="23134" spans="1:38">
      <c r="A23134" s="182"/>
      <c r="Q23134" s="183"/>
      <c r="R23134" s="183"/>
      <c r="S23134" s="183"/>
    </row>
    <row r="23135" spans="1:38">
      <c r="A23135" s="182"/>
      <c r="Q23135" s="183"/>
      <c r="R23135" s="183"/>
      <c r="S23135" s="183"/>
      <c r="AK23135" s="183"/>
      <c r="AL23135" s="183"/>
    </row>
    <row r="23136" spans="1:38">
      <c r="A23136" s="182"/>
      <c r="Q23136" s="183"/>
      <c r="R23136" s="183"/>
      <c r="S23136" s="183"/>
      <c r="AJ23136" s="183"/>
      <c r="AK23136" s="183"/>
      <c r="AL23136" s="183"/>
    </row>
    <row r="23137" spans="1:38">
      <c r="A23137" s="182"/>
      <c r="Q23137" s="183"/>
      <c r="R23137" s="183"/>
      <c r="S23137" s="183"/>
      <c r="AJ23137" s="183"/>
      <c r="AK23137" s="183"/>
      <c r="AL23137" s="183"/>
    </row>
    <row r="23138" spans="1:38">
      <c r="A23138" s="182"/>
      <c r="Q23138" s="183"/>
      <c r="R23138" s="183"/>
      <c r="S23138" s="183"/>
      <c r="AJ23138" s="183"/>
      <c r="AK23138" s="183"/>
      <c r="AL23138" s="183"/>
    </row>
    <row r="23139" spans="1:38">
      <c r="A23139" s="182"/>
      <c r="Q23139" s="183"/>
      <c r="R23139" s="183"/>
      <c r="S23139" s="183"/>
      <c r="AJ23139" s="183"/>
    </row>
    <row r="23140" spans="1:38">
      <c r="A23140" s="182"/>
      <c r="Q23140" s="183"/>
      <c r="R23140" s="183"/>
      <c r="S23140" s="183"/>
    </row>
    <row r="23141" spans="1:38">
      <c r="A23141" s="182"/>
      <c r="Q23141" s="183"/>
      <c r="R23141" s="183"/>
      <c r="S23141" s="183"/>
    </row>
    <row r="23142" spans="1:38">
      <c r="A23142" s="182"/>
      <c r="Q23142" s="183"/>
      <c r="R23142" s="183"/>
      <c r="S23142" s="183"/>
    </row>
    <row r="23143" spans="1:38">
      <c r="A23143" s="182"/>
      <c r="Q23143" s="183"/>
      <c r="R23143" s="183"/>
      <c r="S23143" s="183"/>
    </row>
    <row r="23144" spans="1:38">
      <c r="A23144" s="182"/>
      <c r="Q23144" s="183"/>
      <c r="R23144" s="183"/>
      <c r="S23144" s="183"/>
    </row>
    <row r="23145" spans="1:38">
      <c r="A23145" s="182"/>
      <c r="Q23145" s="183"/>
      <c r="R23145" s="183"/>
      <c r="S23145" s="183"/>
    </row>
    <row r="23146" spans="1:38">
      <c r="A23146" s="182"/>
      <c r="Q23146" s="183"/>
      <c r="R23146" s="183"/>
      <c r="S23146" s="183"/>
    </row>
    <row r="23147" spans="1:38">
      <c r="A23147" s="182"/>
      <c r="Q23147" s="183"/>
      <c r="R23147" s="183"/>
      <c r="S23147" s="183"/>
      <c r="AK23147" s="183"/>
      <c r="AL23147" s="183"/>
    </row>
    <row r="23148" spans="1:38">
      <c r="A23148" s="182"/>
      <c r="M23148" s="183"/>
      <c r="N23148" s="183"/>
      <c r="Q23148" s="183"/>
      <c r="R23148" s="183"/>
      <c r="S23148" s="183"/>
      <c r="AJ23148" s="183"/>
      <c r="AK23148" s="183"/>
      <c r="AL23148" s="183"/>
    </row>
    <row r="23149" spans="1:38">
      <c r="A23149" s="182"/>
      <c r="L23149" s="183"/>
      <c r="Q23149" s="183"/>
      <c r="R23149" s="183"/>
      <c r="S23149" s="183"/>
      <c r="AJ23149" s="183"/>
      <c r="AK23149" s="183"/>
      <c r="AL23149" s="183"/>
    </row>
    <row r="23150" spans="1:38">
      <c r="A23150" s="182"/>
      <c r="Q23150" s="183"/>
      <c r="R23150" s="183"/>
      <c r="S23150" s="183"/>
      <c r="AJ23150" s="183"/>
      <c r="AK23150" s="183"/>
      <c r="AL23150" s="183"/>
    </row>
    <row r="23151" spans="1:38">
      <c r="A23151" s="182"/>
      <c r="Q23151" s="183"/>
      <c r="R23151" s="183"/>
      <c r="S23151" s="183"/>
      <c r="AJ23151" s="183"/>
    </row>
    <row r="23152" spans="1:38">
      <c r="A23152" s="182"/>
      <c r="Q23152" s="183"/>
      <c r="R23152" s="183"/>
      <c r="S23152" s="183"/>
    </row>
    <row r="23153" spans="1:19">
      <c r="A23153" s="182"/>
      <c r="Q23153" s="183"/>
      <c r="R23153" s="183"/>
      <c r="S23153" s="183"/>
    </row>
    <row r="23154" spans="1:19">
      <c r="A23154" s="182"/>
      <c r="Q23154" s="183"/>
      <c r="R23154" s="183"/>
      <c r="S23154" s="183"/>
    </row>
    <row r="23155" spans="1:19">
      <c r="A23155" s="182"/>
      <c r="Q23155" s="183"/>
      <c r="R23155" s="183"/>
      <c r="S23155" s="183"/>
    </row>
    <row r="23156" spans="1:19">
      <c r="A23156" s="182"/>
      <c r="Q23156" s="183"/>
      <c r="R23156" s="183"/>
      <c r="S23156" s="183"/>
    </row>
    <row r="23157" spans="1:19">
      <c r="A23157" s="182"/>
      <c r="Q23157" s="183"/>
      <c r="R23157" s="183"/>
      <c r="S23157" s="183"/>
    </row>
    <row r="23158" spans="1:19">
      <c r="A23158" s="182"/>
      <c r="Q23158" s="183"/>
      <c r="R23158" s="183"/>
      <c r="S23158" s="183"/>
    </row>
    <row r="23159" spans="1:19">
      <c r="A23159" s="182"/>
      <c r="Q23159" s="183"/>
      <c r="R23159" s="183"/>
      <c r="S23159" s="183"/>
    </row>
    <row r="23160" spans="1:19">
      <c r="A23160" s="182"/>
      <c r="Q23160" s="183"/>
      <c r="R23160" s="183"/>
      <c r="S23160" s="183"/>
    </row>
    <row r="23161" spans="1:19">
      <c r="A23161" s="182"/>
      <c r="Q23161" s="183"/>
      <c r="R23161" s="183"/>
      <c r="S23161" s="183"/>
    </row>
    <row r="23162" spans="1:19">
      <c r="A23162" s="182"/>
      <c r="Q23162" s="183"/>
      <c r="R23162" s="183"/>
      <c r="S23162" s="183"/>
    </row>
    <row r="23163" spans="1:19">
      <c r="A23163" s="182"/>
      <c r="Q23163" s="183"/>
      <c r="R23163" s="183"/>
      <c r="S23163" s="183"/>
    </row>
    <row r="23164" spans="1:19">
      <c r="A23164" s="182"/>
      <c r="Q23164" s="183"/>
      <c r="R23164" s="183"/>
      <c r="S23164" s="183"/>
    </row>
    <row r="23165" spans="1:19">
      <c r="A23165" s="182"/>
      <c r="Q23165" s="183"/>
      <c r="R23165" s="183"/>
      <c r="S23165" s="183"/>
    </row>
    <row r="23166" spans="1:19">
      <c r="A23166" s="182"/>
      <c r="Q23166" s="183"/>
      <c r="R23166" s="183"/>
      <c r="S23166" s="183"/>
    </row>
    <row r="23167" spans="1:19">
      <c r="A23167" s="182"/>
      <c r="Q23167" s="183"/>
      <c r="R23167" s="183"/>
      <c r="S23167" s="183"/>
    </row>
    <row r="23168" spans="1:19">
      <c r="A23168" s="182"/>
      <c r="Q23168" s="183"/>
      <c r="R23168" s="183"/>
      <c r="S23168" s="183"/>
    </row>
    <row r="23169" spans="1:38">
      <c r="A23169" s="182"/>
      <c r="Q23169" s="183"/>
      <c r="R23169" s="183"/>
      <c r="S23169" s="183"/>
    </row>
    <row r="23170" spans="1:38">
      <c r="A23170" s="182"/>
      <c r="Q23170" s="183"/>
      <c r="R23170" s="183"/>
      <c r="S23170" s="183"/>
    </row>
    <row r="23171" spans="1:38">
      <c r="A23171" s="182"/>
      <c r="Q23171" s="183"/>
      <c r="R23171" s="183"/>
      <c r="S23171" s="183"/>
    </row>
    <row r="23172" spans="1:38">
      <c r="A23172" s="182"/>
      <c r="Q23172" s="183"/>
      <c r="R23172" s="183"/>
      <c r="S23172" s="183"/>
    </row>
    <row r="23173" spans="1:38">
      <c r="A23173" s="182"/>
      <c r="Q23173" s="183"/>
      <c r="R23173" s="183"/>
      <c r="S23173" s="183"/>
    </row>
    <row r="23174" spans="1:38">
      <c r="A23174" s="182"/>
      <c r="Q23174" s="183"/>
      <c r="R23174" s="183"/>
      <c r="S23174" s="183"/>
    </row>
    <row r="23175" spans="1:38">
      <c r="A23175" s="182"/>
      <c r="Q23175" s="183"/>
      <c r="R23175" s="183"/>
      <c r="S23175" s="183"/>
    </row>
    <row r="23176" spans="1:38">
      <c r="A23176" s="182"/>
      <c r="Q23176" s="183"/>
      <c r="R23176" s="183"/>
      <c r="S23176" s="183"/>
    </row>
    <row r="23177" spans="1:38">
      <c r="A23177" s="182"/>
      <c r="Q23177" s="183"/>
      <c r="R23177" s="183"/>
      <c r="S23177" s="183"/>
    </row>
    <row r="23178" spans="1:38">
      <c r="A23178" s="182"/>
      <c r="Q23178" s="183"/>
      <c r="R23178" s="183"/>
      <c r="S23178" s="183"/>
    </row>
    <row r="23179" spans="1:38">
      <c r="A23179" s="182"/>
      <c r="Q23179" s="183"/>
      <c r="R23179" s="183"/>
      <c r="S23179" s="183"/>
    </row>
    <row r="23180" spans="1:38">
      <c r="A23180" s="182"/>
      <c r="Q23180" s="183"/>
      <c r="R23180" s="183"/>
      <c r="S23180" s="183"/>
    </row>
    <row r="23181" spans="1:38">
      <c r="A23181" s="182"/>
      <c r="Q23181" s="183"/>
      <c r="R23181" s="183"/>
      <c r="S23181" s="183"/>
    </row>
    <row r="23182" spans="1:38">
      <c r="A23182" s="182"/>
      <c r="Q23182" s="183"/>
      <c r="R23182" s="183"/>
      <c r="S23182" s="183"/>
    </row>
    <row r="23183" spans="1:38">
      <c r="A23183" s="182"/>
      <c r="Q23183" s="183"/>
      <c r="R23183" s="183"/>
      <c r="S23183" s="183"/>
      <c r="AK23183" s="183"/>
      <c r="AL23183" s="183"/>
    </row>
    <row r="23184" spans="1:38">
      <c r="A23184" s="182"/>
      <c r="Q23184" s="183"/>
      <c r="R23184" s="183"/>
      <c r="S23184" s="183"/>
      <c r="AJ23184" s="183"/>
      <c r="AK23184" s="183"/>
      <c r="AL23184" s="183"/>
    </row>
    <row r="23185" spans="1:38">
      <c r="A23185" s="182"/>
      <c r="Q23185" s="183"/>
      <c r="R23185" s="183"/>
      <c r="S23185" s="183"/>
      <c r="AJ23185" s="183"/>
      <c r="AK23185" s="183"/>
      <c r="AL23185" s="183"/>
    </row>
    <row r="23186" spans="1:38">
      <c r="A23186" s="182"/>
      <c r="Q23186" s="183"/>
      <c r="R23186" s="183"/>
      <c r="S23186" s="183"/>
      <c r="AJ23186" s="183"/>
      <c r="AK23186" s="183"/>
      <c r="AL23186" s="183"/>
    </row>
    <row r="23187" spans="1:38">
      <c r="A23187" s="182"/>
      <c r="Q23187" s="183"/>
      <c r="R23187" s="183"/>
      <c r="S23187" s="183"/>
      <c r="AJ23187" s="183"/>
    </row>
    <row r="23188" spans="1:38">
      <c r="A23188" s="182"/>
      <c r="Q23188" s="183"/>
      <c r="R23188" s="183"/>
      <c r="S23188" s="183"/>
    </row>
    <row r="23189" spans="1:38">
      <c r="A23189" s="182"/>
      <c r="Q23189" s="183"/>
      <c r="R23189" s="183"/>
      <c r="S23189" s="183"/>
    </row>
    <row r="23190" spans="1:38">
      <c r="A23190" s="182"/>
      <c r="Q23190" s="183"/>
      <c r="R23190" s="183"/>
      <c r="S23190" s="183"/>
    </row>
    <row r="23191" spans="1:38">
      <c r="A23191" s="182"/>
      <c r="Q23191" s="183"/>
      <c r="R23191" s="183"/>
      <c r="S23191" s="183"/>
    </row>
    <row r="23192" spans="1:38">
      <c r="A23192" s="182"/>
      <c r="Q23192" s="183"/>
      <c r="R23192" s="183"/>
      <c r="S23192" s="183"/>
    </row>
    <row r="23193" spans="1:38">
      <c r="A23193" s="182"/>
      <c r="Q23193" s="183"/>
      <c r="R23193" s="183"/>
      <c r="S23193" s="183"/>
    </row>
    <row r="23194" spans="1:38">
      <c r="A23194" s="182"/>
      <c r="Q23194" s="183"/>
      <c r="R23194" s="183"/>
      <c r="S23194" s="183"/>
    </row>
    <row r="23195" spans="1:38">
      <c r="A23195" s="182"/>
      <c r="Q23195" s="183"/>
      <c r="R23195" s="183"/>
      <c r="S23195" s="183"/>
      <c r="AK23195" s="183"/>
      <c r="AL23195" s="183"/>
    </row>
    <row r="23196" spans="1:38">
      <c r="A23196" s="182"/>
      <c r="Q23196" s="183"/>
      <c r="R23196" s="183"/>
      <c r="S23196" s="183"/>
      <c r="AJ23196" s="183"/>
      <c r="AK23196" s="183"/>
      <c r="AL23196" s="183"/>
    </row>
    <row r="23197" spans="1:38">
      <c r="A23197" s="182"/>
      <c r="Q23197" s="183"/>
      <c r="R23197" s="183"/>
      <c r="S23197" s="183"/>
      <c r="AJ23197" s="183"/>
      <c r="AK23197" s="183"/>
      <c r="AL23197" s="183"/>
    </row>
    <row r="23198" spans="1:38">
      <c r="A23198" s="182"/>
      <c r="Q23198" s="183"/>
      <c r="R23198" s="183"/>
      <c r="S23198" s="183"/>
      <c r="AJ23198" s="183"/>
      <c r="AK23198" s="183"/>
      <c r="AL23198" s="183"/>
    </row>
    <row r="23199" spans="1:38">
      <c r="A23199" s="182"/>
      <c r="Q23199" s="183"/>
      <c r="R23199" s="183"/>
      <c r="S23199" s="183"/>
      <c r="AJ23199" s="183"/>
    </row>
    <row r="23200" spans="1:38">
      <c r="A23200" s="182"/>
      <c r="Q23200" s="183"/>
      <c r="R23200" s="183"/>
      <c r="S23200" s="183"/>
    </row>
    <row r="23201" spans="1:38">
      <c r="A23201" s="182"/>
      <c r="Q23201" s="183"/>
      <c r="R23201" s="183"/>
      <c r="S23201" s="183"/>
    </row>
    <row r="23202" spans="1:38">
      <c r="A23202" s="182"/>
      <c r="Q23202" s="183"/>
      <c r="R23202" s="183"/>
      <c r="S23202" s="183"/>
    </row>
    <row r="23203" spans="1:38">
      <c r="A23203" s="182"/>
      <c r="Q23203" s="183"/>
      <c r="R23203" s="183"/>
      <c r="S23203" s="183"/>
      <c r="AK23203" s="183"/>
      <c r="AL23203" s="183"/>
    </row>
    <row r="23204" spans="1:38">
      <c r="A23204" s="182"/>
      <c r="Q23204" s="183"/>
      <c r="R23204" s="183"/>
      <c r="S23204" s="183"/>
      <c r="AJ23204" s="183"/>
      <c r="AK23204" s="183"/>
      <c r="AL23204" s="183"/>
    </row>
    <row r="23205" spans="1:38">
      <c r="A23205" s="182"/>
      <c r="Q23205" s="183"/>
      <c r="R23205" s="183"/>
      <c r="S23205" s="183"/>
      <c r="AJ23205" s="183"/>
      <c r="AK23205" s="183"/>
      <c r="AL23205" s="183"/>
    </row>
    <row r="23206" spans="1:38">
      <c r="A23206" s="182"/>
      <c r="Q23206" s="183"/>
      <c r="R23206" s="183"/>
      <c r="S23206" s="183"/>
      <c r="AJ23206" s="183"/>
      <c r="AK23206" s="183"/>
      <c r="AL23206" s="183"/>
    </row>
    <row r="23207" spans="1:38">
      <c r="A23207" s="182"/>
      <c r="Q23207" s="183"/>
      <c r="R23207" s="183"/>
      <c r="S23207" s="183"/>
      <c r="AJ23207" s="183"/>
      <c r="AK23207" s="183"/>
      <c r="AL23207" s="183"/>
    </row>
    <row r="23208" spans="1:38">
      <c r="A23208" s="182"/>
      <c r="Q23208" s="183"/>
      <c r="R23208" s="183"/>
      <c r="S23208" s="183"/>
      <c r="AJ23208" s="183"/>
      <c r="AK23208" s="183"/>
      <c r="AL23208" s="183"/>
    </row>
    <row r="23209" spans="1:38">
      <c r="A23209" s="182"/>
      <c r="Q23209" s="183"/>
      <c r="R23209" s="183"/>
      <c r="S23209" s="183"/>
      <c r="AJ23209" s="183"/>
      <c r="AK23209" s="183"/>
      <c r="AL23209" s="183"/>
    </row>
    <row r="23210" spans="1:38">
      <c r="A23210" s="182"/>
      <c r="Q23210" s="183"/>
      <c r="R23210" s="183"/>
      <c r="S23210" s="183"/>
      <c r="AJ23210" s="183"/>
      <c r="AK23210" s="183"/>
      <c r="AL23210" s="183"/>
    </row>
    <row r="23211" spans="1:38">
      <c r="A23211" s="182"/>
      <c r="Q23211" s="183"/>
      <c r="R23211" s="183"/>
      <c r="S23211" s="183"/>
      <c r="AJ23211" s="183"/>
      <c r="AK23211" s="183"/>
      <c r="AL23211" s="183"/>
    </row>
    <row r="23212" spans="1:38">
      <c r="A23212" s="182"/>
      <c r="Q23212" s="183"/>
      <c r="R23212" s="183"/>
      <c r="S23212" s="183"/>
      <c r="AJ23212" s="183"/>
      <c r="AK23212" s="183"/>
      <c r="AL23212" s="183"/>
    </row>
    <row r="23213" spans="1:38">
      <c r="A23213" s="182"/>
      <c r="Q23213" s="183"/>
      <c r="R23213" s="183"/>
      <c r="S23213" s="183"/>
      <c r="AJ23213" s="183"/>
      <c r="AK23213" s="183"/>
      <c r="AL23213" s="183"/>
    </row>
    <row r="23214" spans="1:38">
      <c r="A23214" s="182"/>
      <c r="Q23214" s="183"/>
      <c r="R23214" s="183"/>
      <c r="S23214" s="183"/>
      <c r="AJ23214" s="183"/>
      <c r="AK23214" s="183"/>
      <c r="AL23214" s="183"/>
    </row>
    <row r="23215" spans="1:38">
      <c r="A23215" s="182"/>
      <c r="Q23215" s="183"/>
      <c r="R23215" s="183"/>
      <c r="S23215" s="183"/>
      <c r="AJ23215" s="183"/>
      <c r="AK23215" s="183"/>
      <c r="AL23215" s="183"/>
    </row>
    <row r="23216" spans="1:38">
      <c r="A23216" s="182"/>
      <c r="Q23216" s="183"/>
      <c r="R23216" s="183"/>
      <c r="S23216" s="183"/>
      <c r="AJ23216" s="183"/>
      <c r="AK23216" s="183"/>
      <c r="AL23216" s="183"/>
    </row>
    <row r="23217" spans="1:38">
      <c r="A23217" s="182"/>
      <c r="Q23217" s="183"/>
      <c r="R23217" s="183"/>
      <c r="S23217" s="183"/>
      <c r="AJ23217" s="183"/>
      <c r="AK23217" s="183"/>
      <c r="AL23217" s="183"/>
    </row>
    <row r="23218" spans="1:38">
      <c r="A23218" s="182"/>
      <c r="Q23218" s="183"/>
      <c r="R23218" s="183"/>
      <c r="S23218" s="183"/>
      <c r="AJ23218" s="183"/>
      <c r="AK23218" s="183"/>
      <c r="AL23218" s="183"/>
    </row>
    <row r="23219" spans="1:38">
      <c r="A23219" s="182"/>
      <c r="Q23219" s="183"/>
      <c r="R23219" s="183"/>
      <c r="S23219" s="183"/>
      <c r="AJ23219" s="183"/>
      <c r="AK23219" s="183"/>
      <c r="AL23219" s="183"/>
    </row>
    <row r="23220" spans="1:38">
      <c r="A23220" s="182"/>
      <c r="Q23220" s="183"/>
      <c r="R23220" s="183"/>
      <c r="S23220" s="183"/>
      <c r="AJ23220" s="183"/>
      <c r="AK23220" s="183"/>
      <c r="AL23220" s="183"/>
    </row>
    <row r="23221" spans="1:38">
      <c r="A23221" s="182"/>
      <c r="Q23221" s="183"/>
      <c r="R23221" s="183"/>
      <c r="S23221" s="183"/>
      <c r="AJ23221" s="183"/>
      <c r="AK23221" s="183"/>
      <c r="AL23221" s="183"/>
    </row>
    <row r="23222" spans="1:38">
      <c r="A23222" s="182"/>
      <c r="Q23222" s="183"/>
      <c r="R23222" s="183"/>
      <c r="S23222" s="183"/>
      <c r="AJ23222" s="183"/>
      <c r="AK23222" s="183"/>
      <c r="AL23222" s="183"/>
    </row>
    <row r="23223" spans="1:38">
      <c r="A23223" s="182"/>
      <c r="Q23223" s="183"/>
      <c r="R23223" s="183"/>
      <c r="S23223" s="183"/>
      <c r="AJ23223" s="183"/>
      <c r="AK23223" s="183"/>
      <c r="AL23223" s="183"/>
    </row>
    <row r="23224" spans="1:38">
      <c r="A23224" s="182"/>
      <c r="Q23224" s="183"/>
      <c r="R23224" s="183"/>
      <c r="S23224" s="183"/>
      <c r="AJ23224" s="183"/>
      <c r="AK23224" s="183"/>
      <c r="AL23224" s="183"/>
    </row>
    <row r="23225" spans="1:38">
      <c r="A23225" s="182"/>
      <c r="Q23225" s="183"/>
      <c r="R23225" s="183"/>
      <c r="S23225" s="183"/>
      <c r="AJ23225" s="183"/>
      <c r="AK23225" s="183"/>
      <c r="AL23225" s="183"/>
    </row>
    <row r="23226" spans="1:38">
      <c r="A23226" s="182"/>
      <c r="Q23226" s="183"/>
      <c r="R23226" s="183"/>
      <c r="S23226" s="183"/>
      <c r="AJ23226" s="183"/>
      <c r="AK23226" s="183"/>
      <c r="AL23226" s="183"/>
    </row>
    <row r="23227" spans="1:38">
      <c r="A23227" s="182"/>
      <c r="Q23227" s="183"/>
      <c r="R23227" s="183"/>
      <c r="S23227" s="183"/>
      <c r="AJ23227" s="183"/>
    </row>
    <row r="23228" spans="1:38">
      <c r="A23228" s="182"/>
      <c r="Q23228" s="183"/>
      <c r="R23228" s="183"/>
      <c r="S23228" s="183"/>
    </row>
    <row r="23229" spans="1:38">
      <c r="A23229" s="182"/>
      <c r="Q23229" s="183"/>
      <c r="R23229" s="183"/>
      <c r="S23229" s="183"/>
    </row>
    <row r="23230" spans="1:38">
      <c r="A23230" s="182"/>
      <c r="Q23230" s="183"/>
      <c r="R23230" s="183"/>
      <c r="S23230" s="183"/>
    </row>
    <row r="23231" spans="1:38">
      <c r="A23231" s="182"/>
      <c r="Q23231" s="183"/>
      <c r="R23231" s="183"/>
      <c r="S23231" s="183"/>
      <c r="AK23231" s="183"/>
      <c r="AL23231" s="183"/>
    </row>
    <row r="23232" spans="1:38">
      <c r="A23232" s="182"/>
      <c r="Q23232" s="183"/>
      <c r="R23232" s="183"/>
      <c r="S23232" s="183"/>
      <c r="AJ23232" s="183"/>
      <c r="AK23232" s="183"/>
      <c r="AL23232" s="183"/>
    </row>
    <row r="23233" spans="1:38">
      <c r="A23233" s="182"/>
      <c r="Q23233" s="183"/>
      <c r="R23233" s="183"/>
      <c r="S23233" s="183"/>
      <c r="AJ23233" s="183"/>
      <c r="AK23233" s="183"/>
      <c r="AL23233" s="183"/>
    </row>
    <row r="23234" spans="1:38">
      <c r="A23234" s="182"/>
      <c r="Q23234" s="183"/>
      <c r="R23234" s="183"/>
      <c r="S23234" s="183"/>
      <c r="AJ23234" s="183"/>
      <c r="AK23234" s="183"/>
      <c r="AL23234" s="183"/>
    </row>
    <row r="23235" spans="1:38">
      <c r="A23235" s="182"/>
      <c r="Q23235" s="183"/>
      <c r="R23235" s="183"/>
      <c r="S23235" s="183"/>
      <c r="AJ23235" s="183"/>
      <c r="AK23235" s="183"/>
      <c r="AL23235" s="183"/>
    </row>
    <row r="23236" spans="1:38">
      <c r="A23236" s="182"/>
      <c r="Q23236" s="183"/>
      <c r="R23236" s="183"/>
      <c r="S23236" s="183"/>
      <c r="AJ23236" s="183"/>
      <c r="AK23236" s="183"/>
      <c r="AL23236" s="183"/>
    </row>
    <row r="23237" spans="1:38">
      <c r="A23237" s="182"/>
      <c r="Q23237" s="183"/>
      <c r="R23237" s="183"/>
      <c r="S23237" s="183"/>
      <c r="AJ23237" s="183"/>
      <c r="AK23237" s="183"/>
      <c r="AL23237" s="183"/>
    </row>
    <row r="23238" spans="1:38">
      <c r="A23238" s="182"/>
      <c r="Q23238" s="183"/>
      <c r="R23238" s="183"/>
      <c r="S23238" s="183"/>
      <c r="AJ23238" s="183"/>
      <c r="AK23238" s="183"/>
      <c r="AL23238" s="183"/>
    </row>
    <row r="23239" spans="1:38">
      <c r="A23239" s="182"/>
      <c r="Q23239" s="183"/>
      <c r="R23239" s="183"/>
      <c r="S23239" s="183"/>
      <c r="AJ23239" s="183"/>
      <c r="AK23239" s="183"/>
      <c r="AL23239" s="183"/>
    </row>
    <row r="23240" spans="1:38">
      <c r="A23240" s="182"/>
      <c r="Q23240" s="183"/>
      <c r="R23240" s="183"/>
      <c r="S23240" s="183"/>
      <c r="AJ23240" s="183"/>
      <c r="AK23240" s="183"/>
      <c r="AL23240" s="183"/>
    </row>
    <row r="23241" spans="1:38">
      <c r="A23241" s="182"/>
      <c r="Q23241" s="183"/>
      <c r="R23241" s="183"/>
      <c r="S23241" s="183"/>
      <c r="AJ23241" s="183"/>
      <c r="AK23241" s="183"/>
      <c r="AL23241" s="183"/>
    </row>
    <row r="23242" spans="1:38">
      <c r="A23242" s="182"/>
      <c r="Q23242" s="183"/>
      <c r="R23242" s="183"/>
      <c r="S23242" s="183"/>
      <c r="AJ23242" s="183"/>
      <c r="AK23242" s="183"/>
      <c r="AL23242" s="183"/>
    </row>
    <row r="23243" spans="1:38">
      <c r="A23243" s="182"/>
      <c r="Q23243" s="183"/>
      <c r="R23243" s="183"/>
      <c r="S23243" s="183"/>
      <c r="AJ23243" s="183"/>
    </row>
    <row r="23244" spans="1:38">
      <c r="A23244" s="182"/>
      <c r="Q23244" s="183"/>
      <c r="R23244" s="183"/>
      <c r="S23244" s="183"/>
    </row>
    <row r="23245" spans="1:38">
      <c r="A23245" s="182"/>
      <c r="Q23245" s="183"/>
      <c r="R23245" s="183"/>
      <c r="S23245" s="183"/>
    </row>
    <row r="23246" spans="1:38">
      <c r="A23246" s="182"/>
      <c r="Q23246" s="183"/>
      <c r="R23246" s="183"/>
      <c r="S23246" s="183"/>
    </row>
    <row r="23247" spans="1:38">
      <c r="A23247" s="182"/>
      <c r="Q23247" s="183"/>
      <c r="R23247" s="183"/>
      <c r="S23247" s="183"/>
      <c r="AK23247" s="183"/>
      <c r="AL23247" s="183"/>
    </row>
    <row r="23248" spans="1:38">
      <c r="A23248" s="182"/>
      <c r="Q23248" s="183"/>
      <c r="R23248" s="183"/>
      <c r="S23248" s="183"/>
      <c r="AJ23248" s="183"/>
      <c r="AK23248" s="183"/>
      <c r="AL23248" s="183"/>
    </row>
    <row r="23249" spans="1:38">
      <c r="A23249" s="182"/>
      <c r="Q23249" s="183"/>
      <c r="R23249" s="183"/>
      <c r="S23249" s="183"/>
      <c r="AJ23249" s="183"/>
      <c r="AK23249" s="183"/>
      <c r="AL23249" s="183"/>
    </row>
    <row r="23250" spans="1:38">
      <c r="A23250" s="182"/>
      <c r="Q23250" s="183"/>
      <c r="R23250" s="183"/>
      <c r="S23250" s="183"/>
      <c r="AJ23250" s="183"/>
      <c r="AK23250" s="183"/>
      <c r="AL23250" s="183"/>
    </row>
    <row r="23251" spans="1:38">
      <c r="A23251" s="182"/>
      <c r="Q23251" s="183"/>
      <c r="R23251" s="183"/>
      <c r="S23251" s="183"/>
      <c r="AJ23251" s="183"/>
      <c r="AK23251" s="183"/>
      <c r="AL23251" s="183"/>
    </row>
    <row r="23252" spans="1:38">
      <c r="A23252" s="182"/>
      <c r="Q23252" s="183"/>
      <c r="R23252" s="183"/>
      <c r="S23252" s="183"/>
      <c r="AJ23252" s="183"/>
      <c r="AK23252" s="183"/>
      <c r="AL23252" s="183"/>
    </row>
    <row r="23253" spans="1:38">
      <c r="A23253" s="182"/>
      <c r="Q23253" s="183"/>
      <c r="R23253" s="183"/>
      <c r="S23253" s="183"/>
      <c r="AJ23253" s="183"/>
      <c r="AK23253" s="183"/>
      <c r="AL23253" s="183"/>
    </row>
    <row r="23254" spans="1:38">
      <c r="A23254" s="182"/>
      <c r="Q23254" s="183"/>
      <c r="R23254" s="183"/>
      <c r="S23254" s="183"/>
      <c r="AJ23254" s="183"/>
      <c r="AK23254" s="183"/>
      <c r="AL23254" s="183"/>
    </row>
    <row r="23255" spans="1:38">
      <c r="A23255" s="182"/>
      <c r="Q23255" s="183"/>
      <c r="R23255" s="183"/>
      <c r="S23255" s="183"/>
      <c r="AJ23255" s="183"/>
    </row>
    <row r="23256" spans="1:38">
      <c r="A23256" s="182"/>
      <c r="Q23256" s="183"/>
      <c r="R23256" s="183"/>
      <c r="S23256" s="183"/>
    </row>
    <row r="23257" spans="1:38">
      <c r="A23257" s="182"/>
      <c r="Q23257" s="183"/>
      <c r="R23257" s="183"/>
      <c r="S23257" s="183"/>
    </row>
    <row r="23258" spans="1:38">
      <c r="A23258" s="182"/>
      <c r="Q23258" s="183"/>
      <c r="R23258" s="183"/>
      <c r="S23258" s="183"/>
    </row>
    <row r="23259" spans="1:38">
      <c r="A23259" s="182"/>
      <c r="Q23259" s="183"/>
      <c r="R23259" s="183"/>
      <c r="S23259" s="183"/>
      <c r="AK23259" s="183"/>
      <c r="AL23259" s="183"/>
    </row>
    <row r="23260" spans="1:38">
      <c r="A23260" s="182"/>
      <c r="Q23260" s="183"/>
      <c r="R23260" s="183"/>
      <c r="S23260" s="183"/>
      <c r="AJ23260" s="183"/>
      <c r="AK23260" s="183"/>
      <c r="AL23260" s="183"/>
    </row>
    <row r="23261" spans="1:38">
      <c r="A23261" s="182"/>
      <c r="Q23261" s="183"/>
      <c r="R23261" s="183"/>
      <c r="S23261" s="183"/>
      <c r="AJ23261" s="183"/>
      <c r="AK23261" s="183"/>
      <c r="AL23261" s="183"/>
    </row>
    <row r="23262" spans="1:38">
      <c r="A23262" s="182"/>
      <c r="Q23262" s="183"/>
      <c r="R23262" s="183"/>
      <c r="S23262" s="183"/>
      <c r="AJ23262" s="183"/>
      <c r="AK23262" s="183"/>
      <c r="AL23262" s="183"/>
    </row>
    <row r="23263" spans="1:38">
      <c r="A23263" s="182"/>
      <c r="Q23263" s="183"/>
      <c r="R23263" s="183"/>
      <c r="S23263" s="183"/>
      <c r="AJ23263" s="183"/>
    </row>
    <row r="23264" spans="1:38">
      <c r="A23264" s="182"/>
      <c r="Q23264" s="183"/>
      <c r="R23264" s="183"/>
      <c r="S23264" s="183"/>
    </row>
    <row r="23265" spans="1:38">
      <c r="A23265" s="182"/>
      <c r="Q23265" s="183"/>
      <c r="R23265" s="183"/>
      <c r="S23265" s="183"/>
    </row>
    <row r="23266" spans="1:38">
      <c r="A23266" s="182"/>
      <c r="Q23266" s="183"/>
      <c r="R23266" s="183"/>
      <c r="S23266" s="183"/>
    </row>
    <row r="23267" spans="1:38">
      <c r="A23267" s="182"/>
      <c r="Q23267" s="183"/>
      <c r="R23267" s="183"/>
      <c r="S23267" s="183"/>
      <c r="AK23267" s="183"/>
      <c r="AL23267" s="183"/>
    </row>
    <row r="23268" spans="1:38">
      <c r="A23268" s="182"/>
      <c r="Q23268" s="183"/>
      <c r="R23268" s="183"/>
      <c r="S23268" s="183"/>
      <c r="AJ23268" s="183"/>
      <c r="AK23268" s="183"/>
      <c r="AL23268" s="183"/>
    </row>
    <row r="23269" spans="1:38">
      <c r="A23269" s="182"/>
      <c r="Q23269" s="183"/>
      <c r="R23269" s="183"/>
      <c r="S23269" s="183"/>
      <c r="AJ23269" s="183"/>
      <c r="AK23269" s="183"/>
      <c r="AL23269" s="183"/>
    </row>
    <row r="23270" spans="1:38">
      <c r="A23270" s="182"/>
      <c r="Q23270" s="183"/>
      <c r="R23270" s="183"/>
      <c r="S23270" s="183"/>
      <c r="AJ23270" s="183"/>
      <c r="AK23270" s="183"/>
      <c r="AL23270" s="183"/>
    </row>
    <row r="23271" spans="1:38">
      <c r="A23271" s="182"/>
      <c r="Q23271" s="183"/>
      <c r="R23271" s="183"/>
      <c r="S23271" s="183"/>
      <c r="AJ23271" s="183"/>
    </row>
    <row r="23272" spans="1:38">
      <c r="A23272" s="182"/>
      <c r="Q23272" s="183"/>
      <c r="R23272" s="183"/>
      <c r="S23272" s="183"/>
    </row>
    <row r="23273" spans="1:38">
      <c r="A23273" s="182"/>
      <c r="Q23273" s="183"/>
      <c r="R23273" s="183"/>
      <c r="S23273" s="183"/>
    </row>
    <row r="23274" spans="1:38">
      <c r="A23274" s="182"/>
      <c r="Q23274" s="183"/>
      <c r="R23274" s="183"/>
      <c r="S23274" s="183"/>
    </row>
    <row r="23275" spans="1:38">
      <c r="A23275" s="182"/>
      <c r="Q23275" s="183"/>
      <c r="R23275" s="183"/>
      <c r="S23275" s="183"/>
      <c r="AK23275" s="183"/>
      <c r="AL23275" s="183"/>
    </row>
    <row r="23276" spans="1:38">
      <c r="A23276" s="182"/>
      <c r="Q23276" s="183"/>
      <c r="R23276" s="183"/>
      <c r="S23276" s="183"/>
      <c r="AJ23276" s="183"/>
      <c r="AK23276" s="183"/>
      <c r="AL23276" s="183"/>
    </row>
    <row r="23277" spans="1:38">
      <c r="A23277" s="182"/>
      <c r="Q23277" s="183"/>
      <c r="R23277" s="183"/>
      <c r="S23277" s="183"/>
      <c r="AJ23277" s="183"/>
      <c r="AK23277" s="183"/>
      <c r="AL23277" s="183"/>
    </row>
    <row r="23278" spans="1:38">
      <c r="A23278" s="182"/>
      <c r="Q23278" s="183"/>
      <c r="R23278" s="183"/>
      <c r="S23278" s="183"/>
      <c r="AJ23278" s="183"/>
      <c r="AK23278" s="183"/>
      <c r="AL23278" s="183"/>
    </row>
    <row r="23279" spans="1:38">
      <c r="A23279" s="182"/>
      <c r="Q23279" s="183"/>
      <c r="R23279" s="183"/>
      <c r="S23279" s="183"/>
      <c r="AJ23279" s="183"/>
      <c r="AK23279" s="183"/>
      <c r="AL23279" s="183"/>
    </row>
    <row r="23280" spans="1:38">
      <c r="A23280" s="182"/>
      <c r="Q23280" s="183"/>
      <c r="R23280" s="183"/>
      <c r="S23280" s="183"/>
      <c r="AJ23280" s="183"/>
      <c r="AK23280" s="183"/>
      <c r="AL23280" s="183"/>
    </row>
    <row r="23281" spans="1:38">
      <c r="A23281" s="182"/>
      <c r="Q23281" s="183"/>
      <c r="R23281" s="183"/>
      <c r="S23281" s="183"/>
      <c r="AJ23281" s="183"/>
      <c r="AK23281" s="183"/>
      <c r="AL23281" s="183"/>
    </row>
    <row r="23282" spans="1:38">
      <c r="A23282" s="182"/>
      <c r="Q23282" s="183"/>
      <c r="R23282" s="183"/>
      <c r="S23282" s="183"/>
      <c r="AJ23282" s="183"/>
      <c r="AK23282" s="183"/>
      <c r="AL23282" s="183"/>
    </row>
    <row r="23283" spans="1:38">
      <c r="A23283" s="182"/>
      <c r="Q23283" s="183"/>
      <c r="R23283" s="183"/>
      <c r="S23283" s="183"/>
      <c r="AJ23283" s="183"/>
      <c r="AK23283" s="183"/>
      <c r="AL23283" s="183"/>
    </row>
    <row r="23284" spans="1:38">
      <c r="A23284" s="182"/>
      <c r="Q23284" s="183"/>
      <c r="R23284" s="183"/>
      <c r="S23284" s="183"/>
      <c r="AJ23284" s="183"/>
      <c r="AK23284" s="183"/>
      <c r="AL23284" s="183"/>
    </row>
    <row r="23285" spans="1:38">
      <c r="A23285" s="182"/>
      <c r="Q23285" s="183"/>
      <c r="R23285" s="183"/>
      <c r="S23285" s="183"/>
      <c r="AJ23285" s="183"/>
      <c r="AK23285" s="183"/>
      <c r="AL23285" s="183"/>
    </row>
    <row r="23286" spans="1:38">
      <c r="A23286" s="182"/>
      <c r="Q23286" s="183"/>
      <c r="R23286" s="183"/>
      <c r="S23286" s="183"/>
      <c r="AJ23286" s="183"/>
      <c r="AK23286" s="183"/>
      <c r="AL23286" s="183"/>
    </row>
    <row r="23287" spans="1:38">
      <c r="A23287" s="182"/>
      <c r="Q23287" s="183"/>
      <c r="R23287" s="183"/>
      <c r="S23287" s="183"/>
      <c r="AJ23287" s="183"/>
    </row>
    <row r="23288" spans="1:38">
      <c r="A23288" s="182"/>
      <c r="Q23288" s="183"/>
      <c r="R23288" s="183"/>
      <c r="S23288" s="183"/>
    </row>
    <row r="23289" spans="1:38">
      <c r="A23289" s="182"/>
      <c r="Q23289" s="183"/>
      <c r="R23289" s="183"/>
      <c r="S23289" s="183"/>
    </row>
    <row r="23290" spans="1:38">
      <c r="A23290" s="182"/>
      <c r="Q23290" s="183"/>
      <c r="R23290" s="183"/>
      <c r="S23290" s="183"/>
    </row>
    <row r="23291" spans="1:38">
      <c r="A23291" s="182"/>
      <c r="Q23291" s="183"/>
      <c r="R23291" s="183"/>
      <c r="S23291" s="183"/>
    </row>
    <row r="23292" spans="1:38">
      <c r="A23292" s="182"/>
      <c r="Q23292" s="183"/>
      <c r="R23292" s="183"/>
      <c r="S23292" s="183"/>
    </row>
    <row r="23293" spans="1:38">
      <c r="A23293" s="182"/>
      <c r="Q23293" s="183"/>
      <c r="R23293" s="183"/>
      <c r="S23293" s="183"/>
    </row>
    <row r="23294" spans="1:38">
      <c r="A23294" s="182"/>
      <c r="Q23294" s="183"/>
      <c r="R23294" s="183"/>
      <c r="S23294" s="183"/>
    </row>
    <row r="23295" spans="1:38">
      <c r="A23295" s="182"/>
      <c r="Q23295" s="183"/>
      <c r="R23295" s="183"/>
      <c r="S23295" s="183"/>
    </row>
    <row r="23296" spans="1:38">
      <c r="A23296" s="182"/>
      <c r="Q23296" s="183"/>
      <c r="R23296" s="183"/>
      <c r="S23296" s="183"/>
    </row>
    <row r="23297" spans="1:19">
      <c r="A23297" s="182"/>
      <c r="Q23297" s="183"/>
      <c r="R23297" s="183"/>
      <c r="S23297" s="183"/>
    </row>
    <row r="23298" spans="1:19">
      <c r="A23298" s="182"/>
      <c r="Q23298" s="183"/>
      <c r="R23298" s="183"/>
      <c r="S23298" s="183"/>
    </row>
    <row r="23299" spans="1:19">
      <c r="A23299" s="182"/>
      <c r="Q23299" s="183"/>
      <c r="R23299" s="183"/>
      <c r="S23299" s="183"/>
    </row>
    <row r="23300" spans="1:19">
      <c r="A23300" s="182"/>
      <c r="Q23300" s="183"/>
      <c r="R23300" s="183"/>
      <c r="S23300" s="183"/>
    </row>
    <row r="23301" spans="1:19">
      <c r="A23301" s="182"/>
      <c r="Q23301" s="183"/>
      <c r="R23301" s="183"/>
      <c r="S23301" s="183"/>
    </row>
    <row r="23302" spans="1:19">
      <c r="A23302" s="182"/>
      <c r="Q23302" s="183"/>
      <c r="R23302" s="183"/>
      <c r="S23302" s="183"/>
    </row>
    <row r="23303" spans="1:19">
      <c r="A23303" s="182"/>
      <c r="Q23303" s="183"/>
      <c r="R23303" s="183"/>
      <c r="S23303" s="183"/>
    </row>
    <row r="23304" spans="1:19">
      <c r="A23304" s="182"/>
      <c r="Q23304" s="183"/>
      <c r="R23304" s="183"/>
      <c r="S23304" s="183"/>
    </row>
    <row r="23305" spans="1:19">
      <c r="A23305" s="182"/>
      <c r="Q23305" s="183"/>
      <c r="R23305" s="183"/>
      <c r="S23305" s="183"/>
    </row>
    <row r="23306" spans="1:19">
      <c r="A23306" s="182"/>
      <c r="Q23306" s="183"/>
      <c r="R23306" s="183"/>
      <c r="S23306" s="183"/>
    </row>
    <row r="23307" spans="1:19">
      <c r="A23307" s="182"/>
      <c r="Q23307" s="183"/>
      <c r="R23307" s="183"/>
      <c r="S23307" s="183"/>
    </row>
    <row r="23308" spans="1:19">
      <c r="A23308" s="182"/>
      <c r="Q23308" s="183"/>
      <c r="R23308" s="183"/>
      <c r="S23308" s="183"/>
    </row>
    <row r="23309" spans="1:19">
      <c r="A23309" s="182"/>
      <c r="Q23309" s="183"/>
      <c r="R23309" s="183"/>
      <c r="S23309" s="183"/>
    </row>
    <row r="23310" spans="1:19">
      <c r="A23310" s="182"/>
      <c r="Q23310" s="183"/>
      <c r="R23310" s="183"/>
      <c r="S23310" s="183"/>
    </row>
    <row r="23311" spans="1:19">
      <c r="A23311" s="182"/>
      <c r="Q23311" s="183"/>
      <c r="R23311" s="183"/>
      <c r="S23311" s="183"/>
    </row>
    <row r="23312" spans="1:19">
      <c r="A23312" s="182"/>
      <c r="Q23312" s="183"/>
      <c r="R23312" s="183"/>
      <c r="S23312" s="183"/>
    </row>
    <row r="23313" spans="1:19">
      <c r="A23313" s="182"/>
      <c r="Q23313" s="183"/>
      <c r="R23313" s="183"/>
      <c r="S23313" s="183"/>
    </row>
    <row r="23314" spans="1:19">
      <c r="A23314" s="182"/>
      <c r="Q23314" s="183"/>
      <c r="R23314" s="183"/>
      <c r="S23314" s="183"/>
    </row>
    <row r="23315" spans="1:19">
      <c r="A23315" s="182"/>
      <c r="Q23315" s="183"/>
      <c r="R23315" s="183"/>
      <c r="S23315" s="183"/>
    </row>
    <row r="23316" spans="1:19">
      <c r="A23316" s="182"/>
      <c r="Q23316" s="183"/>
      <c r="R23316" s="183"/>
      <c r="S23316" s="183"/>
    </row>
    <row r="23317" spans="1:19">
      <c r="A23317" s="182"/>
      <c r="Q23317" s="183"/>
      <c r="R23317" s="183"/>
      <c r="S23317" s="183"/>
    </row>
    <row r="23318" spans="1:19">
      <c r="A23318" s="182"/>
      <c r="Q23318" s="183"/>
      <c r="R23318" s="183"/>
      <c r="S23318" s="183"/>
    </row>
    <row r="23319" spans="1:19">
      <c r="A23319" s="182"/>
      <c r="Q23319" s="183"/>
      <c r="R23319" s="183"/>
      <c r="S23319" s="183"/>
    </row>
    <row r="23320" spans="1:19">
      <c r="A23320" s="182"/>
      <c r="Q23320" s="183"/>
      <c r="R23320" s="183"/>
      <c r="S23320" s="183"/>
    </row>
    <row r="23321" spans="1:19">
      <c r="A23321" s="182"/>
      <c r="Q23321" s="183"/>
      <c r="R23321" s="183"/>
      <c r="S23321" s="183"/>
    </row>
    <row r="23322" spans="1:19">
      <c r="A23322" s="182"/>
      <c r="Q23322" s="183"/>
      <c r="R23322" s="183"/>
      <c r="S23322" s="183"/>
    </row>
    <row r="23323" spans="1:19">
      <c r="A23323" s="182"/>
      <c r="Q23323" s="183"/>
      <c r="R23323" s="183"/>
      <c r="S23323" s="183"/>
    </row>
    <row r="23324" spans="1:19">
      <c r="A23324" s="182"/>
      <c r="Q23324" s="183"/>
      <c r="R23324" s="183"/>
      <c r="S23324" s="183"/>
    </row>
    <row r="23325" spans="1:19">
      <c r="A23325" s="182"/>
      <c r="Q23325" s="183"/>
      <c r="R23325" s="183"/>
      <c r="S23325" s="183"/>
    </row>
    <row r="23326" spans="1:19">
      <c r="A23326" s="182"/>
      <c r="Q23326" s="183"/>
      <c r="R23326" s="183"/>
      <c r="S23326" s="183"/>
    </row>
    <row r="23327" spans="1:19">
      <c r="A23327" s="182"/>
      <c r="Q23327" s="183"/>
      <c r="R23327" s="183"/>
      <c r="S23327" s="183"/>
    </row>
    <row r="23328" spans="1:19">
      <c r="A23328" s="182"/>
      <c r="Q23328" s="183"/>
      <c r="R23328" s="183"/>
      <c r="S23328" s="183"/>
    </row>
    <row r="23329" spans="1:38">
      <c r="A23329" s="182"/>
      <c r="Q23329" s="183"/>
      <c r="R23329" s="183"/>
      <c r="S23329" s="183"/>
    </row>
    <row r="23330" spans="1:38">
      <c r="A23330" s="182"/>
      <c r="Q23330" s="183"/>
      <c r="R23330" s="183"/>
      <c r="S23330" s="183"/>
    </row>
    <row r="23331" spans="1:38">
      <c r="A23331" s="182"/>
      <c r="Q23331" s="183"/>
      <c r="R23331" s="183"/>
      <c r="S23331" s="183"/>
      <c r="AK23331" s="183"/>
      <c r="AL23331" s="183"/>
    </row>
    <row r="23332" spans="1:38">
      <c r="A23332" s="182"/>
      <c r="Q23332" s="183"/>
      <c r="R23332" s="183"/>
      <c r="S23332" s="183"/>
      <c r="AJ23332" s="183"/>
      <c r="AK23332" s="183"/>
      <c r="AL23332" s="183"/>
    </row>
    <row r="23333" spans="1:38">
      <c r="A23333" s="182"/>
      <c r="Q23333" s="183"/>
      <c r="R23333" s="183"/>
      <c r="S23333" s="183"/>
      <c r="AJ23333" s="183"/>
      <c r="AK23333" s="183"/>
      <c r="AL23333" s="183"/>
    </row>
    <row r="23334" spans="1:38">
      <c r="A23334" s="182"/>
      <c r="Q23334" s="183"/>
      <c r="R23334" s="183"/>
      <c r="S23334" s="183"/>
      <c r="AJ23334" s="183"/>
      <c r="AK23334" s="183"/>
      <c r="AL23334" s="183"/>
    </row>
    <row r="23335" spans="1:38">
      <c r="A23335" s="182"/>
      <c r="Q23335" s="183"/>
      <c r="R23335" s="183"/>
      <c r="S23335" s="183"/>
      <c r="AJ23335" s="183"/>
    </row>
    <row r="23336" spans="1:38">
      <c r="A23336" s="182"/>
      <c r="Q23336" s="183"/>
      <c r="R23336" s="183"/>
      <c r="S23336" s="183"/>
    </row>
    <row r="23337" spans="1:38">
      <c r="A23337" s="182"/>
      <c r="Q23337" s="183"/>
      <c r="R23337" s="183"/>
      <c r="S23337" s="183"/>
    </row>
    <row r="23338" spans="1:38">
      <c r="A23338" s="182"/>
      <c r="Q23338" s="183"/>
      <c r="R23338" s="183"/>
      <c r="S23338" s="183"/>
    </row>
    <row r="23339" spans="1:38">
      <c r="A23339" s="182"/>
      <c r="Q23339" s="183"/>
      <c r="R23339" s="183"/>
      <c r="S23339" s="183"/>
      <c r="AK23339" s="183"/>
      <c r="AL23339" s="183"/>
    </row>
    <row r="23340" spans="1:38">
      <c r="A23340" s="182"/>
      <c r="Q23340" s="183"/>
      <c r="R23340" s="183"/>
      <c r="S23340" s="183"/>
      <c r="AJ23340" s="183"/>
      <c r="AK23340" s="183"/>
      <c r="AL23340" s="183"/>
    </row>
    <row r="23341" spans="1:38">
      <c r="A23341" s="182"/>
      <c r="Q23341" s="183"/>
      <c r="R23341" s="183"/>
      <c r="S23341" s="183"/>
      <c r="AJ23341" s="183"/>
      <c r="AK23341" s="183"/>
      <c r="AL23341" s="183"/>
    </row>
    <row r="23342" spans="1:38">
      <c r="A23342" s="182"/>
      <c r="Q23342" s="183"/>
      <c r="R23342" s="183"/>
      <c r="S23342" s="183"/>
      <c r="AJ23342" s="183"/>
      <c r="AK23342" s="183"/>
      <c r="AL23342" s="183"/>
    </row>
    <row r="23343" spans="1:38">
      <c r="A23343" s="182"/>
      <c r="Q23343" s="183"/>
      <c r="R23343" s="183"/>
      <c r="S23343" s="183"/>
      <c r="AJ23343" s="183"/>
      <c r="AK23343" s="183"/>
      <c r="AL23343" s="183"/>
    </row>
    <row r="23344" spans="1:38">
      <c r="A23344" s="182"/>
      <c r="Q23344" s="183"/>
      <c r="R23344" s="183"/>
      <c r="S23344" s="183"/>
      <c r="AJ23344" s="183"/>
      <c r="AK23344" s="183"/>
      <c r="AL23344" s="183"/>
    </row>
    <row r="23345" spans="1:38">
      <c r="A23345" s="182"/>
      <c r="Q23345" s="183"/>
      <c r="R23345" s="183"/>
      <c r="S23345" s="183"/>
      <c r="AJ23345" s="183"/>
      <c r="AK23345" s="183"/>
      <c r="AL23345" s="183"/>
    </row>
    <row r="23346" spans="1:38">
      <c r="A23346" s="182"/>
      <c r="Q23346" s="183"/>
      <c r="R23346" s="183"/>
      <c r="S23346" s="183"/>
      <c r="AJ23346" s="183"/>
      <c r="AK23346" s="183"/>
      <c r="AL23346" s="183"/>
    </row>
    <row r="23347" spans="1:38">
      <c r="A23347" s="182"/>
      <c r="Q23347" s="183"/>
      <c r="R23347" s="183"/>
      <c r="S23347" s="183"/>
      <c r="AJ23347" s="183"/>
      <c r="AK23347" s="183"/>
      <c r="AL23347" s="183"/>
    </row>
    <row r="23348" spans="1:38">
      <c r="A23348" s="182"/>
      <c r="Q23348" s="183"/>
      <c r="R23348" s="183"/>
      <c r="S23348" s="183"/>
      <c r="AJ23348" s="183"/>
      <c r="AK23348" s="183"/>
      <c r="AL23348" s="183"/>
    </row>
    <row r="23349" spans="1:38">
      <c r="A23349" s="182"/>
      <c r="Q23349" s="183"/>
      <c r="R23349" s="183"/>
      <c r="S23349" s="183"/>
      <c r="AJ23349" s="183"/>
      <c r="AK23349" s="183"/>
      <c r="AL23349" s="183"/>
    </row>
    <row r="23350" spans="1:38">
      <c r="A23350" s="182"/>
      <c r="Q23350" s="183"/>
      <c r="R23350" s="183"/>
      <c r="S23350" s="183"/>
      <c r="AJ23350" s="183"/>
      <c r="AK23350" s="183"/>
      <c r="AL23350" s="183"/>
    </row>
    <row r="23351" spans="1:38">
      <c r="A23351" s="182"/>
      <c r="Q23351" s="183"/>
      <c r="R23351" s="183"/>
      <c r="S23351" s="183"/>
      <c r="AJ23351" s="183"/>
    </row>
    <row r="23352" spans="1:38">
      <c r="A23352" s="182"/>
      <c r="Q23352" s="183"/>
      <c r="R23352" s="183"/>
      <c r="S23352" s="183"/>
    </row>
    <row r="23353" spans="1:38">
      <c r="A23353" s="182"/>
      <c r="Q23353" s="183"/>
      <c r="R23353" s="183"/>
      <c r="S23353" s="183"/>
    </row>
    <row r="23354" spans="1:38">
      <c r="A23354" s="182"/>
      <c r="Q23354" s="183"/>
      <c r="R23354" s="183"/>
      <c r="S23354" s="183"/>
    </row>
    <row r="23355" spans="1:38">
      <c r="A23355" s="182"/>
      <c r="Q23355" s="183"/>
      <c r="R23355" s="183"/>
      <c r="S23355" s="183"/>
    </row>
    <row r="23356" spans="1:38">
      <c r="A23356" s="182"/>
      <c r="Q23356" s="183"/>
      <c r="R23356" s="183"/>
      <c r="S23356" s="183"/>
    </row>
    <row r="23357" spans="1:38">
      <c r="A23357" s="182"/>
      <c r="Q23357" s="183"/>
      <c r="R23357" s="183"/>
      <c r="S23357" s="183"/>
    </row>
    <row r="23358" spans="1:38">
      <c r="A23358" s="182"/>
      <c r="Q23358" s="183"/>
      <c r="R23358" s="183"/>
      <c r="S23358" s="183"/>
    </row>
    <row r="23359" spans="1:38">
      <c r="A23359" s="182"/>
      <c r="Q23359" s="183"/>
      <c r="R23359" s="183"/>
      <c r="S23359" s="183"/>
    </row>
    <row r="23360" spans="1:38">
      <c r="A23360" s="182"/>
      <c r="Q23360" s="183"/>
      <c r="R23360" s="183"/>
      <c r="S23360" s="183"/>
    </row>
    <row r="23361" spans="1:19">
      <c r="A23361" s="182"/>
      <c r="Q23361" s="183"/>
      <c r="R23361" s="183"/>
      <c r="S23361" s="183"/>
    </row>
    <row r="23362" spans="1:19">
      <c r="A23362" s="182"/>
      <c r="Q23362" s="183"/>
      <c r="R23362" s="183"/>
      <c r="S23362" s="183"/>
    </row>
    <row r="23363" spans="1:19">
      <c r="A23363" s="182"/>
      <c r="Q23363" s="183"/>
      <c r="R23363" s="183"/>
      <c r="S23363" s="183"/>
    </row>
    <row r="23364" spans="1:19">
      <c r="A23364" s="182"/>
      <c r="Q23364" s="183"/>
      <c r="R23364" s="183"/>
      <c r="S23364" s="183"/>
    </row>
    <row r="23365" spans="1:19">
      <c r="A23365" s="182"/>
      <c r="Q23365" s="183"/>
      <c r="R23365" s="183"/>
      <c r="S23365" s="183"/>
    </row>
    <row r="23366" spans="1:19">
      <c r="A23366" s="182"/>
      <c r="Q23366" s="183"/>
      <c r="R23366" s="183"/>
      <c r="S23366" s="183"/>
    </row>
    <row r="23367" spans="1:19">
      <c r="A23367" s="182"/>
      <c r="Q23367" s="183"/>
      <c r="R23367" s="183"/>
      <c r="S23367" s="183"/>
    </row>
    <row r="23368" spans="1:19">
      <c r="A23368" s="182"/>
      <c r="Q23368" s="183"/>
      <c r="R23368" s="183"/>
      <c r="S23368" s="183"/>
    </row>
    <row r="23369" spans="1:19">
      <c r="A23369" s="182"/>
      <c r="Q23369" s="183"/>
      <c r="R23369" s="183"/>
      <c r="S23369" s="183"/>
    </row>
    <row r="23370" spans="1:19">
      <c r="A23370" s="182"/>
      <c r="Q23370" s="183"/>
      <c r="R23370" s="183"/>
      <c r="S23370" s="183"/>
    </row>
    <row r="23371" spans="1:19">
      <c r="A23371" s="182"/>
      <c r="Q23371" s="183"/>
      <c r="R23371" s="183"/>
      <c r="S23371" s="183"/>
    </row>
    <row r="23372" spans="1:19">
      <c r="A23372" s="182"/>
      <c r="Q23372" s="183"/>
      <c r="R23372" s="183"/>
      <c r="S23372" s="183"/>
    </row>
    <row r="23373" spans="1:19">
      <c r="A23373" s="182"/>
      <c r="Q23373" s="183"/>
      <c r="R23373" s="183"/>
      <c r="S23373" s="183"/>
    </row>
    <row r="23374" spans="1:19">
      <c r="A23374" s="182"/>
      <c r="Q23374" s="183"/>
      <c r="R23374" s="183"/>
      <c r="S23374" s="183"/>
    </row>
    <row r="23375" spans="1:19">
      <c r="A23375" s="182"/>
      <c r="Q23375" s="183"/>
      <c r="R23375" s="183"/>
      <c r="S23375" s="183"/>
    </row>
    <row r="23376" spans="1:19">
      <c r="A23376" s="182"/>
      <c r="Q23376" s="183"/>
      <c r="R23376" s="183"/>
      <c r="S23376" s="183"/>
    </row>
    <row r="23377" spans="1:38">
      <c r="A23377" s="182"/>
      <c r="Q23377" s="183"/>
      <c r="R23377" s="183"/>
      <c r="S23377" s="183"/>
    </row>
    <row r="23378" spans="1:38">
      <c r="A23378" s="182"/>
      <c r="Q23378" s="183"/>
      <c r="R23378" s="183"/>
      <c r="S23378" s="183"/>
    </row>
    <row r="23379" spans="1:38">
      <c r="A23379" s="182"/>
      <c r="Q23379" s="183"/>
      <c r="R23379" s="183"/>
      <c r="S23379" s="183"/>
    </row>
    <row r="23380" spans="1:38">
      <c r="A23380" s="182"/>
      <c r="Q23380" s="183"/>
      <c r="R23380" s="183"/>
      <c r="S23380" s="183"/>
    </row>
    <row r="23381" spans="1:38">
      <c r="A23381" s="182"/>
      <c r="Q23381" s="183"/>
      <c r="R23381" s="183"/>
      <c r="S23381" s="183"/>
    </row>
    <row r="23382" spans="1:38">
      <c r="A23382" s="182"/>
      <c r="Q23382" s="183"/>
      <c r="R23382" s="183"/>
      <c r="S23382" s="183"/>
    </row>
    <row r="23383" spans="1:38">
      <c r="A23383" s="182"/>
      <c r="Q23383" s="183"/>
      <c r="R23383" s="183"/>
      <c r="S23383" s="183"/>
      <c r="AK23383" s="183"/>
      <c r="AL23383" s="183"/>
    </row>
    <row r="23384" spans="1:38">
      <c r="A23384" s="182"/>
      <c r="Q23384" s="183"/>
      <c r="R23384" s="183"/>
      <c r="S23384" s="183"/>
      <c r="AJ23384" s="183"/>
      <c r="AK23384" s="183"/>
      <c r="AL23384" s="183"/>
    </row>
    <row r="23385" spans="1:38">
      <c r="A23385" s="182"/>
      <c r="Q23385" s="183"/>
      <c r="R23385" s="183"/>
      <c r="S23385" s="183"/>
      <c r="AJ23385" s="183"/>
      <c r="AK23385" s="183"/>
      <c r="AL23385" s="183"/>
    </row>
    <row r="23386" spans="1:38">
      <c r="A23386" s="182"/>
      <c r="Q23386" s="183"/>
      <c r="R23386" s="183"/>
      <c r="S23386" s="183"/>
      <c r="AJ23386" s="183"/>
      <c r="AK23386" s="183"/>
      <c r="AL23386" s="183"/>
    </row>
    <row r="23387" spans="1:38">
      <c r="A23387" s="182"/>
      <c r="Q23387" s="183"/>
      <c r="R23387" s="183"/>
      <c r="S23387" s="183"/>
      <c r="AJ23387" s="183"/>
    </row>
    <row r="23388" spans="1:38">
      <c r="A23388" s="182"/>
      <c r="Q23388" s="183"/>
      <c r="R23388" s="183"/>
      <c r="S23388" s="183"/>
    </row>
    <row r="23389" spans="1:38">
      <c r="A23389" s="182"/>
      <c r="Q23389" s="183"/>
      <c r="R23389" s="183"/>
      <c r="S23389" s="183"/>
    </row>
    <row r="23390" spans="1:38">
      <c r="A23390" s="182"/>
      <c r="Q23390" s="183"/>
      <c r="R23390" s="183"/>
      <c r="S23390" s="183"/>
    </row>
    <row r="23391" spans="1:38">
      <c r="A23391" s="182"/>
      <c r="Q23391" s="183"/>
      <c r="R23391" s="183"/>
      <c r="S23391" s="183"/>
    </row>
    <row r="23392" spans="1:38">
      <c r="A23392" s="182"/>
      <c r="Q23392" s="183"/>
      <c r="R23392" s="183"/>
      <c r="S23392" s="183"/>
    </row>
    <row r="23393" spans="1:38">
      <c r="A23393" s="182"/>
      <c r="Q23393" s="183"/>
      <c r="R23393" s="183"/>
      <c r="S23393" s="183"/>
    </row>
    <row r="23394" spans="1:38">
      <c r="A23394" s="182"/>
      <c r="Q23394" s="183"/>
      <c r="R23394" s="183"/>
      <c r="S23394" s="183"/>
    </row>
    <row r="23395" spans="1:38">
      <c r="A23395" s="182"/>
      <c r="Q23395" s="183"/>
      <c r="R23395" s="183"/>
      <c r="S23395" s="183"/>
    </row>
    <row r="23396" spans="1:38">
      <c r="A23396" s="182"/>
      <c r="Q23396" s="183"/>
      <c r="R23396" s="183"/>
      <c r="S23396" s="183"/>
    </row>
    <row r="23397" spans="1:38">
      <c r="A23397" s="182"/>
      <c r="Q23397" s="183"/>
      <c r="R23397" s="183"/>
      <c r="S23397" s="183"/>
    </row>
    <row r="23398" spans="1:38">
      <c r="A23398" s="182"/>
      <c r="Q23398" s="183"/>
      <c r="R23398" s="183"/>
      <c r="S23398" s="183"/>
    </row>
    <row r="23399" spans="1:38">
      <c r="A23399" s="182"/>
      <c r="Q23399" s="183"/>
      <c r="R23399" s="183"/>
      <c r="S23399" s="183"/>
    </row>
    <row r="23400" spans="1:38">
      <c r="A23400" s="182"/>
      <c r="Q23400" s="183"/>
      <c r="R23400" s="183"/>
      <c r="S23400" s="183"/>
    </row>
    <row r="23401" spans="1:38">
      <c r="A23401" s="182"/>
      <c r="Q23401" s="183"/>
      <c r="R23401" s="183"/>
      <c r="S23401" s="183"/>
    </row>
    <row r="23402" spans="1:38">
      <c r="A23402" s="182"/>
      <c r="Q23402" s="183"/>
      <c r="R23402" s="183"/>
      <c r="S23402" s="183"/>
    </row>
    <row r="23403" spans="1:38">
      <c r="A23403" s="182"/>
      <c r="Q23403" s="183"/>
      <c r="R23403" s="183"/>
      <c r="S23403" s="183"/>
      <c r="AK23403" s="183"/>
      <c r="AL23403" s="183"/>
    </row>
    <row r="23404" spans="1:38">
      <c r="A23404" s="182"/>
      <c r="Q23404" s="183"/>
      <c r="R23404" s="183"/>
      <c r="S23404" s="183"/>
      <c r="AJ23404" s="183"/>
      <c r="AK23404" s="183"/>
      <c r="AL23404" s="183"/>
    </row>
    <row r="23405" spans="1:38">
      <c r="A23405" s="182"/>
      <c r="Q23405" s="183"/>
      <c r="R23405" s="183"/>
      <c r="S23405" s="183"/>
      <c r="AJ23405" s="183"/>
      <c r="AK23405" s="183"/>
      <c r="AL23405" s="183"/>
    </row>
    <row r="23406" spans="1:38">
      <c r="A23406" s="182"/>
      <c r="Q23406" s="183"/>
      <c r="R23406" s="183"/>
      <c r="S23406" s="183"/>
      <c r="AJ23406" s="183"/>
      <c r="AK23406" s="183"/>
      <c r="AL23406" s="183"/>
    </row>
    <row r="23407" spans="1:38">
      <c r="A23407" s="182"/>
      <c r="Q23407" s="183"/>
      <c r="R23407" s="183"/>
      <c r="S23407" s="183"/>
      <c r="AJ23407" s="183"/>
      <c r="AK23407" s="183"/>
      <c r="AL23407" s="183"/>
    </row>
    <row r="23408" spans="1:38">
      <c r="A23408" s="182"/>
      <c r="Q23408" s="183"/>
      <c r="R23408" s="183"/>
      <c r="S23408" s="183"/>
      <c r="AJ23408" s="183"/>
      <c r="AK23408" s="183"/>
      <c r="AL23408" s="183"/>
    </row>
    <row r="23409" spans="1:38">
      <c r="A23409" s="182"/>
      <c r="Q23409" s="183"/>
      <c r="R23409" s="183"/>
      <c r="S23409" s="183"/>
      <c r="AJ23409" s="183"/>
      <c r="AK23409" s="183"/>
      <c r="AL23409" s="183"/>
    </row>
    <row r="23410" spans="1:38">
      <c r="A23410" s="182"/>
      <c r="Q23410" s="183"/>
      <c r="R23410" s="183"/>
      <c r="S23410" s="183"/>
      <c r="AJ23410" s="183"/>
      <c r="AK23410" s="183"/>
      <c r="AL23410" s="183"/>
    </row>
    <row r="23411" spans="1:38">
      <c r="A23411" s="182"/>
      <c r="Q23411" s="183"/>
      <c r="R23411" s="183"/>
      <c r="S23411" s="183"/>
      <c r="AJ23411" s="183"/>
    </row>
    <row r="23412" spans="1:38">
      <c r="A23412" s="182"/>
      <c r="Q23412" s="183"/>
      <c r="R23412" s="183"/>
      <c r="S23412" s="183"/>
    </row>
    <row r="23413" spans="1:38">
      <c r="A23413" s="182"/>
      <c r="Q23413" s="183"/>
      <c r="R23413" s="183"/>
      <c r="S23413" s="183"/>
    </row>
    <row r="23414" spans="1:38">
      <c r="A23414" s="182"/>
      <c r="Q23414" s="183"/>
      <c r="R23414" s="183"/>
      <c r="S23414" s="183"/>
    </row>
    <row r="23415" spans="1:38">
      <c r="A23415" s="182"/>
      <c r="Q23415" s="183"/>
      <c r="R23415" s="183"/>
      <c r="S23415" s="183"/>
    </row>
    <row r="23416" spans="1:38">
      <c r="A23416" s="182"/>
      <c r="Q23416" s="183"/>
      <c r="R23416" s="183"/>
      <c r="S23416" s="183"/>
    </row>
    <row r="23417" spans="1:38">
      <c r="A23417" s="182"/>
      <c r="Q23417" s="183"/>
      <c r="R23417" s="183"/>
      <c r="S23417" s="183"/>
    </row>
    <row r="23418" spans="1:38">
      <c r="A23418" s="182"/>
      <c r="Q23418" s="183"/>
      <c r="R23418" s="183"/>
      <c r="S23418" s="183"/>
    </row>
    <row r="23419" spans="1:38">
      <c r="A23419" s="182"/>
      <c r="Q23419" s="183"/>
      <c r="R23419" s="183"/>
      <c r="S23419" s="183"/>
      <c r="AK23419" s="183"/>
      <c r="AL23419" s="183"/>
    </row>
    <row r="23420" spans="1:38">
      <c r="A23420" s="182"/>
      <c r="Q23420" s="183"/>
      <c r="R23420" s="183"/>
      <c r="S23420" s="183"/>
      <c r="AJ23420" s="183"/>
      <c r="AK23420" s="183"/>
      <c r="AL23420" s="183"/>
    </row>
    <row r="23421" spans="1:38">
      <c r="A23421" s="182"/>
      <c r="Q23421" s="183"/>
      <c r="R23421" s="183"/>
      <c r="S23421" s="183"/>
      <c r="AJ23421" s="183"/>
      <c r="AK23421" s="183"/>
      <c r="AL23421" s="183"/>
    </row>
    <row r="23422" spans="1:38">
      <c r="A23422" s="182"/>
      <c r="Q23422" s="183"/>
      <c r="R23422" s="183"/>
      <c r="S23422" s="183"/>
      <c r="AJ23422" s="183"/>
      <c r="AK23422" s="183"/>
      <c r="AL23422" s="183"/>
    </row>
    <row r="23423" spans="1:38">
      <c r="A23423" s="182"/>
      <c r="Q23423" s="183"/>
      <c r="R23423" s="183"/>
      <c r="S23423" s="183"/>
      <c r="AJ23423" s="183"/>
      <c r="AK23423" s="183"/>
      <c r="AL23423" s="183"/>
    </row>
    <row r="23424" spans="1:38">
      <c r="A23424" s="182"/>
      <c r="Q23424" s="183"/>
      <c r="R23424" s="183"/>
      <c r="S23424" s="183"/>
      <c r="AJ23424" s="183"/>
      <c r="AK23424" s="183"/>
      <c r="AL23424" s="183"/>
    </row>
    <row r="23425" spans="1:38">
      <c r="A23425" s="182"/>
      <c r="Q23425" s="183"/>
      <c r="R23425" s="183"/>
      <c r="S23425" s="183"/>
      <c r="AJ23425" s="183"/>
      <c r="AK23425" s="183"/>
      <c r="AL23425" s="183"/>
    </row>
    <row r="23426" spans="1:38">
      <c r="A23426" s="182"/>
      <c r="Q23426" s="183"/>
      <c r="R23426" s="183"/>
      <c r="S23426" s="183"/>
      <c r="AJ23426" s="183"/>
      <c r="AK23426" s="183"/>
      <c r="AL23426" s="183"/>
    </row>
    <row r="23427" spans="1:38">
      <c r="A23427" s="182"/>
      <c r="Q23427" s="183"/>
      <c r="R23427" s="183"/>
      <c r="S23427" s="183"/>
      <c r="AJ23427" s="183"/>
    </row>
    <row r="23428" spans="1:38">
      <c r="A23428" s="182"/>
      <c r="Q23428" s="183"/>
      <c r="R23428" s="183"/>
      <c r="S23428" s="183"/>
    </row>
    <row r="23429" spans="1:38">
      <c r="A23429" s="182"/>
      <c r="Q23429" s="183"/>
      <c r="R23429" s="183"/>
      <c r="S23429" s="183"/>
    </row>
    <row r="23430" spans="1:38">
      <c r="A23430" s="182"/>
      <c r="Q23430" s="183"/>
      <c r="R23430" s="183"/>
      <c r="S23430" s="183"/>
    </row>
    <row r="23431" spans="1:38">
      <c r="A23431" s="182"/>
      <c r="Q23431" s="183"/>
      <c r="R23431" s="183"/>
      <c r="S23431" s="183"/>
    </row>
    <row r="23432" spans="1:38">
      <c r="A23432" s="182"/>
      <c r="Q23432" s="183"/>
      <c r="R23432" s="183"/>
      <c r="S23432" s="183"/>
    </row>
    <row r="23433" spans="1:38">
      <c r="A23433" s="182"/>
      <c r="Q23433" s="183"/>
      <c r="R23433" s="183"/>
      <c r="S23433" s="183"/>
    </row>
    <row r="23434" spans="1:38">
      <c r="A23434" s="182"/>
      <c r="Q23434" s="183"/>
      <c r="R23434" s="183"/>
      <c r="S23434" s="183"/>
    </row>
    <row r="23435" spans="1:38">
      <c r="A23435" s="182"/>
      <c r="Q23435" s="183"/>
      <c r="R23435" s="183"/>
      <c r="S23435" s="183"/>
    </row>
    <row r="23436" spans="1:38">
      <c r="A23436" s="182"/>
      <c r="Q23436" s="183"/>
      <c r="R23436" s="183"/>
      <c r="S23436" s="183"/>
    </row>
    <row r="23437" spans="1:38">
      <c r="A23437" s="182"/>
      <c r="Q23437" s="183"/>
      <c r="R23437" s="183"/>
      <c r="S23437" s="183"/>
    </row>
    <row r="23438" spans="1:38">
      <c r="A23438" s="182"/>
      <c r="Q23438" s="183"/>
      <c r="R23438" s="183"/>
      <c r="S23438" s="183"/>
    </row>
    <row r="23439" spans="1:38">
      <c r="A23439" s="182"/>
      <c r="Q23439" s="183"/>
      <c r="R23439" s="183"/>
      <c r="S23439" s="183"/>
      <c r="AK23439" s="183"/>
      <c r="AL23439" s="183"/>
    </row>
    <row r="23440" spans="1:38">
      <c r="A23440" s="182"/>
      <c r="Q23440" s="183"/>
      <c r="R23440" s="183"/>
      <c r="S23440" s="183"/>
      <c r="AJ23440" s="183"/>
      <c r="AK23440" s="183"/>
      <c r="AL23440" s="183"/>
    </row>
    <row r="23441" spans="1:38">
      <c r="A23441" s="182"/>
      <c r="Q23441" s="183"/>
      <c r="R23441" s="183"/>
      <c r="S23441" s="183"/>
      <c r="AJ23441" s="183"/>
      <c r="AK23441" s="183"/>
      <c r="AL23441" s="183"/>
    </row>
    <row r="23442" spans="1:38">
      <c r="A23442" s="182"/>
      <c r="Q23442" s="183"/>
      <c r="R23442" s="183"/>
      <c r="S23442" s="183"/>
      <c r="AJ23442" s="183"/>
      <c r="AK23442" s="183"/>
      <c r="AL23442" s="183"/>
    </row>
    <row r="23443" spans="1:38">
      <c r="A23443" s="182"/>
      <c r="Q23443" s="183"/>
      <c r="R23443" s="183"/>
      <c r="S23443" s="183"/>
      <c r="AJ23443" s="183"/>
      <c r="AK23443" s="183"/>
      <c r="AL23443" s="183"/>
    </row>
    <row r="23444" spans="1:38">
      <c r="A23444" s="182"/>
      <c r="Q23444" s="183"/>
      <c r="R23444" s="183"/>
      <c r="S23444" s="183"/>
      <c r="AJ23444" s="183"/>
      <c r="AK23444" s="183"/>
      <c r="AL23444" s="183"/>
    </row>
    <row r="23445" spans="1:38">
      <c r="A23445" s="182"/>
      <c r="Q23445" s="183"/>
      <c r="R23445" s="183"/>
      <c r="S23445" s="183"/>
      <c r="AJ23445" s="183"/>
      <c r="AK23445" s="183"/>
      <c r="AL23445" s="183"/>
    </row>
    <row r="23446" spans="1:38">
      <c r="A23446" s="182"/>
      <c r="Q23446" s="183"/>
      <c r="R23446" s="183"/>
      <c r="S23446" s="183"/>
      <c r="AJ23446" s="183"/>
      <c r="AK23446" s="183"/>
      <c r="AL23446" s="183"/>
    </row>
    <row r="23447" spans="1:38">
      <c r="A23447" s="182"/>
      <c r="Q23447" s="183"/>
      <c r="R23447" s="183"/>
      <c r="S23447" s="183"/>
      <c r="AJ23447" s="183"/>
      <c r="AK23447" s="183"/>
      <c r="AL23447" s="183"/>
    </row>
    <row r="23448" spans="1:38">
      <c r="A23448" s="182"/>
      <c r="Q23448" s="183"/>
      <c r="R23448" s="183"/>
      <c r="S23448" s="183"/>
      <c r="AJ23448" s="183"/>
      <c r="AK23448" s="183"/>
      <c r="AL23448" s="183"/>
    </row>
    <row r="23449" spans="1:38">
      <c r="A23449" s="182"/>
      <c r="Q23449" s="183"/>
      <c r="R23449" s="183"/>
      <c r="S23449" s="183"/>
      <c r="AJ23449" s="183"/>
      <c r="AK23449" s="183"/>
      <c r="AL23449" s="183"/>
    </row>
    <row r="23450" spans="1:38">
      <c r="A23450" s="182"/>
      <c r="Q23450" s="183"/>
      <c r="R23450" s="183"/>
      <c r="S23450" s="183"/>
      <c r="AJ23450" s="183"/>
      <c r="AK23450" s="183"/>
      <c r="AL23450" s="183"/>
    </row>
    <row r="23451" spans="1:38">
      <c r="A23451" s="182"/>
      <c r="Q23451" s="183"/>
      <c r="R23451" s="183"/>
      <c r="S23451" s="183"/>
      <c r="AJ23451" s="183"/>
    </row>
    <row r="23452" spans="1:38">
      <c r="A23452" s="182"/>
      <c r="Q23452" s="183"/>
      <c r="R23452" s="183"/>
      <c r="S23452" s="183"/>
    </row>
    <row r="23453" spans="1:38">
      <c r="A23453" s="182"/>
      <c r="Q23453" s="183"/>
      <c r="R23453" s="183"/>
      <c r="S23453" s="183"/>
    </row>
    <row r="23454" spans="1:38">
      <c r="A23454" s="182"/>
      <c r="Q23454" s="183"/>
      <c r="R23454" s="183"/>
      <c r="S23454" s="183"/>
    </row>
    <row r="23455" spans="1:38">
      <c r="A23455" s="182"/>
      <c r="Q23455" s="183"/>
      <c r="R23455" s="183"/>
      <c r="S23455" s="183"/>
    </row>
    <row r="23456" spans="1:38">
      <c r="A23456" s="182"/>
      <c r="Q23456" s="183"/>
      <c r="R23456" s="183"/>
      <c r="S23456" s="183"/>
    </row>
    <row r="23457" spans="1:38">
      <c r="A23457" s="182"/>
      <c r="Q23457" s="183"/>
      <c r="R23457" s="183"/>
      <c r="S23457" s="183"/>
    </row>
    <row r="23458" spans="1:38">
      <c r="A23458" s="182"/>
      <c r="Q23458" s="183"/>
      <c r="R23458" s="183"/>
      <c r="S23458" s="183"/>
    </row>
    <row r="23459" spans="1:38">
      <c r="A23459" s="182"/>
      <c r="Q23459" s="183"/>
      <c r="R23459" s="183"/>
      <c r="S23459" s="183"/>
    </row>
    <row r="23460" spans="1:38">
      <c r="A23460" s="182"/>
      <c r="Q23460" s="183"/>
      <c r="R23460" s="183"/>
      <c r="S23460" s="183"/>
    </row>
    <row r="23461" spans="1:38">
      <c r="A23461" s="182"/>
      <c r="Q23461" s="183"/>
      <c r="R23461" s="183"/>
      <c r="S23461" s="183"/>
    </row>
    <row r="23462" spans="1:38">
      <c r="A23462" s="182"/>
      <c r="Q23462" s="183"/>
      <c r="R23462" s="183"/>
      <c r="S23462" s="183"/>
    </row>
    <row r="23463" spans="1:38">
      <c r="A23463" s="182"/>
      <c r="Q23463" s="183"/>
      <c r="R23463" s="183"/>
      <c r="S23463" s="183"/>
    </row>
    <row r="23464" spans="1:38">
      <c r="A23464" s="182"/>
      <c r="Q23464" s="183"/>
      <c r="R23464" s="183"/>
      <c r="S23464" s="183"/>
    </row>
    <row r="23465" spans="1:38">
      <c r="A23465" s="182"/>
      <c r="Q23465" s="183"/>
      <c r="R23465" s="183"/>
      <c r="S23465" s="183"/>
    </row>
    <row r="23466" spans="1:38">
      <c r="A23466" s="182"/>
      <c r="Q23466" s="183"/>
      <c r="R23466" s="183"/>
      <c r="S23466" s="183"/>
    </row>
    <row r="23467" spans="1:38">
      <c r="A23467" s="182"/>
      <c r="Q23467" s="183"/>
      <c r="R23467" s="183"/>
      <c r="S23467" s="183"/>
    </row>
    <row r="23468" spans="1:38">
      <c r="A23468" s="182"/>
      <c r="Q23468" s="183"/>
      <c r="R23468" s="183"/>
      <c r="S23468" s="183"/>
    </row>
    <row r="23469" spans="1:38">
      <c r="A23469" s="182"/>
      <c r="Q23469" s="183"/>
      <c r="R23469" s="183"/>
      <c r="S23469" s="183"/>
    </row>
    <row r="23470" spans="1:38">
      <c r="A23470" s="182"/>
      <c r="Q23470" s="183"/>
      <c r="R23470" s="183"/>
      <c r="S23470" s="183"/>
    </row>
    <row r="23471" spans="1:38">
      <c r="A23471" s="182"/>
      <c r="Q23471" s="183"/>
      <c r="R23471" s="183"/>
      <c r="S23471" s="183"/>
      <c r="AK23471" s="183"/>
      <c r="AL23471" s="183"/>
    </row>
    <row r="23472" spans="1:38">
      <c r="A23472" s="182"/>
      <c r="Q23472" s="183"/>
      <c r="R23472" s="183"/>
      <c r="S23472" s="183"/>
      <c r="AJ23472" s="183"/>
      <c r="AK23472" s="183"/>
      <c r="AL23472" s="183"/>
    </row>
    <row r="23473" spans="1:38">
      <c r="A23473" s="182"/>
      <c r="Q23473" s="183"/>
      <c r="R23473" s="183"/>
      <c r="S23473" s="183"/>
      <c r="AJ23473" s="183"/>
      <c r="AK23473" s="183"/>
      <c r="AL23473" s="183"/>
    </row>
    <row r="23474" spans="1:38">
      <c r="A23474" s="182"/>
      <c r="Q23474" s="183"/>
      <c r="R23474" s="183"/>
      <c r="S23474" s="183"/>
      <c r="AJ23474" s="183"/>
      <c r="AK23474" s="183"/>
      <c r="AL23474" s="183"/>
    </row>
    <row r="23475" spans="1:38">
      <c r="A23475" s="182"/>
      <c r="Q23475" s="183"/>
      <c r="R23475" s="183"/>
      <c r="S23475" s="183"/>
      <c r="AJ23475" s="183"/>
    </row>
    <row r="23476" spans="1:38">
      <c r="A23476" s="182"/>
      <c r="Q23476" s="183"/>
      <c r="R23476" s="183"/>
      <c r="S23476" s="183"/>
    </row>
    <row r="23477" spans="1:38">
      <c r="A23477" s="182"/>
      <c r="Q23477" s="183"/>
      <c r="R23477" s="183"/>
      <c r="S23477" s="183"/>
    </row>
    <row r="23478" spans="1:38">
      <c r="A23478" s="182"/>
      <c r="Q23478" s="183"/>
      <c r="R23478" s="183"/>
      <c r="S23478" s="183"/>
    </row>
    <row r="23479" spans="1:38">
      <c r="A23479" s="182"/>
      <c r="Q23479" s="183"/>
      <c r="R23479" s="183"/>
      <c r="S23479" s="183"/>
    </row>
    <row r="23480" spans="1:38">
      <c r="A23480" s="182"/>
      <c r="Q23480" s="183"/>
      <c r="R23480" s="183"/>
      <c r="S23480" s="183"/>
    </row>
    <row r="23481" spans="1:38">
      <c r="A23481" s="182"/>
      <c r="Q23481" s="183"/>
      <c r="R23481" s="183"/>
      <c r="S23481" s="183"/>
    </row>
    <row r="23482" spans="1:38">
      <c r="A23482" s="182"/>
      <c r="Q23482" s="183"/>
      <c r="R23482" s="183"/>
      <c r="S23482" s="183"/>
    </row>
    <row r="23483" spans="1:38">
      <c r="A23483" s="182"/>
      <c r="Q23483" s="183"/>
      <c r="R23483" s="183"/>
      <c r="S23483" s="183"/>
    </row>
    <row r="23484" spans="1:38">
      <c r="A23484" s="182"/>
      <c r="Q23484" s="183"/>
      <c r="R23484" s="183"/>
      <c r="S23484" s="183"/>
    </row>
    <row r="23485" spans="1:38">
      <c r="A23485" s="182"/>
      <c r="Q23485" s="183"/>
      <c r="R23485" s="183"/>
      <c r="S23485" s="183"/>
    </row>
    <row r="23486" spans="1:38">
      <c r="A23486" s="182"/>
      <c r="Q23486" s="183"/>
      <c r="R23486" s="183"/>
      <c r="S23486" s="183"/>
    </row>
    <row r="23487" spans="1:38">
      <c r="A23487" s="182"/>
      <c r="Q23487" s="183"/>
      <c r="R23487" s="183"/>
      <c r="S23487" s="183"/>
    </row>
    <row r="23488" spans="1:38">
      <c r="A23488" s="182"/>
      <c r="Q23488" s="183"/>
      <c r="R23488" s="183"/>
      <c r="S23488" s="183"/>
    </row>
    <row r="23489" spans="1:38">
      <c r="A23489" s="182"/>
      <c r="Q23489" s="183"/>
      <c r="R23489" s="183"/>
      <c r="S23489" s="183"/>
    </row>
    <row r="23490" spans="1:38">
      <c r="A23490" s="182"/>
      <c r="Q23490" s="183"/>
      <c r="R23490" s="183"/>
      <c r="S23490" s="183"/>
    </row>
    <row r="23491" spans="1:38">
      <c r="A23491" s="182"/>
      <c r="Q23491" s="183"/>
      <c r="R23491" s="183"/>
      <c r="S23491" s="183"/>
    </row>
    <row r="23492" spans="1:38">
      <c r="A23492" s="182"/>
      <c r="Q23492" s="183"/>
      <c r="R23492" s="183"/>
      <c r="S23492" s="183"/>
    </row>
    <row r="23493" spans="1:38">
      <c r="A23493" s="182"/>
      <c r="Q23493" s="183"/>
      <c r="R23493" s="183"/>
      <c r="S23493" s="183"/>
    </row>
    <row r="23494" spans="1:38">
      <c r="A23494" s="182"/>
      <c r="Q23494" s="183"/>
      <c r="R23494" s="183"/>
      <c r="S23494" s="183"/>
    </row>
    <row r="23495" spans="1:38">
      <c r="A23495" s="182"/>
      <c r="Q23495" s="183"/>
      <c r="R23495" s="183"/>
      <c r="S23495" s="183"/>
      <c r="AK23495" s="183"/>
      <c r="AL23495" s="183"/>
    </row>
    <row r="23496" spans="1:38">
      <c r="A23496" s="182"/>
      <c r="Q23496" s="183"/>
      <c r="R23496" s="183"/>
      <c r="S23496" s="183"/>
      <c r="AJ23496" s="183"/>
      <c r="AK23496" s="183"/>
      <c r="AL23496" s="183"/>
    </row>
    <row r="23497" spans="1:38">
      <c r="A23497" s="182"/>
      <c r="Q23497" s="183"/>
      <c r="R23497" s="183"/>
      <c r="S23497" s="183"/>
      <c r="AJ23497" s="183"/>
      <c r="AK23497" s="183"/>
      <c r="AL23497" s="183"/>
    </row>
    <row r="23498" spans="1:38">
      <c r="A23498" s="182"/>
      <c r="Q23498" s="183"/>
      <c r="R23498" s="183"/>
      <c r="S23498" s="183"/>
      <c r="AJ23498" s="183"/>
      <c r="AK23498" s="183"/>
      <c r="AL23498" s="183"/>
    </row>
    <row r="23499" spans="1:38">
      <c r="A23499" s="182"/>
      <c r="Q23499" s="183"/>
      <c r="R23499" s="183"/>
      <c r="S23499" s="183"/>
      <c r="AJ23499" s="183"/>
    </row>
    <row r="23500" spans="1:38">
      <c r="A23500" s="182"/>
      <c r="Q23500" s="183"/>
      <c r="R23500" s="183"/>
      <c r="S23500" s="183"/>
    </row>
    <row r="23501" spans="1:38">
      <c r="A23501" s="182"/>
      <c r="Q23501" s="183"/>
      <c r="R23501" s="183"/>
      <c r="S23501" s="183"/>
    </row>
    <row r="23502" spans="1:38">
      <c r="A23502" s="182"/>
      <c r="Q23502" s="183"/>
      <c r="R23502" s="183"/>
      <c r="S23502" s="183"/>
    </row>
    <row r="23503" spans="1:38">
      <c r="A23503" s="182"/>
      <c r="Q23503" s="183"/>
      <c r="R23503" s="183"/>
      <c r="S23503" s="183"/>
    </row>
    <row r="23504" spans="1:38">
      <c r="A23504" s="182"/>
      <c r="Q23504" s="183"/>
      <c r="R23504" s="183"/>
      <c r="S23504" s="183"/>
    </row>
    <row r="23505" spans="1:38">
      <c r="A23505" s="182"/>
      <c r="Q23505" s="183"/>
      <c r="R23505" s="183"/>
      <c r="S23505" s="183"/>
    </row>
    <row r="23506" spans="1:38">
      <c r="A23506" s="182"/>
      <c r="Q23506" s="183"/>
      <c r="R23506" s="183"/>
      <c r="S23506" s="183"/>
    </row>
    <row r="23507" spans="1:38">
      <c r="A23507" s="182"/>
      <c r="Q23507" s="183"/>
      <c r="R23507" s="183"/>
      <c r="S23507" s="183"/>
      <c r="AK23507" s="183"/>
      <c r="AL23507" s="183"/>
    </row>
    <row r="23508" spans="1:38">
      <c r="A23508" s="182"/>
      <c r="Q23508" s="183"/>
      <c r="R23508" s="183"/>
      <c r="S23508" s="183"/>
      <c r="AJ23508" s="183"/>
      <c r="AK23508" s="183"/>
      <c r="AL23508" s="183"/>
    </row>
    <row r="23509" spans="1:38">
      <c r="A23509" s="182"/>
      <c r="Q23509" s="183"/>
      <c r="R23509" s="183"/>
      <c r="S23509" s="183"/>
      <c r="AJ23509" s="183"/>
      <c r="AK23509" s="183"/>
      <c r="AL23509" s="183"/>
    </row>
    <row r="23510" spans="1:38">
      <c r="A23510" s="182"/>
      <c r="M23510" s="183"/>
      <c r="N23510" s="183"/>
      <c r="Q23510" s="183"/>
      <c r="R23510" s="183"/>
      <c r="S23510" s="183"/>
      <c r="AJ23510" s="183"/>
      <c r="AK23510" s="183"/>
      <c r="AL23510" s="183"/>
    </row>
    <row r="23511" spans="1:38">
      <c r="A23511" s="182"/>
      <c r="L23511" s="183"/>
      <c r="Q23511" s="183"/>
      <c r="R23511" s="183"/>
      <c r="S23511" s="183"/>
      <c r="AJ23511" s="183"/>
    </row>
    <row r="23512" spans="1:38">
      <c r="A23512" s="182"/>
      <c r="Q23512" s="183"/>
      <c r="R23512" s="183"/>
      <c r="S23512" s="183"/>
    </row>
    <row r="23513" spans="1:38">
      <c r="A23513" s="182"/>
      <c r="Q23513" s="183"/>
      <c r="R23513" s="183"/>
      <c r="S23513" s="183"/>
    </row>
    <row r="23514" spans="1:38">
      <c r="A23514" s="182"/>
      <c r="Q23514" s="183"/>
      <c r="R23514" s="183"/>
      <c r="S23514" s="183"/>
    </row>
    <row r="23515" spans="1:38">
      <c r="A23515" s="182"/>
      <c r="Q23515" s="183"/>
      <c r="R23515" s="183"/>
      <c r="S23515" s="183"/>
    </row>
    <row r="23516" spans="1:38">
      <c r="A23516" s="182"/>
      <c r="Q23516" s="183"/>
      <c r="R23516" s="183"/>
      <c r="S23516" s="183"/>
    </row>
    <row r="23517" spans="1:38">
      <c r="A23517" s="182"/>
      <c r="Q23517" s="183"/>
      <c r="R23517" s="183"/>
      <c r="S23517" s="183"/>
    </row>
    <row r="23518" spans="1:38">
      <c r="A23518" s="182"/>
      <c r="Q23518" s="183"/>
      <c r="R23518" s="183"/>
      <c r="S23518" s="183"/>
    </row>
    <row r="23519" spans="1:38">
      <c r="A23519" s="182"/>
      <c r="Q23519" s="183"/>
      <c r="R23519" s="183"/>
      <c r="S23519" s="183"/>
      <c r="AK23519" s="183"/>
      <c r="AL23519" s="183"/>
    </row>
    <row r="23520" spans="1:38">
      <c r="A23520" s="182"/>
      <c r="Q23520" s="183"/>
      <c r="R23520" s="183"/>
      <c r="S23520" s="183"/>
      <c r="AJ23520" s="183"/>
      <c r="AK23520" s="183"/>
      <c r="AL23520" s="183"/>
    </row>
    <row r="23521" spans="1:38">
      <c r="A23521" s="182"/>
      <c r="Q23521" s="183"/>
      <c r="R23521" s="183"/>
      <c r="S23521" s="183"/>
      <c r="AJ23521" s="183"/>
      <c r="AK23521" s="183"/>
      <c r="AL23521" s="183"/>
    </row>
    <row r="23522" spans="1:38">
      <c r="A23522" s="182"/>
      <c r="Q23522" s="183"/>
      <c r="R23522" s="183"/>
      <c r="S23522" s="183"/>
      <c r="AJ23522" s="183"/>
      <c r="AK23522" s="183"/>
      <c r="AL23522" s="183"/>
    </row>
    <row r="23523" spans="1:38">
      <c r="A23523" s="182"/>
      <c r="Q23523" s="183"/>
      <c r="R23523" s="183"/>
      <c r="S23523" s="183"/>
      <c r="AJ23523" s="183"/>
    </row>
    <row r="23524" spans="1:38">
      <c r="A23524" s="182"/>
      <c r="Q23524" s="183"/>
      <c r="R23524" s="183"/>
      <c r="S23524" s="183"/>
    </row>
    <row r="23525" spans="1:38">
      <c r="A23525" s="182"/>
      <c r="Q23525" s="183"/>
      <c r="R23525" s="183"/>
      <c r="S23525" s="183"/>
    </row>
    <row r="23526" spans="1:38">
      <c r="A23526" s="182"/>
      <c r="Q23526" s="183"/>
      <c r="R23526" s="183"/>
      <c r="S23526" s="183"/>
    </row>
    <row r="23527" spans="1:38">
      <c r="A23527" s="182"/>
      <c r="Q23527" s="183"/>
      <c r="R23527" s="183"/>
      <c r="S23527" s="183"/>
      <c r="AK23527" s="183"/>
      <c r="AL23527" s="183"/>
    </row>
    <row r="23528" spans="1:38">
      <c r="A23528" s="182"/>
      <c r="Q23528" s="183"/>
      <c r="R23528" s="183"/>
      <c r="S23528" s="183"/>
      <c r="AJ23528" s="183"/>
      <c r="AK23528" s="183"/>
      <c r="AL23528" s="183"/>
    </row>
    <row r="23529" spans="1:38">
      <c r="A23529" s="182"/>
      <c r="Q23529" s="183"/>
      <c r="R23529" s="183"/>
      <c r="S23529" s="183"/>
      <c r="AJ23529" s="183"/>
      <c r="AK23529" s="183"/>
      <c r="AL23529" s="183"/>
    </row>
    <row r="23530" spans="1:38">
      <c r="A23530" s="182"/>
      <c r="Q23530" s="183"/>
      <c r="R23530" s="183"/>
      <c r="S23530" s="183"/>
      <c r="AJ23530" s="183"/>
      <c r="AK23530" s="183"/>
      <c r="AL23530" s="183"/>
    </row>
    <row r="23531" spans="1:38">
      <c r="A23531" s="182"/>
      <c r="Q23531" s="183"/>
      <c r="R23531" s="183"/>
      <c r="S23531" s="183"/>
      <c r="AJ23531" s="183"/>
      <c r="AK23531" s="183"/>
      <c r="AL23531" s="183"/>
    </row>
    <row r="23532" spans="1:38">
      <c r="A23532" s="182"/>
      <c r="Q23532" s="183"/>
      <c r="R23532" s="183"/>
      <c r="S23532" s="183"/>
      <c r="AJ23532" s="183"/>
      <c r="AK23532" s="183"/>
      <c r="AL23532" s="183"/>
    </row>
    <row r="23533" spans="1:38">
      <c r="A23533" s="182"/>
      <c r="Q23533" s="183"/>
      <c r="R23533" s="183"/>
      <c r="S23533" s="183"/>
      <c r="AJ23533" s="183"/>
      <c r="AK23533" s="183"/>
      <c r="AL23533" s="183"/>
    </row>
    <row r="23534" spans="1:38">
      <c r="A23534" s="182"/>
      <c r="Q23534" s="183"/>
      <c r="R23534" s="183"/>
      <c r="S23534" s="183"/>
      <c r="AJ23534" s="183"/>
      <c r="AK23534" s="183"/>
      <c r="AL23534" s="183"/>
    </row>
    <row r="23535" spans="1:38">
      <c r="A23535" s="182"/>
      <c r="Q23535" s="183"/>
      <c r="R23535" s="183"/>
      <c r="S23535" s="183"/>
      <c r="AJ23535" s="183"/>
    </row>
    <row r="23536" spans="1:38">
      <c r="A23536" s="182"/>
      <c r="Q23536" s="183"/>
      <c r="R23536" s="183"/>
      <c r="S23536" s="183"/>
    </row>
    <row r="23537" spans="1:38">
      <c r="A23537" s="182"/>
      <c r="Q23537" s="183"/>
      <c r="R23537" s="183"/>
      <c r="S23537" s="183"/>
    </row>
    <row r="23538" spans="1:38">
      <c r="A23538" s="182"/>
      <c r="Q23538" s="183"/>
      <c r="R23538" s="183"/>
      <c r="S23538" s="183"/>
    </row>
    <row r="23539" spans="1:38">
      <c r="A23539" s="182"/>
      <c r="Q23539" s="183"/>
      <c r="R23539" s="183"/>
      <c r="S23539" s="183"/>
      <c r="AK23539" s="183"/>
      <c r="AL23539" s="183"/>
    </row>
    <row r="23540" spans="1:38">
      <c r="A23540" s="182"/>
      <c r="Q23540" s="183"/>
      <c r="R23540" s="183"/>
      <c r="S23540" s="183"/>
      <c r="AJ23540" s="183"/>
      <c r="AK23540" s="183"/>
      <c r="AL23540" s="183"/>
    </row>
    <row r="23541" spans="1:38">
      <c r="A23541" s="182"/>
      <c r="Q23541" s="183"/>
      <c r="R23541" s="183"/>
      <c r="S23541" s="183"/>
      <c r="AJ23541" s="183"/>
      <c r="AK23541" s="183"/>
      <c r="AL23541" s="183"/>
    </row>
    <row r="23542" spans="1:38">
      <c r="A23542" s="182"/>
      <c r="Q23542" s="183"/>
      <c r="R23542" s="183"/>
      <c r="S23542" s="183"/>
      <c r="AJ23542" s="183"/>
      <c r="AK23542" s="183"/>
      <c r="AL23542" s="183"/>
    </row>
    <row r="23543" spans="1:38">
      <c r="A23543" s="182"/>
      <c r="Q23543" s="183"/>
      <c r="R23543" s="183"/>
      <c r="S23543" s="183"/>
      <c r="AJ23543" s="183"/>
    </row>
    <row r="23544" spans="1:38">
      <c r="A23544" s="182"/>
      <c r="Q23544" s="183"/>
      <c r="R23544" s="183"/>
      <c r="S23544" s="183"/>
    </row>
    <row r="23545" spans="1:38">
      <c r="A23545" s="182"/>
      <c r="Q23545" s="183"/>
      <c r="R23545" s="183"/>
      <c r="S23545" s="183"/>
    </row>
    <row r="23546" spans="1:38">
      <c r="A23546" s="182"/>
      <c r="Q23546" s="183"/>
      <c r="R23546" s="183"/>
      <c r="S23546" s="183"/>
    </row>
    <row r="23547" spans="1:38">
      <c r="A23547" s="182"/>
      <c r="Q23547" s="183"/>
      <c r="R23547" s="183"/>
      <c r="S23547" s="183"/>
      <c r="AK23547" s="183"/>
      <c r="AL23547" s="183"/>
    </row>
    <row r="23548" spans="1:38">
      <c r="A23548" s="182"/>
      <c r="Q23548" s="183"/>
      <c r="R23548" s="183"/>
      <c r="S23548" s="183"/>
      <c r="AJ23548" s="183"/>
      <c r="AK23548" s="183"/>
      <c r="AL23548" s="183"/>
    </row>
    <row r="23549" spans="1:38">
      <c r="A23549" s="182"/>
      <c r="Q23549" s="183"/>
      <c r="R23549" s="183"/>
      <c r="S23549" s="183"/>
      <c r="AJ23549" s="183"/>
      <c r="AK23549" s="183"/>
      <c r="AL23549" s="183"/>
    </row>
    <row r="23550" spans="1:38">
      <c r="A23550" s="182"/>
      <c r="Q23550" s="183"/>
      <c r="R23550" s="183"/>
      <c r="S23550" s="183"/>
      <c r="AJ23550" s="183"/>
      <c r="AK23550" s="183"/>
      <c r="AL23550" s="183"/>
    </row>
    <row r="23551" spans="1:38">
      <c r="A23551" s="182"/>
      <c r="Q23551" s="183"/>
      <c r="R23551" s="183"/>
      <c r="S23551" s="183"/>
      <c r="AJ23551" s="183"/>
    </row>
    <row r="23552" spans="1:38">
      <c r="A23552" s="182"/>
      <c r="Q23552" s="183"/>
      <c r="R23552" s="183"/>
      <c r="S23552" s="183"/>
    </row>
    <row r="23553" spans="1:38">
      <c r="A23553" s="182"/>
      <c r="Q23553" s="183"/>
      <c r="R23553" s="183"/>
      <c r="S23553" s="183"/>
    </row>
    <row r="23554" spans="1:38">
      <c r="A23554" s="182"/>
      <c r="Q23554" s="183"/>
      <c r="R23554" s="183"/>
      <c r="S23554" s="183"/>
    </row>
    <row r="23555" spans="1:38">
      <c r="A23555" s="182"/>
      <c r="Q23555" s="183"/>
      <c r="R23555" s="183"/>
      <c r="S23555" s="183"/>
    </row>
    <row r="23556" spans="1:38">
      <c r="A23556" s="182"/>
      <c r="Q23556" s="183"/>
      <c r="R23556" s="183"/>
      <c r="S23556" s="183"/>
    </row>
    <row r="23557" spans="1:38">
      <c r="A23557" s="182"/>
      <c r="Q23557" s="183"/>
      <c r="R23557" s="183"/>
      <c r="S23557" s="183"/>
    </row>
    <row r="23558" spans="1:38">
      <c r="A23558" s="182"/>
      <c r="Q23558" s="183"/>
      <c r="R23558" s="183"/>
      <c r="S23558" s="183"/>
    </row>
    <row r="23559" spans="1:38">
      <c r="A23559" s="182"/>
      <c r="Q23559" s="183"/>
      <c r="R23559" s="183"/>
      <c r="S23559" s="183"/>
    </row>
    <row r="23560" spans="1:38">
      <c r="A23560" s="182"/>
      <c r="Q23560" s="183"/>
      <c r="R23560" s="183"/>
      <c r="S23560" s="183"/>
    </row>
    <row r="23561" spans="1:38">
      <c r="A23561" s="182"/>
      <c r="Q23561" s="183"/>
      <c r="R23561" s="183"/>
      <c r="S23561" s="183"/>
    </row>
    <row r="23562" spans="1:38">
      <c r="A23562" s="182"/>
      <c r="Q23562" s="183"/>
      <c r="R23562" s="183"/>
      <c r="S23562" s="183"/>
    </row>
    <row r="23563" spans="1:38">
      <c r="A23563" s="182"/>
      <c r="Q23563" s="183"/>
      <c r="R23563" s="183"/>
      <c r="S23563" s="183"/>
    </row>
    <row r="23564" spans="1:38">
      <c r="A23564" s="182"/>
      <c r="Q23564" s="183"/>
      <c r="R23564" s="183"/>
      <c r="S23564" s="183"/>
    </row>
    <row r="23565" spans="1:38">
      <c r="A23565" s="182"/>
      <c r="Q23565" s="183"/>
      <c r="R23565" s="183"/>
      <c r="S23565" s="183"/>
    </row>
    <row r="23566" spans="1:38">
      <c r="A23566" s="182"/>
      <c r="Q23566" s="183"/>
      <c r="R23566" s="183"/>
      <c r="S23566" s="183"/>
    </row>
    <row r="23567" spans="1:38">
      <c r="A23567" s="182"/>
      <c r="Q23567" s="183"/>
      <c r="R23567" s="183"/>
      <c r="S23567" s="183"/>
      <c r="AK23567" s="183"/>
      <c r="AL23567" s="183"/>
    </row>
    <row r="23568" spans="1:38">
      <c r="A23568" s="182"/>
      <c r="Q23568" s="183"/>
      <c r="R23568" s="183"/>
      <c r="S23568" s="183"/>
      <c r="AJ23568" s="183"/>
      <c r="AK23568" s="183"/>
      <c r="AL23568" s="183"/>
    </row>
    <row r="23569" spans="1:38">
      <c r="A23569" s="182"/>
      <c r="Q23569" s="183"/>
      <c r="R23569" s="183"/>
      <c r="S23569" s="183"/>
      <c r="AJ23569" s="183"/>
      <c r="AK23569" s="183"/>
      <c r="AL23569" s="183"/>
    </row>
    <row r="23570" spans="1:38">
      <c r="A23570" s="182"/>
      <c r="Q23570" s="183"/>
      <c r="R23570" s="183"/>
      <c r="S23570" s="183"/>
      <c r="AJ23570" s="183"/>
      <c r="AK23570" s="183"/>
      <c r="AL23570" s="183"/>
    </row>
    <row r="23571" spans="1:38">
      <c r="A23571" s="182"/>
      <c r="Q23571" s="183"/>
      <c r="R23571" s="183"/>
      <c r="S23571" s="183"/>
      <c r="AJ23571" s="183"/>
    </row>
    <row r="23572" spans="1:38">
      <c r="A23572" s="182"/>
      <c r="Q23572" s="183"/>
      <c r="R23572" s="183"/>
      <c r="S23572" s="183"/>
    </row>
    <row r="23573" spans="1:38">
      <c r="A23573" s="182"/>
      <c r="Q23573" s="183"/>
      <c r="R23573" s="183"/>
      <c r="S23573" s="183"/>
    </row>
    <row r="23574" spans="1:38">
      <c r="A23574" s="182"/>
      <c r="Q23574" s="183"/>
      <c r="R23574" s="183"/>
      <c r="S23574" s="183"/>
    </row>
    <row r="23575" spans="1:38">
      <c r="A23575" s="182"/>
      <c r="Q23575" s="183"/>
      <c r="R23575" s="183"/>
      <c r="S23575" s="183"/>
    </row>
    <row r="23576" spans="1:38">
      <c r="A23576" s="182"/>
      <c r="Q23576" s="183"/>
      <c r="R23576" s="183"/>
      <c r="S23576" s="183"/>
    </row>
    <row r="23577" spans="1:38">
      <c r="A23577" s="182"/>
      <c r="Q23577" s="183"/>
      <c r="R23577" s="183"/>
      <c r="S23577" s="183"/>
    </row>
    <row r="23578" spans="1:38">
      <c r="A23578" s="182"/>
      <c r="Q23578" s="183"/>
      <c r="R23578" s="183"/>
      <c r="S23578" s="183"/>
    </row>
    <row r="23579" spans="1:38">
      <c r="A23579" s="182"/>
      <c r="Q23579" s="183"/>
      <c r="R23579" s="183"/>
      <c r="S23579" s="183"/>
    </row>
    <row r="23580" spans="1:38">
      <c r="A23580" s="182"/>
      <c r="Q23580" s="183"/>
      <c r="R23580" s="183"/>
      <c r="S23580" s="183"/>
    </row>
    <row r="23581" spans="1:38">
      <c r="A23581" s="182"/>
      <c r="Q23581" s="183"/>
      <c r="R23581" s="183"/>
      <c r="S23581" s="183"/>
    </row>
    <row r="23582" spans="1:38">
      <c r="A23582" s="182"/>
      <c r="Q23582" s="183"/>
      <c r="R23582" s="183"/>
      <c r="S23582" s="183"/>
    </row>
    <row r="23583" spans="1:38">
      <c r="A23583" s="182"/>
      <c r="N23583" s="183"/>
      <c r="O23583" s="183"/>
      <c r="Q23583" s="183"/>
      <c r="R23583" s="183"/>
      <c r="S23583" s="183"/>
    </row>
    <row r="23584" spans="1:38">
      <c r="A23584" s="182"/>
      <c r="M23584" s="183"/>
      <c r="Q23584" s="183"/>
      <c r="R23584" s="183"/>
      <c r="S23584" s="183"/>
    </row>
    <row r="23585" spans="1:38">
      <c r="A23585" s="182"/>
      <c r="Q23585" s="183"/>
      <c r="R23585" s="183"/>
      <c r="S23585" s="183"/>
    </row>
    <row r="23586" spans="1:38">
      <c r="A23586" s="182"/>
      <c r="Q23586" s="183"/>
      <c r="R23586" s="183"/>
      <c r="S23586" s="183"/>
    </row>
    <row r="23587" spans="1:38">
      <c r="A23587" s="182"/>
      <c r="Q23587" s="183"/>
      <c r="R23587" s="183"/>
      <c r="S23587" s="183"/>
    </row>
    <row r="23588" spans="1:38">
      <c r="A23588" s="182"/>
      <c r="Q23588" s="183"/>
      <c r="R23588" s="183"/>
      <c r="S23588" s="183"/>
    </row>
    <row r="23589" spans="1:38">
      <c r="A23589" s="182"/>
      <c r="Q23589" s="183"/>
      <c r="R23589" s="183"/>
      <c r="S23589" s="183"/>
    </row>
    <row r="23590" spans="1:38">
      <c r="A23590" s="182"/>
      <c r="Q23590" s="183"/>
      <c r="R23590" s="183"/>
      <c r="S23590" s="183"/>
    </row>
    <row r="23591" spans="1:38">
      <c r="A23591" s="182"/>
      <c r="Q23591" s="183"/>
      <c r="R23591" s="183"/>
      <c r="S23591" s="183"/>
      <c r="AK23591" s="183"/>
      <c r="AL23591" s="183"/>
    </row>
    <row r="23592" spans="1:38">
      <c r="A23592" s="182"/>
      <c r="Q23592" s="183"/>
      <c r="R23592" s="183"/>
      <c r="S23592" s="183"/>
      <c r="AJ23592" s="183"/>
      <c r="AK23592" s="183"/>
      <c r="AL23592" s="183"/>
    </row>
    <row r="23593" spans="1:38">
      <c r="A23593" s="182"/>
      <c r="Q23593" s="183"/>
      <c r="R23593" s="183"/>
      <c r="S23593" s="183"/>
      <c r="AJ23593" s="183"/>
      <c r="AK23593" s="183"/>
      <c r="AL23593" s="183"/>
    </row>
    <row r="23594" spans="1:38">
      <c r="A23594" s="182"/>
      <c r="Q23594" s="183"/>
      <c r="R23594" s="183"/>
      <c r="S23594" s="183"/>
      <c r="AJ23594" s="183"/>
      <c r="AK23594" s="183"/>
      <c r="AL23594" s="183"/>
    </row>
    <row r="23595" spans="1:38">
      <c r="A23595" s="182"/>
      <c r="Q23595" s="183"/>
      <c r="R23595" s="183"/>
      <c r="S23595" s="183"/>
      <c r="AJ23595" s="183"/>
    </row>
    <row r="23596" spans="1:38">
      <c r="A23596" s="182"/>
      <c r="Q23596" s="183"/>
      <c r="R23596" s="183"/>
      <c r="S23596" s="183"/>
    </row>
    <row r="23597" spans="1:38">
      <c r="A23597" s="182"/>
      <c r="Q23597" s="183"/>
      <c r="R23597" s="183"/>
      <c r="S23597" s="183"/>
    </row>
    <row r="23598" spans="1:38">
      <c r="A23598" s="182"/>
      <c r="Q23598" s="183"/>
      <c r="R23598" s="183"/>
      <c r="S23598" s="183"/>
    </row>
    <row r="23599" spans="1:38">
      <c r="A23599" s="182"/>
      <c r="Q23599" s="183"/>
      <c r="R23599" s="183"/>
      <c r="S23599" s="183"/>
      <c r="AK23599" s="183"/>
      <c r="AL23599" s="183"/>
    </row>
    <row r="23600" spans="1:38">
      <c r="A23600" s="182"/>
      <c r="Q23600" s="183"/>
      <c r="R23600" s="183"/>
      <c r="S23600" s="183"/>
      <c r="AJ23600" s="183"/>
      <c r="AK23600" s="183"/>
      <c r="AL23600" s="183"/>
    </row>
    <row r="23601" spans="1:38">
      <c r="A23601" s="182"/>
      <c r="Q23601" s="183"/>
      <c r="R23601" s="183"/>
      <c r="S23601" s="183"/>
      <c r="AJ23601" s="183"/>
      <c r="AK23601" s="183"/>
      <c r="AL23601" s="183"/>
    </row>
    <row r="23602" spans="1:38">
      <c r="A23602" s="182"/>
      <c r="Q23602" s="183"/>
      <c r="R23602" s="183"/>
      <c r="S23602" s="183"/>
      <c r="AJ23602" s="183"/>
      <c r="AK23602" s="183"/>
      <c r="AL23602" s="183"/>
    </row>
    <row r="23603" spans="1:38">
      <c r="A23603" s="182"/>
      <c r="Q23603" s="183"/>
      <c r="R23603" s="183"/>
      <c r="S23603" s="183"/>
      <c r="AJ23603" s="183"/>
    </row>
    <row r="23604" spans="1:38">
      <c r="A23604" s="182"/>
      <c r="Q23604" s="183"/>
      <c r="R23604" s="183"/>
      <c r="S23604" s="183"/>
    </row>
    <row r="23605" spans="1:38">
      <c r="A23605" s="182"/>
      <c r="Q23605" s="183"/>
      <c r="R23605" s="183"/>
      <c r="S23605" s="183"/>
    </row>
    <row r="23606" spans="1:38">
      <c r="A23606" s="182"/>
      <c r="Q23606" s="183"/>
      <c r="R23606" s="183"/>
      <c r="S23606" s="183"/>
    </row>
    <row r="23607" spans="1:38">
      <c r="A23607" s="182"/>
      <c r="Q23607" s="183"/>
      <c r="R23607" s="183"/>
      <c r="S23607" s="183"/>
      <c r="AK23607" s="183"/>
      <c r="AL23607" s="183"/>
    </row>
    <row r="23608" spans="1:38">
      <c r="A23608" s="182"/>
      <c r="Q23608" s="183"/>
      <c r="R23608" s="183"/>
      <c r="S23608" s="183"/>
      <c r="AJ23608" s="183"/>
      <c r="AK23608" s="183"/>
      <c r="AL23608" s="183"/>
    </row>
    <row r="23609" spans="1:38">
      <c r="A23609" s="182"/>
      <c r="Q23609" s="183"/>
      <c r="R23609" s="183"/>
      <c r="S23609" s="183"/>
      <c r="AJ23609" s="183"/>
      <c r="AK23609" s="183"/>
      <c r="AL23609" s="183"/>
    </row>
    <row r="23610" spans="1:38">
      <c r="A23610" s="182"/>
      <c r="Q23610" s="183"/>
      <c r="R23610" s="183"/>
      <c r="S23610" s="183"/>
      <c r="AJ23610" s="183"/>
      <c r="AK23610" s="183"/>
      <c r="AL23610" s="183"/>
    </row>
    <row r="23611" spans="1:38">
      <c r="A23611" s="182"/>
      <c r="Q23611" s="183"/>
      <c r="R23611" s="183"/>
      <c r="S23611" s="183"/>
      <c r="AJ23611" s="183"/>
      <c r="AK23611" s="183"/>
      <c r="AL23611" s="183"/>
    </row>
    <row r="23612" spans="1:38">
      <c r="A23612" s="182"/>
      <c r="Q23612" s="183"/>
      <c r="R23612" s="183"/>
      <c r="S23612" s="183"/>
      <c r="AJ23612" s="183"/>
      <c r="AK23612" s="183"/>
      <c r="AL23612" s="183"/>
    </row>
    <row r="23613" spans="1:38">
      <c r="A23613" s="182"/>
      <c r="Q23613" s="183"/>
      <c r="R23613" s="183"/>
      <c r="S23613" s="183"/>
      <c r="AJ23613" s="183"/>
      <c r="AK23613" s="183"/>
      <c r="AL23613" s="183"/>
    </row>
    <row r="23614" spans="1:38">
      <c r="A23614" s="182"/>
      <c r="Q23614" s="183"/>
      <c r="R23614" s="183"/>
      <c r="S23614" s="183"/>
      <c r="AJ23614" s="183"/>
      <c r="AK23614" s="183"/>
      <c r="AL23614" s="183"/>
    </row>
    <row r="23615" spans="1:38">
      <c r="A23615" s="182"/>
      <c r="Q23615" s="183"/>
      <c r="R23615" s="183"/>
      <c r="S23615" s="183"/>
      <c r="AJ23615" s="183"/>
    </row>
    <row r="23616" spans="1:38">
      <c r="A23616" s="182"/>
      <c r="Q23616" s="183"/>
      <c r="R23616" s="183"/>
      <c r="S23616" s="183"/>
    </row>
    <row r="23617" spans="1:38">
      <c r="A23617" s="182"/>
      <c r="Q23617" s="183"/>
      <c r="R23617" s="183"/>
      <c r="S23617" s="183"/>
    </row>
    <row r="23618" spans="1:38">
      <c r="A23618" s="182"/>
      <c r="Q23618" s="183"/>
      <c r="R23618" s="183"/>
      <c r="S23618" s="183"/>
    </row>
    <row r="23619" spans="1:38">
      <c r="A23619" s="182"/>
      <c r="Q23619" s="183"/>
      <c r="R23619" s="183"/>
      <c r="S23619" s="183"/>
      <c r="AK23619" s="183"/>
      <c r="AL23619" s="183"/>
    </row>
    <row r="23620" spans="1:38">
      <c r="A23620" s="182"/>
      <c r="Q23620" s="183"/>
      <c r="R23620" s="183"/>
      <c r="S23620" s="183"/>
      <c r="AJ23620" s="183"/>
      <c r="AK23620" s="183"/>
      <c r="AL23620" s="183"/>
    </row>
    <row r="23621" spans="1:38">
      <c r="A23621" s="182"/>
      <c r="Q23621" s="183"/>
      <c r="R23621" s="183"/>
      <c r="S23621" s="183"/>
      <c r="AJ23621" s="183"/>
      <c r="AK23621" s="183"/>
      <c r="AL23621" s="183"/>
    </row>
    <row r="23622" spans="1:38">
      <c r="A23622" s="182"/>
      <c r="Q23622" s="183"/>
      <c r="R23622" s="183"/>
      <c r="S23622" s="183"/>
      <c r="AJ23622" s="183"/>
      <c r="AK23622" s="183"/>
      <c r="AL23622" s="183"/>
    </row>
    <row r="23623" spans="1:38">
      <c r="A23623" s="182"/>
      <c r="Q23623" s="183"/>
      <c r="R23623" s="183"/>
      <c r="S23623" s="183"/>
      <c r="AJ23623" s="183"/>
      <c r="AK23623" s="183"/>
      <c r="AL23623" s="183"/>
    </row>
    <row r="23624" spans="1:38">
      <c r="A23624" s="182"/>
      <c r="Q23624" s="183"/>
      <c r="R23624" s="183"/>
      <c r="S23624" s="183"/>
      <c r="AJ23624" s="183"/>
      <c r="AK23624" s="183"/>
      <c r="AL23624" s="183"/>
    </row>
    <row r="23625" spans="1:38">
      <c r="A23625" s="182"/>
      <c r="Q23625" s="183"/>
      <c r="R23625" s="183"/>
      <c r="S23625" s="183"/>
      <c r="AJ23625" s="183"/>
      <c r="AK23625" s="183"/>
      <c r="AL23625" s="183"/>
    </row>
    <row r="23626" spans="1:38">
      <c r="A23626" s="182"/>
      <c r="Q23626" s="183"/>
      <c r="R23626" s="183"/>
      <c r="S23626" s="183"/>
      <c r="AJ23626" s="183"/>
      <c r="AK23626" s="183"/>
      <c r="AL23626" s="183"/>
    </row>
    <row r="23627" spans="1:38">
      <c r="A23627" s="182"/>
      <c r="Q23627" s="183"/>
      <c r="R23627" s="183"/>
      <c r="S23627" s="183"/>
      <c r="AJ23627" s="183"/>
      <c r="AK23627" s="183"/>
      <c r="AL23627" s="183"/>
    </row>
    <row r="23628" spans="1:38">
      <c r="A23628" s="182"/>
      <c r="Q23628" s="183"/>
      <c r="R23628" s="183"/>
      <c r="S23628" s="183"/>
      <c r="AJ23628" s="183"/>
      <c r="AK23628" s="183"/>
      <c r="AL23628" s="183"/>
    </row>
    <row r="23629" spans="1:38">
      <c r="A23629" s="182"/>
      <c r="Q23629" s="183"/>
      <c r="R23629" s="183"/>
      <c r="S23629" s="183"/>
      <c r="AJ23629" s="183"/>
      <c r="AK23629" s="183"/>
      <c r="AL23629" s="183"/>
    </row>
    <row r="23630" spans="1:38">
      <c r="A23630" s="182"/>
      <c r="Q23630" s="183"/>
      <c r="R23630" s="183"/>
      <c r="S23630" s="183"/>
      <c r="AJ23630" s="183"/>
      <c r="AK23630" s="183"/>
      <c r="AL23630" s="183"/>
    </row>
    <row r="23631" spans="1:38">
      <c r="A23631" s="182"/>
      <c r="Q23631" s="183"/>
      <c r="R23631" s="183"/>
      <c r="S23631" s="183"/>
      <c r="AJ23631" s="183"/>
      <c r="AK23631" s="183"/>
      <c r="AL23631" s="183"/>
    </row>
    <row r="23632" spans="1:38">
      <c r="A23632" s="182"/>
      <c r="Q23632" s="183"/>
      <c r="R23632" s="183"/>
      <c r="S23632" s="183"/>
      <c r="AJ23632" s="183"/>
      <c r="AK23632" s="183"/>
      <c r="AL23632" s="183"/>
    </row>
    <row r="23633" spans="1:38">
      <c r="A23633" s="182"/>
      <c r="Q23633" s="183"/>
      <c r="R23633" s="183"/>
      <c r="S23633" s="183"/>
      <c r="AJ23633" s="183"/>
      <c r="AK23633" s="183"/>
      <c r="AL23633" s="183"/>
    </row>
    <row r="23634" spans="1:38">
      <c r="A23634" s="182"/>
      <c r="Q23634" s="183"/>
      <c r="R23634" s="183"/>
      <c r="S23634" s="183"/>
      <c r="AJ23634" s="183"/>
      <c r="AK23634" s="183"/>
      <c r="AL23634" s="183"/>
    </row>
    <row r="23635" spans="1:38">
      <c r="A23635" s="182"/>
      <c r="Q23635" s="183"/>
      <c r="R23635" s="183"/>
      <c r="S23635" s="183"/>
      <c r="AJ23635" s="183"/>
    </row>
    <row r="23636" spans="1:38">
      <c r="A23636" s="182"/>
      <c r="Q23636" s="183"/>
      <c r="R23636" s="183"/>
      <c r="S23636" s="183"/>
    </row>
    <row r="23637" spans="1:38">
      <c r="A23637" s="182"/>
      <c r="Q23637" s="183"/>
      <c r="R23637" s="183"/>
      <c r="S23637" s="183"/>
    </row>
    <row r="23638" spans="1:38">
      <c r="A23638" s="182"/>
      <c r="Q23638" s="183"/>
      <c r="R23638" s="183"/>
      <c r="S23638" s="183"/>
    </row>
    <row r="23639" spans="1:38">
      <c r="A23639" s="182"/>
      <c r="Q23639" s="183"/>
      <c r="R23639" s="183"/>
      <c r="S23639" s="183"/>
    </row>
    <row r="23640" spans="1:38">
      <c r="A23640" s="182"/>
      <c r="Q23640" s="183"/>
      <c r="R23640" s="183"/>
      <c r="S23640" s="183"/>
    </row>
    <row r="23641" spans="1:38">
      <c r="A23641" s="182"/>
      <c r="Q23641" s="183"/>
      <c r="R23641" s="183"/>
      <c r="S23641" s="183"/>
    </row>
    <row r="23642" spans="1:38">
      <c r="A23642" s="182"/>
      <c r="Q23642" s="183"/>
      <c r="R23642" s="183"/>
      <c r="S23642" s="183"/>
    </row>
    <row r="23643" spans="1:38">
      <c r="A23643" s="182"/>
      <c r="Q23643" s="183"/>
      <c r="R23643" s="183"/>
      <c r="S23643" s="183"/>
    </row>
    <row r="23644" spans="1:38">
      <c r="A23644" s="182"/>
      <c r="Q23644" s="183"/>
      <c r="R23644" s="183"/>
      <c r="S23644" s="183"/>
    </row>
    <row r="23645" spans="1:38">
      <c r="A23645" s="182"/>
      <c r="Q23645" s="183"/>
      <c r="R23645" s="183"/>
      <c r="S23645" s="183"/>
    </row>
    <row r="23646" spans="1:38">
      <c r="A23646" s="182"/>
      <c r="Q23646" s="183"/>
      <c r="R23646" s="183"/>
      <c r="S23646" s="183"/>
    </row>
    <row r="23647" spans="1:38">
      <c r="A23647" s="182"/>
      <c r="Q23647" s="183"/>
      <c r="R23647" s="183"/>
      <c r="S23647" s="183"/>
    </row>
    <row r="23648" spans="1:38">
      <c r="A23648" s="182"/>
      <c r="Q23648" s="183"/>
      <c r="R23648" s="183"/>
      <c r="S23648" s="183"/>
    </row>
    <row r="23649" spans="1:38">
      <c r="A23649" s="182"/>
      <c r="Q23649" s="183"/>
      <c r="R23649" s="183"/>
      <c r="S23649" s="183"/>
    </row>
    <row r="23650" spans="1:38">
      <c r="A23650" s="182"/>
      <c r="Q23650" s="183"/>
      <c r="R23650" s="183"/>
      <c r="S23650" s="183"/>
    </row>
    <row r="23651" spans="1:38">
      <c r="A23651" s="182"/>
      <c r="Q23651" s="183"/>
      <c r="R23651" s="183"/>
      <c r="S23651" s="183"/>
    </row>
    <row r="23652" spans="1:38">
      <c r="A23652" s="182"/>
      <c r="Q23652" s="183"/>
      <c r="R23652" s="183"/>
      <c r="S23652" s="183"/>
    </row>
    <row r="23653" spans="1:38">
      <c r="A23653" s="182"/>
      <c r="Q23653" s="183"/>
      <c r="R23653" s="183"/>
      <c r="S23653" s="183"/>
    </row>
    <row r="23654" spans="1:38">
      <c r="A23654" s="182"/>
      <c r="Q23654" s="183"/>
      <c r="R23654" s="183"/>
      <c r="S23654" s="183"/>
    </row>
    <row r="23655" spans="1:38">
      <c r="A23655" s="182"/>
      <c r="Q23655" s="183"/>
      <c r="R23655" s="183"/>
      <c r="S23655" s="183"/>
    </row>
    <row r="23656" spans="1:38">
      <c r="A23656" s="182"/>
      <c r="Q23656" s="183"/>
      <c r="R23656" s="183"/>
      <c r="S23656" s="183"/>
    </row>
    <row r="23657" spans="1:38">
      <c r="A23657" s="182"/>
      <c r="Q23657" s="183"/>
      <c r="R23657" s="183"/>
      <c r="S23657" s="183"/>
    </row>
    <row r="23658" spans="1:38">
      <c r="A23658" s="182"/>
      <c r="Q23658" s="183"/>
      <c r="R23658" s="183"/>
      <c r="S23658" s="183"/>
    </row>
    <row r="23659" spans="1:38">
      <c r="A23659" s="182"/>
      <c r="Q23659" s="183"/>
      <c r="R23659" s="183"/>
      <c r="S23659" s="183"/>
      <c r="AK23659" s="183"/>
      <c r="AL23659" s="183"/>
    </row>
    <row r="23660" spans="1:38">
      <c r="A23660" s="182"/>
      <c r="Q23660" s="183"/>
      <c r="R23660" s="183"/>
      <c r="S23660" s="183"/>
      <c r="AJ23660" s="183"/>
      <c r="AK23660" s="183"/>
      <c r="AL23660" s="183"/>
    </row>
    <row r="23661" spans="1:38">
      <c r="A23661" s="182"/>
      <c r="Q23661" s="183"/>
      <c r="R23661" s="183"/>
      <c r="S23661" s="183"/>
      <c r="AJ23661" s="183"/>
      <c r="AK23661" s="183"/>
      <c r="AL23661" s="183"/>
    </row>
    <row r="23662" spans="1:38">
      <c r="A23662" s="182"/>
      <c r="Q23662" s="183"/>
      <c r="R23662" s="183"/>
      <c r="S23662" s="183"/>
      <c r="AJ23662" s="183"/>
      <c r="AK23662" s="183"/>
      <c r="AL23662" s="183"/>
    </row>
    <row r="23663" spans="1:38">
      <c r="A23663" s="182"/>
      <c r="Q23663" s="183"/>
      <c r="R23663" s="183"/>
      <c r="S23663" s="183"/>
      <c r="AJ23663" s="183"/>
    </row>
    <row r="23664" spans="1:38">
      <c r="A23664" s="182"/>
      <c r="Q23664" s="183"/>
      <c r="R23664" s="183"/>
      <c r="S23664" s="183"/>
    </row>
    <row r="23665" spans="1:38">
      <c r="A23665" s="182"/>
      <c r="Q23665" s="183"/>
      <c r="R23665" s="183"/>
      <c r="S23665" s="183"/>
    </row>
    <row r="23666" spans="1:38">
      <c r="A23666" s="182"/>
      <c r="Q23666" s="183"/>
      <c r="R23666" s="183"/>
      <c r="S23666" s="183"/>
    </row>
    <row r="23667" spans="1:38">
      <c r="A23667" s="182"/>
      <c r="Q23667" s="183"/>
      <c r="R23667" s="183"/>
      <c r="S23667" s="183"/>
    </row>
    <row r="23668" spans="1:38">
      <c r="A23668" s="182"/>
      <c r="Q23668" s="183"/>
      <c r="R23668" s="183"/>
      <c r="S23668" s="183"/>
    </row>
    <row r="23669" spans="1:38">
      <c r="A23669" s="182"/>
      <c r="Q23669" s="183"/>
      <c r="R23669" s="183"/>
      <c r="S23669" s="183"/>
    </row>
    <row r="23670" spans="1:38">
      <c r="A23670" s="182"/>
      <c r="Q23670" s="183"/>
      <c r="R23670" s="183"/>
      <c r="S23670" s="183"/>
    </row>
    <row r="23671" spans="1:38">
      <c r="A23671" s="182"/>
      <c r="Q23671" s="183"/>
      <c r="R23671" s="183"/>
      <c r="S23671" s="183"/>
    </row>
    <row r="23672" spans="1:38">
      <c r="A23672" s="182"/>
      <c r="Q23672" s="183"/>
      <c r="R23672" s="183"/>
      <c r="S23672" s="183"/>
    </row>
    <row r="23673" spans="1:38">
      <c r="A23673" s="182"/>
      <c r="Q23673" s="183"/>
      <c r="R23673" s="183"/>
      <c r="S23673" s="183"/>
    </row>
    <row r="23674" spans="1:38">
      <c r="A23674" s="182"/>
      <c r="Q23674" s="183"/>
      <c r="R23674" s="183"/>
      <c r="S23674" s="183"/>
    </row>
    <row r="23675" spans="1:38">
      <c r="A23675" s="182"/>
      <c r="Q23675" s="183"/>
      <c r="R23675" s="183"/>
      <c r="S23675" s="183"/>
      <c r="AK23675" s="183"/>
      <c r="AL23675" s="183"/>
    </row>
    <row r="23676" spans="1:38">
      <c r="A23676" s="182"/>
      <c r="Q23676" s="183"/>
      <c r="R23676" s="183"/>
      <c r="S23676" s="183"/>
      <c r="AJ23676" s="183"/>
      <c r="AK23676" s="183"/>
      <c r="AL23676" s="183"/>
    </row>
    <row r="23677" spans="1:38">
      <c r="A23677" s="182"/>
      <c r="Q23677" s="183"/>
      <c r="R23677" s="183"/>
      <c r="S23677" s="183"/>
      <c r="AJ23677" s="183"/>
      <c r="AK23677" s="183"/>
      <c r="AL23677" s="183"/>
    </row>
    <row r="23678" spans="1:38">
      <c r="A23678" s="182"/>
      <c r="Q23678" s="183"/>
      <c r="R23678" s="183"/>
      <c r="S23678" s="183"/>
      <c r="AJ23678" s="183"/>
      <c r="AK23678" s="183"/>
      <c r="AL23678" s="183"/>
    </row>
    <row r="23679" spans="1:38">
      <c r="A23679" s="182"/>
      <c r="Q23679" s="183"/>
      <c r="R23679" s="183"/>
      <c r="S23679" s="183"/>
      <c r="AJ23679" s="183"/>
    </row>
    <row r="23680" spans="1:38">
      <c r="A23680" s="182"/>
      <c r="Q23680" s="183"/>
      <c r="R23680" s="183"/>
      <c r="S23680" s="183"/>
    </row>
    <row r="23681" spans="1:38">
      <c r="A23681" s="182"/>
      <c r="Q23681" s="183"/>
      <c r="R23681" s="183"/>
      <c r="S23681" s="183"/>
    </row>
    <row r="23682" spans="1:38">
      <c r="A23682" s="182"/>
      <c r="Q23682" s="183"/>
      <c r="R23682" s="183"/>
      <c r="S23682" s="183"/>
    </row>
    <row r="23683" spans="1:38">
      <c r="A23683" s="182"/>
      <c r="Q23683" s="183"/>
      <c r="R23683" s="183"/>
      <c r="S23683" s="183"/>
    </row>
    <row r="23684" spans="1:38">
      <c r="A23684" s="182"/>
      <c r="Q23684" s="183"/>
      <c r="R23684" s="183"/>
      <c r="S23684" s="183"/>
    </row>
    <row r="23685" spans="1:38">
      <c r="A23685" s="182"/>
      <c r="Q23685" s="183"/>
      <c r="R23685" s="183"/>
      <c r="S23685" s="183"/>
    </row>
    <row r="23686" spans="1:38">
      <c r="A23686" s="182"/>
      <c r="Q23686" s="183"/>
      <c r="R23686" s="183"/>
      <c r="S23686" s="183"/>
    </row>
    <row r="23687" spans="1:38">
      <c r="A23687" s="182"/>
      <c r="Q23687" s="183"/>
      <c r="R23687" s="183"/>
      <c r="S23687" s="183"/>
      <c r="AK23687" s="183"/>
      <c r="AL23687" s="183"/>
    </row>
    <row r="23688" spans="1:38">
      <c r="A23688" s="182"/>
      <c r="Q23688" s="183"/>
      <c r="R23688" s="183"/>
      <c r="S23688" s="183"/>
      <c r="AJ23688" s="183"/>
      <c r="AK23688" s="183"/>
      <c r="AL23688" s="183"/>
    </row>
    <row r="23689" spans="1:38">
      <c r="A23689" s="182"/>
      <c r="Q23689" s="183"/>
      <c r="R23689" s="183"/>
      <c r="S23689" s="183"/>
      <c r="AJ23689" s="183"/>
      <c r="AK23689" s="183"/>
      <c r="AL23689" s="183"/>
    </row>
    <row r="23690" spans="1:38">
      <c r="A23690" s="182"/>
      <c r="Q23690" s="183"/>
      <c r="R23690" s="183"/>
      <c r="S23690" s="183"/>
      <c r="AJ23690" s="183"/>
      <c r="AK23690" s="183"/>
      <c r="AL23690" s="183"/>
    </row>
    <row r="23691" spans="1:38">
      <c r="A23691" s="182"/>
      <c r="Q23691" s="183"/>
      <c r="R23691" s="183"/>
      <c r="S23691" s="183"/>
      <c r="AJ23691" s="183"/>
    </row>
    <row r="23692" spans="1:38">
      <c r="A23692" s="182"/>
      <c r="Q23692" s="183"/>
      <c r="R23692" s="183"/>
      <c r="S23692" s="183"/>
    </row>
    <row r="23693" spans="1:38">
      <c r="A23693" s="182"/>
      <c r="Q23693" s="183"/>
      <c r="R23693" s="183"/>
      <c r="S23693" s="183"/>
    </row>
    <row r="23694" spans="1:38">
      <c r="A23694" s="182"/>
      <c r="Q23694" s="183"/>
      <c r="R23694" s="183"/>
      <c r="S23694" s="183"/>
    </row>
    <row r="23695" spans="1:38">
      <c r="A23695" s="182"/>
      <c r="Q23695" s="183"/>
      <c r="R23695" s="183"/>
      <c r="S23695" s="183"/>
    </row>
    <row r="23696" spans="1:38">
      <c r="A23696" s="182"/>
      <c r="Q23696" s="183"/>
      <c r="R23696" s="183"/>
      <c r="S23696" s="183"/>
    </row>
    <row r="23697" spans="1:38">
      <c r="A23697" s="182"/>
      <c r="Q23697" s="183"/>
      <c r="R23697" s="183"/>
      <c r="S23697" s="183"/>
    </row>
    <row r="23698" spans="1:38">
      <c r="A23698" s="182"/>
      <c r="Q23698" s="183"/>
      <c r="R23698" s="183"/>
      <c r="S23698" s="183"/>
    </row>
    <row r="23699" spans="1:38">
      <c r="A23699" s="182"/>
      <c r="Q23699" s="183"/>
      <c r="R23699" s="183"/>
      <c r="S23699" s="183"/>
      <c r="AK23699" s="183"/>
      <c r="AL23699" s="183"/>
    </row>
    <row r="23700" spans="1:38">
      <c r="A23700" s="182"/>
      <c r="Q23700" s="183"/>
      <c r="R23700" s="183"/>
      <c r="S23700" s="183"/>
      <c r="AJ23700" s="183"/>
      <c r="AK23700" s="183"/>
      <c r="AL23700" s="183"/>
    </row>
    <row r="23701" spans="1:38">
      <c r="A23701" s="182"/>
      <c r="Q23701" s="183"/>
      <c r="R23701" s="183"/>
      <c r="S23701" s="183"/>
      <c r="AJ23701" s="183"/>
      <c r="AK23701" s="183"/>
      <c r="AL23701" s="183"/>
    </row>
    <row r="23702" spans="1:38">
      <c r="A23702" s="182"/>
      <c r="Q23702" s="183"/>
      <c r="R23702" s="183"/>
      <c r="S23702" s="183"/>
      <c r="AJ23702" s="183"/>
      <c r="AK23702" s="183"/>
      <c r="AL23702" s="183"/>
    </row>
    <row r="23703" spans="1:38">
      <c r="A23703" s="182"/>
      <c r="Q23703" s="183"/>
      <c r="R23703" s="183"/>
      <c r="S23703" s="183"/>
      <c r="AJ23703" s="183"/>
      <c r="AK23703" s="183"/>
      <c r="AL23703" s="183"/>
    </row>
    <row r="23704" spans="1:38">
      <c r="A23704" s="182"/>
      <c r="Q23704" s="183"/>
      <c r="R23704" s="183"/>
      <c r="S23704" s="183"/>
      <c r="AJ23704" s="183"/>
      <c r="AK23704" s="183"/>
      <c r="AL23704" s="183"/>
    </row>
    <row r="23705" spans="1:38">
      <c r="A23705" s="182"/>
      <c r="Q23705" s="183"/>
      <c r="R23705" s="183"/>
      <c r="S23705" s="183"/>
      <c r="AJ23705" s="183"/>
      <c r="AK23705" s="183"/>
      <c r="AL23705" s="183"/>
    </row>
    <row r="23706" spans="1:38">
      <c r="A23706" s="182"/>
      <c r="Q23706" s="183"/>
      <c r="R23706" s="183"/>
      <c r="S23706" s="183"/>
      <c r="AJ23706" s="183"/>
      <c r="AK23706" s="183"/>
      <c r="AL23706" s="183"/>
    </row>
    <row r="23707" spans="1:38">
      <c r="A23707" s="182"/>
      <c r="Q23707" s="183"/>
      <c r="R23707" s="183"/>
      <c r="S23707" s="183"/>
      <c r="AJ23707" s="183"/>
      <c r="AK23707" s="183"/>
      <c r="AL23707" s="183"/>
    </row>
    <row r="23708" spans="1:38">
      <c r="A23708" s="182"/>
      <c r="Q23708" s="183"/>
      <c r="R23708" s="183"/>
      <c r="S23708" s="183"/>
      <c r="AJ23708" s="183"/>
      <c r="AK23708" s="183"/>
      <c r="AL23708" s="183"/>
    </row>
    <row r="23709" spans="1:38">
      <c r="A23709" s="182"/>
      <c r="Q23709" s="183"/>
      <c r="R23709" s="183"/>
      <c r="S23709" s="183"/>
      <c r="AJ23709" s="183"/>
      <c r="AK23709" s="183"/>
      <c r="AL23709" s="183"/>
    </row>
    <row r="23710" spans="1:38">
      <c r="A23710" s="182"/>
      <c r="Q23710" s="183"/>
      <c r="R23710" s="183"/>
      <c r="S23710" s="183"/>
      <c r="AJ23710" s="183"/>
      <c r="AK23710" s="183"/>
      <c r="AL23710" s="183"/>
    </row>
    <row r="23711" spans="1:38">
      <c r="A23711" s="182"/>
      <c r="Q23711" s="183"/>
      <c r="R23711" s="183"/>
      <c r="S23711" s="183"/>
      <c r="AJ23711" s="183"/>
    </row>
    <row r="23712" spans="1:38">
      <c r="A23712" s="182"/>
      <c r="Q23712" s="183"/>
      <c r="R23712" s="183"/>
      <c r="S23712" s="183"/>
    </row>
    <row r="23713" spans="1:38">
      <c r="A23713" s="182"/>
      <c r="Q23713" s="183"/>
      <c r="R23713" s="183"/>
      <c r="S23713" s="183"/>
    </row>
    <row r="23714" spans="1:38">
      <c r="A23714" s="182"/>
      <c r="Q23714" s="183"/>
      <c r="R23714" s="183"/>
      <c r="S23714" s="183"/>
    </row>
    <row r="23715" spans="1:38">
      <c r="A23715" s="182"/>
      <c r="Q23715" s="183"/>
      <c r="R23715" s="183"/>
      <c r="S23715" s="183"/>
      <c r="AK23715" s="183"/>
      <c r="AL23715" s="183"/>
    </row>
    <row r="23716" spans="1:38">
      <c r="A23716" s="182"/>
      <c r="Q23716" s="183"/>
      <c r="R23716" s="183"/>
      <c r="S23716" s="183"/>
      <c r="AJ23716" s="183"/>
      <c r="AK23716" s="183"/>
      <c r="AL23716" s="183"/>
    </row>
    <row r="23717" spans="1:38">
      <c r="A23717" s="182"/>
      <c r="Q23717" s="183"/>
      <c r="R23717" s="183"/>
      <c r="S23717" s="183"/>
      <c r="AJ23717" s="183"/>
      <c r="AK23717" s="183"/>
      <c r="AL23717" s="183"/>
    </row>
    <row r="23718" spans="1:38">
      <c r="A23718" s="182"/>
      <c r="Q23718" s="183"/>
      <c r="R23718" s="183"/>
      <c r="S23718" s="183"/>
      <c r="AJ23718" s="183"/>
      <c r="AK23718" s="183"/>
      <c r="AL23718" s="183"/>
    </row>
    <row r="23719" spans="1:38">
      <c r="A23719" s="182"/>
      <c r="Q23719" s="183"/>
      <c r="R23719" s="183"/>
      <c r="S23719" s="183"/>
      <c r="AJ23719" s="183"/>
      <c r="AK23719" s="183"/>
      <c r="AL23719" s="183"/>
    </row>
    <row r="23720" spans="1:38">
      <c r="A23720" s="182"/>
      <c r="Q23720" s="183"/>
      <c r="R23720" s="183"/>
      <c r="S23720" s="183"/>
      <c r="AJ23720" s="183"/>
      <c r="AK23720" s="183"/>
      <c r="AL23720" s="183"/>
    </row>
    <row r="23721" spans="1:38">
      <c r="A23721" s="182"/>
      <c r="Q23721" s="183"/>
      <c r="R23721" s="183"/>
      <c r="S23721" s="183"/>
      <c r="AJ23721" s="183"/>
      <c r="AK23721" s="183"/>
      <c r="AL23721" s="183"/>
    </row>
    <row r="23722" spans="1:38">
      <c r="A23722" s="182"/>
      <c r="Q23722" s="183"/>
      <c r="R23722" s="183"/>
      <c r="S23722" s="183"/>
      <c r="AJ23722" s="183"/>
      <c r="AK23722" s="183"/>
      <c r="AL23722" s="183"/>
    </row>
    <row r="23723" spans="1:38">
      <c r="A23723" s="182"/>
      <c r="N23723" s="183"/>
      <c r="O23723" s="183"/>
      <c r="Q23723" s="183"/>
      <c r="R23723" s="183"/>
      <c r="S23723" s="183"/>
      <c r="AJ23723" s="183"/>
      <c r="AK23723" s="183"/>
      <c r="AL23723" s="183"/>
    </row>
    <row r="23724" spans="1:38">
      <c r="A23724" s="182"/>
      <c r="M23724" s="183"/>
      <c r="Q23724" s="183"/>
      <c r="R23724" s="183"/>
      <c r="S23724" s="183"/>
      <c r="AJ23724" s="183"/>
      <c r="AK23724" s="183"/>
      <c r="AL23724" s="183"/>
    </row>
    <row r="23725" spans="1:38">
      <c r="A23725" s="182"/>
      <c r="Q23725" s="183"/>
      <c r="R23725" s="183"/>
      <c r="S23725" s="183"/>
      <c r="AJ23725" s="183"/>
      <c r="AK23725" s="183"/>
      <c r="AL23725" s="183"/>
    </row>
    <row r="23726" spans="1:38">
      <c r="A23726" s="182"/>
      <c r="Q23726" s="183"/>
      <c r="R23726" s="183"/>
      <c r="S23726" s="183"/>
      <c r="AJ23726" s="183"/>
      <c r="AK23726" s="183"/>
      <c r="AL23726" s="183"/>
    </row>
    <row r="23727" spans="1:38">
      <c r="A23727" s="182"/>
      <c r="Q23727" s="183"/>
      <c r="R23727" s="183"/>
      <c r="S23727" s="183"/>
      <c r="AJ23727" s="183"/>
      <c r="AK23727" s="183"/>
      <c r="AL23727" s="183"/>
    </row>
    <row r="23728" spans="1:38">
      <c r="A23728" s="182"/>
      <c r="Q23728" s="183"/>
      <c r="R23728" s="183"/>
      <c r="S23728" s="183"/>
      <c r="AJ23728" s="183"/>
      <c r="AK23728" s="183"/>
      <c r="AL23728" s="183"/>
    </row>
    <row r="23729" spans="1:38">
      <c r="A23729" s="182"/>
      <c r="Q23729" s="183"/>
      <c r="R23729" s="183"/>
      <c r="S23729" s="183"/>
      <c r="AJ23729" s="183"/>
      <c r="AK23729" s="183"/>
      <c r="AL23729" s="183"/>
    </row>
    <row r="23730" spans="1:38">
      <c r="A23730" s="182"/>
      <c r="Q23730" s="183"/>
      <c r="R23730" s="183"/>
      <c r="S23730" s="183"/>
      <c r="AJ23730" s="183"/>
      <c r="AK23730" s="183"/>
      <c r="AL23730" s="183"/>
    </row>
    <row r="23731" spans="1:38">
      <c r="A23731" s="182"/>
      <c r="Q23731" s="183"/>
      <c r="R23731" s="183"/>
      <c r="S23731" s="183"/>
      <c r="AJ23731" s="183"/>
    </row>
    <row r="23732" spans="1:38">
      <c r="A23732" s="182"/>
      <c r="Q23732" s="183"/>
      <c r="R23732" s="183"/>
      <c r="S23732" s="183"/>
    </row>
    <row r="23733" spans="1:38">
      <c r="A23733" s="182"/>
      <c r="Q23733" s="183"/>
      <c r="R23733" s="183"/>
      <c r="S23733" s="183"/>
    </row>
    <row r="23734" spans="1:38">
      <c r="A23734" s="182"/>
      <c r="Q23734" s="183"/>
      <c r="R23734" s="183"/>
      <c r="S23734" s="183"/>
    </row>
    <row r="23735" spans="1:38">
      <c r="A23735" s="182"/>
      <c r="Q23735" s="183"/>
      <c r="R23735" s="183"/>
      <c r="S23735" s="183"/>
    </row>
    <row r="23736" spans="1:38">
      <c r="A23736" s="182"/>
      <c r="Q23736" s="183"/>
      <c r="R23736" s="183"/>
      <c r="S23736" s="183"/>
    </row>
    <row r="23737" spans="1:38">
      <c r="A23737" s="182"/>
      <c r="Q23737" s="183"/>
      <c r="R23737" s="183"/>
      <c r="S23737" s="183"/>
    </row>
    <row r="23738" spans="1:38">
      <c r="A23738" s="182"/>
      <c r="Q23738" s="183"/>
      <c r="R23738" s="183"/>
      <c r="S23738" s="183"/>
    </row>
    <row r="23739" spans="1:38">
      <c r="A23739" s="182"/>
      <c r="Q23739" s="183"/>
      <c r="R23739" s="183"/>
      <c r="S23739" s="183"/>
    </row>
    <row r="23740" spans="1:38">
      <c r="A23740" s="182"/>
      <c r="Q23740" s="183"/>
      <c r="R23740" s="183"/>
      <c r="S23740" s="183"/>
    </row>
    <row r="23741" spans="1:38">
      <c r="A23741" s="182"/>
      <c r="Q23741" s="183"/>
      <c r="R23741" s="183"/>
      <c r="S23741" s="183"/>
    </row>
    <row r="23742" spans="1:38">
      <c r="A23742" s="182"/>
      <c r="Q23742" s="183"/>
      <c r="R23742" s="183"/>
      <c r="S23742" s="183"/>
    </row>
    <row r="23743" spans="1:38">
      <c r="A23743" s="182"/>
      <c r="Q23743" s="183"/>
      <c r="R23743" s="183"/>
      <c r="S23743" s="183"/>
    </row>
    <row r="23744" spans="1:38">
      <c r="A23744" s="182"/>
      <c r="Q23744" s="183"/>
      <c r="R23744" s="183"/>
      <c r="S23744" s="183"/>
    </row>
    <row r="23745" spans="1:38">
      <c r="A23745" s="182"/>
      <c r="Q23745" s="183"/>
      <c r="R23745" s="183"/>
      <c r="S23745" s="183"/>
    </row>
    <row r="23746" spans="1:38">
      <c r="A23746" s="182"/>
      <c r="Q23746" s="183"/>
      <c r="R23746" s="183"/>
      <c r="S23746" s="183"/>
    </row>
    <row r="23747" spans="1:38">
      <c r="A23747" s="182"/>
      <c r="Q23747" s="183"/>
      <c r="R23747" s="183"/>
      <c r="S23747" s="183"/>
      <c r="AK23747" s="183"/>
      <c r="AL23747" s="183"/>
    </row>
    <row r="23748" spans="1:38">
      <c r="A23748" s="182"/>
      <c r="Q23748" s="183"/>
      <c r="R23748" s="183"/>
      <c r="S23748" s="183"/>
      <c r="AJ23748" s="183"/>
      <c r="AK23748" s="183"/>
      <c r="AL23748" s="183"/>
    </row>
    <row r="23749" spans="1:38">
      <c r="A23749" s="182"/>
      <c r="Q23749" s="183"/>
      <c r="R23749" s="183"/>
      <c r="S23749" s="183"/>
      <c r="AJ23749" s="183"/>
      <c r="AK23749" s="183"/>
      <c r="AL23749" s="183"/>
    </row>
    <row r="23750" spans="1:38">
      <c r="A23750" s="182"/>
      <c r="Q23750" s="183"/>
      <c r="R23750" s="183"/>
      <c r="S23750" s="183"/>
      <c r="AJ23750" s="183"/>
      <c r="AK23750" s="183"/>
      <c r="AL23750" s="183"/>
    </row>
    <row r="23751" spans="1:38">
      <c r="A23751" s="182"/>
      <c r="Q23751" s="183"/>
      <c r="R23751" s="183"/>
      <c r="S23751" s="183"/>
      <c r="AJ23751" s="183"/>
      <c r="AK23751" s="183"/>
      <c r="AL23751" s="183"/>
    </row>
    <row r="23752" spans="1:38">
      <c r="A23752" s="182"/>
      <c r="Q23752" s="183"/>
      <c r="R23752" s="183"/>
      <c r="S23752" s="183"/>
      <c r="AJ23752" s="183"/>
      <c r="AK23752" s="183"/>
      <c r="AL23752" s="183"/>
    </row>
    <row r="23753" spans="1:38">
      <c r="A23753" s="182"/>
      <c r="Q23753" s="183"/>
      <c r="R23753" s="183"/>
      <c r="S23753" s="183"/>
      <c r="AJ23753" s="183"/>
      <c r="AK23753" s="183"/>
      <c r="AL23753" s="183"/>
    </row>
    <row r="23754" spans="1:38">
      <c r="A23754" s="182"/>
      <c r="Q23754" s="183"/>
      <c r="R23754" s="183"/>
      <c r="S23754" s="183"/>
      <c r="AJ23754" s="183"/>
      <c r="AK23754" s="183"/>
      <c r="AL23754" s="183"/>
    </row>
    <row r="23755" spans="1:38">
      <c r="A23755" s="182"/>
      <c r="Q23755" s="183"/>
      <c r="R23755" s="183"/>
      <c r="S23755" s="183"/>
      <c r="AJ23755" s="183"/>
    </row>
    <row r="23756" spans="1:38">
      <c r="A23756" s="182"/>
      <c r="Q23756" s="183"/>
      <c r="R23756" s="183"/>
      <c r="S23756" s="183"/>
    </row>
    <row r="23757" spans="1:38">
      <c r="A23757" s="182"/>
      <c r="Q23757" s="183"/>
      <c r="R23757" s="183"/>
      <c r="S23757" s="183"/>
    </row>
    <row r="23758" spans="1:38">
      <c r="A23758" s="182"/>
      <c r="Q23758" s="183"/>
      <c r="R23758" s="183"/>
      <c r="S23758" s="183"/>
    </row>
    <row r="23759" spans="1:38">
      <c r="A23759" s="182"/>
      <c r="Q23759" s="183"/>
      <c r="R23759" s="183"/>
      <c r="S23759" s="183"/>
      <c r="AK23759" s="183"/>
      <c r="AL23759" s="183"/>
    </row>
    <row r="23760" spans="1:38">
      <c r="A23760" s="182"/>
      <c r="Q23760" s="183"/>
      <c r="R23760" s="183"/>
      <c r="S23760" s="183"/>
      <c r="AJ23760" s="183"/>
      <c r="AK23760" s="183"/>
      <c r="AL23760" s="183"/>
    </row>
    <row r="23761" spans="1:38">
      <c r="A23761" s="182"/>
      <c r="Q23761" s="183"/>
      <c r="R23761" s="183"/>
      <c r="S23761" s="183"/>
      <c r="AJ23761" s="183"/>
      <c r="AK23761" s="183"/>
      <c r="AL23761" s="183"/>
    </row>
    <row r="23762" spans="1:38">
      <c r="A23762" s="182"/>
      <c r="Q23762" s="183"/>
      <c r="R23762" s="183"/>
      <c r="S23762" s="183"/>
      <c r="AJ23762" s="183"/>
      <c r="AK23762" s="183"/>
      <c r="AL23762" s="183"/>
    </row>
    <row r="23763" spans="1:38">
      <c r="A23763" s="182"/>
      <c r="Q23763" s="183"/>
      <c r="R23763" s="183"/>
      <c r="S23763" s="183"/>
      <c r="AJ23763" s="183"/>
    </row>
    <row r="23764" spans="1:38">
      <c r="A23764" s="182"/>
      <c r="Q23764" s="183"/>
      <c r="R23764" s="183"/>
      <c r="S23764" s="183"/>
    </row>
    <row r="23765" spans="1:38">
      <c r="A23765" s="182"/>
      <c r="Q23765" s="183"/>
      <c r="R23765" s="183"/>
      <c r="S23765" s="183"/>
    </row>
    <row r="23766" spans="1:38">
      <c r="A23766" s="182"/>
      <c r="Q23766" s="183"/>
      <c r="R23766" s="183"/>
      <c r="S23766" s="183"/>
    </row>
    <row r="23767" spans="1:38">
      <c r="A23767" s="182"/>
      <c r="Q23767" s="183"/>
      <c r="R23767" s="183"/>
      <c r="S23767" s="183"/>
    </row>
    <row r="23768" spans="1:38">
      <c r="A23768" s="182"/>
      <c r="Q23768" s="183"/>
      <c r="R23768" s="183"/>
      <c r="S23768" s="183"/>
    </row>
    <row r="23769" spans="1:38">
      <c r="A23769" s="182"/>
      <c r="Q23769" s="183"/>
      <c r="R23769" s="183"/>
      <c r="S23769" s="183"/>
    </row>
    <row r="23770" spans="1:38">
      <c r="A23770" s="182"/>
      <c r="Q23770" s="183"/>
      <c r="R23770" s="183"/>
      <c r="S23770" s="183"/>
    </row>
    <row r="23771" spans="1:38">
      <c r="A23771" s="182"/>
      <c r="Q23771" s="183"/>
      <c r="R23771" s="183"/>
      <c r="S23771" s="183"/>
      <c r="AK23771" s="183"/>
      <c r="AL23771" s="183"/>
    </row>
    <row r="23772" spans="1:38">
      <c r="A23772" s="182"/>
      <c r="Q23772" s="183"/>
      <c r="R23772" s="183"/>
      <c r="S23772" s="183"/>
      <c r="AJ23772" s="183"/>
      <c r="AK23772" s="183"/>
      <c r="AL23772" s="183"/>
    </row>
    <row r="23773" spans="1:38">
      <c r="A23773" s="182"/>
      <c r="Q23773" s="183"/>
      <c r="R23773" s="183"/>
      <c r="S23773" s="183"/>
      <c r="AJ23773" s="183"/>
      <c r="AK23773" s="183"/>
      <c r="AL23773" s="183"/>
    </row>
    <row r="23774" spans="1:38">
      <c r="A23774" s="182"/>
      <c r="Q23774" s="183"/>
      <c r="R23774" s="183"/>
      <c r="S23774" s="183"/>
      <c r="AJ23774" s="183"/>
      <c r="AK23774" s="183"/>
      <c r="AL23774" s="183"/>
    </row>
    <row r="23775" spans="1:38">
      <c r="A23775" s="182"/>
      <c r="Q23775" s="183"/>
      <c r="R23775" s="183"/>
      <c r="S23775" s="183"/>
      <c r="AJ23775" s="183"/>
    </row>
    <row r="23776" spans="1:38">
      <c r="A23776" s="182"/>
      <c r="Q23776" s="183"/>
      <c r="R23776" s="183"/>
      <c r="S23776" s="183"/>
    </row>
    <row r="23777" spans="1:38">
      <c r="A23777" s="182"/>
      <c r="Q23777" s="183"/>
      <c r="R23777" s="183"/>
      <c r="S23777" s="183"/>
    </row>
    <row r="23778" spans="1:38">
      <c r="A23778" s="182"/>
      <c r="Q23778" s="183"/>
      <c r="R23778" s="183"/>
      <c r="S23778" s="183"/>
    </row>
    <row r="23779" spans="1:38">
      <c r="A23779" s="182"/>
      <c r="Q23779" s="183"/>
      <c r="R23779" s="183"/>
      <c r="S23779" s="183"/>
    </row>
    <row r="23780" spans="1:38">
      <c r="A23780" s="182"/>
      <c r="Q23780" s="183"/>
      <c r="R23780" s="183"/>
      <c r="S23780" s="183"/>
    </row>
    <row r="23781" spans="1:38">
      <c r="A23781" s="182"/>
      <c r="Q23781" s="183"/>
      <c r="R23781" s="183"/>
      <c r="S23781" s="183"/>
    </row>
    <row r="23782" spans="1:38">
      <c r="A23782" s="182"/>
      <c r="Q23782" s="183"/>
      <c r="R23782" s="183"/>
      <c r="S23782" s="183"/>
    </row>
    <row r="23783" spans="1:38">
      <c r="A23783" s="182"/>
      <c r="Q23783" s="183"/>
      <c r="R23783" s="183"/>
      <c r="S23783" s="183"/>
      <c r="AK23783" s="183"/>
      <c r="AL23783" s="183"/>
    </row>
    <row r="23784" spans="1:38">
      <c r="A23784" s="182"/>
      <c r="Q23784" s="183"/>
      <c r="R23784" s="183"/>
      <c r="S23784" s="183"/>
      <c r="AJ23784" s="183"/>
      <c r="AK23784" s="183"/>
      <c r="AL23784" s="183"/>
    </row>
    <row r="23785" spans="1:38">
      <c r="A23785" s="182"/>
      <c r="Q23785" s="183"/>
      <c r="R23785" s="183"/>
      <c r="S23785" s="183"/>
      <c r="AJ23785" s="183"/>
      <c r="AK23785" s="183"/>
      <c r="AL23785" s="183"/>
    </row>
    <row r="23786" spans="1:38">
      <c r="A23786" s="182"/>
      <c r="Q23786" s="183"/>
      <c r="R23786" s="183"/>
      <c r="S23786" s="183"/>
      <c r="AJ23786" s="183"/>
      <c r="AK23786" s="183"/>
      <c r="AL23786" s="183"/>
    </row>
    <row r="23787" spans="1:38">
      <c r="A23787" s="182"/>
      <c r="Q23787" s="183"/>
      <c r="R23787" s="183"/>
      <c r="S23787" s="183"/>
      <c r="AJ23787" s="183"/>
      <c r="AK23787" s="183"/>
      <c r="AL23787" s="183"/>
    </row>
    <row r="23788" spans="1:38">
      <c r="A23788" s="182"/>
      <c r="Q23788" s="183"/>
      <c r="R23788" s="183"/>
      <c r="S23788" s="183"/>
      <c r="AJ23788" s="183"/>
      <c r="AK23788" s="183"/>
      <c r="AL23788" s="183"/>
    </row>
    <row r="23789" spans="1:38">
      <c r="A23789" s="182"/>
      <c r="Q23789" s="183"/>
      <c r="R23789" s="183"/>
      <c r="S23789" s="183"/>
      <c r="AJ23789" s="183"/>
      <c r="AK23789" s="183"/>
      <c r="AL23789" s="183"/>
    </row>
    <row r="23790" spans="1:38">
      <c r="A23790" s="182"/>
      <c r="Q23790" s="183"/>
      <c r="R23790" s="183"/>
      <c r="S23790" s="183"/>
      <c r="AJ23790" s="183"/>
      <c r="AK23790" s="183"/>
      <c r="AL23790" s="183"/>
    </row>
    <row r="23791" spans="1:38">
      <c r="A23791" s="182"/>
      <c r="Q23791" s="183"/>
      <c r="R23791" s="183"/>
      <c r="S23791" s="183"/>
      <c r="AJ23791" s="183"/>
    </row>
    <row r="23792" spans="1:38">
      <c r="A23792" s="182"/>
      <c r="Q23792" s="183"/>
      <c r="R23792" s="183"/>
      <c r="S23792" s="183"/>
    </row>
    <row r="23793" spans="1:38">
      <c r="A23793" s="182"/>
      <c r="Q23793" s="183"/>
      <c r="R23793" s="183"/>
      <c r="S23793" s="183"/>
    </row>
    <row r="23794" spans="1:38">
      <c r="A23794" s="182"/>
      <c r="Q23794" s="183"/>
      <c r="R23794" s="183"/>
      <c r="S23794" s="183"/>
    </row>
    <row r="23795" spans="1:38">
      <c r="A23795" s="182"/>
      <c r="Q23795" s="183"/>
      <c r="R23795" s="183"/>
      <c r="S23795" s="183"/>
    </row>
    <row r="23796" spans="1:38">
      <c r="A23796" s="182"/>
      <c r="Q23796" s="183"/>
      <c r="R23796" s="183"/>
      <c r="S23796" s="183"/>
    </row>
    <row r="23797" spans="1:38">
      <c r="A23797" s="182"/>
      <c r="Q23797" s="183"/>
      <c r="R23797" s="183"/>
      <c r="S23797" s="183"/>
    </row>
    <row r="23798" spans="1:38">
      <c r="A23798" s="182"/>
      <c r="Q23798" s="183"/>
      <c r="R23798" s="183"/>
      <c r="S23798" s="183"/>
    </row>
    <row r="23799" spans="1:38">
      <c r="A23799" s="182"/>
      <c r="Q23799" s="183"/>
      <c r="R23799" s="183"/>
      <c r="S23799" s="183"/>
    </row>
    <row r="23800" spans="1:38">
      <c r="A23800" s="182"/>
      <c r="Q23800" s="183"/>
      <c r="R23800" s="183"/>
      <c r="S23800" s="183"/>
    </row>
    <row r="23801" spans="1:38">
      <c r="A23801" s="182"/>
      <c r="Q23801" s="183"/>
      <c r="R23801" s="183"/>
      <c r="S23801" s="183"/>
    </row>
    <row r="23802" spans="1:38">
      <c r="A23802" s="182"/>
      <c r="Q23802" s="183"/>
      <c r="R23802" s="183"/>
      <c r="S23802" s="183"/>
    </row>
    <row r="23803" spans="1:38">
      <c r="A23803" s="182"/>
      <c r="Q23803" s="183"/>
      <c r="R23803" s="183"/>
      <c r="S23803" s="183"/>
    </row>
    <row r="23804" spans="1:38">
      <c r="A23804" s="182"/>
      <c r="Q23804" s="183"/>
      <c r="R23804" s="183"/>
      <c r="S23804" s="183"/>
    </row>
    <row r="23805" spans="1:38">
      <c r="A23805" s="182"/>
      <c r="Q23805" s="183"/>
      <c r="R23805" s="183"/>
      <c r="S23805" s="183"/>
    </row>
    <row r="23806" spans="1:38">
      <c r="A23806" s="182"/>
      <c r="Q23806" s="183"/>
      <c r="R23806" s="183"/>
      <c r="S23806" s="183"/>
    </row>
    <row r="23807" spans="1:38">
      <c r="A23807" s="182"/>
      <c r="Q23807" s="183"/>
      <c r="R23807" s="183"/>
      <c r="S23807" s="183"/>
      <c r="AK23807" s="183"/>
      <c r="AL23807" s="183"/>
    </row>
    <row r="23808" spans="1:38">
      <c r="A23808" s="182"/>
      <c r="Q23808" s="183"/>
      <c r="R23808" s="183"/>
      <c r="S23808" s="183"/>
      <c r="AJ23808" s="183"/>
      <c r="AK23808" s="183"/>
      <c r="AL23808" s="183"/>
    </row>
    <row r="23809" spans="1:38">
      <c r="A23809" s="182"/>
      <c r="Q23809" s="183"/>
      <c r="R23809" s="183"/>
      <c r="S23809" s="183"/>
      <c r="AJ23809" s="183"/>
      <c r="AK23809" s="183"/>
      <c r="AL23809" s="183"/>
    </row>
    <row r="23810" spans="1:38">
      <c r="A23810" s="182"/>
      <c r="Q23810" s="183"/>
      <c r="R23810" s="183"/>
      <c r="S23810" s="183"/>
      <c r="AJ23810" s="183"/>
      <c r="AK23810" s="183"/>
      <c r="AL23810" s="183"/>
    </row>
    <row r="23811" spans="1:38">
      <c r="A23811" s="182"/>
      <c r="Q23811" s="183"/>
      <c r="R23811" s="183"/>
      <c r="S23811" s="183"/>
      <c r="AJ23811" s="183"/>
    </row>
    <row r="23812" spans="1:38">
      <c r="A23812" s="182"/>
      <c r="Q23812" s="183"/>
      <c r="R23812" s="183"/>
      <c r="S23812" s="183"/>
    </row>
    <row r="23813" spans="1:38">
      <c r="A23813" s="182"/>
      <c r="Q23813" s="183"/>
      <c r="R23813" s="183"/>
      <c r="S23813" s="183"/>
    </row>
    <row r="23814" spans="1:38">
      <c r="A23814" s="182"/>
      <c r="Q23814" s="183"/>
      <c r="R23814" s="183"/>
      <c r="S23814" s="183"/>
    </row>
    <row r="23815" spans="1:38">
      <c r="A23815" s="182"/>
      <c r="Q23815" s="183"/>
      <c r="R23815" s="183"/>
      <c r="S23815" s="183"/>
    </row>
    <row r="23816" spans="1:38">
      <c r="A23816" s="182"/>
      <c r="Q23816" s="183"/>
      <c r="R23816" s="183"/>
      <c r="S23816" s="183"/>
    </row>
    <row r="23817" spans="1:38">
      <c r="A23817" s="182"/>
      <c r="Q23817" s="183"/>
      <c r="R23817" s="183"/>
      <c r="S23817" s="183"/>
    </row>
    <row r="23818" spans="1:38">
      <c r="A23818" s="182"/>
      <c r="Q23818" s="183"/>
      <c r="R23818" s="183"/>
      <c r="S23818" s="183"/>
    </row>
    <row r="23819" spans="1:38">
      <c r="A23819" s="182"/>
      <c r="Q23819" s="183"/>
      <c r="R23819" s="183"/>
      <c r="S23819" s="183"/>
    </row>
    <row r="23820" spans="1:38">
      <c r="A23820" s="182"/>
      <c r="Q23820" s="183"/>
      <c r="R23820" s="183"/>
      <c r="S23820" s="183"/>
    </row>
    <row r="23821" spans="1:38">
      <c r="A23821" s="182"/>
      <c r="Q23821" s="183"/>
      <c r="R23821" s="183"/>
      <c r="S23821" s="183"/>
    </row>
    <row r="23822" spans="1:38">
      <c r="A23822" s="182"/>
      <c r="Q23822" s="183"/>
      <c r="R23822" s="183"/>
      <c r="S23822" s="183"/>
    </row>
    <row r="23823" spans="1:38">
      <c r="A23823" s="182"/>
      <c r="Q23823" s="183"/>
      <c r="R23823" s="183"/>
      <c r="S23823" s="183"/>
      <c r="AK23823" s="183"/>
      <c r="AL23823" s="183"/>
    </row>
    <row r="23824" spans="1:38">
      <c r="A23824" s="182"/>
      <c r="Q23824" s="183"/>
      <c r="R23824" s="183"/>
      <c r="S23824" s="183"/>
      <c r="AJ23824" s="183"/>
      <c r="AK23824" s="183"/>
      <c r="AL23824" s="183"/>
    </row>
    <row r="23825" spans="1:38">
      <c r="A23825" s="182"/>
      <c r="Q23825" s="183"/>
      <c r="R23825" s="183"/>
      <c r="S23825" s="183"/>
      <c r="AJ23825" s="183"/>
      <c r="AK23825" s="183"/>
      <c r="AL23825" s="183"/>
    </row>
    <row r="23826" spans="1:38">
      <c r="A23826" s="182"/>
      <c r="Q23826" s="183"/>
      <c r="R23826" s="183"/>
      <c r="S23826" s="183"/>
      <c r="AJ23826" s="183"/>
      <c r="AK23826" s="183"/>
      <c r="AL23826" s="183"/>
    </row>
    <row r="23827" spans="1:38">
      <c r="A23827" s="182"/>
      <c r="Q23827" s="183"/>
      <c r="R23827" s="183"/>
      <c r="S23827" s="183"/>
      <c r="AJ23827" s="183"/>
      <c r="AK23827" s="183"/>
      <c r="AL23827" s="183"/>
    </row>
    <row r="23828" spans="1:38">
      <c r="A23828" s="182"/>
      <c r="Q23828" s="183"/>
      <c r="R23828" s="183"/>
      <c r="S23828" s="183"/>
      <c r="AJ23828" s="183"/>
      <c r="AK23828" s="183"/>
      <c r="AL23828" s="183"/>
    </row>
    <row r="23829" spans="1:38">
      <c r="A23829" s="182"/>
      <c r="Q23829" s="183"/>
      <c r="R23829" s="183"/>
      <c r="S23829" s="183"/>
      <c r="AJ23829" s="183"/>
      <c r="AK23829" s="183"/>
      <c r="AL23829" s="183"/>
    </row>
    <row r="23830" spans="1:38">
      <c r="A23830" s="182"/>
      <c r="Q23830" s="183"/>
      <c r="R23830" s="183"/>
      <c r="S23830" s="183"/>
      <c r="AJ23830" s="183"/>
      <c r="AK23830" s="183"/>
      <c r="AL23830" s="183"/>
    </row>
    <row r="23831" spans="1:38">
      <c r="A23831" s="182"/>
      <c r="Q23831" s="183"/>
      <c r="R23831" s="183"/>
      <c r="S23831" s="183"/>
      <c r="AJ23831" s="183"/>
    </row>
    <row r="23832" spans="1:38">
      <c r="A23832" s="182"/>
      <c r="Q23832" s="183"/>
      <c r="R23832" s="183"/>
      <c r="S23832" s="183"/>
    </row>
    <row r="23833" spans="1:38">
      <c r="A23833" s="182"/>
      <c r="Q23833" s="183"/>
      <c r="R23833" s="183"/>
      <c r="S23833" s="183"/>
    </row>
    <row r="23834" spans="1:38">
      <c r="A23834" s="182"/>
      <c r="Q23834" s="183"/>
      <c r="R23834" s="183"/>
      <c r="S23834" s="183"/>
    </row>
    <row r="23835" spans="1:38">
      <c r="A23835" s="182"/>
      <c r="Q23835" s="183"/>
      <c r="R23835" s="183"/>
      <c r="S23835" s="183"/>
    </row>
    <row r="23836" spans="1:38">
      <c r="A23836" s="182"/>
      <c r="Q23836" s="183"/>
      <c r="R23836" s="183"/>
      <c r="S23836" s="183"/>
    </row>
    <row r="23837" spans="1:38">
      <c r="A23837" s="182"/>
      <c r="Q23837" s="183"/>
      <c r="R23837" s="183"/>
      <c r="S23837" s="183"/>
    </row>
    <row r="23838" spans="1:38">
      <c r="A23838" s="182"/>
      <c r="Q23838" s="183"/>
      <c r="R23838" s="183"/>
      <c r="S23838" s="183"/>
    </row>
    <row r="23839" spans="1:38">
      <c r="A23839" s="182"/>
      <c r="Q23839" s="183"/>
      <c r="R23839" s="183"/>
      <c r="S23839" s="183"/>
    </row>
    <row r="23840" spans="1:38">
      <c r="A23840" s="182"/>
      <c r="Q23840" s="183"/>
      <c r="R23840" s="183"/>
      <c r="S23840" s="183"/>
    </row>
    <row r="23841" spans="1:38">
      <c r="A23841" s="182"/>
      <c r="Q23841" s="183"/>
      <c r="R23841" s="183"/>
      <c r="S23841" s="183"/>
    </row>
    <row r="23842" spans="1:38">
      <c r="A23842" s="182"/>
      <c r="Q23842" s="183"/>
      <c r="R23842" s="183"/>
      <c r="S23842" s="183"/>
    </row>
    <row r="23843" spans="1:38">
      <c r="A23843" s="182"/>
      <c r="Q23843" s="183"/>
      <c r="R23843" s="183"/>
      <c r="S23843" s="183"/>
    </row>
    <row r="23844" spans="1:38">
      <c r="A23844" s="182"/>
      <c r="Q23844" s="183"/>
      <c r="R23844" s="183"/>
      <c r="S23844" s="183"/>
    </row>
    <row r="23845" spans="1:38">
      <c r="A23845" s="182"/>
      <c r="Q23845" s="183"/>
      <c r="R23845" s="183"/>
      <c r="S23845" s="183"/>
    </row>
    <row r="23846" spans="1:38">
      <c r="A23846" s="182"/>
      <c r="Q23846" s="183"/>
      <c r="R23846" s="183"/>
      <c r="S23846" s="183"/>
    </row>
    <row r="23847" spans="1:38">
      <c r="A23847" s="182"/>
      <c r="Q23847" s="183"/>
      <c r="R23847" s="183"/>
      <c r="S23847" s="183"/>
    </row>
    <row r="23848" spans="1:38">
      <c r="A23848" s="182"/>
      <c r="Q23848" s="183"/>
      <c r="R23848" s="183"/>
      <c r="S23848" s="183"/>
    </row>
    <row r="23849" spans="1:38">
      <c r="A23849" s="182"/>
      <c r="Q23849" s="183"/>
      <c r="R23849" s="183"/>
      <c r="S23849" s="183"/>
    </row>
    <row r="23850" spans="1:38">
      <c r="A23850" s="182"/>
      <c r="Q23850" s="183"/>
      <c r="R23850" s="183"/>
      <c r="S23850" s="183"/>
    </row>
    <row r="23851" spans="1:38">
      <c r="A23851" s="182"/>
      <c r="Q23851" s="183"/>
      <c r="R23851" s="183"/>
      <c r="S23851" s="183"/>
    </row>
    <row r="23852" spans="1:38">
      <c r="A23852" s="182"/>
      <c r="Q23852" s="183"/>
      <c r="R23852" s="183"/>
      <c r="S23852" s="183"/>
    </row>
    <row r="23853" spans="1:38">
      <c r="A23853" s="182"/>
      <c r="Q23853" s="183"/>
      <c r="R23853" s="183"/>
      <c r="S23853" s="183"/>
    </row>
    <row r="23854" spans="1:38">
      <c r="A23854" s="182"/>
      <c r="Q23854" s="183"/>
      <c r="R23854" s="183"/>
      <c r="S23854" s="183"/>
    </row>
    <row r="23855" spans="1:38">
      <c r="A23855" s="182"/>
      <c r="Q23855" s="183"/>
      <c r="R23855" s="183"/>
      <c r="S23855" s="183"/>
      <c r="AK23855" s="183"/>
      <c r="AL23855" s="183"/>
    </row>
    <row r="23856" spans="1:38">
      <c r="A23856" s="182"/>
      <c r="Q23856" s="183"/>
      <c r="R23856" s="183"/>
      <c r="S23856" s="183"/>
      <c r="AJ23856" s="183"/>
      <c r="AK23856" s="183"/>
      <c r="AL23856" s="183"/>
    </row>
    <row r="23857" spans="1:38">
      <c r="A23857" s="182"/>
      <c r="Q23857" s="183"/>
      <c r="R23857" s="183"/>
      <c r="S23857" s="183"/>
      <c r="AJ23857" s="183"/>
      <c r="AK23857" s="183"/>
      <c r="AL23857" s="183"/>
    </row>
    <row r="23858" spans="1:38">
      <c r="A23858" s="182"/>
      <c r="Q23858" s="183"/>
      <c r="R23858" s="183"/>
      <c r="S23858" s="183"/>
      <c r="AJ23858" s="183"/>
      <c r="AK23858" s="183"/>
      <c r="AL23858" s="183"/>
    </row>
    <row r="23859" spans="1:38">
      <c r="A23859" s="182"/>
      <c r="Q23859" s="183"/>
      <c r="R23859" s="183"/>
      <c r="S23859" s="183"/>
      <c r="AJ23859" s="183"/>
    </row>
    <row r="23860" spans="1:38">
      <c r="A23860" s="182"/>
      <c r="Q23860" s="183"/>
      <c r="R23860" s="183"/>
      <c r="S23860" s="183"/>
    </row>
    <row r="23861" spans="1:38">
      <c r="A23861" s="182"/>
      <c r="Q23861" s="183"/>
      <c r="R23861" s="183"/>
      <c r="S23861" s="183"/>
    </row>
    <row r="23862" spans="1:38">
      <c r="A23862" s="182"/>
      <c r="Q23862" s="183"/>
      <c r="R23862" s="183"/>
      <c r="S23862" s="183"/>
    </row>
    <row r="23863" spans="1:38">
      <c r="A23863" s="182"/>
      <c r="Q23863" s="183"/>
      <c r="R23863" s="183"/>
      <c r="S23863" s="183"/>
    </row>
    <row r="23864" spans="1:38">
      <c r="A23864" s="182"/>
      <c r="Q23864" s="183"/>
      <c r="R23864" s="183"/>
      <c r="S23864" s="183"/>
    </row>
    <row r="23865" spans="1:38">
      <c r="A23865" s="182"/>
      <c r="Q23865" s="183"/>
      <c r="R23865" s="183"/>
      <c r="S23865" s="183"/>
    </row>
    <row r="23866" spans="1:38">
      <c r="A23866" s="182"/>
      <c r="Q23866" s="183"/>
      <c r="R23866" s="183"/>
      <c r="S23866" s="183"/>
    </row>
    <row r="23867" spans="1:38">
      <c r="A23867" s="182"/>
      <c r="Q23867" s="183"/>
      <c r="R23867" s="183"/>
      <c r="S23867" s="183"/>
    </row>
    <row r="23868" spans="1:38">
      <c r="A23868" s="182"/>
      <c r="Q23868" s="183"/>
      <c r="R23868" s="183"/>
      <c r="S23868" s="183"/>
    </row>
    <row r="23869" spans="1:38">
      <c r="A23869" s="182"/>
      <c r="Q23869" s="183"/>
      <c r="R23869" s="183"/>
      <c r="S23869" s="183"/>
    </row>
    <row r="23870" spans="1:38">
      <c r="A23870" s="182"/>
      <c r="Q23870" s="183"/>
      <c r="R23870" s="183"/>
      <c r="S23870" s="183"/>
    </row>
    <row r="23871" spans="1:38">
      <c r="A23871" s="182"/>
      <c r="Q23871" s="183"/>
      <c r="R23871" s="183"/>
      <c r="S23871" s="183"/>
    </row>
    <row r="23872" spans="1:38">
      <c r="A23872" s="182"/>
      <c r="Q23872" s="183"/>
      <c r="R23872" s="183"/>
      <c r="S23872" s="183"/>
    </row>
    <row r="23873" spans="1:38">
      <c r="A23873" s="182"/>
      <c r="Q23873" s="183"/>
      <c r="R23873" s="183"/>
      <c r="S23873" s="183"/>
    </row>
    <row r="23874" spans="1:38">
      <c r="A23874" s="182"/>
      <c r="Q23874" s="183"/>
      <c r="R23874" s="183"/>
      <c r="S23874" s="183"/>
    </row>
    <row r="23875" spans="1:38">
      <c r="A23875" s="182"/>
      <c r="Q23875" s="183"/>
      <c r="R23875" s="183"/>
      <c r="S23875" s="183"/>
      <c r="AK23875" s="183"/>
      <c r="AL23875" s="183"/>
    </row>
    <row r="23876" spans="1:38">
      <c r="A23876" s="182"/>
      <c r="Q23876" s="183"/>
      <c r="R23876" s="183"/>
      <c r="S23876" s="183"/>
      <c r="AJ23876" s="183"/>
      <c r="AK23876" s="183"/>
      <c r="AL23876" s="183"/>
    </row>
    <row r="23877" spans="1:38">
      <c r="A23877" s="182"/>
      <c r="Q23877" s="183"/>
      <c r="R23877" s="183"/>
      <c r="S23877" s="183"/>
      <c r="AJ23877" s="183"/>
      <c r="AK23877" s="183"/>
      <c r="AL23877" s="183"/>
    </row>
    <row r="23878" spans="1:38">
      <c r="A23878" s="182"/>
      <c r="Q23878" s="183"/>
      <c r="R23878" s="183"/>
      <c r="S23878" s="183"/>
      <c r="AJ23878" s="183"/>
      <c r="AK23878" s="183"/>
      <c r="AL23878" s="183"/>
    </row>
    <row r="23879" spans="1:38">
      <c r="A23879" s="182"/>
      <c r="Q23879" s="183"/>
      <c r="R23879" s="183"/>
      <c r="S23879" s="183"/>
      <c r="AJ23879" s="183"/>
    </row>
    <row r="23880" spans="1:38">
      <c r="A23880" s="182"/>
      <c r="Q23880" s="183"/>
      <c r="R23880" s="183"/>
      <c r="S23880" s="183"/>
    </row>
    <row r="23881" spans="1:38">
      <c r="A23881" s="182"/>
      <c r="Q23881" s="183"/>
      <c r="R23881" s="183"/>
      <c r="S23881" s="183"/>
    </row>
    <row r="23882" spans="1:38">
      <c r="A23882" s="182"/>
      <c r="Q23882" s="183"/>
      <c r="R23882" s="183"/>
      <c r="S23882" s="183"/>
    </row>
    <row r="23883" spans="1:38">
      <c r="A23883" s="182"/>
      <c r="Q23883" s="183"/>
      <c r="R23883" s="183"/>
      <c r="S23883" s="183"/>
      <c r="AK23883" s="183"/>
      <c r="AL23883" s="183"/>
    </row>
    <row r="23884" spans="1:38">
      <c r="A23884" s="182"/>
      <c r="Q23884" s="183"/>
      <c r="R23884" s="183"/>
      <c r="S23884" s="183"/>
      <c r="AJ23884" s="183"/>
      <c r="AK23884" s="183"/>
      <c r="AL23884" s="183"/>
    </row>
    <row r="23885" spans="1:38">
      <c r="A23885" s="182"/>
      <c r="Q23885" s="183"/>
      <c r="R23885" s="183"/>
      <c r="S23885" s="183"/>
      <c r="AJ23885" s="183"/>
      <c r="AK23885" s="183"/>
      <c r="AL23885" s="183"/>
    </row>
    <row r="23886" spans="1:38">
      <c r="A23886" s="182"/>
      <c r="Q23886" s="183"/>
      <c r="R23886" s="183"/>
      <c r="S23886" s="183"/>
      <c r="AJ23886" s="183"/>
      <c r="AK23886" s="183"/>
      <c r="AL23886" s="183"/>
    </row>
    <row r="23887" spans="1:38">
      <c r="A23887" s="182"/>
      <c r="Q23887" s="183"/>
      <c r="R23887" s="183"/>
      <c r="S23887" s="183"/>
      <c r="AJ23887" s="183"/>
    </row>
    <row r="23888" spans="1:38">
      <c r="A23888" s="182"/>
      <c r="Q23888" s="183"/>
      <c r="R23888" s="183"/>
      <c r="S23888" s="183"/>
    </row>
    <row r="23889" spans="1:38">
      <c r="A23889" s="182"/>
      <c r="Q23889" s="183"/>
      <c r="R23889" s="183"/>
      <c r="S23889" s="183"/>
    </row>
    <row r="23890" spans="1:38">
      <c r="A23890" s="182"/>
      <c r="Q23890" s="183"/>
      <c r="R23890" s="183"/>
      <c r="S23890" s="183"/>
    </row>
    <row r="23891" spans="1:38">
      <c r="A23891" s="182"/>
      <c r="Q23891" s="183"/>
      <c r="R23891" s="183"/>
      <c r="S23891" s="183"/>
    </row>
    <row r="23892" spans="1:38">
      <c r="A23892" s="182"/>
      <c r="Q23892" s="183"/>
      <c r="R23892" s="183"/>
      <c r="S23892" s="183"/>
    </row>
    <row r="23893" spans="1:38">
      <c r="A23893" s="182"/>
      <c r="Q23893" s="183"/>
      <c r="R23893" s="183"/>
      <c r="S23893" s="183"/>
    </row>
    <row r="23894" spans="1:38">
      <c r="A23894" s="182"/>
      <c r="Q23894" s="183"/>
      <c r="R23894" s="183"/>
      <c r="S23894" s="183"/>
    </row>
    <row r="23895" spans="1:38">
      <c r="A23895" s="182"/>
      <c r="Q23895" s="183"/>
      <c r="R23895" s="183"/>
      <c r="S23895" s="183"/>
      <c r="AK23895" s="183"/>
      <c r="AL23895" s="183"/>
    </row>
    <row r="23896" spans="1:38">
      <c r="A23896" s="182"/>
      <c r="Q23896" s="183"/>
      <c r="R23896" s="183"/>
      <c r="S23896" s="183"/>
      <c r="AJ23896" s="183"/>
      <c r="AK23896" s="183"/>
      <c r="AL23896" s="183"/>
    </row>
    <row r="23897" spans="1:38">
      <c r="A23897" s="182"/>
      <c r="Q23897" s="183"/>
      <c r="R23897" s="183"/>
      <c r="S23897" s="183"/>
      <c r="AJ23897" s="183"/>
      <c r="AK23897" s="183"/>
      <c r="AL23897" s="183"/>
    </row>
    <row r="23898" spans="1:38">
      <c r="A23898" s="182"/>
      <c r="Q23898" s="183"/>
      <c r="R23898" s="183"/>
      <c r="S23898" s="183"/>
      <c r="AJ23898" s="183"/>
      <c r="AK23898" s="183"/>
      <c r="AL23898" s="183"/>
    </row>
    <row r="23899" spans="1:38">
      <c r="A23899" s="182"/>
      <c r="N23899" s="183"/>
      <c r="O23899" s="183"/>
      <c r="Q23899" s="183"/>
      <c r="R23899" s="183"/>
      <c r="S23899" s="183"/>
      <c r="AJ23899" s="183"/>
    </row>
    <row r="23900" spans="1:38">
      <c r="A23900" s="182"/>
      <c r="M23900" s="183"/>
      <c r="Q23900" s="183"/>
      <c r="R23900" s="183"/>
      <c r="S23900" s="183"/>
    </row>
    <row r="23901" spans="1:38">
      <c r="A23901" s="182"/>
      <c r="Q23901" s="183"/>
      <c r="R23901" s="183"/>
      <c r="S23901" s="183"/>
    </row>
    <row r="23902" spans="1:38">
      <c r="A23902" s="182"/>
      <c r="Q23902" s="183"/>
      <c r="R23902" s="183"/>
      <c r="S23902" s="183"/>
    </row>
    <row r="23903" spans="1:38">
      <c r="A23903" s="182"/>
      <c r="Q23903" s="183"/>
      <c r="R23903" s="183"/>
      <c r="S23903" s="183"/>
      <c r="AK23903" s="183"/>
      <c r="AL23903" s="183"/>
    </row>
    <row r="23904" spans="1:38">
      <c r="A23904" s="182"/>
      <c r="Q23904" s="183"/>
      <c r="R23904" s="183"/>
      <c r="S23904" s="183"/>
      <c r="AJ23904" s="183"/>
      <c r="AK23904" s="183"/>
      <c r="AL23904" s="183"/>
    </row>
    <row r="23905" spans="1:38">
      <c r="A23905" s="182"/>
      <c r="Q23905" s="183"/>
      <c r="R23905" s="183"/>
      <c r="S23905" s="183"/>
      <c r="AJ23905" s="183"/>
      <c r="AK23905" s="183"/>
      <c r="AL23905" s="183"/>
    </row>
    <row r="23906" spans="1:38">
      <c r="A23906" s="182"/>
      <c r="Q23906" s="183"/>
      <c r="R23906" s="183"/>
      <c r="S23906" s="183"/>
      <c r="AJ23906" s="183"/>
      <c r="AK23906" s="183"/>
      <c r="AL23906" s="183"/>
    </row>
    <row r="23907" spans="1:38">
      <c r="A23907" s="182"/>
      <c r="Q23907" s="183"/>
      <c r="R23907" s="183"/>
      <c r="S23907" s="183"/>
      <c r="AJ23907" s="183"/>
    </row>
    <row r="23908" spans="1:38">
      <c r="A23908" s="182"/>
      <c r="Q23908" s="183"/>
      <c r="R23908" s="183"/>
      <c r="S23908" s="183"/>
    </row>
    <row r="23909" spans="1:38">
      <c r="A23909" s="182"/>
      <c r="Q23909" s="183"/>
      <c r="R23909" s="183"/>
      <c r="S23909" s="183"/>
    </row>
    <row r="23910" spans="1:38">
      <c r="A23910" s="182"/>
      <c r="Q23910" s="183"/>
      <c r="R23910" s="183"/>
      <c r="S23910" s="183"/>
    </row>
    <row r="23911" spans="1:38">
      <c r="A23911" s="182"/>
      <c r="Q23911" s="183"/>
      <c r="R23911" s="183"/>
      <c r="S23911" s="183"/>
      <c r="AK23911" s="183"/>
      <c r="AL23911" s="183"/>
    </row>
    <row r="23912" spans="1:38">
      <c r="A23912" s="182"/>
      <c r="Q23912" s="183"/>
      <c r="R23912" s="183"/>
      <c r="S23912" s="183"/>
      <c r="AJ23912" s="183"/>
      <c r="AK23912" s="183"/>
      <c r="AL23912" s="183"/>
    </row>
    <row r="23913" spans="1:38">
      <c r="A23913" s="182"/>
      <c r="Q23913" s="183"/>
      <c r="R23913" s="183"/>
      <c r="S23913" s="183"/>
      <c r="AJ23913" s="183"/>
      <c r="AK23913" s="183"/>
      <c r="AL23913" s="183"/>
    </row>
    <row r="23914" spans="1:38">
      <c r="A23914" s="182"/>
      <c r="M23914" s="183"/>
      <c r="N23914" s="183"/>
      <c r="Q23914" s="183"/>
      <c r="R23914" s="183"/>
      <c r="S23914" s="183"/>
      <c r="AJ23914" s="183"/>
      <c r="AK23914" s="183"/>
      <c r="AL23914" s="183"/>
    </row>
    <row r="23915" spans="1:38">
      <c r="A23915" s="182"/>
      <c r="L23915" s="183"/>
      <c r="Q23915" s="183"/>
      <c r="R23915" s="183"/>
      <c r="S23915" s="183"/>
      <c r="AJ23915" s="183"/>
    </row>
    <row r="23916" spans="1:38">
      <c r="A23916" s="182"/>
      <c r="Q23916" s="183"/>
      <c r="R23916" s="183"/>
      <c r="S23916" s="183"/>
    </row>
    <row r="23917" spans="1:38">
      <c r="A23917" s="182"/>
      <c r="Q23917" s="183"/>
      <c r="R23917" s="183"/>
      <c r="S23917" s="183"/>
    </row>
    <row r="23918" spans="1:38">
      <c r="A23918" s="182"/>
      <c r="Q23918" s="183"/>
      <c r="R23918" s="183"/>
      <c r="S23918" s="183"/>
    </row>
    <row r="23919" spans="1:38">
      <c r="A23919" s="182"/>
      <c r="Q23919" s="183"/>
      <c r="R23919" s="183"/>
      <c r="S23919" s="183"/>
    </row>
    <row r="23920" spans="1:38">
      <c r="A23920" s="182"/>
      <c r="Q23920" s="183"/>
      <c r="R23920" s="183"/>
      <c r="S23920" s="183"/>
    </row>
    <row r="23921" spans="1:19">
      <c r="A23921" s="182"/>
      <c r="Q23921" s="183"/>
      <c r="R23921" s="183"/>
      <c r="S23921" s="183"/>
    </row>
    <row r="23922" spans="1:19">
      <c r="A23922" s="182"/>
      <c r="Q23922" s="183"/>
      <c r="R23922" s="183"/>
      <c r="S23922" s="183"/>
    </row>
    <row r="23923" spans="1:19">
      <c r="A23923" s="182"/>
      <c r="Q23923" s="183"/>
      <c r="R23923" s="183"/>
      <c r="S23923" s="183"/>
    </row>
    <row r="23924" spans="1:19">
      <c r="A23924" s="182"/>
      <c r="Q23924" s="183"/>
      <c r="R23924" s="183"/>
      <c r="S23924" s="183"/>
    </row>
    <row r="23925" spans="1:19">
      <c r="A23925" s="182"/>
      <c r="Q23925" s="183"/>
      <c r="R23925" s="183"/>
      <c r="S23925" s="183"/>
    </row>
    <row r="23926" spans="1:19">
      <c r="A23926" s="182"/>
      <c r="Q23926" s="183"/>
      <c r="R23926" s="183"/>
      <c r="S23926" s="183"/>
    </row>
    <row r="23927" spans="1:19">
      <c r="A23927" s="182"/>
      <c r="Q23927" s="183"/>
      <c r="R23927" s="183"/>
      <c r="S23927" s="183"/>
    </row>
    <row r="23928" spans="1:19">
      <c r="A23928" s="182"/>
      <c r="Q23928" s="183"/>
      <c r="R23928" s="183"/>
      <c r="S23928" s="183"/>
    </row>
    <row r="23929" spans="1:19">
      <c r="A23929" s="182"/>
      <c r="Q23929" s="183"/>
      <c r="R23929" s="183"/>
      <c r="S23929" s="183"/>
    </row>
    <row r="23930" spans="1:19">
      <c r="A23930" s="182"/>
      <c r="Q23930" s="183"/>
      <c r="R23930" s="183"/>
      <c r="S23930" s="183"/>
    </row>
    <row r="23931" spans="1:19">
      <c r="A23931" s="182"/>
      <c r="Q23931" s="183"/>
      <c r="R23931" s="183"/>
      <c r="S23931" s="183"/>
    </row>
    <row r="23932" spans="1:19">
      <c r="A23932" s="182"/>
      <c r="Q23932" s="183"/>
      <c r="R23932" s="183"/>
      <c r="S23932" s="183"/>
    </row>
    <row r="23933" spans="1:19">
      <c r="A23933" s="182"/>
      <c r="Q23933" s="183"/>
      <c r="R23933" s="183"/>
      <c r="S23933" s="183"/>
    </row>
    <row r="23934" spans="1:19">
      <c r="A23934" s="182"/>
      <c r="Q23934" s="183"/>
      <c r="R23934" s="183"/>
      <c r="S23934" s="183"/>
    </row>
    <row r="23935" spans="1:19">
      <c r="A23935" s="182"/>
      <c r="Q23935" s="183"/>
      <c r="R23935" s="183"/>
      <c r="S23935" s="183"/>
    </row>
    <row r="23936" spans="1:19">
      <c r="A23936" s="182"/>
      <c r="Q23936" s="183"/>
      <c r="R23936" s="183"/>
      <c r="S23936" s="183"/>
    </row>
    <row r="23937" spans="1:19">
      <c r="A23937" s="182"/>
      <c r="Q23937" s="183"/>
      <c r="R23937" s="183"/>
      <c r="S23937" s="183"/>
    </row>
    <row r="23938" spans="1:19">
      <c r="A23938" s="182"/>
      <c r="Q23938" s="183"/>
      <c r="R23938" s="183"/>
      <c r="S23938" s="183"/>
    </row>
    <row r="23939" spans="1:19">
      <c r="A23939" s="182"/>
      <c r="Q23939" s="183"/>
      <c r="R23939" s="183"/>
      <c r="S23939" s="183"/>
    </row>
    <row r="23940" spans="1:19">
      <c r="A23940" s="182"/>
      <c r="Q23940" s="183"/>
      <c r="R23940" s="183"/>
      <c r="S23940" s="183"/>
    </row>
    <row r="23941" spans="1:19">
      <c r="A23941" s="182"/>
      <c r="Q23941" s="183"/>
      <c r="R23941" s="183"/>
      <c r="S23941" s="183"/>
    </row>
    <row r="23942" spans="1:19">
      <c r="A23942" s="182"/>
      <c r="Q23942" s="183"/>
      <c r="R23942" s="183"/>
      <c r="S23942" s="183"/>
    </row>
    <row r="23943" spans="1:19">
      <c r="A23943" s="182"/>
      <c r="Q23943" s="183"/>
      <c r="R23943" s="183"/>
      <c r="S23943" s="183"/>
    </row>
    <row r="23944" spans="1:19">
      <c r="A23944" s="182"/>
      <c r="Q23944" s="183"/>
      <c r="R23944" s="183"/>
      <c r="S23944" s="183"/>
    </row>
    <row r="23945" spans="1:19">
      <c r="A23945" s="182"/>
      <c r="Q23945" s="183"/>
      <c r="R23945" s="183"/>
      <c r="S23945" s="183"/>
    </row>
    <row r="23946" spans="1:19">
      <c r="A23946" s="182"/>
      <c r="Q23946" s="183"/>
      <c r="R23946" s="183"/>
      <c r="S23946" s="183"/>
    </row>
    <row r="23947" spans="1:19">
      <c r="A23947" s="182"/>
      <c r="Q23947" s="183"/>
      <c r="R23947" s="183"/>
      <c r="S23947" s="183"/>
    </row>
    <row r="23948" spans="1:19">
      <c r="A23948" s="182"/>
      <c r="Q23948" s="183"/>
      <c r="R23948" s="183"/>
      <c r="S23948" s="183"/>
    </row>
    <row r="23949" spans="1:19">
      <c r="A23949" s="182"/>
      <c r="Q23949" s="183"/>
      <c r="R23949" s="183"/>
      <c r="S23949" s="183"/>
    </row>
    <row r="23950" spans="1:19">
      <c r="A23950" s="182"/>
      <c r="Q23950" s="183"/>
      <c r="R23950" s="183"/>
      <c r="S23950" s="183"/>
    </row>
    <row r="23951" spans="1:19">
      <c r="A23951" s="182"/>
      <c r="Q23951" s="183"/>
      <c r="R23951" s="183"/>
      <c r="S23951" s="183"/>
    </row>
    <row r="23952" spans="1:19">
      <c r="A23952" s="182"/>
      <c r="Q23952" s="183"/>
      <c r="R23952" s="183"/>
      <c r="S23952" s="183"/>
    </row>
    <row r="23953" spans="1:19">
      <c r="A23953" s="182"/>
      <c r="Q23953" s="183"/>
      <c r="R23953" s="183"/>
      <c r="S23953" s="183"/>
    </row>
    <row r="23954" spans="1:19">
      <c r="A23954" s="182"/>
      <c r="Q23954" s="183"/>
      <c r="R23954" s="183"/>
      <c r="S23954" s="183"/>
    </row>
    <row r="23955" spans="1:19">
      <c r="A23955" s="182"/>
      <c r="Q23955" s="183"/>
      <c r="R23955" s="183"/>
      <c r="S23955" s="183"/>
    </row>
    <row r="23956" spans="1:19">
      <c r="A23956" s="182"/>
      <c r="Q23956" s="183"/>
      <c r="R23956" s="183"/>
      <c r="S23956" s="183"/>
    </row>
    <row r="23957" spans="1:19">
      <c r="A23957" s="182"/>
      <c r="Q23957" s="183"/>
      <c r="R23957" s="183"/>
      <c r="S23957" s="183"/>
    </row>
    <row r="23958" spans="1:19">
      <c r="A23958" s="182"/>
      <c r="Q23958" s="183"/>
      <c r="R23958" s="183"/>
      <c r="S23958" s="183"/>
    </row>
    <row r="23959" spans="1:19">
      <c r="A23959" s="182"/>
      <c r="Q23959" s="183"/>
      <c r="R23959" s="183"/>
      <c r="S23959" s="183"/>
    </row>
    <row r="23960" spans="1:19">
      <c r="A23960" s="182"/>
      <c r="Q23960" s="183"/>
      <c r="R23960" s="183"/>
      <c r="S23960" s="183"/>
    </row>
    <row r="23961" spans="1:19">
      <c r="A23961" s="182"/>
      <c r="Q23961" s="183"/>
      <c r="R23961" s="183"/>
      <c r="S23961" s="183"/>
    </row>
    <row r="23962" spans="1:19">
      <c r="A23962" s="182"/>
      <c r="Q23962" s="183"/>
      <c r="R23962" s="183"/>
      <c r="S23962" s="183"/>
    </row>
    <row r="23963" spans="1:19">
      <c r="A23963" s="182"/>
      <c r="Q23963" s="183"/>
      <c r="R23963" s="183"/>
      <c r="S23963" s="183"/>
    </row>
    <row r="23964" spans="1:19">
      <c r="A23964" s="182"/>
      <c r="Q23964" s="183"/>
      <c r="R23964" s="183"/>
      <c r="S23964" s="183"/>
    </row>
    <row r="23965" spans="1:19">
      <c r="A23965" s="182"/>
      <c r="Q23965" s="183"/>
      <c r="R23965" s="183"/>
      <c r="S23965" s="183"/>
    </row>
    <row r="23966" spans="1:19">
      <c r="A23966" s="182"/>
      <c r="Q23966" s="183"/>
      <c r="R23966" s="183"/>
      <c r="S23966" s="183"/>
    </row>
    <row r="23967" spans="1:19">
      <c r="A23967" s="182"/>
      <c r="Q23967" s="183"/>
      <c r="R23967" s="183"/>
      <c r="S23967" s="183"/>
    </row>
    <row r="23968" spans="1:19">
      <c r="A23968" s="182"/>
      <c r="Q23968" s="183"/>
      <c r="R23968" s="183"/>
      <c r="S23968" s="183"/>
    </row>
    <row r="23969" spans="1:38">
      <c r="A23969" s="182"/>
      <c r="Q23969" s="183"/>
      <c r="R23969" s="183"/>
      <c r="S23969" s="183"/>
    </row>
    <row r="23970" spans="1:38">
      <c r="A23970" s="182"/>
      <c r="Q23970" s="183"/>
      <c r="R23970" s="183"/>
      <c r="S23970" s="183"/>
    </row>
    <row r="23971" spans="1:38">
      <c r="A23971" s="182"/>
      <c r="Q23971" s="183"/>
      <c r="R23971" s="183"/>
      <c r="S23971" s="183"/>
      <c r="AK23971" s="183"/>
      <c r="AL23971" s="183"/>
    </row>
    <row r="23972" spans="1:38">
      <c r="A23972" s="182"/>
      <c r="Q23972" s="183"/>
      <c r="R23972" s="183"/>
      <c r="S23972" s="183"/>
      <c r="AJ23972" s="183"/>
      <c r="AK23972" s="183"/>
      <c r="AL23972" s="183"/>
    </row>
    <row r="23973" spans="1:38">
      <c r="A23973" s="182"/>
      <c r="Q23973" s="183"/>
      <c r="R23973" s="183"/>
      <c r="S23973" s="183"/>
      <c r="AJ23973" s="183"/>
      <c r="AK23973" s="183"/>
      <c r="AL23973" s="183"/>
    </row>
    <row r="23974" spans="1:38">
      <c r="A23974" s="182"/>
      <c r="Q23974" s="183"/>
      <c r="R23974" s="183"/>
      <c r="S23974" s="183"/>
      <c r="AJ23974" s="183"/>
      <c r="AK23974" s="183"/>
      <c r="AL23974" s="183"/>
    </row>
    <row r="23975" spans="1:38">
      <c r="A23975" s="182"/>
      <c r="Q23975" s="183"/>
      <c r="R23975" s="183"/>
      <c r="S23975" s="183"/>
      <c r="AJ23975" s="183"/>
      <c r="AK23975" s="183"/>
      <c r="AL23975" s="183"/>
    </row>
    <row r="23976" spans="1:38">
      <c r="A23976" s="182"/>
      <c r="Q23976" s="183"/>
      <c r="R23976" s="183"/>
      <c r="S23976" s="183"/>
      <c r="AJ23976" s="183"/>
      <c r="AK23976" s="183"/>
      <c r="AL23976" s="183"/>
    </row>
    <row r="23977" spans="1:38">
      <c r="A23977" s="182"/>
      <c r="Q23977" s="183"/>
      <c r="R23977" s="183"/>
      <c r="S23977" s="183"/>
      <c r="AJ23977" s="183"/>
      <c r="AK23977" s="183"/>
      <c r="AL23977" s="183"/>
    </row>
    <row r="23978" spans="1:38">
      <c r="A23978" s="182"/>
      <c r="Q23978" s="183"/>
      <c r="R23978" s="183"/>
      <c r="S23978" s="183"/>
      <c r="AJ23978" s="183"/>
      <c r="AK23978" s="183"/>
      <c r="AL23978" s="183"/>
    </row>
    <row r="23979" spans="1:38">
      <c r="A23979" s="182"/>
      <c r="Q23979" s="183"/>
      <c r="R23979" s="183"/>
      <c r="S23979" s="183"/>
      <c r="AJ23979" s="183"/>
    </row>
    <row r="23980" spans="1:38">
      <c r="A23980" s="182"/>
      <c r="Q23980" s="183"/>
      <c r="R23980" s="183"/>
      <c r="S23980" s="183"/>
    </row>
    <row r="23981" spans="1:38">
      <c r="A23981" s="182"/>
      <c r="Q23981" s="183"/>
      <c r="R23981" s="183"/>
      <c r="S23981" s="183"/>
    </row>
    <row r="23982" spans="1:38">
      <c r="A23982" s="182"/>
      <c r="Q23982" s="183"/>
      <c r="R23982" s="183"/>
      <c r="S23982" s="183"/>
    </row>
    <row r="23983" spans="1:38">
      <c r="A23983" s="182"/>
      <c r="Q23983" s="183"/>
      <c r="R23983" s="183"/>
      <c r="S23983" s="183"/>
    </row>
    <row r="23984" spans="1:38">
      <c r="A23984" s="182"/>
      <c r="Q23984" s="183"/>
      <c r="R23984" s="183"/>
      <c r="S23984" s="183"/>
    </row>
    <row r="23985" spans="1:38">
      <c r="A23985" s="182"/>
      <c r="Q23985" s="183"/>
      <c r="R23985" s="183"/>
      <c r="S23985" s="183"/>
    </row>
    <row r="23986" spans="1:38">
      <c r="A23986" s="182"/>
      <c r="Q23986" s="183"/>
      <c r="R23986" s="183"/>
      <c r="S23986" s="183"/>
    </row>
    <row r="23987" spans="1:38">
      <c r="A23987" s="182"/>
      <c r="Q23987" s="183"/>
      <c r="R23987" s="183"/>
      <c r="S23987" s="183"/>
      <c r="AK23987" s="183"/>
      <c r="AL23987" s="183"/>
    </row>
    <row r="23988" spans="1:38">
      <c r="A23988" s="182"/>
      <c r="Q23988" s="183"/>
      <c r="R23988" s="183"/>
      <c r="S23988" s="183"/>
      <c r="AJ23988" s="183"/>
      <c r="AK23988" s="183"/>
      <c r="AL23988" s="183"/>
    </row>
    <row r="23989" spans="1:38">
      <c r="A23989" s="182"/>
      <c r="Q23989" s="183"/>
      <c r="R23989" s="183"/>
      <c r="S23989" s="183"/>
      <c r="AJ23989" s="183"/>
      <c r="AK23989" s="183"/>
      <c r="AL23989" s="183"/>
    </row>
    <row r="23990" spans="1:38">
      <c r="A23990" s="182"/>
      <c r="Q23990" s="183"/>
      <c r="R23990" s="183"/>
      <c r="S23990" s="183"/>
      <c r="AJ23990" s="183"/>
      <c r="AK23990" s="183"/>
      <c r="AL23990" s="183"/>
    </row>
    <row r="23991" spans="1:38">
      <c r="A23991" s="182"/>
      <c r="Q23991" s="183"/>
      <c r="R23991" s="183"/>
      <c r="S23991" s="183"/>
      <c r="AJ23991" s="183"/>
      <c r="AK23991" s="183"/>
      <c r="AL23991" s="183"/>
    </row>
    <row r="23992" spans="1:38">
      <c r="A23992" s="182"/>
      <c r="Q23992" s="183"/>
      <c r="R23992" s="183"/>
      <c r="S23992" s="183"/>
      <c r="AJ23992" s="183"/>
      <c r="AK23992" s="183"/>
      <c r="AL23992" s="183"/>
    </row>
    <row r="23993" spans="1:38">
      <c r="A23993" s="182"/>
      <c r="Q23993" s="183"/>
      <c r="R23993" s="183"/>
      <c r="S23993" s="183"/>
      <c r="AJ23993" s="183"/>
      <c r="AK23993" s="183"/>
      <c r="AL23993" s="183"/>
    </row>
    <row r="23994" spans="1:38">
      <c r="A23994" s="182"/>
      <c r="Q23994" s="183"/>
      <c r="R23994" s="183"/>
      <c r="S23994" s="183"/>
      <c r="AJ23994" s="183"/>
      <c r="AK23994" s="183"/>
      <c r="AL23994" s="183"/>
    </row>
    <row r="23995" spans="1:38">
      <c r="A23995" s="182"/>
      <c r="Q23995" s="183"/>
      <c r="R23995" s="183"/>
      <c r="S23995" s="183"/>
      <c r="AJ23995" s="183"/>
    </row>
    <row r="23996" spans="1:38">
      <c r="A23996" s="182"/>
      <c r="Q23996" s="183"/>
      <c r="R23996" s="183"/>
      <c r="S23996" s="183"/>
    </row>
    <row r="23997" spans="1:38">
      <c r="A23997" s="182"/>
      <c r="Q23997" s="183"/>
      <c r="R23997" s="183"/>
      <c r="S23997" s="183"/>
    </row>
    <row r="23998" spans="1:38">
      <c r="A23998" s="182"/>
      <c r="Q23998" s="183"/>
      <c r="R23998" s="183"/>
      <c r="S23998" s="183"/>
    </row>
    <row r="23999" spans="1:38">
      <c r="A23999" s="182"/>
      <c r="Q23999" s="183"/>
      <c r="R23999" s="183"/>
      <c r="S23999" s="183"/>
    </row>
    <row r="24000" spans="1:38">
      <c r="A24000" s="182"/>
      <c r="Q24000" s="183"/>
      <c r="R24000" s="183"/>
      <c r="S24000" s="183"/>
    </row>
    <row r="24001" spans="1:38">
      <c r="A24001" s="182"/>
      <c r="Q24001" s="183"/>
      <c r="R24001" s="183"/>
      <c r="S24001" s="183"/>
    </row>
    <row r="24002" spans="1:38">
      <c r="A24002" s="182"/>
      <c r="Q24002" s="183"/>
      <c r="R24002" s="183"/>
      <c r="S24002" s="183"/>
    </row>
    <row r="24003" spans="1:38">
      <c r="A24003" s="182"/>
      <c r="Q24003" s="183"/>
      <c r="R24003" s="183"/>
      <c r="S24003" s="183"/>
      <c r="AK24003" s="183"/>
      <c r="AL24003" s="183"/>
    </row>
    <row r="24004" spans="1:38">
      <c r="A24004" s="182"/>
      <c r="Q24004" s="183"/>
      <c r="R24004" s="183"/>
      <c r="S24004" s="183"/>
      <c r="AJ24004" s="183"/>
      <c r="AK24004" s="183"/>
      <c r="AL24004" s="183"/>
    </row>
    <row r="24005" spans="1:38">
      <c r="A24005" s="182"/>
      <c r="Q24005" s="183"/>
      <c r="R24005" s="183"/>
      <c r="S24005" s="183"/>
      <c r="AJ24005" s="183"/>
      <c r="AK24005" s="183"/>
      <c r="AL24005" s="183"/>
    </row>
    <row r="24006" spans="1:38">
      <c r="A24006" s="182"/>
      <c r="Q24006" s="183"/>
      <c r="R24006" s="183"/>
      <c r="S24006" s="183"/>
      <c r="AJ24006" s="183"/>
      <c r="AK24006" s="183"/>
      <c r="AL24006" s="183"/>
    </row>
    <row r="24007" spans="1:38">
      <c r="A24007" s="182"/>
      <c r="Q24007" s="183"/>
      <c r="R24007" s="183"/>
      <c r="S24007" s="183"/>
      <c r="AJ24007" s="183"/>
    </row>
    <row r="24008" spans="1:38">
      <c r="A24008" s="182"/>
      <c r="Q24008" s="183"/>
      <c r="R24008" s="183"/>
      <c r="S24008" s="183"/>
    </row>
    <row r="24009" spans="1:38">
      <c r="A24009" s="182"/>
      <c r="Q24009" s="183"/>
      <c r="R24009" s="183"/>
      <c r="S24009" s="183"/>
    </row>
    <row r="24010" spans="1:38">
      <c r="A24010" s="182"/>
      <c r="Q24010" s="183"/>
      <c r="R24010" s="183"/>
      <c r="S24010" s="183"/>
    </row>
    <row r="24011" spans="1:38">
      <c r="A24011" s="182"/>
      <c r="Q24011" s="183"/>
      <c r="R24011" s="183"/>
      <c r="S24011" s="183"/>
    </row>
    <row r="24012" spans="1:38">
      <c r="A24012" s="182"/>
      <c r="Q24012" s="183"/>
      <c r="R24012" s="183"/>
      <c r="S24012" s="183"/>
    </row>
    <row r="24013" spans="1:38">
      <c r="A24013" s="182"/>
      <c r="Q24013" s="183"/>
      <c r="R24013" s="183"/>
      <c r="S24013" s="183"/>
    </row>
    <row r="24014" spans="1:38">
      <c r="A24014" s="182"/>
      <c r="Q24014" s="183"/>
      <c r="R24014" s="183"/>
      <c r="S24014" s="183"/>
    </row>
    <row r="24015" spans="1:38">
      <c r="A24015" s="182"/>
      <c r="Q24015" s="183"/>
      <c r="R24015" s="183"/>
      <c r="S24015" s="183"/>
    </row>
    <row r="24016" spans="1:38">
      <c r="A24016" s="182"/>
      <c r="Q24016" s="183"/>
      <c r="R24016" s="183"/>
      <c r="S24016" s="183"/>
    </row>
    <row r="24017" spans="1:38">
      <c r="A24017" s="182"/>
      <c r="Q24017" s="183"/>
      <c r="R24017" s="183"/>
      <c r="S24017" s="183"/>
    </row>
    <row r="24018" spans="1:38">
      <c r="A24018" s="182"/>
      <c r="Q24018" s="183"/>
      <c r="R24018" s="183"/>
      <c r="S24018" s="183"/>
    </row>
    <row r="24019" spans="1:38">
      <c r="A24019" s="182"/>
      <c r="Q24019" s="183"/>
      <c r="R24019" s="183"/>
      <c r="S24019" s="183"/>
    </row>
    <row r="24020" spans="1:38">
      <c r="A24020" s="182"/>
      <c r="Q24020" s="183"/>
      <c r="R24020" s="183"/>
      <c r="S24020" s="183"/>
    </row>
    <row r="24021" spans="1:38">
      <c r="A24021" s="182"/>
      <c r="Q24021" s="183"/>
      <c r="R24021" s="183"/>
      <c r="S24021" s="183"/>
    </row>
    <row r="24022" spans="1:38">
      <c r="A24022" s="182"/>
      <c r="Q24022" s="183"/>
      <c r="R24022" s="183"/>
      <c r="S24022" s="183"/>
    </row>
    <row r="24023" spans="1:38">
      <c r="A24023" s="182"/>
      <c r="Q24023" s="183"/>
      <c r="R24023" s="183"/>
      <c r="S24023" s="183"/>
      <c r="AK24023" s="183"/>
      <c r="AL24023" s="183"/>
    </row>
    <row r="24024" spans="1:38">
      <c r="A24024" s="182"/>
      <c r="Q24024" s="183"/>
      <c r="R24024" s="183"/>
      <c r="S24024" s="183"/>
      <c r="AJ24024" s="183"/>
      <c r="AK24024" s="183"/>
      <c r="AL24024" s="183"/>
    </row>
    <row r="24025" spans="1:38">
      <c r="A24025" s="182"/>
      <c r="Q24025" s="183"/>
      <c r="R24025" s="183"/>
      <c r="S24025" s="183"/>
      <c r="AJ24025" s="183"/>
      <c r="AK24025" s="183"/>
      <c r="AL24025" s="183"/>
    </row>
    <row r="24026" spans="1:38">
      <c r="A24026" s="182"/>
      <c r="Q24026" s="183"/>
      <c r="R24026" s="183"/>
      <c r="S24026" s="183"/>
      <c r="AJ24026" s="183"/>
      <c r="AK24026" s="183"/>
      <c r="AL24026" s="183"/>
    </row>
    <row r="24027" spans="1:38">
      <c r="A24027" s="182"/>
      <c r="Q24027" s="183"/>
      <c r="R24027" s="183"/>
      <c r="S24027" s="183"/>
      <c r="AJ24027" s="183"/>
    </row>
    <row r="24028" spans="1:38">
      <c r="A24028" s="182"/>
      <c r="Q24028" s="183"/>
      <c r="R24028" s="183"/>
      <c r="S24028" s="183"/>
    </row>
    <row r="24029" spans="1:38">
      <c r="A24029" s="182"/>
      <c r="Q24029" s="183"/>
      <c r="R24029" s="183"/>
      <c r="S24029" s="183"/>
    </row>
    <row r="24030" spans="1:38">
      <c r="A24030" s="182"/>
      <c r="Q24030" s="183"/>
      <c r="R24030" s="183"/>
      <c r="S24030" s="183"/>
    </row>
    <row r="24031" spans="1:38">
      <c r="A24031" s="182"/>
      <c r="Q24031" s="183"/>
      <c r="R24031" s="183"/>
      <c r="S24031" s="183"/>
    </row>
    <row r="24032" spans="1:38">
      <c r="A24032" s="182"/>
      <c r="Q24032" s="183"/>
      <c r="R24032" s="183"/>
      <c r="S24032" s="183"/>
    </row>
    <row r="24033" spans="1:38">
      <c r="A24033" s="182"/>
      <c r="Q24033" s="183"/>
      <c r="R24033" s="183"/>
      <c r="S24033" s="183"/>
    </row>
    <row r="24034" spans="1:38">
      <c r="A24034" s="182"/>
      <c r="Q24034" s="183"/>
      <c r="R24034" s="183"/>
      <c r="S24034" s="183"/>
    </row>
    <row r="24035" spans="1:38">
      <c r="A24035" s="182"/>
      <c r="Q24035" s="183"/>
      <c r="R24035" s="183"/>
      <c r="S24035" s="183"/>
    </row>
    <row r="24036" spans="1:38">
      <c r="A24036" s="182"/>
      <c r="Q24036" s="183"/>
      <c r="R24036" s="183"/>
      <c r="S24036" s="183"/>
    </row>
    <row r="24037" spans="1:38">
      <c r="A24037" s="182"/>
      <c r="Q24037" s="183"/>
      <c r="R24037" s="183"/>
      <c r="S24037" s="183"/>
    </row>
    <row r="24038" spans="1:38">
      <c r="A24038" s="182"/>
      <c r="Q24038" s="183"/>
      <c r="R24038" s="183"/>
      <c r="S24038" s="183"/>
    </row>
    <row r="24039" spans="1:38">
      <c r="A24039" s="182"/>
      <c r="Q24039" s="183"/>
      <c r="R24039" s="183"/>
      <c r="S24039" s="183"/>
      <c r="AK24039" s="183"/>
      <c r="AL24039" s="183"/>
    </row>
    <row r="24040" spans="1:38">
      <c r="A24040" s="182"/>
      <c r="Q24040" s="183"/>
      <c r="R24040" s="183"/>
      <c r="S24040" s="183"/>
      <c r="AJ24040" s="183"/>
      <c r="AK24040" s="183"/>
      <c r="AL24040" s="183"/>
    </row>
    <row r="24041" spans="1:38">
      <c r="A24041" s="182"/>
      <c r="Q24041" s="183"/>
      <c r="R24041" s="183"/>
      <c r="S24041" s="183"/>
      <c r="AJ24041" s="183"/>
      <c r="AK24041" s="183"/>
      <c r="AL24041" s="183"/>
    </row>
    <row r="24042" spans="1:38">
      <c r="A24042" s="182"/>
      <c r="Q24042" s="183"/>
      <c r="R24042" s="183"/>
      <c r="S24042" s="183"/>
      <c r="AJ24042" s="183"/>
      <c r="AK24042" s="183"/>
      <c r="AL24042" s="183"/>
    </row>
    <row r="24043" spans="1:38">
      <c r="A24043" s="182"/>
      <c r="Q24043" s="183"/>
      <c r="R24043" s="183"/>
      <c r="S24043" s="183"/>
      <c r="AJ24043" s="183"/>
      <c r="AK24043" s="183"/>
      <c r="AL24043" s="183"/>
    </row>
    <row r="24044" spans="1:38">
      <c r="A24044" s="182"/>
      <c r="Q24044" s="183"/>
      <c r="R24044" s="183"/>
      <c r="S24044" s="183"/>
      <c r="AJ24044" s="183"/>
      <c r="AK24044" s="183"/>
      <c r="AL24044" s="183"/>
    </row>
    <row r="24045" spans="1:38">
      <c r="A24045" s="182"/>
      <c r="Q24045" s="183"/>
      <c r="R24045" s="183"/>
      <c r="S24045" s="183"/>
      <c r="AJ24045" s="183"/>
      <c r="AK24045" s="183"/>
      <c r="AL24045" s="183"/>
    </row>
    <row r="24046" spans="1:38">
      <c r="A24046" s="182"/>
      <c r="Q24046" s="183"/>
      <c r="R24046" s="183"/>
      <c r="S24046" s="183"/>
      <c r="AJ24046" s="183"/>
      <c r="AK24046" s="183"/>
      <c r="AL24046" s="183"/>
    </row>
    <row r="24047" spans="1:38">
      <c r="A24047" s="182"/>
      <c r="Q24047" s="183"/>
      <c r="R24047" s="183"/>
      <c r="S24047" s="183"/>
      <c r="AJ24047" s="183"/>
    </row>
    <row r="24048" spans="1:38">
      <c r="A24048" s="182"/>
      <c r="Q24048" s="183"/>
      <c r="R24048" s="183"/>
      <c r="S24048" s="183"/>
    </row>
    <row r="24049" spans="1:19">
      <c r="A24049" s="182"/>
      <c r="Q24049" s="183"/>
      <c r="R24049" s="183"/>
      <c r="S24049" s="183"/>
    </row>
    <row r="24050" spans="1:19">
      <c r="A24050" s="182"/>
      <c r="Q24050" s="183"/>
      <c r="R24050" s="183"/>
      <c r="S24050" s="183"/>
    </row>
    <row r="24051" spans="1:19">
      <c r="A24051" s="182"/>
      <c r="Q24051" s="183"/>
      <c r="R24051" s="183"/>
      <c r="S24051" s="183"/>
    </row>
    <row r="24052" spans="1:19">
      <c r="A24052" s="182"/>
      <c r="Q24052" s="183"/>
      <c r="R24052" s="183"/>
      <c r="S24052" s="183"/>
    </row>
    <row r="24053" spans="1:19">
      <c r="A24053" s="182"/>
      <c r="Q24053" s="183"/>
      <c r="R24053" s="183"/>
      <c r="S24053" s="183"/>
    </row>
    <row r="24054" spans="1:19">
      <c r="A24054" s="182"/>
      <c r="Q24054" s="183"/>
      <c r="R24054" s="183"/>
      <c r="S24054" s="183"/>
    </row>
    <row r="24055" spans="1:19">
      <c r="A24055" s="182"/>
      <c r="Q24055" s="183"/>
      <c r="R24055" s="183"/>
      <c r="S24055" s="183"/>
    </row>
    <row r="24056" spans="1:19">
      <c r="A24056" s="182"/>
      <c r="Q24056" s="183"/>
      <c r="R24056" s="183"/>
      <c r="S24056" s="183"/>
    </row>
    <row r="24057" spans="1:19">
      <c r="A24057" s="182"/>
      <c r="Q24057" s="183"/>
      <c r="R24057" s="183"/>
      <c r="S24057" s="183"/>
    </row>
    <row r="24058" spans="1:19">
      <c r="A24058" s="182"/>
      <c r="Q24058" s="183"/>
      <c r="R24058" s="183"/>
      <c r="S24058" s="183"/>
    </row>
    <row r="24059" spans="1:19">
      <c r="A24059" s="182"/>
      <c r="Q24059" s="183"/>
      <c r="R24059" s="183"/>
      <c r="S24059" s="183"/>
    </row>
    <row r="24060" spans="1:19">
      <c r="A24060" s="182"/>
      <c r="Q24060" s="183"/>
      <c r="R24060" s="183"/>
      <c r="S24060" s="183"/>
    </row>
    <row r="24061" spans="1:19">
      <c r="A24061" s="182"/>
      <c r="Q24061" s="183"/>
      <c r="R24061" s="183"/>
      <c r="S24061" s="183"/>
    </row>
    <row r="24062" spans="1:19">
      <c r="A24062" s="182"/>
      <c r="Q24062" s="183"/>
      <c r="R24062" s="183"/>
      <c r="S24062" s="183"/>
    </row>
    <row r="24063" spans="1:19">
      <c r="A24063" s="182"/>
      <c r="Q24063" s="183"/>
      <c r="R24063" s="183"/>
      <c r="S24063" s="183"/>
    </row>
    <row r="24064" spans="1:19">
      <c r="A24064" s="182"/>
      <c r="Q24064" s="183"/>
      <c r="R24064" s="183"/>
      <c r="S24064" s="183"/>
    </row>
    <row r="24065" spans="1:38">
      <c r="A24065" s="182"/>
      <c r="Q24065" s="183"/>
      <c r="R24065" s="183"/>
      <c r="S24065" s="183"/>
    </row>
    <row r="24066" spans="1:38">
      <c r="A24066" s="182"/>
      <c r="Q24066" s="183"/>
      <c r="R24066" s="183"/>
      <c r="S24066" s="183"/>
    </row>
    <row r="24067" spans="1:38">
      <c r="A24067" s="182"/>
      <c r="Q24067" s="183"/>
      <c r="R24067" s="183"/>
      <c r="S24067" s="183"/>
    </row>
    <row r="24068" spans="1:38">
      <c r="A24068" s="182"/>
      <c r="Q24068" s="183"/>
      <c r="R24068" s="183"/>
      <c r="S24068" s="183"/>
    </row>
    <row r="24069" spans="1:38">
      <c r="A24069" s="182"/>
      <c r="Q24069" s="183"/>
      <c r="R24069" s="183"/>
      <c r="S24069" s="183"/>
    </row>
    <row r="24070" spans="1:38">
      <c r="A24070" s="182"/>
      <c r="Q24070" s="183"/>
      <c r="R24070" s="183"/>
      <c r="S24070" s="183"/>
    </row>
    <row r="24071" spans="1:38">
      <c r="A24071" s="182"/>
      <c r="Q24071" s="183"/>
      <c r="R24071" s="183"/>
      <c r="S24071" s="183"/>
      <c r="AK24071" s="183"/>
      <c r="AL24071" s="183"/>
    </row>
    <row r="24072" spans="1:38">
      <c r="A24072" s="182"/>
      <c r="Q24072" s="183"/>
      <c r="R24072" s="183"/>
      <c r="S24072" s="183"/>
      <c r="AJ24072" s="183"/>
      <c r="AK24072" s="183"/>
      <c r="AL24072" s="183"/>
    </row>
    <row r="24073" spans="1:38">
      <c r="A24073" s="182"/>
      <c r="Q24073" s="183"/>
      <c r="R24073" s="183"/>
      <c r="S24073" s="183"/>
      <c r="AJ24073" s="183"/>
      <c r="AK24073" s="183"/>
      <c r="AL24073" s="183"/>
    </row>
    <row r="24074" spans="1:38">
      <c r="A24074" s="182"/>
      <c r="Q24074" s="183"/>
      <c r="R24074" s="183"/>
      <c r="S24074" s="183"/>
      <c r="AJ24074" s="183"/>
      <c r="AK24074" s="183"/>
      <c r="AL24074" s="183"/>
    </row>
    <row r="24075" spans="1:38">
      <c r="A24075" s="182"/>
      <c r="Q24075" s="183"/>
      <c r="R24075" s="183"/>
      <c r="S24075" s="183"/>
      <c r="AJ24075" s="183"/>
      <c r="AK24075" s="183"/>
      <c r="AL24075" s="183"/>
    </row>
    <row r="24076" spans="1:38">
      <c r="A24076" s="182"/>
      <c r="Q24076" s="183"/>
      <c r="R24076" s="183"/>
      <c r="S24076" s="183"/>
      <c r="AJ24076" s="183"/>
      <c r="AK24076" s="183"/>
      <c r="AL24076" s="183"/>
    </row>
    <row r="24077" spans="1:38">
      <c r="A24077" s="182"/>
      <c r="Q24077" s="183"/>
      <c r="R24077" s="183"/>
      <c r="S24077" s="183"/>
      <c r="AJ24077" s="183"/>
      <c r="AK24077" s="183"/>
      <c r="AL24077" s="183"/>
    </row>
    <row r="24078" spans="1:38">
      <c r="A24078" s="182"/>
      <c r="Q24078" s="183"/>
      <c r="R24078" s="183"/>
      <c r="S24078" s="183"/>
      <c r="AJ24078" s="183"/>
      <c r="AK24078" s="183"/>
      <c r="AL24078" s="183"/>
    </row>
    <row r="24079" spans="1:38">
      <c r="A24079" s="182"/>
      <c r="Q24079" s="183"/>
      <c r="R24079" s="183"/>
      <c r="S24079" s="183"/>
      <c r="AJ24079" s="183"/>
      <c r="AK24079" s="183"/>
      <c r="AL24079" s="183"/>
    </row>
    <row r="24080" spans="1:38">
      <c r="A24080" s="182"/>
      <c r="Q24080" s="183"/>
      <c r="R24080" s="183"/>
      <c r="S24080" s="183"/>
      <c r="AJ24080" s="183"/>
      <c r="AK24080" s="183"/>
      <c r="AL24080" s="183"/>
    </row>
    <row r="24081" spans="1:38">
      <c r="A24081" s="182"/>
      <c r="Q24081" s="183"/>
      <c r="R24081" s="183"/>
      <c r="S24081" s="183"/>
      <c r="AJ24081" s="183"/>
      <c r="AK24081" s="183"/>
      <c r="AL24081" s="183"/>
    </row>
    <row r="24082" spans="1:38">
      <c r="A24082" s="182"/>
      <c r="Q24082" s="183"/>
      <c r="R24082" s="183"/>
      <c r="S24082" s="183"/>
      <c r="AJ24082" s="183"/>
      <c r="AK24082" s="183"/>
      <c r="AL24082" s="183"/>
    </row>
    <row r="24083" spans="1:38">
      <c r="A24083" s="182"/>
      <c r="Q24083" s="183"/>
      <c r="R24083" s="183"/>
      <c r="S24083" s="183"/>
      <c r="AJ24083" s="183"/>
    </row>
    <row r="24084" spans="1:38">
      <c r="A24084" s="182"/>
      <c r="Q24084" s="183"/>
      <c r="R24084" s="183"/>
      <c r="S24084" s="183"/>
    </row>
    <row r="24085" spans="1:38">
      <c r="A24085" s="182"/>
      <c r="Q24085" s="183"/>
      <c r="R24085" s="183"/>
      <c r="S24085" s="183"/>
    </row>
    <row r="24086" spans="1:38">
      <c r="A24086" s="182"/>
      <c r="Q24086" s="183"/>
      <c r="R24086" s="183"/>
      <c r="S24086" s="183"/>
    </row>
    <row r="24087" spans="1:38">
      <c r="A24087" s="182"/>
      <c r="Q24087" s="183"/>
      <c r="R24087" s="183"/>
      <c r="S24087" s="183"/>
    </row>
    <row r="24088" spans="1:38">
      <c r="A24088" s="182"/>
      <c r="Q24088" s="183"/>
      <c r="R24088" s="183"/>
      <c r="S24088" s="183"/>
    </row>
    <row r="24089" spans="1:38">
      <c r="A24089" s="182"/>
      <c r="Q24089" s="183"/>
      <c r="R24089" s="183"/>
      <c r="S24089" s="183"/>
    </row>
    <row r="24090" spans="1:38">
      <c r="A24090" s="182"/>
      <c r="Q24090" s="183"/>
      <c r="R24090" s="183"/>
      <c r="S24090" s="183"/>
    </row>
    <row r="24091" spans="1:38">
      <c r="A24091" s="182"/>
      <c r="Q24091" s="183"/>
      <c r="R24091" s="183"/>
      <c r="S24091" s="183"/>
    </row>
    <row r="24092" spans="1:38">
      <c r="A24092" s="182"/>
      <c r="Q24092" s="183"/>
      <c r="R24092" s="183"/>
      <c r="S24092" s="183"/>
    </row>
    <row r="24093" spans="1:38">
      <c r="A24093" s="182"/>
      <c r="Q24093" s="183"/>
      <c r="R24093" s="183"/>
      <c r="S24093" s="183"/>
    </row>
    <row r="24094" spans="1:38">
      <c r="A24094" s="182"/>
      <c r="Q24094" s="183"/>
      <c r="R24094" s="183"/>
      <c r="S24094" s="183"/>
    </row>
    <row r="24095" spans="1:38">
      <c r="A24095" s="182"/>
      <c r="Q24095" s="183"/>
      <c r="R24095" s="183"/>
      <c r="S24095" s="183"/>
      <c r="AK24095" s="183"/>
      <c r="AL24095" s="183"/>
    </row>
    <row r="24096" spans="1:38">
      <c r="A24096" s="182"/>
      <c r="Q24096" s="183"/>
      <c r="R24096" s="183"/>
      <c r="S24096" s="183"/>
      <c r="AJ24096" s="183"/>
      <c r="AK24096" s="183"/>
      <c r="AL24096" s="183"/>
    </row>
    <row r="24097" spans="1:38">
      <c r="A24097" s="182"/>
      <c r="Q24097" s="183"/>
      <c r="R24097" s="183"/>
      <c r="S24097" s="183"/>
      <c r="AJ24097" s="183"/>
      <c r="AK24097" s="183"/>
      <c r="AL24097" s="183"/>
    </row>
    <row r="24098" spans="1:38">
      <c r="A24098" s="182"/>
      <c r="Q24098" s="183"/>
      <c r="R24098" s="183"/>
      <c r="S24098" s="183"/>
      <c r="AJ24098" s="183"/>
      <c r="AK24098" s="183"/>
      <c r="AL24098" s="183"/>
    </row>
    <row r="24099" spans="1:38">
      <c r="A24099" s="182"/>
      <c r="Q24099" s="183"/>
      <c r="R24099" s="183"/>
      <c r="S24099" s="183"/>
      <c r="AJ24099" s="183"/>
    </row>
    <row r="24100" spans="1:38">
      <c r="A24100" s="182"/>
      <c r="Q24100" s="183"/>
      <c r="R24100" s="183"/>
      <c r="S24100" s="183"/>
    </row>
    <row r="24101" spans="1:38">
      <c r="A24101" s="182"/>
      <c r="Q24101" s="183"/>
      <c r="R24101" s="183"/>
      <c r="S24101" s="183"/>
    </row>
    <row r="24102" spans="1:38">
      <c r="A24102" s="182"/>
      <c r="Q24102" s="183"/>
      <c r="R24102" s="183"/>
      <c r="S24102" s="183"/>
    </row>
    <row r="24103" spans="1:38">
      <c r="A24103" s="182"/>
      <c r="Q24103" s="183"/>
      <c r="R24103" s="183"/>
      <c r="S24103" s="183"/>
    </row>
    <row r="24104" spans="1:38">
      <c r="A24104" s="182"/>
      <c r="Q24104" s="183"/>
      <c r="R24104" s="183"/>
      <c r="S24104" s="183"/>
    </row>
    <row r="24105" spans="1:38">
      <c r="A24105" s="182"/>
      <c r="Q24105" s="183"/>
      <c r="R24105" s="183"/>
      <c r="S24105" s="183"/>
    </row>
    <row r="24106" spans="1:38">
      <c r="A24106" s="182"/>
      <c r="Q24106" s="183"/>
      <c r="R24106" s="183"/>
      <c r="S24106" s="183"/>
    </row>
    <row r="24107" spans="1:38">
      <c r="A24107" s="182"/>
      <c r="Q24107" s="183"/>
      <c r="R24107" s="183"/>
      <c r="S24107" s="183"/>
    </row>
    <row r="24108" spans="1:38">
      <c r="A24108" s="182"/>
      <c r="Q24108" s="183"/>
      <c r="R24108" s="183"/>
      <c r="S24108" s="183"/>
    </row>
    <row r="24109" spans="1:38">
      <c r="A24109" s="182"/>
      <c r="Q24109" s="183"/>
      <c r="R24109" s="183"/>
      <c r="S24109" s="183"/>
    </row>
    <row r="24110" spans="1:38">
      <c r="A24110" s="182"/>
      <c r="Q24110" s="183"/>
      <c r="R24110" s="183"/>
      <c r="S24110" s="183"/>
    </row>
    <row r="24111" spans="1:38">
      <c r="A24111" s="182"/>
      <c r="Q24111" s="183"/>
      <c r="R24111" s="183"/>
      <c r="S24111" s="183"/>
    </row>
    <row r="24112" spans="1:38">
      <c r="A24112" s="182"/>
      <c r="Q24112" s="183"/>
      <c r="R24112" s="183"/>
      <c r="S24112" s="183"/>
    </row>
    <row r="24113" spans="1:38">
      <c r="A24113" s="182"/>
      <c r="Q24113" s="183"/>
      <c r="R24113" s="183"/>
      <c r="S24113" s="183"/>
    </row>
    <row r="24114" spans="1:38">
      <c r="A24114" s="182"/>
      <c r="Q24114" s="183"/>
      <c r="R24114" s="183"/>
      <c r="S24114" s="183"/>
    </row>
    <row r="24115" spans="1:38">
      <c r="A24115" s="182"/>
      <c r="Q24115" s="183"/>
      <c r="R24115" s="183"/>
      <c r="S24115" s="183"/>
    </row>
    <row r="24116" spans="1:38">
      <c r="A24116" s="182"/>
      <c r="Q24116" s="183"/>
      <c r="R24116" s="183"/>
      <c r="S24116" s="183"/>
    </row>
    <row r="24117" spans="1:38">
      <c r="A24117" s="182"/>
      <c r="Q24117" s="183"/>
      <c r="R24117" s="183"/>
      <c r="S24117" s="183"/>
    </row>
    <row r="24118" spans="1:38">
      <c r="A24118" s="182"/>
      <c r="Q24118" s="183"/>
      <c r="R24118" s="183"/>
      <c r="S24118" s="183"/>
    </row>
    <row r="24119" spans="1:38">
      <c r="A24119" s="182"/>
      <c r="Q24119" s="183"/>
      <c r="R24119" s="183"/>
      <c r="S24119" s="183"/>
      <c r="AK24119" s="183"/>
      <c r="AL24119" s="183"/>
    </row>
    <row r="24120" spans="1:38">
      <c r="A24120" s="182"/>
      <c r="Q24120" s="183"/>
      <c r="R24120" s="183"/>
      <c r="S24120" s="183"/>
      <c r="AJ24120" s="183"/>
      <c r="AK24120" s="183"/>
      <c r="AL24120" s="183"/>
    </row>
    <row r="24121" spans="1:38">
      <c r="A24121" s="182"/>
      <c r="Q24121" s="183"/>
      <c r="R24121" s="183"/>
      <c r="S24121" s="183"/>
      <c r="AJ24121" s="183"/>
      <c r="AK24121" s="183"/>
      <c r="AL24121" s="183"/>
    </row>
    <row r="24122" spans="1:38">
      <c r="A24122" s="182"/>
      <c r="Q24122" s="183"/>
      <c r="R24122" s="183"/>
      <c r="S24122" s="183"/>
      <c r="AJ24122" s="183"/>
      <c r="AK24122" s="183"/>
      <c r="AL24122" s="183"/>
    </row>
    <row r="24123" spans="1:38">
      <c r="A24123" s="182"/>
      <c r="Q24123" s="183"/>
      <c r="R24123" s="183"/>
      <c r="S24123" s="183"/>
      <c r="AJ24123" s="183"/>
    </row>
    <row r="24124" spans="1:38">
      <c r="A24124" s="182"/>
      <c r="Q24124" s="183"/>
      <c r="R24124" s="183"/>
      <c r="S24124" s="183"/>
    </row>
    <row r="24125" spans="1:38">
      <c r="A24125" s="182"/>
      <c r="Q24125" s="183"/>
      <c r="R24125" s="183"/>
      <c r="S24125" s="183"/>
    </row>
    <row r="24126" spans="1:38">
      <c r="A24126" s="182"/>
      <c r="Q24126" s="183"/>
      <c r="R24126" s="183"/>
      <c r="S24126" s="183"/>
    </row>
    <row r="24127" spans="1:38">
      <c r="A24127" s="182"/>
      <c r="Q24127" s="183"/>
      <c r="R24127" s="183"/>
      <c r="S24127" s="183"/>
    </row>
    <row r="24128" spans="1:38">
      <c r="A24128" s="182"/>
      <c r="Q24128" s="183"/>
      <c r="R24128" s="183"/>
      <c r="S24128" s="183"/>
    </row>
    <row r="24129" spans="1:38">
      <c r="A24129" s="182"/>
      <c r="Q24129" s="183"/>
      <c r="R24129" s="183"/>
      <c r="S24129" s="183"/>
    </row>
    <row r="24130" spans="1:38">
      <c r="A24130" s="182"/>
      <c r="Q24130" s="183"/>
      <c r="R24130" s="183"/>
      <c r="S24130" s="183"/>
    </row>
    <row r="24131" spans="1:38">
      <c r="A24131" s="182"/>
      <c r="Q24131" s="183"/>
      <c r="R24131" s="183"/>
      <c r="S24131" s="183"/>
    </row>
    <row r="24132" spans="1:38">
      <c r="A24132" s="182"/>
      <c r="Q24132" s="183"/>
      <c r="R24132" s="183"/>
      <c r="S24132" s="183"/>
    </row>
    <row r="24133" spans="1:38">
      <c r="A24133" s="182"/>
      <c r="Q24133" s="183"/>
      <c r="R24133" s="183"/>
      <c r="S24133" s="183"/>
    </row>
    <row r="24134" spans="1:38">
      <c r="A24134" s="182"/>
      <c r="Q24134" s="183"/>
      <c r="R24134" s="183"/>
      <c r="S24134" s="183"/>
    </row>
    <row r="24135" spans="1:38">
      <c r="A24135" s="182"/>
      <c r="Q24135" s="183"/>
      <c r="R24135" s="183"/>
      <c r="S24135" s="183"/>
      <c r="AK24135" s="183"/>
      <c r="AL24135" s="183"/>
    </row>
    <row r="24136" spans="1:38">
      <c r="A24136" s="182"/>
      <c r="Q24136" s="183"/>
      <c r="R24136" s="183"/>
      <c r="S24136" s="183"/>
      <c r="AJ24136" s="183"/>
      <c r="AK24136" s="183"/>
      <c r="AL24136" s="183"/>
    </row>
    <row r="24137" spans="1:38">
      <c r="A24137" s="182"/>
      <c r="Q24137" s="183"/>
      <c r="R24137" s="183"/>
      <c r="S24137" s="183"/>
      <c r="AJ24137" s="183"/>
      <c r="AK24137" s="183"/>
      <c r="AL24137" s="183"/>
    </row>
    <row r="24138" spans="1:38">
      <c r="A24138" s="182"/>
      <c r="Q24138" s="183"/>
      <c r="R24138" s="183"/>
      <c r="S24138" s="183"/>
      <c r="AJ24138" s="183"/>
      <c r="AK24138" s="183"/>
      <c r="AL24138" s="183"/>
    </row>
    <row r="24139" spans="1:38">
      <c r="A24139" s="182"/>
      <c r="Q24139" s="183"/>
      <c r="R24139" s="183"/>
      <c r="S24139" s="183"/>
      <c r="AJ24139" s="183"/>
    </row>
    <row r="24140" spans="1:38">
      <c r="A24140" s="182"/>
      <c r="Q24140" s="183"/>
      <c r="R24140" s="183"/>
      <c r="S24140" s="183"/>
    </row>
    <row r="24141" spans="1:38">
      <c r="A24141" s="182"/>
      <c r="Q24141" s="183"/>
      <c r="R24141" s="183"/>
      <c r="S24141" s="183"/>
    </row>
    <row r="24142" spans="1:38">
      <c r="A24142" s="182"/>
      <c r="Q24142" s="183"/>
      <c r="R24142" s="183"/>
      <c r="S24142" s="183"/>
    </row>
    <row r="24143" spans="1:38">
      <c r="A24143" s="182"/>
      <c r="Q24143" s="183"/>
      <c r="R24143" s="183"/>
      <c r="S24143" s="183"/>
    </row>
    <row r="24144" spans="1:38">
      <c r="A24144" s="182"/>
      <c r="Q24144" s="183"/>
      <c r="R24144" s="183"/>
      <c r="S24144" s="183"/>
    </row>
    <row r="24145" spans="1:38">
      <c r="A24145" s="182"/>
      <c r="Q24145" s="183"/>
      <c r="R24145" s="183"/>
      <c r="S24145" s="183"/>
    </row>
    <row r="24146" spans="1:38">
      <c r="A24146" s="182"/>
      <c r="Q24146" s="183"/>
      <c r="R24146" s="183"/>
      <c r="S24146" s="183"/>
    </row>
    <row r="24147" spans="1:38">
      <c r="A24147" s="182"/>
      <c r="Q24147" s="183"/>
      <c r="R24147" s="183"/>
      <c r="S24147" s="183"/>
    </row>
    <row r="24148" spans="1:38">
      <c r="A24148" s="182"/>
      <c r="Q24148" s="183"/>
      <c r="R24148" s="183"/>
      <c r="S24148" s="183"/>
    </row>
    <row r="24149" spans="1:38">
      <c r="A24149" s="182"/>
      <c r="Q24149" s="183"/>
      <c r="R24149" s="183"/>
      <c r="S24149" s="183"/>
    </row>
    <row r="24150" spans="1:38">
      <c r="A24150" s="182"/>
      <c r="Q24150" s="183"/>
      <c r="R24150" s="183"/>
      <c r="S24150" s="183"/>
    </row>
    <row r="24151" spans="1:38">
      <c r="A24151" s="182"/>
      <c r="Q24151" s="183"/>
      <c r="R24151" s="183"/>
      <c r="S24151" s="183"/>
      <c r="AK24151" s="183"/>
      <c r="AL24151" s="183"/>
    </row>
    <row r="24152" spans="1:38">
      <c r="A24152" s="182"/>
      <c r="Q24152" s="183"/>
      <c r="R24152" s="183"/>
      <c r="S24152" s="183"/>
      <c r="AJ24152" s="183"/>
      <c r="AK24152" s="183"/>
      <c r="AL24152" s="183"/>
    </row>
    <row r="24153" spans="1:38">
      <c r="A24153" s="182"/>
      <c r="Q24153" s="183"/>
      <c r="R24153" s="183"/>
      <c r="S24153" s="183"/>
      <c r="AJ24153" s="183"/>
      <c r="AK24153" s="183"/>
      <c r="AL24153" s="183"/>
    </row>
    <row r="24154" spans="1:38">
      <c r="A24154" s="182"/>
      <c r="Q24154" s="183"/>
      <c r="R24154" s="183"/>
      <c r="S24154" s="183"/>
      <c r="AJ24154" s="183"/>
      <c r="AK24154" s="183"/>
      <c r="AL24154" s="183"/>
    </row>
    <row r="24155" spans="1:38">
      <c r="A24155" s="182"/>
      <c r="Q24155" s="183"/>
      <c r="R24155" s="183"/>
      <c r="S24155" s="183"/>
      <c r="AJ24155" s="183"/>
    </row>
    <row r="24156" spans="1:38">
      <c r="A24156" s="182"/>
      <c r="Q24156" s="183"/>
      <c r="R24156" s="183"/>
      <c r="S24156" s="183"/>
    </row>
    <row r="24157" spans="1:38">
      <c r="A24157" s="182"/>
      <c r="N24157" s="183"/>
      <c r="O24157" s="183"/>
      <c r="Q24157" s="183"/>
      <c r="R24157" s="183"/>
      <c r="S24157" s="183"/>
    </row>
    <row r="24158" spans="1:38">
      <c r="A24158" s="182"/>
      <c r="M24158" s="183"/>
      <c r="Q24158" s="183"/>
      <c r="R24158" s="183"/>
      <c r="S24158" s="183"/>
    </row>
    <row r="24159" spans="1:38">
      <c r="A24159" s="182"/>
      <c r="Q24159" s="183"/>
      <c r="R24159" s="183"/>
      <c r="S24159" s="183"/>
    </row>
    <row r="24160" spans="1:38">
      <c r="A24160" s="182"/>
      <c r="Q24160" s="183"/>
      <c r="R24160" s="183"/>
      <c r="S24160" s="183"/>
    </row>
    <row r="24161" spans="1:38">
      <c r="A24161" s="182"/>
      <c r="Q24161" s="183"/>
      <c r="R24161" s="183"/>
      <c r="S24161" s="183"/>
    </row>
    <row r="24162" spans="1:38">
      <c r="A24162" s="182"/>
      <c r="Q24162" s="183"/>
      <c r="R24162" s="183"/>
      <c r="S24162" s="183"/>
    </row>
    <row r="24163" spans="1:38">
      <c r="A24163" s="182"/>
      <c r="Q24163" s="183"/>
      <c r="R24163" s="183"/>
      <c r="S24163" s="183"/>
    </row>
    <row r="24164" spans="1:38">
      <c r="A24164" s="182"/>
      <c r="Q24164" s="183"/>
      <c r="R24164" s="183"/>
      <c r="S24164" s="183"/>
    </row>
    <row r="24165" spans="1:38">
      <c r="A24165" s="182"/>
      <c r="Q24165" s="183"/>
      <c r="R24165" s="183"/>
      <c r="S24165" s="183"/>
    </row>
    <row r="24166" spans="1:38">
      <c r="A24166" s="182"/>
      <c r="Q24166" s="183"/>
      <c r="R24166" s="183"/>
      <c r="S24166" s="183"/>
    </row>
    <row r="24167" spans="1:38">
      <c r="A24167" s="182"/>
      <c r="Q24167" s="183"/>
      <c r="R24167" s="183"/>
      <c r="S24167" s="183"/>
      <c r="AK24167" s="183"/>
      <c r="AL24167" s="183"/>
    </row>
    <row r="24168" spans="1:38">
      <c r="A24168" s="182"/>
      <c r="Q24168" s="183"/>
      <c r="R24168" s="183"/>
      <c r="S24168" s="183"/>
      <c r="AJ24168" s="183"/>
      <c r="AK24168" s="183"/>
      <c r="AL24168" s="183"/>
    </row>
    <row r="24169" spans="1:38">
      <c r="A24169" s="182"/>
      <c r="Q24169" s="183"/>
      <c r="R24169" s="183"/>
      <c r="S24169" s="183"/>
      <c r="AJ24169" s="183"/>
      <c r="AK24169" s="183"/>
      <c r="AL24169" s="183"/>
    </row>
    <row r="24170" spans="1:38">
      <c r="A24170" s="182"/>
      <c r="Q24170" s="183"/>
      <c r="R24170" s="183"/>
      <c r="S24170" s="183"/>
      <c r="AJ24170" s="183"/>
      <c r="AK24170" s="183"/>
      <c r="AL24170" s="183"/>
    </row>
    <row r="24171" spans="1:38">
      <c r="A24171" s="182"/>
      <c r="Q24171" s="183"/>
      <c r="R24171" s="183"/>
      <c r="S24171" s="183"/>
      <c r="AJ24171" s="183"/>
      <c r="AK24171" s="183"/>
      <c r="AL24171" s="183"/>
    </row>
    <row r="24172" spans="1:38">
      <c r="A24172" s="182"/>
      <c r="Q24172" s="183"/>
      <c r="R24172" s="183"/>
      <c r="S24172" s="183"/>
      <c r="AJ24172" s="183"/>
      <c r="AK24172" s="183"/>
      <c r="AL24172" s="183"/>
    </row>
    <row r="24173" spans="1:38">
      <c r="A24173" s="182"/>
      <c r="Q24173" s="183"/>
      <c r="R24173" s="183"/>
      <c r="S24173" s="183"/>
      <c r="AJ24173" s="183"/>
      <c r="AK24173" s="183"/>
      <c r="AL24173" s="183"/>
    </row>
    <row r="24174" spans="1:38">
      <c r="A24174" s="182"/>
      <c r="Q24174" s="183"/>
      <c r="R24174" s="183"/>
      <c r="S24174" s="183"/>
      <c r="AJ24174" s="183"/>
      <c r="AK24174" s="183"/>
      <c r="AL24174" s="183"/>
    </row>
    <row r="24175" spans="1:38">
      <c r="A24175" s="182"/>
      <c r="Q24175" s="183"/>
      <c r="R24175" s="183"/>
      <c r="S24175" s="183"/>
      <c r="AJ24175" s="183"/>
    </row>
    <row r="24176" spans="1:38">
      <c r="A24176" s="182"/>
      <c r="Q24176" s="183"/>
      <c r="R24176" s="183"/>
      <c r="S24176" s="183"/>
    </row>
    <row r="24177" spans="1:38">
      <c r="A24177" s="182"/>
      <c r="Q24177" s="183"/>
      <c r="R24177" s="183"/>
      <c r="S24177" s="183"/>
    </row>
    <row r="24178" spans="1:38">
      <c r="A24178" s="182"/>
      <c r="Q24178" s="183"/>
      <c r="R24178" s="183"/>
      <c r="S24178" s="183"/>
    </row>
    <row r="24179" spans="1:38">
      <c r="A24179" s="182"/>
      <c r="Q24179" s="183"/>
      <c r="R24179" s="183"/>
      <c r="S24179" s="183"/>
      <c r="AK24179" s="183"/>
      <c r="AL24179" s="183"/>
    </row>
    <row r="24180" spans="1:38">
      <c r="A24180" s="182"/>
      <c r="Q24180" s="183"/>
      <c r="R24180" s="183"/>
      <c r="S24180" s="183"/>
      <c r="AJ24180" s="183"/>
      <c r="AK24180" s="183"/>
      <c r="AL24180" s="183"/>
    </row>
    <row r="24181" spans="1:38">
      <c r="A24181" s="182"/>
      <c r="Q24181" s="183"/>
      <c r="R24181" s="183"/>
      <c r="S24181" s="183"/>
      <c r="AJ24181" s="183"/>
      <c r="AK24181" s="183"/>
      <c r="AL24181" s="183"/>
    </row>
    <row r="24182" spans="1:38">
      <c r="A24182" s="182"/>
      <c r="Q24182" s="183"/>
      <c r="R24182" s="183"/>
      <c r="S24182" s="183"/>
      <c r="AJ24182" s="183"/>
      <c r="AK24182" s="183"/>
      <c r="AL24182" s="183"/>
    </row>
    <row r="24183" spans="1:38">
      <c r="A24183" s="182"/>
      <c r="Q24183" s="183"/>
      <c r="R24183" s="183"/>
      <c r="S24183" s="183"/>
      <c r="AJ24183" s="183"/>
    </row>
    <row r="24184" spans="1:38">
      <c r="A24184" s="182"/>
      <c r="Q24184" s="183"/>
      <c r="R24184" s="183"/>
      <c r="S24184" s="183"/>
    </row>
    <row r="24185" spans="1:38">
      <c r="A24185" s="182"/>
      <c r="Q24185" s="183"/>
      <c r="R24185" s="183"/>
      <c r="S24185" s="183"/>
    </row>
    <row r="24186" spans="1:38">
      <c r="A24186" s="182"/>
      <c r="Q24186" s="183"/>
      <c r="R24186" s="183"/>
      <c r="S24186" s="183"/>
    </row>
    <row r="24187" spans="1:38">
      <c r="A24187" s="182"/>
      <c r="Q24187" s="183"/>
      <c r="R24187" s="183"/>
      <c r="S24187" s="183"/>
    </row>
    <row r="24188" spans="1:38">
      <c r="A24188" s="182"/>
      <c r="Q24188" s="183"/>
      <c r="R24188" s="183"/>
      <c r="S24188" s="183"/>
    </row>
    <row r="24189" spans="1:38">
      <c r="A24189" s="182"/>
      <c r="Q24189" s="183"/>
      <c r="R24189" s="183"/>
      <c r="S24189" s="183"/>
    </row>
    <row r="24190" spans="1:38">
      <c r="A24190" s="182"/>
      <c r="Q24190" s="183"/>
      <c r="R24190" s="183"/>
      <c r="S24190" s="183"/>
    </row>
    <row r="24191" spans="1:38">
      <c r="A24191" s="182"/>
      <c r="Q24191" s="183"/>
      <c r="R24191" s="183"/>
      <c r="S24191" s="183"/>
    </row>
    <row r="24192" spans="1:38">
      <c r="A24192" s="182"/>
      <c r="Q24192" s="183"/>
      <c r="R24192" s="183"/>
      <c r="S24192" s="183"/>
    </row>
    <row r="24193" spans="1:38">
      <c r="A24193" s="182"/>
      <c r="Q24193" s="183"/>
      <c r="R24193" s="183"/>
      <c r="S24193" s="183"/>
    </row>
    <row r="24194" spans="1:38">
      <c r="A24194" s="182"/>
      <c r="Q24194" s="183"/>
      <c r="R24194" s="183"/>
      <c r="S24194" s="183"/>
    </row>
    <row r="24195" spans="1:38">
      <c r="A24195" s="182"/>
      <c r="Q24195" s="183"/>
      <c r="R24195" s="183"/>
      <c r="S24195" s="183"/>
      <c r="AK24195" s="183"/>
      <c r="AL24195" s="183"/>
    </row>
    <row r="24196" spans="1:38">
      <c r="A24196" s="182"/>
      <c r="Q24196" s="183"/>
      <c r="R24196" s="183"/>
      <c r="S24196" s="183"/>
      <c r="AJ24196" s="183"/>
      <c r="AK24196" s="183"/>
      <c r="AL24196" s="183"/>
    </row>
    <row r="24197" spans="1:38">
      <c r="A24197" s="182"/>
      <c r="Q24197" s="183"/>
      <c r="R24197" s="183"/>
      <c r="S24197" s="183"/>
      <c r="AJ24197" s="183"/>
      <c r="AK24197" s="183"/>
      <c r="AL24197" s="183"/>
    </row>
    <row r="24198" spans="1:38">
      <c r="A24198" s="182"/>
      <c r="Q24198" s="183"/>
      <c r="R24198" s="183"/>
      <c r="S24198" s="183"/>
      <c r="AJ24198" s="183"/>
      <c r="AK24198" s="183"/>
      <c r="AL24198" s="183"/>
    </row>
    <row r="24199" spans="1:38">
      <c r="A24199" s="182"/>
      <c r="Q24199" s="183"/>
      <c r="R24199" s="183"/>
      <c r="S24199" s="183"/>
      <c r="AJ24199" s="183"/>
    </row>
    <row r="24200" spans="1:38">
      <c r="A24200" s="182"/>
      <c r="Q24200" s="183"/>
      <c r="R24200" s="183"/>
      <c r="S24200" s="183"/>
    </row>
    <row r="24201" spans="1:38">
      <c r="A24201" s="182"/>
      <c r="Q24201" s="183"/>
      <c r="R24201" s="183"/>
      <c r="S24201" s="183"/>
    </row>
    <row r="24202" spans="1:38">
      <c r="A24202" s="182"/>
      <c r="Q24202" s="183"/>
      <c r="R24202" s="183"/>
      <c r="S24202" s="183"/>
    </row>
    <row r="24203" spans="1:38">
      <c r="A24203" s="182"/>
      <c r="Q24203" s="183"/>
      <c r="R24203" s="183"/>
      <c r="S24203" s="183"/>
    </row>
    <row r="24204" spans="1:38">
      <c r="A24204" s="182"/>
      <c r="Q24204" s="183"/>
      <c r="R24204" s="183"/>
      <c r="S24204" s="183"/>
    </row>
    <row r="24205" spans="1:38">
      <c r="A24205" s="182"/>
      <c r="Q24205" s="183"/>
      <c r="R24205" s="183"/>
      <c r="S24205" s="183"/>
    </row>
    <row r="24206" spans="1:38">
      <c r="A24206" s="182"/>
      <c r="Q24206" s="183"/>
      <c r="R24206" s="183"/>
      <c r="S24206" s="183"/>
    </row>
    <row r="24207" spans="1:38">
      <c r="A24207" s="182"/>
      <c r="Q24207" s="183"/>
      <c r="R24207" s="183"/>
      <c r="S24207" s="183"/>
    </row>
    <row r="24208" spans="1:38">
      <c r="A24208" s="182"/>
      <c r="Q24208" s="183"/>
      <c r="R24208" s="183"/>
      <c r="S24208" s="183"/>
    </row>
    <row r="24209" spans="1:38">
      <c r="A24209" s="182"/>
      <c r="Q24209" s="183"/>
      <c r="R24209" s="183"/>
      <c r="S24209" s="183"/>
    </row>
    <row r="24210" spans="1:38">
      <c r="A24210" s="182"/>
      <c r="Q24210" s="183"/>
      <c r="R24210" s="183"/>
      <c r="S24210" s="183"/>
    </row>
    <row r="24211" spans="1:38">
      <c r="A24211" s="182"/>
      <c r="Q24211" s="183"/>
      <c r="R24211" s="183"/>
      <c r="S24211" s="183"/>
    </row>
    <row r="24212" spans="1:38">
      <c r="A24212" s="182"/>
      <c r="Q24212" s="183"/>
      <c r="R24212" s="183"/>
      <c r="S24212" s="183"/>
    </row>
    <row r="24213" spans="1:38">
      <c r="A24213" s="182"/>
      <c r="Q24213" s="183"/>
      <c r="R24213" s="183"/>
      <c r="S24213" s="183"/>
    </row>
    <row r="24214" spans="1:38">
      <c r="A24214" s="182"/>
      <c r="Q24214" s="183"/>
      <c r="R24214" s="183"/>
      <c r="S24214" s="183"/>
    </row>
    <row r="24215" spans="1:38">
      <c r="A24215" s="182"/>
      <c r="Q24215" s="183"/>
      <c r="R24215" s="183"/>
      <c r="S24215" s="183"/>
    </row>
    <row r="24216" spans="1:38">
      <c r="A24216" s="182"/>
      <c r="Q24216" s="183"/>
      <c r="R24216" s="183"/>
      <c r="S24216" s="183"/>
    </row>
    <row r="24217" spans="1:38">
      <c r="A24217" s="182"/>
      <c r="Q24217" s="183"/>
      <c r="R24217" s="183"/>
      <c r="S24217" s="183"/>
    </row>
    <row r="24218" spans="1:38">
      <c r="A24218" s="182"/>
      <c r="Q24218" s="183"/>
      <c r="R24218" s="183"/>
      <c r="S24218" s="183"/>
    </row>
    <row r="24219" spans="1:38">
      <c r="A24219" s="182"/>
      <c r="Q24219" s="183"/>
      <c r="R24219" s="183"/>
      <c r="S24219" s="183"/>
      <c r="AK24219" s="183"/>
      <c r="AL24219" s="183"/>
    </row>
    <row r="24220" spans="1:38">
      <c r="A24220" s="182"/>
      <c r="Q24220" s="183"/>
      <c r="R24220" s="183"/>
      <c r="S24220" s="183"/>
      <c r="AJ24220" s="183"/>
      <c r="AK24220" s="183"/>
      <c r="AL24220" s="183"/>
    </row>
    <row r="24221" spans="1:38">
      <c r="A24221" s="182"/>
      <c r="Q24221" s="183"/>
      <c r="R24221" s="183"/>
      <c r="S24221" s="183"/>
      <c r="AJ24221" s="183"/>
      <c r="AK24221" s="183"/>
      <c r="AL24221" s="183"/>
    </row>
    <row r="24222" spans="1:38">
      <c r="A24222" s="182"/>
      <c r="Q24222" s="183"/>
      <c r="R24222" s="183"/>
      <c r="S24222" s="183"/>
      <c r="AJ24222" s="183"/>
      <c r="AK24222" s="183"/>
      <c r="AL24222" s="183"/>
    </row>
    <row r="24223" spans="1:38">
      <c r="A24223" s="182"/>
      <c r="Q24223" s="183"/>
      <c r="R24223" s="183"/>
      <c r="S24223" s="183"/>
      <c r="AJ24223" s="183"/>
    </row>
    <row r="24224" spans="1:38">
      <c r="A24224" s="182"/>
      <c r="Q24224" s="183"/>
      <c r="R24224" s="183"/>
      <c r="S24224" s="183"/>
    </row>
    <row r="24225" spans="1:38">
      <c r="A24225" s="182"/>
      <c r="Q24225" s="183"/>
      <c r="R24225" s="183"/>
      <c r="S24225" s="183"/>
    </row>
    <row r="24226" spans="1:38">
      <c r="A24226" s="182"/>
      <c r="Q24226" s="183"/>
      <c r="R24226" s="183"/>
      <c r="S24226" s="183"/>
    </row>
    <row r="24227" spans="1:38">
      <c r="A24227" s="182"/>
      <c r="Q24227" s="183"/>
      <c r="R24227" s="183"/>
      <c r="S24227" s="183"/>
    </row>
    <row r="24228" spans="1:38">
      <c r="A24228" s="182"/>
      <c r="Q24228" s="183"/>
      <c r="R24228" s="183"/>
      <c r="S24228" s="183"/>
    </row>
    <row r="24229" spans="1:38">
      <c r="A24229" s="182"/>
      <c r="Q24229" s="183"/>
      <c r="R24229" s="183"/>
      <c r="S24229" s="183"/>
    </row>
    <row r="24230" spans="1:38">
      <c r="A24230" s="182"/>
      <c r="Q24230" s="183"/>
      <c r="R24230" s="183"/>
      <c r="S24230" s="183"/>
    </row>
    <row r="24231" spans="1:38">
      <c r="A24231" s="182"/>
      <c r="Q24231" s="183"/>
      <c r="R24231" s="183"/>
      <c r="S24231" s="183"/>
      <c r="AK24231" s="183"/>
      <c r="AL24231" s="183"/>
    </row>
    <row r="24232" spans="1:38">
      <c r="A24232" s="182"/>
      <c r="Q24232" s="183"/>
      <c r="R24232" s="183"/>
      <c r="S24232" s="183"/>
      <c r="AJ24232" s="183"/>
      <c r="AK24232" s="183"/>
      <c r="AL24232" s="183"/>
    </row>
    <row r="24233" spans="1:38">
      <c r="A24233" s="182"/>
      <c r="Q24233" s="183"/>
      <c r="R24233" s="183"/>
      <c r="S24233" s="183"/>
      <c r="AJ24233" s="183"/>
      <c r="AK24233" s="183"/>
      <c r="AL24233" s="183"/>
    </row>
    <row r="24234" spans="1:38">
      <c r="A24234" s="182"/>
      <c r="Q24234" s="183"/>
      <c r="R24234" s="183"/>
      <c r="S24234" s="183"/>
      <c r="AJ24234" s="183"/>
      <c r="AK24234" s="183"/>
      <c r="AL24234" s="183"/>
    </row>
    <row r="24235" spans="1:38">
      <c r="A24235" s="182"/>
      <c r="Q24235" s="183"/>
      <c r="R24235" s="183"/>
      <c r="S24235" s="183"/>
      <c r="AJ24235" s="183"/>
    </row>
    <row r="24236" spans="1:38">
      <c r="A24236" s="182"/>
      <c r="Q24236" s="183"/>
      <c r="R24236" s="183"/>
      <c r="S24236" s="183"/>
    </row>
    <row r="24237" spans="1:38">
      <c r="A24237" s="182"/>
      <c r="Q24237" s="183"/>
      <c r="R24237" s="183"/>
      <c r="S24237" s="183"/>
    </row>
    <row r="24238" spans="1:38">
      <c r="A24238" s="182"/>
      <c r="Q24238" s="183"/>
      <c r="R24238" s="183"/>
      <c r="S24238" s="183"/>
    </row>
    <row r="24239" spans="1:38">
      <c r="A24239" s="182"/>
      <c r="Q24239" s="183"/>
      <c r="R24239" s="183"/>
      <c r="S24239" s="183"/>
    </row>
    <row r="24240" spans="1:38">
      <c r="A24240" s="182"/>
      <c r="Q24240" s="183"/>
      <c r="R24240" s="183"/>
      <c r="S24240" s="183"/>
    </row>
    <row r="24241" spans="1:19">
      <c r="A24241" s="182"/>
      <c r="Q24241" s="183"/>
      <c r="R24241" s="183"/>
      <c r="S24241" s="183"/>
    </row>
    <row r="24242" spans="1:19">
      <c r="A24242" s="182"/>
      <c r="Q24242" s="183"/>
      <c r="R24242" s="183"/>
      <c r="S24242" s="183"/>
    </row>
    <row r="24243" spans="1:19">
      <c r="A24243" s="182"/>
      <c r="Q24243" s="183"/>
      <c r="R24243" s="183"/>
      <c r="S24243" s="183"/>
    </row>
    <row r="24244" spans="1:19">
      <c r="A24244" s="182"/>
      <c r="Q24244" s="183"/>
      <c r="R24244" s="183"/>
      <c r="S24244" s="183"/>
    </row>
    <row r="24245" spans="1:19">
      <c r="A24245" s="182"/>
      <c r="Q24245" s="183"/>
      <c r="R24245" s="183"/>
      <c r="S24245" s="183"/>
    </row>
    <row r="24246" spans="1:19">
      <c r="A24246" s="182"/>
      <c r="Q24246" s="183"/>
      <c r="R24246" s="183"/>
      <c r="S24246" s="183"/>
    </row>
    <row r="24247" spans="1:19">
      <c r="A24247" s="182"/>
      <c r="Q24247" s="183"/>
      <c r="R24247" s="183"/>
      <c r="S24247" s="183"/>
    </row>
    <row r="24248" spans="1:19">
      <c r="A24248" s="182"/>
      <c r="Q24248" s="183"/>
      <c r="R24248" s="183"/>
      <c r="S24248" s="183"/>
    </row>
    <row r="24249" spans="1:19">
      <c r="A24249" s="182"/>
      <c r="Q24249" s="183"/>
      <c r="R24249" s="183"/>
      <c r="S24249" s="183"/>
    </row>
    <row r="24250" spans="1:19">
      <c r="A24250" s="182"/>
      <c r="Q24250" s="183"/>
      <c r="R24250" s="183"/>
      <c r="S24250" s="183"/>
    </row>
    <row r="24251" spans="1:19">
      <c r="A24251" s="182"/>
      <c r="Q24251" s="183"/>
      <c r="R24251" s="183"/>
      <c r="S24251" s="183"/>
    </row>
    <row r="24252" spans="1:19">
      <c r="A24252" s="182"/>
      <c r="Q24252" s="183"/>
      <c r="R24252" s="183"/>
      <c r="S24252" s="183"/>
    </row>
    <row r="24253" spans="1:19">
      <c r="A24253" s="182"/>
      <c r="Q24253" s="183"/>
      <c r="R24253" s="183"/>
      <c r="S24253" s="183"/>
    </row>
    <row r="24254" spans="1:19">
      <c r="A24254" s="182"/>
      <c r="Q24254" s="183"/>
      <c r="R24254" s="183"/>
      <c r="S24254" s="183"/>
    </row>
    <row r="24255" spans="1:19">
      <c r="A24255" s="182"/>
      <c r="Q24255" s="183"/>
      <c r="R24255" s="183"/>
      <c r="S24255" s="183"/>
    </row>
    <row r="24256" spans="1:19">
      <c r="A24256" s="182"/>
      <c r="Q24256" s="183"/>
      <c r="R24256" s="183"/>
      <c r="S24256" s="183"/>
    </row>
    <row r="24257" spans="1:38">
      <c r="A24257" s="182"/>
      <c r="Q24257" s="183"/>
      <c r="R24257" s="183"/>
      <c r="S24257" s="183"/>
    </row>
    <row r="24258" spans="1:38">
      <c r="A24258" s="182"/>
      <c r="Q24258" s="183"/>
      <c r="R24258" s="183"/>
      <c r="S24258" s="183"/>
    </row>
    <row r="24259" spans="1:38">
      <c r="A24259" s="182"/>
      <c r="Q24259" s="183"/>
      <c r="R24259" s="183"/>
      <c r="S24259" s="183"/>
    </row>
    <row r="24260" spans="1:38">
      <c r="A24260" s="182"/>
      <c r="Q24260" s="183"/>
      <c r="R24260" s="183"/>
      <c r="S24260" s="183"/>
    </row>
    <row r="24261" spans="1:38">
      <c r="A24261" s="182"/>
      <c r="Q24261" s="183"/>
      <c r="R24261" s="183"/>
      <c r="S24261" s="183"/>
    </row>
    <row r="24262" spans="1:38">
      <c r="A24262" s="182"/>
      <c r="Q24262" s="183"/>
      <c r="R24262" s="183"/>
      <c r="S24262" s="183"/>
    </row>
    <row r="24263" spans="1:38">
      <c r="A24263" s="182"/>
      <c r="Q24263" s="183"/>
      <c r="R24263" s="183"/>
      <c r="S24263" s="183"/>
      <c r="AK24263" s="183"/>
      <c r="AL24263" s="183"/>
    </row>
    <row r="24264" spans="1:38">
      <c r="A24264" s="182"/>
      <c r="Q24264" s="183"/>
      <c r="R24264" s="183"/>
      <c r="S24264" s="183"/>
      <c r="AJ24264" s="183"/>
      <c r="AK24264" s="183"/>
      <c r="AL24264" s="183"/>
    </row>
    <row r="24265" spans="1:38">
      <c r="A24265" s="182"/>
      <c r="Q24265" s="183"/>
      <c r="R24265" s="183"/>
      <c r="S24265" s="183"/>
      <c r="AJ24265" s="183"/>
      <c r="AK24265" s="183"/>
      <c r="AL24265" s="183"/>
    </row>
    <row r="24266" spans="1:38">
      <c r="A24266" s="182"/>
      <c r="Q24266" s="183"/>
      <c r="R24266" s="183"/>
      <c r="S24266" s="183"/>
      <c r="AJ24266" s="183"/>
      <c r="AK24266" s="183"/>
      <c r="AL24266" s="183"/>
    </row>
    <row r="24267" spans="1:38">
      <c r="A24267" s="182"/>
      <c r="Q24267" s="183"/>
      <c r="R24267" s="183"/>
      <c r="S24267" s="183"/>
      <c r="AJ24267" s="183"/>
    </row>
    <row r="24268" spans="1:38">
      <c r="A24268" s="182"/>
      <c r="Q24268" s="183"/>
      <c r="R24268" s="183"/>
      <c r="S24268" s="183"/>
    </row>
    <row r="24269" spans="1:38">
      <c r="A24269" s="182"/>
      <c r="Q24269" s="183"/>
      <c r="R24269" s="183"/>
      <c r="S24269" s="183"/>
    </row>
    <row r="24270" spans="1:38">
      <c r="A24270" s="182"/>
      <c r="Q24270" s="183"/>
      <c r="R24270" s="183"/>
      <c r="S24270" s="183"/>
    </row>
    <row r="24271" spans="1:38">
      <c r="A24271" s="182"/>
      <c r="Q24271" s="183"/>
      <c r="R24271" s="183"/>
      <c r="S24271" s="183"/>
    </row>
    <row r="24272" spans="1:38">
      <c r="A24272" s="182"/>
      <c r="Q24272" s="183"/>
      <c r="R24272" s="183"/>
      <c r="S24272" s="183"/>
    </row>
    <row r="24273" spans="1:38">
      <c r="A24273" s="182"/>
      <c r="Q24273" s="183"/>
      <c r="R24273" s="183"/>
      <c r="S24273" s="183"/>
    </row>
    <row r="24274" spans="1:38">
      <c r="A24274" s="182"/>
      <c r="Q24274" s="183"/>
      <c r="R24274" s="183"/>
      <c r="S24274" s="183"/>
    </row>
    <row r="24275" spans="1:38">
      <c r="A24275" s="182"/>
      <c r="Q24275" s="183"/>
      <c r="R24275" s="183"/>
      <c r="S24275" s="183"/>
    </row>
    <row r="24276" spans="1:38">
      <c r="A24276" s="182"/>
      <c r="Q24276" s="183"/>
      <c r="R24276" s="183"/>
      <c r="S24276" s="183"/>
    </row>
    <row r="24277" spans="1:38">
      <c r="A24277" s="182"/>
      <c r="Q24277" s="183"/>
      <c r="R24277" s="183"/>
      <c r="S24277" s="183"/>
    </row>
    <row r="24278" spans="1:38">
      <c r="A24278" s="182"/>
      <c r="Q24278" s="183"/>
      <c r="R24278" s="183"/>
      <c r="S24278" s="183"/>
    </row>
    <row r="24279" spans="1:38">
      <c r="A24279" s="182"/>
      <c r="Q24279" s="183"/>
      <c r="R24279" s="183"/>
      <c r="S24279" s="183"/>
      <c r="AK24279" s="183"/>
      <c r="AL24279" s="183"/>
    </row>
    <row r="24280" spans="1:38">
      <c r="A24280" s="182"/>
      <c r="Q24280" s="183"/>
      <c r="R24280" s="183"/>
      <c r="S24280" s="183"/>
      <c r="AJ24280" s="183"/>
      <c r="AK24280" s="183"/>
      <c r="AL24280" s="183"/>
    </row>
    <row r="24281" spans="1:38">
      <c r="A24281" s="182"/>
      <c r="Q24281" s="183"/>
      <c r="R24281" s="183"/>
      <c r="S24281" s="183"/>
      <c r="AJ24281" s="183"/>
      <c r="AK24281" s="183"/>
      <c r="AL24281" s="183"/>
    </row>
    <row r="24282" spans="1:38">
      <c r="A24282" s="182"/>
      <c r="Q24282" s="183"/>
      <c r="R24282" s="183"/>
      <c r="S24282" s="183"/>
      <c r="AJ24282" s="183"/>
      <c r="AK24282" s="183"/>
      <c r="AL24282" s="183"/>
    </row>
    <row r="24283" spans="1:38">
      <c r="A24283" s="182"/>
      <c r="Q24283" s="183"/>
      <c r="R24283" s="183"/>
      <c r="S24283" s="183"/>
      <c r="AJ24283" s="183"/>
    </row>
    <row r="24284" spans="1:38">
      <c r="A24284" s="182"/>
      <c r="Q24284" s="183"/>
      <c r="R24284" s="183"/>
      <c r="S24284" s="183"/>
    </row>
    <row r="24285" spans="1:38">
      <c r="A24285" s="182"/>
      <c r="Q24285" s="183"/>
      <c r="R24285" s="183"/>
      <c r="S24285" s="183"/>
    </row>
    <row r="24286" spans="1:38">
      <c r="A24286" s="182"/>
      <c r="Q24286" s="183"/>
      <c r="R24286" s="183"/>
      <c r="S24286" s="183"/>
    </row>
    <row r="24287" spans="1:38">
      <c r="A24287" s="182"/>
      <c r="M24287" s="183"/>
      <c r="N24287" s="183"/>
      <c r="Q24287" s="183"/>
      <c r="R24287" s="183"/>
      <c r="S24287" s="183"/>
      <c r="AK24287" s="183"/>
      <c r="AL24287" s="183"/>
    </row>
    <row r="24288" spans="1:38">
      <c r="A24288" s="182"/>
      <c r="L24288" s="183"/>
      <c r="Q24288" s="183"/>
      <c r="R24288" s="183"/>
      <c r="S24288" s="183"/>
      <c r="AJ24288" s="183"/>
      <c r="AK24288" s="183"/>
      <c r="AL24288" s="183"/>
    </row>
    <row r="24289" spans="1:38">
      <c r="A24289" s="182"/>
      <c r="Q24289" s="183"/>
      <c r="R24289" s="183"/>
      <c r="S24289" s="183"/>
      <c r="AJ24289" s="183"/>
      <c r="AK24289" s="183"/>
      <c r="AL24289" s="183"/>
    </row>
    <row r="24290" spans="1:38">
      <c r="A24290" s="182"/>
      <c r="Q24290" s="183"/>
      <c r="R24290" s="183"/>
      <c r="S24290" s="183"/>
      <c r="AJ24290" s="183"/>
      <c r="AK24290" s="183"/>
      <c r="AL24290" s="183"/>
    </row>
    <row r="24291" spans="1:38">
      <c r="A24291" s="182"/>
      <c r="Q24291" s="183"/>
      <c r="R24291" s="183"/>
      <c r="S24291" s="183"/>
      <c r="AJ24291" s="183"/>
      <c r="AK24291" s="183"/>
      <c r="AL24291" s="183"/>
    </row>
    <row r="24292" spans="1:38">
      <c r="A24292" s="182"/>
      <c r="Q24292" s="183"/>
      <c r="R24292" s="183"/>
      <c r="S24292" s="183"/>
      <c r="AJ24292" s="183"/>
      <c r="AK24292" s="183"/>
      <c r="AL24292" s="183"/>
    </row>
    <row r="24293" spans="1:38">
      <c r="A24293" s="182"/>
      <c r="Q24293" s="183"/>
      <c r="R24293" s="183"/>
      <c r="S24293" s="183"/>
      <c r="AJ24293" s="183"/>
      <c r="AK24293" s="183"/>
      <c r="AL24293" s="183"/>
    </row>
    <row r="24294" spans="1:38">
      <c r="A24294" s="182"/>
      <c r="Q24294" s="183"/>
      <c r="R24294" s="183"/>
      <c r="S24294" s="183"/>
      <c r="AJ24294" s="183"/>
      <c r="AK24294" s="183"/>
      <c r="AL24294" s="183"/>
    </row>
    <row r="24295" spans="1:38">
      <c r="A24295" s="182"/>
      <c r="Q24295" s="183"/>
      <c r="R24295" s="183"/>
      <c r="S24295" s="183"/>
      <c r="AJ24295" s="183"/>
      <c r="AK24295" s="183"/>
      <c r="AL24295" s="183"/>
    </row>
    <row r="24296" spans="1:38">
      <c r="A24296" s="182"/>
      <c r="Q24296" s="183"/>
      <c r="R24296" s="183"/>
      <c r="S24296" s="183"/>
      <c r="AJ24296" s="183"/>
      <c r="AK24296" s="183"/>
      <c r="AL24296" s="183"/>
    </row>
    <row r="24297" spans="1:38">
      <c r="A24297" s="182"/>
      <c r="Q24297" s="183"/>
      <c r="R24297" s="183"/>
      <c r="S24297" s="183"/>
      <c r="AJ24297" s="183"/>
      <c r="AK24297" s="183"/>
      <c r="AL24297" s="183"/>
    </row>
    <row r="24298" spans="1:38">
      <c r="A24298" s="182"/>
      <c r="Q24298" s="183"/>
      <c r="R24298" s="183"/>
      <c r="S24298" s="183"/>
      <c r="AJ24298" s="183"/>
      <c r="AK24298" s="183"/>
      <c r="AL24298" s="183"/>
    </row>
    <row r="24299" spans="1:38">
      <c r="A24299" s="182"/>
      <c r="M24299" s="183"/>
      <c r="N24299" s="183"/>
      <c r="Q24299" s="183"/>
      <c r="R24299" s="183"/>
      <c r="S24299" s="183"/>
      <c r="AJ24299" s="183"/>
    </row>
    <row r="24300" spans="1:38">
      <c r="A24300" s="182"/>
      <c r="L24300" s="183"/>
      <c r="Q24300" s="183"/>
      <c r="R24300" s="183"/>
      <c r="S24300" s="183"/>
    </row>
    <row r="24301" spans="1:38">
      <c r="A24301" s="182"/>
      <c r="Q24301" s="183"/>
      <c r="R24301" s="183"/>
      <c r="S24301" s="183"/>
    </row>
    <row r="24302" spans="1:38">
      <c r="A24302" s="182"/>
      <c r="Q24302" s="183"/>
      <c r="R24302" s="183"/>
      <c r="S24302" s="183"/>
    </row>
    <row r="24303" spans="1:38">
      <c r="A24303" s="182"/>
      <c r="Q24303" s="183"/>
      <c r="R24303" s="183"/>
      <c r="S24303" s="183"/>
      <c r="AK24303" s="183"/>
      <c r="AL24303" s="183"/>
    </row>
    <row r="24304" spans="1:38">
      <c r="A24304" s="182"/>
      <c r="Q24304" s="183"/>
      <c r="R24304" s="183"/>
      <c r="S24304" s="183"/>
      <c r="AJ24304" s="183"/>
      <c r="AK24304" s="183"/>
      <c r="AL24304" s="183"/>
    </row>
    <row r="24305" spans="1:38">
      <c r="A24305" s="182"/>
      <c r="Q24305" s="183"/>
      <c r="R24305" s="183"/>
      <c r="S24305" s="183"/>
      <c r="AJ24305" s="183"/>
      <c r="AK24305" s="183"/>
      <c r="AL24305" s="183"/>
    </row>
    <row r="24306" spans="1:38">
      <c r="A24306" s="182"/>
      <c r="Q24306" s="183"/>
      <c r="R24306" s="183"/>
      <c r="S24306" s="183"/>
      <c r="AJ24306" s="183"/>
      <c r="AK24306" s="183"/>
      <c r="AL24306" s="183"/>
    </row>
    <row r="24307" spans="1:38">
      <c r="A24307" s="182"/>
      <c r="Q24307" s="183"/>
      <c r="R24307" s="183"/>
      <c r="S24307" s="183"/>
      <c r="AJ24307" s="183"/>
    </row>
    <row r="24308" spans="1:38">
      <c r="A24308" s="182"/>
      <c r="Q24308" s="183"/>
      <c r="R24308" s="183"/>
      <c r="S24308" s="183"/>
    </row>
    <row r="24309" spans="1:38">
      <c r="A24309" s="182"/>
      <c r="Q24309" s="183"/>
      <c r="R24309" s="183"/>
      <c r="S24309" s="183"/>
    </row>
    <row r="24310" spans="1:38">
      <c r="A24310" s="182"/>
      <c r="Q24310" s="183"/>
      <c r="R24310" s="183"/>
      <c r="S24310" s="183"/>
    </row>
    <row r="24311" spans="1:38">
      <c r="A24311" s="182"/>
      <c r="Q24311" s="183"/>
      <c r="R24311" s="183"/>
      <c r="S24311" s="183"/>
    </row>
    <row r="24312" spans="1:38">
      <c r="A24312" s="182"/>
      <c r="Q24312" s="183"/>
      <c r="R24312" s="183"/>
      <c r="S24312" s="183"/>
    </row>
    <row r="24313" spans="1:38">
      <c r="A24313" s="182"/>
      <c r="Q24313" s="183"/>
      <c r="R24313" s="183"/>
      <c r="S24313" s="183"/>
    </row>
    <row r="24314" spans="1:38">
      <c r="A24314" s="182"/>
      <c r="Q24314" s="183"/>
      <c r="R24314" s="183"/>
      <c r="S24314" s="183"/>
    </row>
    <row r="24315" spans="1:38">
      <c r="A24315" s="182"/>
      <c r="Q24315" s="183"/>
      <c r="R24315" s="183"/>
      <c r="S24315" s="183"/>
    </row>
    <row r="24316" spans="1:38">
      <c r="A24316" s="182"/>
      <c r="Q24316" s="183"/>
      <c r="R24316" s="183"/>
      <c r="S24316" s="183"/>
    </row>
    <row r="24317" spans="1:38">
      <c r="A24317" s="182"/>
      <c r="Q24317" s="183"/>
      <c r="R24317" s="183"/>
      <c r="S24317" s="183"/>
    </row>
    <row r="24318" spans="1:38">
      <c r="A24318" s="182"/>
      <c r="Q24318" s="183"/>
      <c r="R24318" s="183"/>
      <c r="S24318" s="183"/>
    </row>
    <row r="24319" spans="1:38">
      <c r="A24319" s="182"/>
      <c r="Q24319" s="183"/>
      <c r="R24319" s="183"/>
      <c r="S24319" s="183"/>
    </row>
    <row r="24320" spans="1:38">
      <c r="A24320" s="182"/>
      <c r="Q24320" s="183"/>
      <c r="R24320" s="183"/>
      <c r="S24320" s="183"/>
    </row>
    <row r="24321" spans="1:38">
      <c r="A24321" s="182"/>
      <c r="Q24321" s="183"/>
      <c r="R24321" s="183"/>
      <c r="S24321" s="183"/>
    </row>
    <row r="24322" spans="1:38">
      <c r="A24322" s="182"/>
      <c r="Q24322" s="183"/>
      <c r="R24322" s="183"/>
      <c r="S24322" s="183"/>
    </row>
    <row r="24323" spans="1:38">
      <c r="A24323" s="182"/>
      <c r="Q24323" s="183"/>
      <c r="R24323" s="183"/>
      <c r="S24323" s="183"/>
    </row>
    <row r="24324" spans="1:38">
      <c r="A24324" s="182"/>
      <c r="Q24324" s="183"/>
      <c r="R24324" s="183"/>
      <c r="S24324" s="183"/>
    </row>
    <row r="24325" spans="1:38">
      <c r="A24325" s="182"/>
      <c r="Q24325" s="183"/>
      <c r="R24325" s="183"/>
      <c r="S24325" s="183"/>
    </row>
    <row r="24326" spans="1:38">
      <c r="A24326" s="182"/>
      <c r="Q24326" s="183"/>
      <c r="R24326" s="183"/>
      <c r="S24326" s="183"/>
    </row>
    <row r="24327" spans="1:38">
      <c r="A24327" s="182"/>
      <c r="Q24327" s="183"/>
      <c r="R24327" s="183"/>
      <c r="S24327" s="183"/>
      <c r="AK24327" s="183"/>
      <c r="AL24327" s="183"/>
    </row>
    <row r="24328" spans="1:38">
      <c r="A24328" s="182"/>
      <c r="Q24328" s="183"/>
      <c r="R24328" s="183"/>
      <c r="S24328" s="183"/>
      <c r="AJ24328" s="183"/>
      <c r="AK24328" s="183"/>
      <c r="AL24328" s="183"/>
    </row>
    <row r="24329" spans="1:38">
      <c r="A24329" s="182"/>
      <c r="Q24329" s="183"/>
      <c r="R24329" s="183"/>
      <c r="S24329" s="183"/>
      <c r="AJ24329" s="183"/>
      <c r="AK24329" s="183"/>
      <c r="AL24329" s="183"/>
    </row>
    <row r="24330" spans="1:38">
      <c r="A24330" s="182"/>
      <c r="Q24330" s="183"/>
      <c r="R24330" s="183"/>
      <c r="S24330" s="183"/>
      <c r="AJ24330" s="183"/>
      <c r="AK24330" s="183"/>
      <c r="AL24330" s="183"/>
    </row>
    <row r="24331" spans="1:38">
      <c r="A24331" s="182"/>
      <c r="Q24331" s="183"/>
      <c r="R24331" s="183"/>
      <c r="S24331" s="183"/>
      <c r="AJ24331" s="183"/>
    </row>
    <row r="24332" spans="1:38">
      <c r="A24332" s="182"/>
      <c r="Q24332" s="183"/>
      <c r="R24332" s="183"/>
      <c r="S24332" s="183"/>
    </row>
    <row r="24333" spans="1:38">
      <c r="A24333" s="182"/>
      <c r="Q24333" s="183"/>
      <c r="R24333" s="183"/>
      <c r="S24333" s="183"/>
    </row>
    <row r="24334" spans="1:38">
      <c r="A24334" s="182"/>
      <c r="Q24334" s="183"/>
      <c r="R24334" s="183"/>
      <c r="S24334" s="183"/>
    </row>
    <row r="24335" spans="1:38">
      <c r="A24335" s="182"/>
      <c r="Q24335" s="183"/>
      <c r="R24335" s="183"/>
      <c r="S24335" s="183"/>
    </row>
    <row r="24336" spans="1:38">
      <c r="A24336" s="182"/>
      <c r="Q24336" s="183"/>
      <c r="R24336" s="183"/>
      <c r="S24336" s="183"/>
    </row>
    <row r="24337" spans="1:38">
      <c r="A24337" s="182"/>
      <c r="Q24337" s="183"/>
      <c r="R24337" s="183"/>
      <c r="S24337" s="183"/>
    </row>
    <row r="24338" spans="1:38">
      <c r="A24338" s="182"/>
      <c r="Q24338" s="183"/>
      <c r="R24338" s="183"/>
      <c r="S24338" s="183"/>
    </row>
    <row r="24339" spans="1:38">
      <c r="A24339" s="182"/>
      <c r="Q24339" s="183"/>
      <c r="R24339" s="183"/>
      <c r="S24339" s="183"/>
      <c r="AK24339" s="183"/>
      <c r="AL24339" s="183"/>
    </row>
    <row r="24340" spans="1:38">
      <c r="A24340" s="182"/>
      <c r="Q24340" s="183"/>
      <c r="R24340" s="183"/>
      <c r="S24340" s="183"/>
      <c r="AJ24340" s="183"/>
      <c r="AK24340" s="183"/>
      <c r="AL24340" s="183"/>
    </row>
    <row r="24341" spans="1:38">
      <c r="A24341" s="182"/>
      <c r="Q24341" s="183"/>
      <c r="R24341" s="183"/>
      <c r="S24341" s="183"/>
      <c r="AJ24341" s="183"/>
      <c r="AK24341" s="183"/>
      <c r="AL24341" s="183"/>
    </row>
    <row r="24342" spans="1:38">
      <c r="A24342" s="182"/>
      <c r="Q24342" s="183"/>
      <c r="R24342" s="183"/>
      <c r="S24342" s="183"/>
      <c r="AJ24342" s="183"/>
      <c r="AK24342" s="183"/>
      <c r="AL24342" s="183"/>
    </row>
    <row r="24343" spans="1:38">
      <c r="A24343" s="182"/>
      <c r="Q24343" s="183"/>
      <c r="R24343" s="183"/>
      <c r="S24343" s="183"/>
      <c r="AJ24343" s="183"/>
      <c r="AK24343" s="183"/>
      <c r="AL24343" s="183"/>
    </row>
    <row r="24344" spans="1:38">
      <c r="A24344" s="182"/>
      <c r="Q24344" s="183"/>
      <c r="R24344" s="183"/>
      <c r="S24344" s="183"/>
      <c r="AJ24344" s="183"/>
      <c r="AK24344" s="183"/>
      <c r="AL24344" s="183"/>
    </row>
    <row r="24345" spans="1:38">
      <c r="A24345" s="182"/>
      <c r="Q24345" s="183"/>
      <c r="R24345" s="183"/>
      <c r="S24345" s="183"/>
      <c r="AJ24345" s="183"/>
      <c r="AK24345" s="183"/>
      <c r="AL24345" s="183"/>
    </row>
    <row r="24346" spans="1:38">
      <c r="A24346" s="182"/>
      <c r="Q24346" s="183"/>
      <c r="R24346" s="183"/>
      <c r="S24346" s="183"/>
      <c r="AJ24346" s="183"/>
      <c r="AK24346" s="183"/>
      <c r="AL24346" s="183"/>
    </row>
    <row r="24347" spans="1:38">
      <c r="A24347" s="182"/>
      <c r="Q24347" s="183"/>
      <c r="R24347" s="183"/>
      <c r="S24347" s="183"/>
      <c r="AJ24347" s="183"/>
    </row>
    <row r="24348" spans="1:38">
      <c r="A24348" s="182"/>
      <c r="Q24348" s="183"/>
      <c r="R24348" s="183"/>
      <c r="S24348" s="183"/>
    </row>
    <row r="24349" spans="1:38">
      <c r="A24349" s="182"/>
      <c r="N24349" s="183"/>
      <c r="O24349" s="183"/>
      <c r="Q24349" s="183"/>
      <c r="R24349" s="183"/>
      <c r="S24349" s="183"/>
    </row>
    <row r="24350" spans="1:38">
      <c r="A24350" s="182"/>
      <c r="M24350" s="183"/>
      <c r="Q24350" s="183"/>
      <c r="R24350" s="183"/>
      <c r="S24350" s="183"/>
    </row>
    <row r="24351" spans="1:38">
      <c r="A24351" s="182"/>
      <c r="Q24351" s="183"/>
      <c r="R24351" s="183"/>
      <c r="S24351" s="183"/>
    </row>
    <row r="24352" spans="1:38">
      <c r="A24352" s="182"/>
      <c r="Q24352" s="183"/>
      <c r="R24352" s="183"/>
      <c r="S24352" s="183"/>
    </row>
    <row r="24353" spans="1:38">
      <c r="A24353" s="182"/>
      <c r="Q24353" s="183"/>
      <c r="R24353" s="183"/>
      <c r="S24353" s="183"/>
    </row>
    <row r="24354" spans="1:38">
      <c r="A24354" s="182"/>
      <c r="Q24354" s="183"/>
      <c r="R24354" s="183"/>
      <c r="S24354" s="183"/>
    </row>
    <row r="24355" spans="1:38">
      <c r="A24355" s="182"/>
      <c r="Q24355" s="183"/>
      <c r="R24355" s="183"/>
      <c r="S24355" s="183"/>
    </row>
    <row r="24356" spans="1:38">
      <c r="A24356" s="182"/>
      <c r="Q24356" s="183"/>
      <c r="R24356" s="183"/>
      <c r="S24356" s="183"/>
    </row>
    <row r="24357" spans="1:38">
      <c r="A24357" s="182"/>
      <c r="Q24357" s="183"/>
      <c r="R24357" s="183"/>
      <c r="S24357" s="183"/>
    </row>
    <row r="24358" spans="1:38">
      <c r="A24358" s="182"/>
      <c r="Q24358" s="183"/>
      <c r="R24358" s="183"/>
      <c r="S24358" s="183"/>
    </row>
    <row r="24359" spans="1:38">
      <c r="A24359" s="182"/>
      <c r="Q24359" s="183"/>
      <c r="R24359" s="183"/>
      <c r="S24359" s="183"/>
    </row>
    <row r="24360" spans="1:38">
      <c r="A24360" s="182"/>
      <c r="Q24360" s="183"/>
      <c r="R24360" s="183"/>
      <c r="S24360" s="183"/>
    </row>
    <row r="24361" spans="1:38">
      <c r="A24361" s="182"/>
      <c r="Q24361" s="183"/>
      <c r="R24361" s="183"/>
      <c r="S24361" s="183"/>
    </row>
    <row r="24362" spans="1:38">
      <c r="A24362" s="182"/>
      <c r="Q24362" s="183"/>
      <c r="R24362" s="183"/>
      <c r="S24362" s="183"/>
    </row>
    <row r="24363" spans="1:38">
      <c r="A24363" s="182"/>
      <c r="Q24363" s="183"/>
      <c r="R24363" s="183"/>
      <c r="S24363" s="183"/>
      <c r="AK24363" s="183"/>
      <c r="AL24363" s="183"/>
    </row>
    <row r="24364" spans="1:38">
      <c r="A24364" s="182"/>
      <c r="Q24364" s="183"/>
      <c r="R24364" s="183"/>
      <c r="S24364" s="183"/>
      <c r="AJ24364" s="183"/>
      <c r="AK24364" s="183"/>
      <c r="AL24364" s="183"/>
    </row>
    <row r="24365" spans="1:38">
      <c r="A24365" s="182"/>
      <c r="Q24365" s="183"/>
      <c r="R24365" s="183"/>
      <c r="S24365" s="183"/>
      <c r="AJ24365" s="183"/>
      <c r="AK24365" s="183"/>
      <c r="AL24365" s="183"/>
    </row>
    <row r="24366" spans="1:38">
      <c r="A24366" s="182"/>
      <c r="Q24366" s="183"/>
      <c r="R24366" s="183"/>
      <c r="S24366" s="183"/>
      <c r="AJ24366" s="183"/>
      <c r="AK24366" s="183"/>
      <c r="AL24366" s="183"/>
    </row>
    <row r="24367" spans="1:38">
      <c r="A24367" s="182"/>
      <c r="Q24367" s="183"/>
      <c r="R24367" s="183"/>
      <c r="S24367" s="183"/>
      <c r="AJ24367" s="183"/>
    </row>
    <row r="24368" spans="1:38">
      <c r="A24368" s="182"/>
      <c r="Q24368" s="183"/>
      <c r="R24368" s="183"/>
      <c r="S24368" s="183"/>
    </row>
    <row r="24369" spans="1:38">
      <c r="A24369" s="182"/>
      <c r="Q24369" s="183"/>
      <c r="R24369" s="183"/>
      <c r="S24369" s="183"/>
    </row>
    <row r="24370" spans="1:38">
      <c r="A24370" s="182"/>
      <c r="Q24370" s="183"/>
      <c r="R24370" s="183"/>
      <c r="S24370" s="183"/>
    </row>
    <row r="24371" spans="1:38">
      <c r="A24371" s="182"/>
      <c r="Q24371" s="183"/>
      <c r="R24371" s="183"/>
      <c r="S24371" s="183"/>
      <c r="AK24371" s="183"/>
      <c r="AL24371" s="183"/>
    </row>
    <row r="24372" spans="1:38">
      <c r="A24372" s="182"/>
      <c r="Q24372" s="183"/>
      <c r="R24372" s="183"/>
      <c r="S24372" s="183"/>
      <c r="AJ24372" s="183"/>
      <c r="AK24372" s="183"/>
      <c r="AL24372" s="183"/>
    </row>
    <row r="24373" spans="1:38">
      <c r="A24373" s="182"/>
      <c r="Q24373" s="183"/>
      <c r="R24373" s="183"/>
      <c r="S24373" s="183"/>
      <c r="AJ24373" s="183"/>
      <c r="AK24373" s="183"/>
      <c r="AL24373" s="183"/>
    </row>
    <row r="24374" spans="1:38">
      <c r="A24374" s="182"/>
      <c r="Q24374" s="183"/>
      <c r="R24374" s="183"/>
      <c r="S24374" s="183"/>
      <c r="AJ24374" s="183"/>
      <c r="AK24374" s="183"/>
      <c r="AL24374" s="183"/>
    </row>
    <row r="24375" spans="1:38">
      <c r="A24375" s="182"/>
      <c r="Q24375" s="183"/>
      <c r="R24375" s="183"/>
      <c r="S24375" s="183"/>
      <c r="AJ24375" s="183"/>
    </row>
    <row r="24376" spans="1:38">
      <c r="A24376" s="182"/>
      <c r="Q24376" s="183"/>
      <c r="R24376" s="183"/>
      <c r="S24376" s="183"/>
    </row>
    <row r="24377" spans="1:38">
      <c r="A24377" s="182"/>
      <c r="Q24377" s="183"/>
      <c r="R24377" s="183"/>
      <c r="S24377" s="183"/>
    </row>
    <row r="24378" spans="1:38">
      <c r="A24378" s="182"/>
      <c r="Q24378" s="183"/>
      <c r="R24378" s="183"/>
      <c r="S24378" s="183"/>
    </row>
    <row r="24379" spans="1:38">
      <c r="A24379" s="182"/>
      <c r="Q24379" s="183"/>
      <c r="R24379" s="183"/>
      <c r="S24379" s="183"/>
    </row>
    <row r="24380" spans="1:38">
      <c r="A24380" s="182"/>
      <c r="Q24380" s="183"/>
      <c r="R24380" s="183"/>
      <c r="S24380" s="183"/>
    </row>
    <row r="24381" spans="1:38">
      <c r="A24381" s="182"/>
      <c r="Q24381" s="183"/>
      <c r="R24381" s="183"/>
      <c r="S24381" s="183"/>
    </row>
    <row r="24382" spans="1:38">
      <c r="A24382" s="182"/>
      <c r="Q24382" s="183"/>
      <c r="R24382" s="183"/>
      <c r="S24382" s="183"/>
    </row>
    <row r="24383" spans="1:38">
      <c r="A24383" s="182"/>
      <c r="Q24383" s="183"/>
      <c r="R24383" s="183"/>
      <c r="S24383" s="183"/>
      <c r="AK24383" s="183"/>
      <c r="AL24383" s="183"/>
    </row>
    <row r="24384" spans="1:38">
      <c r="A24384" s="182"/>
      <c r="Q24384" s="183"/>
      <c r="R24384" s="183"/>
      <c r="S24384" s="183"/>
      <c r="AJ24384" s="183"/>
      <c r="AK24384" s="183"/>
      <c r="AL24384" s="183"/>
    </row>
    <row r="24385" spans="1:38">
      <c r="A24385" s="182"/>
      <c r="Q24385" s="183"/>
      <c r="R24385" s="183"/>
      <c r="S24385" s="183"/>
      <c r="AJ24385" s="183"/>
      <c r="AK24385" s="183"/>
      <c r="AL24385" s="183"/>
    </row>
    <row r="24386" spans="1:38">
      <c r="A24386" s="182"/>
      <c r="Q24386" s="183"/>
      <c r="R24386" s="183"/>
      <c r="S24386" s="183"/>
      <c r="AJ24386" s="183"/>
      <c r="AK24386" s="183"/>
      <c r="AL24386" s="183"/>
    </row>
    <row r="24387" spans="1:38">
      <c r="A24387" s="182"/>
      <c r="Q24387" s="183"/>
      <c r="R24387" s="183"/>
      <c r="S24387" s="183"/>
      <c r="AJ24387" s="183"/>
    </row>
    <row r="24388" spans="1:38">
      <c r="A24388" s="182"/>
      <c r="Q24388" s="183"/>
      <c r="R24388" s="183"/>
      <c r="S24388" s="183"/>
    </row>
    <row r="24389" spans="1:38">
      <c r="A24389" s="182"/>
      <c r="Q24389" s="183"/>
      <c r="R24389" s="183"/>
      <c r="S24389" s="183"/>
    </row>
    <row r="24390" spans="1:38">
      <c r="A24390" s="182"/>
      <c r="Q24390" s="183"/>
      <c r="R24390" s="183"/>
      <c r="S24390" s="183"/>
    </row>
    <row r="24391" spans="1:38">
      <c r="A24391" s="182"/>
      <c r="Q24391" s="183"/>
      <c r="R24391" s="183"/>
      <c r="S24391" s="183"/>
      <c r="AK24391" s="183"/>
      <c r="AL24391" s="183"/>
    </row>
    <row r="24392" spans="1:38">
      <c r="A24392" s="182"/>
      <c r="Q24392" s="183"/>
      <c r="R24392" s="183"/>
      <c r="S24392" s="183"/>
      <c r="AJ24392" s="183"/>
      <c r="AK24392" s="183"/>
      <c r="AL24392" s="183"/>
    </row>
    <row r="24393" spans="1:38">
      <c r="A24393" s="182"/>
      <c r="Q24393" s="183"/>
      <c r="R24393" s="183"/>
      <c r="S24393" s="183"/>
      <c r="AJ24393" s="183"/>
      <c r="AK24393" s="183"/>
      <c r="AL24393" s="183"/>
    </row>
    <row r="24394" spans="1:38">
      <c r="A24394" s="182"/>
      <c r="Q24394" s="183"/>
      <c r="R24394" s="183"/>
      <c r="S24394" s="183"/>
      <c r="AJ24394" s="183"/>
      <c r="AK24394" s="183"/>
      <c r="AL24394" s="183"/>
    </row>
    <row r="24395" spans="1:38">
      <c r="A24395" s="182"/>
      <c r="Q24395" s="183"/>
      <c r="R24395" s="183"/>
      <c r="S24395" s="183"/>
      <c r="AJ24395" s="183"/>
      <c r="AK24395" s="183"/>
      <c r="AL24395" s="183"/>
    </row>
    <row r="24396" spans="1:38">
      <c r="A24396" s="182"/>
      <c r="Q24396" s="183"/>
      <c r="R24396" s="183"/>
      <c r="S24396" s="183"/>
      <c r="AJ24396" s="183"/>
      <c r="AK24396" s="183"/>
      <c r="AL24396" s="183"/>
    </row>
    <row r="24397" spans="1:38">
      <c r="A24397" s="182"/>
      <c r="Q24397" s="183"/>
      <c r="R24397" s="183"/>
      <c r="S24397" s="183"/>
      <c r="AJ24397" s="183"/>
      <c r="AK24397" s="183"/>
      <c r="AL24397" s="183"/>
    </row>
    <row r="24398" spans="1:38">
      <c r="A24398" s="182"/>
      <c r="Q24398" s="183"/>
      <c r="R24398" s="183"/>
      <c r="S24398" s="183"/>
      <c r="AJ24398" s="183"/>
      <c r="AK24398" s="183"/>
      <c r="AL24398" s="183"/>
    </row>
    <row r="24399" spans="1:38">
      <c r="A24399" s="182"/>
      <c r="Q24399" s="183"/>
      <c r="R24399" s="183"/>
      <c r="S24399" s="183"/>
      <c r="AJ24399" s="183"/>
      <c r="AK24399" s="183"/>
      <c r="AL24399" s="183"/>
    </row>
    <row r="24400" spans="1:38">
      <c r="A24400" s="182"/>
      <c r="Q24400" s="183"/>
      <c r="R24400" s="183"/>
      <c r="S24400" s="183"/>
      <c r="AJ24400" s="183"/>
      <c r="AK24400" s="183"/>
      <c r="AL24400" s="183"/>
    </row>
    <row r="24401" spans="1:38">
      <c r="A24401" s="182"/>
      <c r="Q24401" s="183"/>
      <c r="R24401" s="183"/>
      <c r="S24401" s="183"/>
      <c r="AJ24401" s="183"/>
      <c r="AK24401" s="183"/>
      <c r="AL24401" s="183"/>
    </row>
    <row r="24402" spans="1:38">
      <c r="A24402" s="182"/>
      <c r="Q24402" s="183"/>
      <c r="R24402" s="183"/>
      <c r="S24402" s="183"/>
      <c r="AJ24402" s="183"/>
      <c r="AK24402" s="183"/>
      <c r="AL24402" s="183"/>
    </row>
    <row r="24403" spans="1:38">
      <c r="A24403" s="182"/>
      <c r="Q24403" s="183"/>
      <c r="R24403" s="183"/>
      <c r="S24403" s="183"/>
      <c r="AJ24403" s="183"/>
    </row>
    <row r="24404" spans="1:38">
      <c r="A24404" s="182"/>
      <c r="Q24404" s="183"/>
      <c r="R24404" s="183"/>
      <c r="S24404" s="183"/>
    </row>
    <row r="24405" spans="1:38">
      <c r="A24405" s="182"/>
      <c r="Q24405" s="183"/>
      <c r="R24405" s="183"/>
      <c r="S24405" s="183"/>
    </row>
    <row r="24406" spans="1:38">
      <c r="A24406" s="182"/>
      <c r="Q24406" s="183"/>
      <c r="R24406" s="183"/>
      <c r="S24406" s="183"/>
    </row>
    <row r="24407" spans="1:38">
      <c r="A24407" s="182"/>
      <c r="Q24407" s="183"/>
      <c r="R24407" s="183"/>
      <c r="S24407" s="183"/>
    </row>
    <row r="24408" spans="1:38">
      <c r="A24408" s="182"/>
      <c r="Q24408" s="183"/>
      <c r="R24408" s="183"/>
      <c r="S24408" s="183"/>
    </row>
    <row r="24409" spans="1:38">
      <c r="A24409" s="182"/>
      <c r="Q24409" s="183"/>
      <c r="R24409" s="183"/>
      <c r="S24409" s="183"/>
    </row>
    <row r="24410" spans="1:38">
      <c r="A24410" s="182"/>
      <c r="Q24410" s="183"/>
      <c r="R24410" s="183"/>
      <c r="S24410" s="183"/>
    </row>
    <row r="24411" spans="1:38">
      <c r="A24411" s="182"/>
      <c r="Q24411" s="183"/>
      <c r="R24411" s="183"/>
      <c r="S24411" s="183"/>
    </row>
    <row r="24412" spans="1:38">
      <c r="A24412" s="182"/>
      <c r="Q24412" s="183"/>
      <c r="R24412" s="183"/>
      <c r="S24412" s="183"/>
    </row>
    <row r="24413" spans="1:38">
      <c r="A24413" s="182"/>
      <c r="Q24413" s="183"/>
      <c r="R24413" s="183"/>
      <c r="S24413" s="183"/>
    </row>
    <row r="24414" spans="1:38">
      <c r="A24414" s="182"/>
      <c r="Q24414" s="183"/>
      <c r="R24414" s="183"/>
      <c r="S24414" s="183"/>
    </row>
    <row r="24415" spans="1:38">
      <c r="A24415" s="182"/>
      <c r="Q24415" s="183"/>
      <c r="R24415" s="183"/>
      <c r="S24415" s="183"/>
    </row>
    <row r="24416" spans="1:38">
      <c r="A24416" s="182"/>
      <c r="Q24416" s="183"/>
      <c r="R24416" s="183"/>
      <c r="S24416" s="183"/>
    </row>
    <row r="24417" spans="1:38">
      <c r="A24417" s="182"/>
      <c r="Q24417" s="183"/>
      <c r="R24417" s="183"/>
      <c r="S24417" s="183"/>
    </row>
    <row r="24418" spans="1:38">
      <c r="A24418" s="182"/>
      <c r="Q24418" s="183"/>
      <c r="R24418" s="183"/>
      <c r="S24418" s="183"/>
    </row>
    <row r="24419" spans="1:38">
      <c r="A24419" s="182"/>
      <c r="Q24419" s="183"/>
      <c r="R24419" s="183"/>
      <c r="S24419" s="183"/>
    </row>
    <row r="24420" spans="1:38">
      <c r="A24420" s="182"/>
      <c r="Q24420" s="183"/>
      <c r="R24420" s="183"/>
      <c r="S24420" s="183"/>
    </row>
    <row r="24421" spans="1:38">
      <c r="A24421" s="182"/>
      <c r="Q24421" s="183"/>
      <c r="R24421" s="183"/>
      <c r="S24421" s="183"/>
    </row>
    <row r="24422" spans="1:38">
      <c r="A24422" s="182"/>
      <c r="Q24422" s="183"/>
      <c r="R24422" s="183"/>
      <c r="S24422" s="183"/>
    </row>
    <row r="24423" spans="1:38">
      <c r="A24423" s="182"/>
      <c r="Q24423" s="183"/>
      <c r="R24423" s="183"/>
      <c r="S24423" s="183"/>
      <c r="AK24423" s="183"/>
      <c r="AL24423" s="183"/>
    </row>
    <row r="24424" spans="1:38">
      <c r="A24424" s="182"/>
      <c r="Q24424" s="183"/>
      <c r="R24424" s="183"/>
      <c r="S24424" s="183"/>
      <c r="AJ24424" s="183"/>
      <c r="AK24424" s="183"/>
      <c r="AL24424" s="183"/>
    </row>
    <row r="24425" spans="1:38">
      <c r="A24425" s="182"/>
      <c r="Q24425" s="183"/>
      <c r="R24425" s="183"/>
      <c r="S24425" s="183"/>
      <c r="AJ24425" s="183"/>
      <c r="AK24425" s="183"/>
      <c r="AL24425" s="183"/>
    </row>
    <row r="24426" spans="1:38">
      <c r="A24426" s="182"/>
      <c r="Q24426" s="183"/>
      <c r="R24426" s="183"/>
      <c r="S24426" s="183"/>
      <c r="AJ24426" s="183"/>
      <c r="AK24426" s="183"/>
      <c r="AL24426" s="183"/>
    </row>
    <row r="24427" spans="1:38">
      <c r="A24427" s="182"/>
      <c r="Q24427" s="183"/>
      <c r="R24427" s="183"/>
      <c r="S24427" s="183"/>
      <c r="AJ24427" s="183"/>
    </row>
    <row r="24428" spans="1:38">
      <c r="A24428" s="182"/>
      <c r="Q24428" s="183"/>
      <c r="R24428" s="183"/>
      <c r="S24428" s="183"/>
    </row>
    <row r="24429" spans="1:38">
      <c r="A24429" s="182"/>
      <c r="Q24429" s="183"/>
      <c r="R24429" s="183"/>
      <c r="S24429" s="183"/>
    </row>
    <row r="24430" spans="1:38">
      <c r="A24430" s="182"/>
      <c r="Q24430" s="183"/>
      <c r="R24430" s="183"/>
      <c r="S24430" s="183"/>
    </row>
    <row r="24431" spans="1:38">
      <c r="A24431" s="182"/>
      <c r="Q24431" s="183"/>
      <c r="R24431" s="183"/>
      <c r="S24431" s="183"/>
    </row>
    <row r="24432" spans="1:38">
      <c r="A24432" s="182"/>
      <c r="Q24432" s="183"/>
      <c r="R24432" s="183"/>
      <c r="S24432" s="183"/>
    </row>
    <row r="24433" spans="1:38">
      <c r="A24433" s="182"/>
      <c r="Q24433" s="183"/>
      <c r="R24433" s="183"/>
      <c r="S24433" s="183"/>
    </row>
    <row r="24434" spans="1:38">
      <c r="A24434" s="182"/>
      <c r="Q24434" s="183"/>
      <c r="R24434" s="183"/>
      <c r="S24434" s="183"/>
    </row>
    <row r="24435" spans="1:38">
      <c r="A24435" s="182"/>
      <c r="Q24435" s="183"/>
      <c r="R24435" s="183"/>
      <c r="S24435" s="183"/>
    </row>
    <row r="24436" spans="1:38">
      <c r="A24436" s="182"/>
      <c r="Q24436" s="183"/>
      <c r="R24436" s="183"/>
      <c r="S24436" s="183"/>
    </row>
    <row r="24437" spans="1:38">
      <c r="A24437" s="182"/>
      <c r="Q24437" s="183"/>
      <c r="R24437" s="183"/>
      <c r="S24437" s="183"/>
    </row>
    <row r="24438" spans="1:38">
      <c r="A24438" s="182"/>
      <c r="Q24438" s="183"/>
      <c r="R24438" s="183"/>
      <c r="S24438" s="183"/>
    </row>
    <row r="24439" spans="1:38">
      <c r="A24439" s="182"/>
      <c r="Q24439" s="183"/>
      <c r="R24439" s="183"/>
      <c r="S24439" s="183"/>
      <c r="AK24439" s="183"/>
      <c r="AL24439" s="183"/>
    </row>
    <row r="24440" spans="1:38">
      <c r="A24440" s="182"/>
      <c r="Q24440" s="183"/>
      <c r="R24440" s="183"/>
      <c r="S24440" s="183"/>
      <c r="AJ24440" s="183"/>
      <c r="AK24440" s="183"/>
      <c r="AL24440" s="183"/>
    </row>
    <row r="24441" spans="1:38">
      <c r="A24441" s="182"/>
      <c r="Q24441" s="183"/>
      <c r="R24441" s="183"/>
      <c r="S24441" s="183"/>
      <c r="AJ24441" s="183"/>
      <c r="AK24441" s="183"/>
      <c r="AL24441" s="183"/>
    </row>
    <row r="24442" spans="1:38">
      <c r="A24442" s="182"/>
      <c r="Q24442" s="183"/>
      <c r="R24442" s="183"/>
      <c r="S24442" s="183"/>
      <c r="AJ24442" s="183"/>
      <c r="AK24442" s="183"/>
      <c r="AL24442" s="183"/>
    </row>
    <row r="24443" spans="1:38">
      <c r="A24443" s="182"/>
      <c r="Q24443" s="183"/>
      <c r="R24443" s="183"/>
      <c r="S24443" s="183"/>
      <c r="AJ24443" s="183"/>
      <c r="AK24443" s="183"/>
      <c r="AL24443" s="183"/>
    </row>
    <row r="24444" spans="1:38">
      <c r="A24444" s="182"/>
      <c r="Q24444" s="183"/>
      <c r="R24444" s="183"/>
      <c r="S24444" s="183"/>
      <c r="AJ24444" s="183"/>
      <c r="AK24444" s="183"/>
      <c r="AL24444" s="183"/>
    </row>
    <row r="24445" spans="1:38">
      <c r="A24445" s="182"/>
      <c r="Q24445" s="183"/>
      <c r="R24445" s="183"/>
      <c r="S24445" s="183"/>
      <c r="AJ24445" s="183"/>
      <c r="AK24445" s="183"/>
      <c r="AL24445" s="183"/>
    </row>
    <row r="24446" spans="1:38">
      <c r="A24446" s="182"/>
      <c r="Q24446" s="183"/>
      <c r="R24446" s="183"/>
      <c r="S24446" s="183"/>
      <c r="AJ24446" s="183"/>
      <c r="AK24446" s="183"/>
      <c r="AL24446" s="183"/>
    </row>
    <row r="24447" spans="1:38">
      <c r="A24447" s="182"/>
      <c r="Q24447" s="183"/>
      <c r="R24447" s="183"/>
      <c r="S24447" s="183"/>
      <c r="AJ24447" s="183"/>
    </row>
    <row r="24448" spans="1:38">
      <c r="A24448" s="182"/>
      <c r="Q24448" s="183"/>
      <c r="R24448" s="183"/>
      <c r="S24448" s="183"/>
    </row>
    <row r="24449" spans="1:38">
      <c r="A24449" s="182"/>
      <c r="Q24449" s="183"/>
      <c r="R24449" s="183"/>
      <c r="S24449" s="183"/>
    </row>
    <row r="24450" spans="1:38">
      <c r="A24450" s="182"/>
      <c r="Q24450" s="183"/>
      <c r="R24450" s="183"/>
      <c r="S24450" s="183"/>
    </row>
    <row r="24451" spans="1:38">
      <c r="A24451" s="182"/>
      <c r="Q24451" s="183"/>
      <c r="R24451" s="183"/>
      <c r="S24451" s="183"/>
    </row>
    <row r="24452" spans="1:38">
      <c r="A24452" s="182"/>
      <c r="Q24452" s="183"/>
      <c r="R24452" s="183"/>
      <c r="S24452" s="183"/>
    </row>
    <row r="24453" spans="1:38">
      <c r="A24453" s="182"/>
      <c r="Q24453" s="183"/>
      <c r="R24453" s="183"/>
      <c r="S24453" s="183"/>
    </row>
    <row r="24454" spans="1:38">
      <c r="A24454" s="182"/>
      <c r="Q24454" s="183"/>
      <c r="R24454" s="183"/>
      <c r="S24454" s="183"/>
    </row>
    <row r="24455" spans="1:38">
      <c r="A24455" s="182"/>
      <c r="Q24455" s="183"/>
      <c r="R24455" s="183"/>
      <c r="S24455" s="183"/>
    </row>
    <row r="24456" spans="1:38">
      <c r="A24456" s="182"/>
      <c r="Q24456" s="183"/>
      <c r="R24456" s="183"/>
      <c r="S24456" s="183"/>
    </row>
    <row r="24457" spans="1:38">
      <c r="A24457" s="182"/>
      <c r="Q24457" s="183"/>
      <c r="R24457" s="183"/>
      <c r="S24457" s="183"/>
    </row>
    <row r="24458" spans="1:38">
      <c r="A24458" s="182"/>
      <c r="Q24458" s="183"/>
      <c r="R24458" s="183"/>
      <c r="S24458" s="183"/>
    </row>
    <row r="24459" spans="1:38">
      <c r="A24459" s="182"/>
      <c r="Q24459" s="183"/>
      <c r="R24459" s="183"/>
      <c r="S24459" s="183"/>
      <c r="AK24459" s="183"/>
      <c r="AL24459" s="183"/>
    </row>
    <row r="24460" spans="1:38">
      <c r="A24460" s="182"/>
      <c r="Q24460" s="183"/>
      <c r="R24460" s="183"/>
      <c r="S24460" s="183"/>
      <c r="AJ24460" s="183"/>
      <c r="AK24460" s="183"/>
      <c r="AL24460" s="183"/>
    </row>
    <row r="24461" spans="1:38">
      <c r="A24461" s="182"/>
      <c r="Q24461" s="183"/>
      <c r="R24461" s="183"/>
      <c r="S24461" s="183"/>
      <c r="AJ24461" s="183"/>
      <c r="AK24461" s="183"/>
      <c r="AL24461" s="183"/>
    </row>
    <row r="24462" spans="1:38">
      <c r="A24462" s="182"/>
      <c r="Q24462" s="183"/>
      <c r="R24462" s="183"/>
      <c r="S24462" s="183"/>
      <c r="AJ24462" s="183"/>
      <c r="AK24462" s="183"/>
      <c r="AL24462" s="183"/>
    </row>
    <row r="24463" spans="1:38">
      <c r="A24463" s="182"/>
      <c r="Q24463" s="183"/>
      <c r="R24463" s="183"/>
      <c r="S24463" s="183"/>
      <c r="AJ24463" s="183"/>
    </row>
    <row r="24464" spans="1:38">
      <c r="A24464" s="182"/>
      <c r="Q24464" s="183"/>
      <c r="R24464" s="183"/>
      <c r="S24464" s="183"/>
    </row>
    <row r="24465" spans="1:38">
      <c r="A24465" s="182"/>
      <c r="Q24465" s="183"/>
      <c r="R24465" s="183"/>
      <c r="S24465" s="183"/>
    </row>
    <row r="24466" spans="1:38">
      <c r="A24466" s="182"/>
      <c r="Q24466" s="183"/>
      <c r="R24466" s="183"/>
      <c r="S24466" s="183"/>
    </row>
    <row r="24467" spans="1:38">
      <c r="A24467" s="182"/>
      <c r="Q24467" s="183"/>
      <c r="R24467" s="183"/>
      <c r="S24467" s="183"/>
      <c r="AK24467" s="183"/>
      <c r="AL24467" s="183"/>
    </row>
    <row r="24468" spans="1:38">
      <c r="A24468" s="182"/>
      <c r="Q24468" s="183"/>
      <c r="R24468" s="183"/>
      <c r="S24468" s="183"/>
      <c r="AJ24468" s="183"/>
      <c r="AK24468" s="183"/>
      <c r="AL24468" s="183"/>
    </row>
    <row r="24469" spans="1:38">
      <c r="A24469" s="182"/>
      <c r="Q24469" s="183"/>
      <c r="R24469" s="183"/>
      <c r="S24469" s="183"/>
      <c r="AJ24469" s="183"/>
      <c r="AK24469" s="183"/>
      <c r="AL24469" s="183"/>
    </row>
    <row r="24470" spans="1:38">
      <c r="A24470" s="182"/>
      <c r="Q24470" s="183"/>
      <c r="R24470" s="183"/>
      <c r="S24470" s="183"/>
      <c r="AJ24470" s="183"/>
      <c r="AK24470" s="183"/>
      <c r="AL24470" s="183"/>
    </row>
    <row r="24471" spans="1:38">
      <c r="A24471" s="182"/>
      <c r="Q24471" s="183"/>
      <c r="R24471" s="183"/>
      <c r="S24471" s="183"/>
      <c r="AJ24471" s="183"/>
      <c r="AK24471" s="183"/>
      <c r="AL24471" s="183"/>
    </row>
    <row r="24472" spans="1:38">
      <c r="A24472" s="182"/>
      <c r="Q24472" s="183"/>
      <c r="R24472" s="183"/>
      <c r="S24472" s="183"/>
      <c r="AJ24472" s="183"/>
      <c r="AK24472" s="183"/>
      <c r="AL24472" s="183"/>
    </row>
    <row r="24473" spans="1:38">
      <c r="A24473" s="182"/>
      <c r="Q24473" s="183"/>
      <c r="R24473" s="183"/>
      <c r="S24473" s="183"/>
      <c r="AJ24473" s="183"/>
      <c r="AK24473" s="183"/>
      <c r="AL24473" s="183"/>
    </row>
    <row r="24474" spans="1:38">
      <c r="A24474" s="182"/>
      <c r="Q24474" s="183"/>
      <c r="R24474" s="183"/>
      <c r="S24474" s="183"/>
      <c r="AJ24474" s="183"/>
      <c r="AK24474" s="183"/>
      <c r="AL24474" s="183"/>
    </row>
    <row r="24475" spans="1:38">
      <c r="A24475" s="182"/>
      <c r="Q24475" s="183"/>
      <c r="R24475" s="183"/>
      <c r="S24475" s="183"/>
      <c r="AJ24475" s="183"/>
    </row>
    <row r="24476" spans="1:38">
      <c r="A24476" s="182"/>
      <c r="Q24476" s="183"/>
      <c r="R24476" s="183"/>
      <c r="S24476" s="183"/>
    </row>
    <row r="24477" spans="1:38">
      <c r="A24477" s="182"/>
      <c r="Q24477" s="183"/>
      <c r="R24477" s="183"/>
      <c r="S24477" s="183"/>
    </row>
    <row r="24478" spans="1:38">
      <c r="A24478" s="182"/>
      <c r="Q24478" s="183"/>
      <c r="R24478" s="183"/>
      <c r="S24478" s="183"/>
    </row>
    <row r="24479" spans="1:38">
      <c r="A24479" s="182"/>
      <c r="Q24479" s="183"/>
      <c r="R24479" s="183"/>
      <c r="S24479" s="183"/>
    </row>
    <row r="24480" spans="1:38">
      <c r="A24480" s="182"/>
      <c r="Q24480" s="183"/>
      <c r="R24480" s="183"/>
      <c r="S24480" s="183"/>
    </row>
    <row r="24481" spans="1:19">
      <c r="A24481" s="182"/>
      <c r="Q24481" s="183"/>
      <c r="R24481" s="183"/>
      <c r="S24481" s="183"/>
    </row>
    <row r="24482" spans="1:19">
      <c r="A24482" s="182"/>
      <c r="Q24482" s="183"/>
      <c r="R24482" s="183"/>
      <c r="S24482" s="183"/>
    </row>
    <row r="24483" spans="1:19">
      <c r="A24483" s="182"/>
      <c r="Q24483" s="183"/>
      <c r="R24483" s="183"/>
      <c r="S24483" s="183"/>
    </row>
    <row r="24484" spans="1:19">
      <c r="A24484" s="182"/>
      <c r="Q24484" s="183"/>
      <c r="R24484" s="183"/>
      <c r="S24484" s="183"/>
    </row>
    <row r="24485" spans="1:19">
      <c r="A24485" s="182"/>
      <c r="Q24485" s="183"/>
      <c r="R24485" s="183"/>
      <c r="S24485" s="183"/>
    </row>
    <row r="24486" spans="1:19">
      <c r="A24486" s="182"/>
      <c r="Q24486" s="183"/>
      <c r="R24486" s="183"/>
      <c r="S24486" s="183"/>
    </row>
    <row r="24487" spans="1:19">
      <c r="A24487" s="182"/>
      <c r="Q24487" s="183"/>
      <c r="R24487" s="183"/>
      <c r="S24487" s="183"/>
    </row>
    <row r="24488" spans="1:19">
      <c r="A24488" s="182"/>
      <c r="Q24488" s="183"/>
      <c r="R24488" s="183"/>
      <c r="S24488" s="183"/>
    </row>
    <row r="24489" spans="1:19">
      <c r="A24489" s="182"/>
      <c r="Q24489" s="183"/>
      <c r="R24489" s="183"/>
      <c r="S24489" s="183"/>
    </row>
    <row r="24490" spans="1:19">
      <c r="A24490" s="182"/>
      <c r="Q24490" s="183"/>
      <c r="R24490" s="183"/>
      <c r="S24490" s="183"/>
    </row>
    <row r="24491" spans="1:19">
      <c r="A24491" s="182"/>
      <c r="Q24491" s="183"/>
      <c r="R24491" s="183"/>
      <c r="S24491" s="183"/>
    </row>
    <row r="24492" spans="1:19">
      <c r="A24492" s="182"/>
      <c r="Q24492" s="183"/>
      <c r="R24492" s="183"/>
      <c r="S24492" s="183"/>
    </row>
    <row r="24493" spans="1:19">
      <c r="A24493" s="182"/>
      <c r="Q24493" s="183"/>
      <c r="R24493" s="183"/>
      <c r="S24493" s="183"/>
    </row>
    <row r="24494" spans="1:19">
      <c r="A24494" s="182"/>
      <c r="Q24494" s="183"/>
      <c r="R24494" s="183"/>
      <c r="S24494" s="183"/>
    </row>
    <row r="24495" spans="1:19">
      <c r="A24495" s="182"/>
      <c r="Q24495" s="183"/>
      <c r="R24495" s="183"/>
      <c r="S24495" s="183"/>
    </row>
    <row r="24496" spans="1:19">
      <c r="A24496" s="182"/>
      <c r="Q24496" s="183"/>
      <c r="R24496" s="183"/>
      <c r="S24496" s="183"/>
    </row>
    <row r="24497" spans="1:19">
      <c r="A24497" s="182"/>
      <c r="Q24497" s="183"/>
      <c r="R24497" s="183"/>
      <c r="S24497" s="183"/>
    </row>
    <row r="24498" spans="1:19">
      <c r="A24498" s="182"/>
      <c r="Q24498" s="183"/>
      <c r="R24498" s="183"/>
      <c r="S24498" s="183"/>
    </row>
    <row r="24499" spans="1:19">
      <c r="A24499" s="182"/>
      <c r="Q24499" s="183"/>
      <c r="R24499" s="183"/>
      <c r="S24499" s="183"/>
    </row>
    <row r="24500" spans="1:19">
      <c r="A24500" s="182"/>
      <c r="Q24500" s="183"/>
      <c r="R24500" s="183"/>
      <c r="S24500" s="183"/>
    </row>
    <row r="24501" spans="1:19">
      <c r="A24501" s="182"/>
      <c r="Q24501" s="183"/>
      <c r="R24501" s="183"/>
      <c r="S24501" s="183"/>
    </row>
    <row r="24502" spans="1:19">
      <c r="A24502" s="182"/>
      <c r="Q24502" s="183"/>
      <c r="R24502" s="183"/>
      <c r="S24502" s="183"/>
    </row>
    <row r="24503" spans="1:19">
      <c r="A24503" s="182"/>
      <c r="Q24503" s="183"/>
      <c r="R24503" s="183"/>
      <c r="S24503" s="183"/>
    </row>
    <row r="24504" spans="1:19">
      <c r="A24504" s="182"/>
      <c r="Q24504" s="183"/>
      <c r="R24504" s="183"/>
      <c r="S24504" s="183"/>
    </row>
    <row r="24505" spans="1:19">
      <c r="A24505" s="182"/>
      <c r="Q24505" s="183"/>
      <c r="R24505" s="183"/>
      <c r="S24505" s="183"/>
    </row>
    <row r="24506" spans="1:19">
      <c r="A24506" s="182"/>
      <c r="Q24506" s="183"/>
      <c r="R24506" s="183"/>
      <c r="S24506" s="183"/>
    </row>
    <row r="24507" spans="1:19">
      <c r="A24507" s="182"/>
      <c r="Q24507" s="183"/>
      <c r="R24507" s="183"/>
      <c r="S24507" s="183"/>
    </row>
    <row r="24508" spans="1:19">
      <c r="A24508" s="182"/>
      <c r="Q24508" s="183"/>
      <c r="R24508" s="183"/>
      <c r="S24508" s="183"/>
    </row>
    <row r="24509" spans="1:19">
      <c r="A24509" s="182"/>
      <c r="Q24509" s="183"/>
      <c r="R24509" s="183"/>
      <c r="S24509" s="183"/>
    </row>
    <row r="24510" spans="1:19">
      <c r="A24510" s="182"/>
      <c r="Q24510" s="183"/>
      <c r="R24510" s="183"/>
      <c r="S24510" s="183"/>
    </row>
    <row r="24511" spans="1:19">
      <c r="A24511" s="182"/>
      <c r="Q24511" s="183"/>
      <c r="R24511" s="183"/>
      <c r="S24511" s="183"/>
    </row>
    <row r="24512" spans="1:19">
      <c r="A24512" s="182"/>
      <c r="Q24512" s="183"/>
      <c r="R24512" s="183"/>
      <c r="S24512" s="183"/>
    </row>
    <row r="24513" spans="1:38">
      <c r="A24513" s="182"/>
      <c r="Q24513" s="183"/>
      <c r="R24513" s="183"/>
      <c r="S24513" s="183"/>
    </row>
    <row r="24514" spans="1:38">
      <c r="A24514" s="182"/>
      <c r="Q24514" s="183"/>
      <c r="R24514" s="183"/>
      <c r="S24514" s="183"/>
    </row>
    <row r="24515" spans="1:38">
      <c r="A24515" s="182"/>
      <c r="Q24515" s="183"/>
      <c r="R24515" s="183"/>
      <c r="S24515" s="183"/>
      <c r="AK24515" s="183"/>
      <c r="AL24515" s="183"/>
    </row>
    <row r="24516" spans="1:38">
      <c r="A24516" s="182"/>
      <c r="Q24516" s="183"/>
      <c r="R24516" s="183"/>
      <c r="S24516" s="183"/>
      <c r="AJ24516" s="183"/>
      <c r="AK24516" s="183"/>
      <c r="AL24516" s="183"/>
    </row>
    <row r="24517" spans="1:38">
      <c r="A24517" s="182"/>
      <c r="Q24517" s="183"/>
      <c r="R24517" s="183"/>
      <c r="S24517" s="183"/>
      <c r="AJ24517" s="183"/>
      <c r="AK24517" s="183"/>
      <c r="AL24517" s="183"/>
    </row>
    <row r="24518" spans="1:38">
      <c r="A24518" s="182"/>
      <c r="Q24518" s="183"/>
      <c r="R24518" s="183"/>
      <c r="S24518" s="183"/>
      <c r="AJ24518" s="183"/>
      <c r="AK24518" s="183"/>
      <c r="AL24518" s="183"/>
    </row>
    <row r="24519" spans="1:38">
      <c r="A24519" s="182"/>
      <c r="Q24519" s="183"/>
      <c r="R24519" s="183"/>
      <c r="S24519" s="183"/>
      <c r="AJ24519" s="183"/>
      <c r="AK24519" s="183"/>
      <c r="AL24519" s="183"/>
    </row>
    <row r="24520" spans="1:38">
      <c r="A24520" s="182"/>
      <c r="Q24520" s="183"/>
      <c r="R24520" s="183"/>
      <c r="S24520" s="183"/>
      <c r="AJ24520" s="183"/>
      <c r="AK24520" s="183"/>
      <c r="AL24520" s="183"/>
    </row>
    <row r="24521" spans="1:38">
      <c r="A24521" s="182"/>
      <c r="Q24521" s="183"/>
      <c r="R24521" s="183"/>
      <c r="S24521" s="183"/>
      <c r="AJ24521" s="183"/>
      <c r="AK24521" s="183"/>
      <c r="AL24521" s="183"/>
    </row>
    <row r="24522" spans="1:38">
      <c r="A24522" s="182"/>
      <c r="Q24522" s="183"/>
      <c r="R24522" s="183"/>
      <c r="S24522" s="183"/>
      <c r="AJ24522" s="183"/>
      <c r="AK24522" s="183"/>
      <c r="AL24522" s="183"/>
    </row>
    <row r="24523" spans="1:38">
      <c r="A24523" s="182"/>
      <c r="Q24523" s="183"/>
      <c r="R24523" s="183"/>
      <c r="S24523" s="183"/>
      <c r="AJ24523" s="183"/>
    </row>
    <row r="24524" spans="1:38">
      <c r="A24524" s="182"/>
      <c r="Q24524" s="183"/>
      <c r="R24524" s="183"/>
      <c r="S24524" s="183"/>
    </row>
    <row r="24525" spans="1:38">
      <c r="A24525" s="182"/>
      <c r="Q24525" s="183"/>
      <c r="R24525" s="183"/>
      <c r="S24525" s="183"/>
    </row>
    <row r="24526" spans="1:38">
      <c r="A24526" s="182"/>
      <c r="Q24526" s="183"/>
      <c r="R24526" s="183"/>
      <c r="S24526" s="183"/>
    </row>
    <row r="24527" spans="1:38">
      <c r="A24527" s="182"/>
      <c r="Q24527" s="183"/>
      <c r="R24527" s="183"/>
      <c r="S24527" s="183"/>
      <c r="AK24527" s="183"/>
      <c r="AL24527" s="183"/>
    </row>
    <row r="24528" spans="1:38">
      <c r="A24528" s="182"/>
      <c r="Q24528" s="183"/>
      <c r="R24528" s="183"/>
      <c r="S24528" s="183"/>
      <c r="AJ24528" s="183"/>
      <c r="AK24528" s="183"/>
      <c r="AL24528" s="183"/>
    </row>
    <row r="24529" spans="1:38">
      <c r="A24529" s="182"/>
      <c r="Q24529" s="183"/>
      <c r="R24529" s="183"/>
      <c r="S24529" s="183"/>
      <c r="AJ24529" s="183"/>
      <c r="AK24529" s="183"/>
      <c r="AL24529" s="183"/>
    </row>
    <row r="24530" spans="1:38">
      <c r="A24530" s="182"/>
      <c r="Q24530" s="183"/>
      <c r="R24530" s="183"/>
      <c r="S24530" s="183"/>
      <c r="AJ24530" s="183"/>
      <c r="AK24530" s="183"/>
      <c r="AL24530" s="183"/>
    </row>
    <row r="24531" spans="1:38">
      <c r="A24531" s="182"/>
      <c r="Q24531" s="183"/>
      <c r="R24531" s="183"/>
      <c r="S24531" s="183"/>
      <c r="AJ24531" s="183"/>
    </row>
    <row r="24532" spans="1:38">
      <c r="A24532" s="182"/>
      <c r="Q24532" s="183"/>
      <c r="R24532" s="183"/>
      <c r="S24532" s="183"/>
    </row>
    <row r="24533" spans="1:38">
      <c r="A24533" s="182"/>
      <c r="Q24533" s="183"/>
      <c r="R24533" s="183"/>
      <c r="S24533" s="183"/>
    </row>
    <row r="24534" spans="1:38">
      <c r="A24534" s="182"/>
      <c r="Q24534" s="183"/>
      <c r="R24534" s="183"/>
      <c r="S24534" s="183"/>
    </row>
    <row r="24535" spans="1:38">
      <c r="A24535" s="182"/>
      <c r="Q24535" s="183"/>
      <c r="R24535" s="183"/>
      <c r="S24535" s="183"/>
    </row>
    <row r="24536" spans="1:38">
      <c r="A24536" s="182"/>
      <c r="Q24536" s="183"/>
      <c r="R24536" s="183"/>
      <c r="S24536" s="183"/>
    </row>
    <row r="24537" spans="1:38">
      <c r="A24537" s="182"/>
      <c r="Q24537" s="183"/>
      <c r="R24537" s="183"/>
      <c r="S24537" s="183"/>
    </row>
    <row r="24538" spans="1:38">
      <c r="A24538" s="182"/>
      <c r="Q24538" s="183"/>
      <c r="R24538" s="183"/>
      <c r="S24538" s="183"/>
    </row>
    <row r="24539" spans="1:38">
      <c r="A24539" s="182"/>
      <c r="Q24539" s="183"/>
      <c r="R24539" s="183"/>
      <c r="S24539" s="183"/>
      <c r="AK24539" s="183"/>
      <c r="AL24539" s="183"/>
    </row>
    <row r="24540" spans="1:38">
      <c r="A24540" s="182"/>
      <c r="Q24540" s="183"/>
      <c r="R24540" s="183"/>
      <c r="S24540" s="183"/>
      <c r="AJ24540" s="183"/>
      <c r="AK24540" s="183"/>
      <c r="AL24540" s="183"/>
    </row>
    <row r="24541" spans="1:38">
      <c r="A24541" s="182"/>
      <c r="Q24541" s="183"/>
      <c r="R24541" s="183"/>
      <c r="S24541" s="183"/>
      <c r="AJ24541" s="183"/>
      <c r="AK24541" s="183"/>
      <c r="AL24541" s="183"/>
    </row>
    <row r="24542" spans="1:38">
      <c r="A24542" s="182"/>
      <c r="Q24542" s="183"/>
      <c r="R24542" s="183"/>
      <c r="S24542" s="183"/>
      <c r="AJ24542" s="183"/>
      <c r="AK24542" s="183"/>
      <c r="AL24542" s="183"/>
    </row>
    <row r="24543" spans="1:38">
      <c r="A24543" s="182"/>
      <c r="Q24543" s="183"/>
      <c r="R24543" s="183"/>
      <c r="S24543" s="183"/>
      <c r="AJ24543" s="183"/>
    </row>
    <row r="24544" spans="1:38">
      <c r="A24544" s="182"/>
      <c r="Q24544" s="183"/>
      <c r="R24544" s="183"/>
      <c r="S24544" s="183"/>
    </row>
    <row r="24545" spans="1:38">
      <c r="A24545" s="182"/>
      <c r="Q24545" s="183"/>
      <c r="R24545" s="183"/>
      <c r="S24545" s="183"/>
    </row>
    <row r="24546" spans="1:38">
      <c r="A24546" s="182"/>
      <c r="Q24546" s="183"/>
      <c r="R24546" s="183"/>
      <c r="S24546" s="183"/>
    </row>
    <row r="24547" spans="1:38">
      <c r="A24547" s="182"/>
      <c r="Q24547" s="183"/>
      <c r="R24547" s="183"/>
      <c r="S24547" s="183"/>
    </row>
    <row r="24548" spans="1:38">
      <c r="A24548" s="182"/>
      <c r="Q24548" s="183"/>
      <c r="R24548" s="183"/>
      <c r="S24548" s="183"/>
    </row>
    <row r="24549" spans="1:38">
      <c r="A24549" s="182"/>
      <c r="Q24549" s="183"/>
      <c r="R24549" s="183"/>
      <c r="S24549" s="183"/>
    </row>
    <row r="24550" spans="1:38">
      <c r="A24550" s="182"/>
      <c r="Q24550" s="183"/>
      <c r="R24550" s="183"/>
      <c r="S24550" s="183"/>
    </row>
    <row r="24551" spans="1:38">
      <c r="A24551" s="182"/>
      <c r="Q24551" s="183"/>
      <c r="R24551" s="183"/>
      <c r="S24551" s="183"/>
      <c r="AK24551" s="183"/>
      <c r="AL24551" s="183"/>
    </row>
    <row r="24552" spans="1:38">
      <c r="A24552" s="182"/>
      <c r="Q24552" s="183"/>
      <c r="R24552" s="183"/>
      <c r="S24552" s="183"/>
      <c r="AJ24552" s="183"/>
      <c r="AK24552" s="183"/>
      <c r="AL24552" s="183"/>
    </row>
    <row r="24553" spans="1:38">
      <c r="A24553" s="182"/>
      <c r="Q24553" s="183"/>
      <c r="R24553" s="183"/>
      <c r="S24553" s="183"/>
      <c r="AJ24553" s="183"/>
      <c r="AK24553" s="183"/>
      <c r="AL24553" s="183"/>
    </row>
    <row r="24554" spans="1:38">
      <c r="A24554" s="182"/>
      <c r="Q24554" s="183"/>
      <c r="R24554" s="183"/>
      <c r="S24554" s="183"/>
      <c r="AJ24554" s="183"/>
      <c r="AK24554" s="183"/>
      <c r="AL24554" s="183"/>
    </row>
    <row r="24555" spans="1:38">
      <c r="A24555" s="182"/>
      <c r="Q24555" s="183"/>
      <c r="R24555" s="183"/>
      <c r="S24555" s="183"/>
      <c r="AJ24555" s="183"/>
    </row>
    <row r="24556" spans="1:38">
      <c r="A24556" s="182"/>
      <c r="Q24556" s="183"/>
      <c r="R24556" s="183"/>
      <c r="S24556" s="183"/>
    </row>
    <row r="24557" spans="1:38">
      <c r="A24557" s="182"/>
      <c r="Q24557" s="183"/>
      <c r="R24557" s="183"/>
      <c r="S24557" s="183"/>
    </row>
    <row r="24558" spans="1:38">
      <c r="A24558" s="182"/>
      <c r="Q24558" s="183"/>
      <c r="R24558" s="183"/>
      <c r="S24558" s="183"/>
    </row>
    <row r="24559" spans="1:38">
      <c r="A24559" s="182"/>
      <c r="Q24559" s="183"/>
      <c r="R24559" s="183"/>
      <c r="S24559" s="183"/>
      <c r="AK24559" s="183"/>
      <c r="AL24559" s="183"/>
    </row>
    <row r="24560" spans="1:38">
      <c r="A24560" s="182"/>
      <c r="Q24560" s="183"/>
      <c r="R24560" s="183"/>
      <c r="S24560" s="183"/>
      <c r="AJ24560" s="183"/>
      <c r="AK24560" s="183"/>
      <c r="AL24560" s="183"/>
    </row>
    <row r="24561" spans="1:38">
      <c r="A24561" s="182"/>
      <c r="Q24561" s="183"/>
      <c r="R24561" s="183"/>
      <c r="S24561" s="183"/>
      <c r="AJ24561" s="183"/>
      <c r="AK24561" s="183"/>
      <c r="AL24561" s="183"/>
    </row>
    <row r="24562" spans="1:38">
      <c r="A24562" s="182"/>
      <c r="Q24562" s="183"/>
      <c r="R24562" s="183"/>
      <c r="S24562" s="183"/>
      <c r="AJ24562" s="183"/>
      <c r="AK24562" s="183"/>
      <c r="AL24562" s="183"/>
    </row>
    <row r="24563" spans="1:38">
      <c r="A24563" s="182"/>
      <c r="Q24563" s="183"/>
      <c r="R24563" s="183"/>
      <c r="S24563" s="183"/>
      <c r="AJ24563" s="183"/>
      <c r="AK24563" s="183"/>
      <c r="AL24563" s="183"/>
    </row>
    <row r="24564" spans="1:38">
      <c r="A24564" s="182"/>
      <c r="Q24564" s="183"/>
      <c r="R24564" s="183"/>
      <c r="S24564" s="183"/>
      <c r="AJ24564" s="183"/>
      <c r="AK24564" s="183"/>
      <c r="AL24564" s="183"/>
    </row>
    <row r="24565" spans="1:38">
      <c r="A24565" s="182"/>
      <c r="Q24565" s="183"/>
      <c r="R24565" s="183"/>
      <c r="S24565" s="183"/>
      <c r="AJ24565" s="183"/>
      <c r="AK24565" s="183"/>
      <c r="AL24565" s="183"/>
    </row>
    <row r="24566" spans="1:38">
      <c r="A24566" s="182"/>
      <c r="Q24566" s="183"/>
      <c r="R24566" s="183"/>
      <c r="S24566" s="183"/>
      <c r="AJ24566" s="183"/>
      <c r="AK24566" s="183"/>
      <c r="AL24566" s="183"/>
    </row>
    <row r="24567" spans="1:38">
      <c r="A24567" s="182"/>
      <c r="Q24567" s="183"/>
      <c r="R24567" s="183"/>
      <c r="S24567" s="183"/>
      <c r="AJ24567" s="183"/>
      <c r="AK24567" s="183"/>
      <c r="AL24567" s="183"/>
    </row>
    <row r="24568" spans="1:38">
      <c r="A24568" s="182"/>
      <c r="Q24568" s="183"/>
      <c r="R24568" s="183"/>
      <c r="S24568" s="183"/>
      <c r="AJ24568" s="183"/>
      <c r="AK24568" s="183"/>
      <c r="AL24568" s="183"/>
    </row>
    <row r="24569" spans="1:38">
      <c r="A24569" s="182"/>
      <c r="Q24569" s="183"/>
      <c r="R24569" s="183"/>
      <c r="S24569" s="183"/>
      <c r="AJ24569" s="183"/>
      <c r="AK24569" s="183"/>
      <c r="AL24569" s="183"/>
    </row>
    <row r="24570" spans="1:38">
      <c r="A24570" s="182"/>
      <c r="Q24570" s="183"/>
      <c r="R24570" s="183"/>
      <c r="S24570" s="183"/>
      <c r="AJ24570" s="183"/>
      <c r="AK24570" s="183"/>
      <c r="AL24570" s="183"/>
    </row>
    <row r="24571" spans="1:38">
      <c r="A24571" s="182"/>
      <c r="Q24571" s="183"/>
      <c r="R24571" s="183"/>
      <c r="S24571" s="183"/>
      <c r="AJ24571" s="183"/>
    </row>
    <row r="24572" spans="1:38">
      <c r="A24572" s="182"/>
      <c r="Q24572" s="183"/>
      <c r="R24572" s="183"/>
      <c r="S24572" s="183"/>
    </row>
    <row r="24573" spans="1:38">
      <c r="A24573" s="182"/>
      <c r="Q24573" s="183"/>
      <c r="R24573" s="183"/>
      <c r="S24573" s="183"/>
    </row>
    <row r="24574" spans="1:38">
      <c r="A24574" s="182"/>
      <c r="Q24574" s="183"/>
      <c r="R24574" s="183"/>
      <c r="S24574" s="183"/>
    </row>
    <row r="24575" spans="1:38">
      <c r="A24575" s="182"/>
      <c r="Q24575" s="183"/>
      <c r="R24575" s="183"/>
      <c r="S24575" s="183"/>
    </row>
    <row r="24576" spans="1:38">
      <c r="A24576" s="182"/>
      <c r="Q24576" s="183"/>
      <c r="R24576" s="183"/>
      <c r="S24576" s="183"/>
    </row>
    <row r="24577" spans="1:38">
      <c r="A24577" s="182"/>
      <c r="Q24577" s="183"/>
      <c r="R24577" s="183"/>
      <c r="S24577" s="183"/>
    </row>
    <row r="24578" spans="1:38">
      <c r="A24578" s="182"/>
      <c r="Q24578" s="183"/>
      <c r="R24578" s="183"/>
      <c r="S24578" s="183"/>
    </row>
    <row r="24579" spans="1:38">
      <c r="A24579" s="182"/>
      <c r="Q24579" s="183"/>
      <c r="R24579" s="183"/>
      <c r="S24579" s="183"/>
      <c r="AK24579" s="183"/>
      <c r="AL24579" s="183"/>
    </row>
    <row r="24580" spans="1:38">
      <c r="A24580" s="182"/>
      <c r="Q24580" s="183"/>
      <c r="R24580" s="183"/>
      <c r="S24580" s="183"/>
      <c r="AJ24580" s="183"/>
      <c r="AK24580" s="183"/>
      <c r="AL24580" s="183"/>
    </row>
    <row r="24581" spans="1:38">
      <c r="A24581" s="182"/>
      <c r="Q24581" s="183"/>
      <c r="R24581" s="183"/>
      <c r="S24581" s="183"/>
      <c r="AJ24581" s="183"/>
      <c r="AK24581" s="183"/>
      <c r="AL24581" s="183"/>
    </row>
    <row r="24582" spans="1:38">
      <c r="A24582" s="182"/>
      <c r="Q24582" s="183"/>
      <c r="R24582" s="183"/>
      <c r="S24582" s="183"/>
      <c r="AJ24582" s="183"/>
      <c r="AK24582" s="183"/>
      <c r="AL24582" s="183"/>
    </row>
    <row r="24583" spans="1:38">
      <c r="A24583" s="182"/>
      <c r="Q24583" s="183"/>
      <c r="R24583" s="183"/>
      <c r="S24583" s="183"/>
      <c r="AJ24583" s="183"/>
    </row>
    <row r="24584" spans="1:38">
      <c r="A24584" s="182"/>
      <c r="Q24584" s="183"/>
      <c r="R24584" s="183"/>
      <c r="S24584" s="183"/>
    </row>
    <row r="24585" spans="1:38">
      <c r="A24585" s="182"/>
      <c r="Q24585" s="183"/>
      <c r="R24585" s="183"/>
      <c r="S24585" s="183"/>
    </row>
    <row r="24586" spans="1:38">
      <c r="A24586" s="182"/>
      <c r="Q24586" s="183"/>
      <c r="R24586" s="183"/>
      <c r="S24586" s="183"/>
    </row>
    <row r="24587" spans="1:38">
      <c r="A24587" s="182"/>
      <c r="Q24587" s="183"/>
      <c r="R24587" s="183"/>
      <c r="S24587" s="183"/>
    </row>
    <row r="24588" spans="1:38">
      <c r="A24588" s="182"/>
      <c r="Q24588" s="183"/>
      <c r="R24588" s="183"/>
      <c r="S24588" s="183"/>
    </row>
    <row r="24589" spans="1:38">
      <c r="A24589" s="182"/>
      <c r="Q24589" s="183"/>
      <c r="R24589" s="183"/>
      <c r="S24589" s="183"/>
    </row>
    <row r="24590" spans="1:38">
      <c r="A24590" s="182"/>
      <c r="Q24590" s="183"/>
      <c r="R24590" s="183"/>
      <c r="S24590" s="183"/>
    </row>
    <row r="24591" spans="1:38">
      <c r="A24591" s="182"/>
      <c r="Q24591" s="183"/>
      <c r="R24591" s="183"/>
      <c r="S24591" s="183"/>
    </row>
    <row r="24592" spans="1:38">
      <c r="A24592" s="182"/>
      <c r="Q24592" s="183"/>
      <c r="R24592" s="183"/>
      <c r="S24592" s="183"/>
    </row>
    <row r="24593" spans="1:38">
      <c r="A24593" s="182"/>
      <c r="Q24593" s="183"/>
      <c r="R24593" s="183"/>
      <c r="S24593" s="183"/>
    </row>
    <row r="24594" spans="1:38">
      <c r="A24594" s="182"/>
      <c r="Q24594" s="183"/>
      <c r="R24594" s="183"/>
      <c r="S24594" s="183"/>
    </row>
    <row r="24595" spans="1:38">
      <c r="A24595" s="182"/>
      <c r="Q24595" s="183"/>
      <c r="R24595" s="183"/>
      <c r="S24595" s="183"/>
    </row>
    <row r="24596" spans="1:38">
      <c r="A24596" s="182"/>
      <c r="Q24596" s="183"/>
      <c r="R24596" s="183"/>
      <c r="S24596" s="183"/>
    </row>
    <row r="24597" spans="1:38">
      <c r="A24597" s="182"/>
      <c r="Q24597" s="183"/>
      <c r="R24597" s="183"/>
      <c r="S24597" s="183"/>
    </row>
    <row r="24598" spans="1:38">
      <c r="A24598" s="182"/>
      <c r="Q24598" s="183"/>
      <c r="R24598" s="183"/>
      <c r="S24598" s="183"/>
    </row>
    <row r="24599" spans="1:38">
      <c r="A24599" s="182"/>
      <c r="Q24599" s="183"/>
      <c r="R24599" s="183"/>
      <c r="S24599" s="183"/>
    </row>
    <row r="24600" spans="1:38">
      <c r="A24600" s="182"/>
      <c r="Q24600" s="183"/>
      <c r="R24600" s="183"/>
      <c r="S24600" s="183"/>
    </row>
    <row r="24601" spans="1:38">
      <c r="A24601" s="182"/>
      <c r="Q24601" s="183"/>
      <c r="R24601" s="183"/>
      <c r="S24601" s="183"/>
    </row>
    <row r="24602" spans="1:38">
      <c r="A24602" s="182"/>
      <c r="Q24602" s="183"/>
      <c r="R24602" s="183"/>
      <c r="S24602" s="183"/>
    </row>
    <row r="24603" spans="1:38">
      <c r="A24603" s="182"/>
      <c r="Q24603" s="183"/>
      <c r="R24603" s="183"/>
      <c r="S24603" s="183"/>
    </row>
    <row r="24604" spans="1:38">
      <c r="A24604" s="182"/>
      <c r="Q24604" s="183"/>
      <c r="R24604" s="183"/>
      <c r="S24604" s="183"/>
    </row>
    <row r="24605" spans="1:38">
      <c r="A24605" s="182"/>
      <c r="Q24605" s="183"/>
      <c r="R24605" s="183"/>
      <c r="S24605" s="183"/>
    </row>
    <row r="24606" spans="1:38">
      <c r="A24606" s="182"/>
      <c r="Q24606" s="183"/>
      <c r="R24606" s="183"/>
      <c r="S24606" s="183"/>
    </row>
    <row r="24607" spans="1:38">
      <c r="A24607" s="182"/>
      <c r="Q24607" s="183"/>
      <c r="R24607" s="183"/>
      <c r="S24607" s="183"/>
      <c r="AK24607" s="183"/>
      <c r="AL24607" s="183"/>
    </row>
    <row r="24608" spans="1:38">
      <c r="A24608" s="182"/>
      <c r="Q24608" s="183"/>
      <c r="R24608" s="183"/>
      <c r="S24608" s="183"/>
      <c r="AJ24608" s="183"/>
      <c r="AK24608" s="183"/>
      <c r="AL24608" s="183"/>
    </row>
    <row r="24609" spans="1:38">
      <c r="A24609" s="182"/>
      <c r="Q24609" s="183"/>
      <c r="R24609" s="183"/>
      <c r="S24609" s="183"/>
      <c r="AJ24609" s="183"/>
      <c r="AK24609" s="183"/>
      <c r="AL24609" s="183"/>
    </row>
    <row r="24610" spans="1:38">
      <c r="A24610" s="182"/>
      <c r="Q24610" s="183"/>
      <c r="R24610" s="183"/>
      <c r="S24610" s="183"/>
      <c r="AJ24610" s="183"/>
      <c r="AK24610" s="183"/>
      <c r="AL24610" s="183"/>
    </row>
    <row r="24611" spans="1:38">
      <c r="A24611" s="182"/>
      <c r="Q24611" s="183"/>
      <c r="R24611" s="183"/>
      <c r="S24611" s="183"/>
      <c r="AJ24611" s="183"/>
      <c r="AK24611" s="183"/>
      <c r="AL24611" s="183"/>
    </row>
    <row r="24612" spans="1:38">
      <c r="A24612" s="182"/>
      <c r="Q24612" s="183"/>
      <c r="R24612" s="183"/>
      <c r="S24612" s="183"/>
      <c r="AJ24612" s="183"/>
      <c r="AK24612" s="183"/>
      <c r="AL24612" s="183"/>
    </row>
    <row r="24613" spans="1:38">
      <c r="A24613" s="182"/>
      <c r="Q24613" s="183"/>
      <c r="R24613" s="183"/>
      <c r="S24613" s="183"/>
      <c r="AJ24613" s="183"/>
      <c r="AK24613" s="183"/>
      <c r="AL24613" s="183"/>
    </row>
    <row r="24614" spans="1:38">
      <c r="A24614" s="182"/>
      <c r="Q24614" s="183"/>
      <c r="R24614" s="183"/>
      <c r="S24614" s="183"/>
      <c r="AJ24614" s="183"/>
      <c r="AK24614" s="183"/>
      <c r="AL24614" s="183"/>
    </row>
    <row r="24615" spans="1:38">
      <c r="A24615" s="182"/>
      <c r="Q24615" s="183"/>
      <c r="R24615" s="183"/>
      <c r="S24615" s="183"/>
      <c r="AJ24615" s="183"/>
    </row>
    <row r="24616" spans="1:38">
      <c r="A24616" s="182"/>
      <c r="Q24616" s="183"/>
      <c r="R24616" s="183"/>
      <c r="S24616" s="183"/>
    </row>
    <row r="24617" spans="1:38">
      <c r="A24617" s="182"/>
      <c r="Q24617" s="183"/>
      <c r="R24617" s="183"/>
      <c r="S24617" s="183"/>
    </row>
    <row r="24618" spans="1:38">
      <c r="A24618" s="182"/>
      <c r="Q24618" s="183"/>
      <c r="R24618" s="183"/>
      <c r="S24618" s="183"/>
    </row>
    <row r="24619" spans="1:38">
      <c r="A24619" s="182"/>
      <c r="Q24619" s="183"/>
      <c r="R24619" s="183"/>
      <c r="S24619" s="183"/>
      <c r="AK24619" s="183"/>
      <c r="AL24619" s="183"/>
    </row>
    <row r="24620" spans="1:38">
      <c r="A24620" s="182"/>
      <c r="Q24620" s="183"/>
      <c r="R24620" s="183"/>
      <c r="S24620" s="183"/>
      <c r="AJ24620" s="183"/>
      <c r="AK24620" s="183"/>
      <c r="AL24620" s="183"/>
    </row>
    <row r="24621" spans="1:38">
      <c r="A24621" s="182"/>
      <c r="Q24621" s="183"/>
      <c r="R24621" s="183"/>
      <c r="S24621" s="183"/>
      <c r="AJ24621" s="183"/>
      <c r="AK24621" s="183"/>
      <c r="AL24621" s="183"/>
    </row>
    <row r="24622" spans="1:38">
      <c r="A24622" s="182"/>
      <c r="Q24622" s="183"/>
      <c r="R24622" s="183"/>
      <c r="S24622" s="183"/>
      <c r="AJ24622" s="183"/>
      <c r="AK24622" s="183"/>
      <c r="AL24622" s="183"/>
    </row>
    <row r="24623" spans="1:38">
      <c r="A24623" s="182"/>
      <c r="Q24623" s="183"/>
      <c r="R24623" s="183"/>
      <c r="S24623" s="183"/>
      <c r="AJ24623" s="183"/>
    </row>
    <row r="24624" spans="1:38">
      <c r="A24624" s="182"/>
      <c r="Q24624" s="183"/>
      <c r="R24624" s="183"/>
      <c r="S24624" s="183"/>
    </row>
    <row r="24625" spans="1:38">
      <c r="A24625" s="182"/>
      <c r="Q24625" s="183"/>
      <c r="R24625" s="183"/>
      <c r="S24625" s="183"/>
    </row>
    <row r="24626" spans="1:38">
      <c r="A24626" s="182"/>
      <c r="Q24626" s="183"/>
      <c r="R24626" s="183"/>
      <c r="S24626" s="183"/>
    </row>
    <row r="24627" spans="1:38">
      <c r="A24627" s="182"/>
      <c r="Q24627" s="183"/>
      <c r="R24627" s="183"/>
      <c r="S24627" s="183"/>
      <c r="AK24627" s="183"/>
      <c r="AL24627" s="183"/>
    </row>
    <row r="24628" spans="1:38">
      <c r="A24628" s="182"/>
      <c r="Q24628" s="183"/>
      <c r="R24628" s="183"/>
      <c r="S24628" s="183"/>
      <c r="AJ24628" s="183"/>
      <c r="AK24628" s="183"/>
      <c r="AL24628" s="183"/>
    </row>
    <row r="24629" spans="1:38">
      <c r="A24629" s="182"/>
      <c r="Q24629" s="183"/>
      <c r="R24629" s="183"/>
      <c r="S24629" s="183"/>
      <c r="AJ24629" s="183"/>
      <c r="AK24629" s="183"/>
      <c r="AL24629" s="183"/>
    </row>
    <row r="24630" spans="1:38">
      <c r="A24630" s="182"/>
      <c r="Q24630" s="183"/>
      <c r="R24630" s="183"/>
      <c r="S24630" s="183"/>
      <c r="AJ24630" s="183"/>
      <c r="AK24630" s="183"/>
      <c r="AL24630" s="183"/>
    </row>
    <row r="24631" spans="1:38">
      <c r="A24631" s="182"/>
      <c r="Q24631" s="183"/>
      <c r="R24631" s="183"/>
      <c r="S24631" s="183"/>
      <c r="AJ24631" s="183"/>
      <c r="AK24631" s="183"/>
      <c r="AL24631" s="183"/>
    </row>
    <row r="24632" spans="1:38">
      <c r="A24632" s="182"/>
      <c r="Q24632" s="183"/>
      <c r="R24632" s="183"/>
      <c r="S24632" s="183"/>
      <c r="AJ24632" s="183"/>
      <c r="AK24632" s="183"/>
      <c r="AL24632" s="183"/>
    </row>
    <row r="24633" spans="1:38">
      <c r="A24633" s="182"/>
      <c r="Q24633" s="183"/>
      <c r="R24633" s="183"/>
      <c r="S24633" s="183"/>
      <c r="AJ24633" s="183"/>
      <c r="AK24633" s="183"/>
      <c r="AL24633" s="183"/>
    </row>
    <row r="24634" spans="1:38">
      <c r="A24634" s="182"/>
      <c r="Q24634" s="183"/>
      <c r="R24634" s="183"/>
      <c r="S24634" s="183"/>
      <c r="AJ24634" s="183"/>
      <c r="AK24634" s="183"/>
      <c r="AL24634" s="183"/>
    </row>
    <row r="24635" spans="1:38">
      <c r="A24635" s="182"/>
      <c r="Q24635" s="183"/>
      <c r="R24635" s="183"/>
      <c r="S24635" s="183"/>
      <c r="AJ24635" s="183"/>
    </row>
    <row r="24636" spans="1:38">
      <c r="A24636" s="182"/>
      <c r="Q24636" s="183"/>
      <c r="R24636" s="183"/>
      <c r="S24636" s="183"/>
    </row>
    <row r="24637" spans="1:38">
      <c r="A24637" s="182"/>
      <c r="Q24637" s="183"/>
      <c r="R24637" s="183"/>
      <c r="S24637" s="183"/>
    </row>
    <row r="24638" spans="1:38">
      <c r="A24638" s="182"/>
      <c r="Q24638" s="183"/>
      <c r="R24638" s="183"/>
      <c r="S24638" s="183"/>
    </row>
    <row r="24639" spans="1:38">
      <c r="A24639" s="182"/>
      <c r="Q24639" s="183"/>
      <c r="R24639" s="183"/>
      <c r="S24639" s="183"/>
    </row>
    <row r="24640" spans="1:38">
      <c r="A24640" s="182"/>
      <c r="Q24640" s="183"/>
      <c r="R24640" s="183"/>
      <c r="S24640" s="183"/>
    </row>
    <row r="24641" spans="1:19">
      <c r="A24641" s="182"/>
      <c r="Q24641" s="183"/>
      <c r="R24641" s="183"/>
      <c r="S24641" s="183"/>
    </row>
    <row r="24642" spans="1:19">
      <c r="A24642" s="182"/>
      <c r="Q24642" s="183"/>
      <c r="R24642" s="183"/>
      <c r="S24642" s="183"/>
    </row>
    <row r="24643" spans="1:19">
      <c r="A24643" s="182"/>
      <c r="Q24643" s="183"/>
      <c r="R24643" s="183"/>
      <c r="S24643" s="183"/>
    </row>
    <row r="24644" spans="1:19">
      <c r="A24644" s="182"/>
      <c r="Q24644" s="183"/>
      <c r="R24644" s="183"/>
      <c r="S24644" s="183"/>
    </row>
    <row r="24645" spans="1:19">
      <c r="A24645" s="182"/>
      <c r="Q24645" s="183"/>
      <c r="R24645" s="183"/>
      <c r="S24645" s="183"/>
    </row>
    <row r="24646" spans="1:19">
      <c r="A24646" s="182"/>
      <c r="Q24646" s="183"/>
      <c r="R24646" s="183"/>
      <c r="S24646" s="183"/>
    </row>
    <row r="24647" spans="1:19">
      <c r="A24647" s="182"/>
      <c r="Q24647" s="183"/>
      <c r="R24647" s="183"/>
      <c r="S24647" s="183"/>
    </row>
    <row r="24648" spans="1:19">
      <c r="A24648" s="182"/>
      <c r="Q24648" s="183"/>
      <c r="R24648" s="183"/>
      <c r="S24648" s="183"/>
    </row>
    <row r="24649" spans="1:19">
      <c r="A24649" s="182"/>
      <c r="Q24649" s="183"/>
      <c r="R24649" s="183"/>
      <c r="S24649" s="183"/>
    </row>
    <row r="24650" spans="1:19">
      <c r="A24650" s="182"/>
      <c r="Q24650" s="183"/>
      <c r="R24650" s="183"/>
      <c r="S24650" s="183"/>
    </row>
    <row r="24651" spans="1:19">
      <c r="A24651" s="182"/>
      <c r="Q24651" s="183"/>
      <c r="R24651" s="183"/>
      <c r="S24651" s="183"/>
    </row>
    <row r="24652" spans="1:19">
      <c r="A24652" s="182"/>
      <c r="Q24652" s="183"/>
      <c r="R24652" s="183"/>
      <c r="S24652" s="183"/>
    </row>
    <row r="24653" spans="1:19">
      <c r="A24653" s="182"/>
      <c r="Q24653" s="183"/>
      <c r="R24653" s="183"/>
      <c r="S24653" s="183"/>
    </row>
    <row r="24654" spans="1:19">
      <c r="A24654" s="182"/>
      <c r="Q24654" s="183"/>
      <c r="R24654" s="183"/>
      <c r="S24654" s="183"/>
    </row>
    <row r="24655" spans="1:19">
      <c r="A24655" s="182"/>
      <c r="Q24655" s="183"/>
      <c r="R24655" s="183"/>
      <c r="S24655" s="183"/>
    </row>
    <row r="24656" spans="1:19">
      <c r="A24656" s="182"/>
      <c r="Q24656" s="183"/>
      <c r="R24656" s="183"/>
      <c r="S24656" s="183"/>
    </row>
    <row r="24657" spans="1:38">
      <c r="A24657" s="182"/>
      <c r="Q24657" s="183"/>
      <c r="R24657" s="183"/>
      <c r="S24657" s="183"/>
    </row>
    <row r="24658" spans="1:38">
      <c r="A24658" s="182"/>
      <c r="Q24658" s="183"/>
      <c r="R24658" s="183"/>
      <c r="S24658" s="183"/>
    </row>
    <row r="24659" spans="1:38">
      <c r="A24659" s="182"/>
      <c r="Q24659" s="183"/>
      <c r="R24659" s="183"/>
      <c r="S24659" s="183"/>
    </row>
    <row r="24660" spans="1:38">
      <c r="A24660" s="182"/>
      <c r="Q24660" s="183"/>
      <c r="R24660" s="183"/>
      <c r="S24660" s="183"/>
    </row>
    <row r="24661" spans="1:38">
      <c r="A24661" s="182"/>
      <c r="Q24661" s="183"/>
      <c r="R24661" s="183"/>
      <c r="S24661" s="183"/>
    </row>
    <row r="24662" spans="1:38">
      <c r="A24662" s="182"/>
      <c r="Q24662" s="183"/>
      <c r="R24662" s="183"/>
      <c r="S24662" s="183"/>
    </row>
    <row r="24663" spans="1:38">
      <c r="A24663" s="182"/>
      <c r="Q24663" s="183"/>
      <c r="R24663" s="183"/>
      <c r="S24663" s="183"/>
      <c r="AK24663" s="183"/>
      <c r="AL24663" s="183"/>
    </row>
    <row r="24664" spans="1:38">
      <c r="A24664" s="182"/>
      <c r="Q24664" s="183"/>
      <c r="R24664" s="183"/>
      <c r="S24664" s="183"/>
      <c r="AJ24664" s="183"/>
      <c r="AK24664" s="183"/>
      <c r="AL24664" s="183"/>
    </row>
    <row r="24665" spans="1:38">
      <c r="A24665" s="182"/>
      <c r="Q24665" s="183"/>
      <c r="R24665" s="183"/>
      <c r="S24665" s="183"/>
      <c r="AJ24665" s="183"/>
      <c r="AK24665" s="183"/>
      <c r="AL24665" s="183"/>
    </row>
    <row r="24666" spans="1:38">
      <c r="A24666" s="182"/>
      <c r="Q24666" s="183"/>
      <c r="R24666" s="183"/>
      <c r="S24666" s="183"/>
      <c r="AJ24666" s="183"/>
      <c r="AK24666" s="183"/>
      <c r="AL24666" s="183"/>
    </row>
    <row r="24667" spans="1:38">
      <c r="A24667" s="182"/>
      <c r="Q24667" s="183"/>
      <c r="R24667" s="183"/>
      <c r="S24667" s="183"/>
      <c r="AJ24667" s="183"/>
    </row>
    <row r="24668" spans="1:38">
      <c r="A24668" s="182"/>
      <c r="Q24668" s="183"/>
      <c r="R24668" s="183"/>
      <c r="S24668" s="183"/>
    </row>
    <row r="24669" spans="1:38">
      <c r="A24669" s="182"/>
      <c r="Q24669" s="183"/>
      <c r="R24669" s="183"/>
      <c r="S24669" s="183"/>
    </row>
    <row r="24670" spans="1:38">
      <c r="A24670" s="182"/>
      <c r="Q24670" s="183"/>
      <c r="R24670" s="183"/>
      <c r="S24670" s="183"/>
    </row>
    <row r="24671" spans="1:38">
      <c r="A24671" s="182"/>
      <c r="Q24671" s="183"/>
      <c r="R24671" s="183"/>
      <c r="S24671" s="183"/>
      <c r="AK24671" s="183"/>
      <c r="AL24671" s="183"/>
    </row>
    <row r="24672" spans="1:38">
      <c r="A24672" s="182"/>
      <c r="Q24672" s="183"/>
      <c r="R24672" s="183"/>
      <c r="S24672" s="183"/>
      <c r="AJ24672" s="183"/>
      <c r="AK24672" s="183"/>
      <c r="AL24672" s="183"/>
    </row>
    <row r="24673" spans="1:38">
      <c r="A24673" s="182"/>
      <c r="Q24673" s="183"/>
      <c r="R24673" s="183"/>
      <c r="S24673" s="183"/>
      <c r="AJ24673" s="183"/>
      <c r="AK24673" s="183"/>
      <c r="AL24673" s="183"/>
    </row>
    <row r="24674" spans="1:38">
      <c r="A24674" s="182"/>
      <c r="Q24674" s="183"/>
      <c r="R24674" s="183"/>
      <c r="S24674" s="183"/>
      <c r="AJ24674" s="183"/>
      <c r="AK24674" s="183"/>
      <c r="AL24674" s="183"/>
    </row>
    <row r="24675" spans="1:38">
      <c r="A24675" s="182"/>
      <c r="Q24675" s="183"/>
      <c r="R24675" s="183"/>
      <c r="S24675" s="183"/>
      <c r="AJ24675" s="183"/>
      <c r="AK24675" s="183"/>
      <c r="AL24675" s="183"/>
    </row>
    <row r="24676" spans="1:38">
      <c r="A24676" s="182"/>
      <c r="Q24676" s="183"/>
      <c r="R24676" s="183"/>
      <c r="S24676" s="183"/>
      <c r="AJ24676" s="183"/>
      <c r="AK24676" s="183"/>
      <c r="AL24676" s="183"/>
    </row>
    <row r="24677" spans="1:38">
      <c r="A24677" s="182"/>
      <c r="Q24677" s="183"/>
      <c r="R24677" s="183"/>
      <c r="S24677" s="183"/>
      <c r="AJ24677" s="183"/>
      <c r="AK24677" s="183"/>
      <c r="AL24677" s="183"/>
    </row>
    <row r="24678" spans="1:38">
      <c r="A24678" s="182"/>
      <c r="Q24678" s="183"/>
      <c r="R24678" s="183"/>
      <c r="S24678" s="183"/>
      <c r="AJ24678" s="183"/>
      <c r="AK24678" s="183"/>
      <c r="AL24678" s="183"/>
    </row>
    <row r="24679" spans="1:38">
      <c r="A24679" s="182"/>
      <c r="Q24679" s="183"/>
      <c r="R24679" s="183"/>
      <c r="S24679" s="183"/>
      <c r="AJ24679" s="183"/>
      <c r="AK24679" s="183"/>
      <c r="AL24679" s="183"/>
    </row>
    <row r="24680" spans="1:38">
      <c r="A24680" s="182"/>
      <c r="Q24680" s="183"/>
      <c r="R24680" s="183"/>
      <c r="S24680" s="183"/>
      <c r="AJ24680" s="183"/>
      <c r="AK24680" s="183"/>
      <c r="AL24680" s="183"/>
    </row>
    <row r="24681" spans="1:38">
      <c r="A24681" s="182"/>
      <c r="Q24681" s="183"/>
      <c r="R24681" s="183"/>
      <c r="S24681" s="183"/>
      <c r="AJ24681" s="183"/>
      <c r="AK24681" s="183"/>
      <c r="AL24681" s="183"/>
    </row>
    <row r="24682" spans="1:38">
      <c r="A24682" s="182"/>
      <c r="Q24682" s="183"/>
      <c r="R24682" s="183"/>
      <c r="S24682" s="183"/>
      <c r="AJ24682" s="183"/>
      <c r="AK24682" s="183"/>
      <c r="AL24682" s="183"/>
    </row>
    <row r="24683" spans="1:38">
      <c r="A24683" s="182"/>
      <c r="Q24683" s="183"/>
      <c r="R24683" s="183"/>
      <c r="S24683" s="183"/>
      <c r="AJ24683" s="183"/>
      <c r="AK24683" s="183"/>
      <c r="AL24683" s="183"/>
    </row>
    <row r="24684" spans="1:38">
      <c r="A24684" s="182"/>
      <c r="Q24684" s="183"/>
      <c r="R24684" s="183"/>
      <c r="S24684" s="183"/>
      <c r="AJ24684" s="183"/>
      <c r="AK24684" s="183"/>
      <c r="AL24684" s="183"/>
    </row>
    <row r="24685" spans="1:38">
      <c r="A24685" s="182"/>
      <c r="Q24685" s="183"/>
      <c r="R24685" s="183"/>
      <c r="S24685" s="183"/>
      <c r="AJ24685" s="183"/>
      <c r="AK24685" s="183"/>
      <c r="AL24685" s="183"/>
    </row>
    <row r="24686" spans="1:38">
      <c r="A24686" s="182"/>
      <c r="Q24686" s="183"/>
      <c r="R24686" s="183"/>
      <c r="S24686" s="183"/>
      <c r="AJ24686" s="183"/>
      <c r="AK24686" s="183"/>
      <c r="AL24686" s="183"/>
    </row>
    <row r="24687" spans="1:38">
      <c r="A24687" s="182"/>
      <c r="Q24687" s="183"/>
      <c r="R24687" s="183"/>
      <c r="S24687" s="183"/>
      <c r="AJ24687" s="183"/>
    </row>
    <row r="24688" spans="1:38">
      <c r="A24688" s="182"/>
      <c r="Q24688" s="183"/>
      <c r="R24688" s="183"/>
      <c r="S24688" s="183"/>
    </row>
    <row r="24689" spans="1:38">
      <c r="A24689" s="182"/>
      <c r="Q24689" s="183"/>
      <c r="R24689" s="183"/>
      <c r="S24689" s="183"/>
    </row>
    <row r="24690" spans="1:38">
      <c r="A24690" s="182"/>
      <c r="Q24690" s="183"/>
      <c r="R24690" s="183"/>
      <c r="S24690" s="183"/>
    </row>
    <row r="24691" spans="1:38">
      <c r="A24691" s="182"/>
      <c r="Q24691" s="183"/>
      <c r="R24691" s="183"/>
      <c r="S24691" s="183"/>
    </row>
    <row r="24692" spans="1:38">
      <c r="A24692" s="182"/>
      <c r="Q24692" s="183"/>
      <c r="R24692" s="183"/>
      <c r="S24692" s="183"/>
    </row>
    <row r="24693" spans="1:38">
      <c r="A24693" s="182"/>
      <c r="Q24693" s="183"/>
      <c r="R24693" s="183"/>
      <c r="S24693" s="183"/>
    </row>
    <row r="24694" spans="1:38">
      <c r="A24694" s="182"/>
      <c r="Q24694" s="183"/>
      <c r="R24694" s="183"/>
      <c r="S24694" s="183"/>
    </row>
    <row r="24695" spans="1:38">
      <c r="A24695" s="182"/>
      <c r="Q24695" s="183"/>
      <c r="R24695" s="183"/>
      <c r="S24695" s="183"/>
    </row>
    <row r="24696" spans="1:38">
      <c r="A24696" s="182"/>
      <c r="Q24696" s="183"/>
      <c r="R24696" s="183"/>
      <c r="S24696" s="183"/>
    </row>
    <row r="24697" spans="1:38">
      <c r="A24697" s="182"/>
      <c r="Q24697" s="183"/>
      <c r="R24697" s="183"/>
      <c r="S24697" s="183"/>
    </row>
    <row r="24698" spans="1:38">
      <c r="A24698" s="182"/>
      <c r="Q24698" s="183"/>
      <c r="R24698" s="183"/>
      <c r="S24698" s="183"/>
    </row>
    <row r="24699" spans="1:38">
      <c r="A24699" s="182"/>
      <c r="Q24699" s="183"/>
      <c r="R24699" s="183"/>
      <c r="S24699" s="183"/>
    </row>
    <row r="24700" spans="1:38">
      <c r="A24700" s="182"/>
      <c r="Q24700" s="183"/>
      <c r="R24700" s="183"/>
      <c r="S24700" s="183"/>
    </row>
    <row r="24701" spans="1:38">
      <c r="A24701" s="182"/>
      <c r="Q24701" s="183"/>
      <c r="R24701" s="183"/>
      <c r="S24701" s="183"/>
    </row>
    <row r="24702" spans="1:38">
      <c r="A24702" s="182"/>
      <c r="Q24702" s="183"/>
      <c r="R24702" s="183"/>
      <c r="S24702" s="183"/>
    </row>
    <row r="24703" spans="1:38">
      <c r="A24703" s="182"/>
      <c r="Q24703" s="183"/>
      <c r="R24703" s="183"/>
      <c r="S24703" s="183"/>
      <c r="AK24703" s="183"/>
      <c r="AL24703" s="183"/>
    </row>
    <row r="24704" spans="1:38">
      <c r="A24704" s="182"/>
      <c r="Q24704" s="183"/>
      <c r="R24704" s="183"/>
      <c r="S24704" s="183"/>
      <c r="AJ24704" s="183"/>
      <c r="AK24704" s="183"/>
      <c r="AL24704" s="183"/>
    </row>
    <row r="24705" spans="1:38">
      <c r="A24705" s="182"/>
      <c r="Q24705" s="183"/>
      <c r="R24705" s="183"/>
      <c r="S24705" s="183"/>
      <c r="AJ24705" s="183"/>
      <c r="AK24705" s="183"/>
      <c r="AL24705" s="183"/>
    </row>
    <row r="24706" spans="1:38">
      <c r="A24706" s="182"/>
      <c r="Q24706" s="183"/>
      <c r="R24706" s="183"/>
      <c r="S24706" s="183"/>
      <c r="AJ24706" s="183"/>
      <c r="AK24706" s="183"/>
      <c r="AL24706" s="183"/>
    </row>
    <row r="24707" spans="1:38">
      <c r="A24707" s="182"/>
      <c r="Q24707" s="183"/>
      <c r="R24707" s="183"/>
      <c r="S24707" s="183"/>
      <c r="AJ24707" s="183"/>
    </row>
    <row r="24708" spans="1:38">
      <c r="A24708" s="182"/>
      <c r="Q24708" s="183"/>
      <c r="R24708" s="183"/>
      <c r="S24708" s="183"/>
    </row>
    <row r="24709" spans="1:38">
      <c r="A24709" s="182"/>
      <c r="Q24709" s="183"/>
      <c r="R24709" s="183"/>
      <c r="S24709" s="183"/>
    </row>
    <row r="24710" spans="1:38">
      <c r="A24710" s="182"/>
      <c r="Q24710" s="183"/>
      <c r="R24710" s="183"/>
      <c r="S24710" s="183"/>
    </row>
    <row r="24711" spans="1:38">
      <c r="A24711" s="182"/>
      <c r="Q24711" s="183"/>
      <c r="R24711" s="183"/>
      <c r="S24711" s="183"/>
      <c r="AK24711" s="183"/>
      <c r="AL24711" s="183"/>
    </row>
    <row r="24712" spans="1:38">
      <c r="A24712" s="182"/>
      <c r="Q24712" s="183"/>
      <c r="R24712" s="183"/>
      <c r="S24712" s="183"/>
      <c r="AJ24712" s="183"/>
      <c r="AK24712" s="183"/>
      <c r="AL24712" s="183"/>
    </row>
    <row r="24713" spans="1:38">
      <c r="A24713" s="182"/>
      <c r="Q24713" s="183"/>
      <c r="R24713" s="183"/>
      <c r="S24713" s="183"/>
      <c r="AJ24713" s="183"/>
      <c r="AK24713" s="183"/>
      <c r="AL24713" s="183"/>
    </row>
    <row r="24714" spans="1:38">
      <c r="A24714" s="182"/>
      <c r="Q24714" s="183"/>
      <c r="R24714" s="183"/>
      <c r="S24714" s="183"/>
      <c r="AJ24714" s="183"/>
      <c r="AK24714" s="183"/>
      <c r="AL24714" s="183"/>
    </row>
    <row r="24715" spans="1:38">
      <c r="A24715" s="182"/>
      <c r="Q24715" s="183"/>
      <c r="R24715" s="183"/>
      <c r="S24715" s="183"/>
      <c r="AJ24715" s="183"/>
    </row>
    <row r="24716" spans="1:38">
      <c r="A24716" s="182"/>
      <c r="Q24716" s="183"/>
      <c r="R24716" s="183"/>
      <c r="S24716" s="183"/>
    </row>
    <row r="24717" spans="1:38">
      <c r="A24717" s="182"/>
      <c r="Q24717" s="183"/>
      <c r="R24717" s="183"/>
      <c r="S24717" s="183"/>
    </row>
    <row r="24718" spans="1:38">
      <c r="A24718" s="182"/>
      <c r="Q24718" s="183"/>
      <c r="R24718" s="183"/>
      <c r="S24718" s="183"/>
    </row>
    <row r="24719" spans="1:38">
      <c r="A24719" s="182"/>
      <c r="Q24719" s="183"/>
      <c r="R24719" s="183"/>
      <c r="S24719" s="183"/>
      <c r="AK24719" s="183"/>
      <c r="AL24719" s="183"/>
    </row>
    <row r="24720" spans="1:38">
      <c r="A24720" s="182"/>
      <c r="Q24720" s="183"/>
      <c r="R24720" s="183"/>
      <c r="S24720" s="183"/>
      <c r="AJ24720" s="183"/>
      <c r="AK24720" s="183"/>
      <c r="AL24720" s="183"/>
    </row>
    <row r="24721" spans="1:38">
      <c r="A24721" s="182"/>
      <c r="Q24721" s="183"/>
      <c r="R24721" s="183"/>
      <c r="S24721" s="183"/>
      <c r="AJ24721" s="183"/>
      <c r="AK24721" s="183"/>
      <c r="AL24721" s="183"/>
    </row>
    <row r="24722" spans="1:38">
      <c r="A24722" s="182"/>
      <c r="Q24722" s="183"/>
      <c r="R24722" s="183"/>
      <c r="S24722" s="183"/>
      <c r="AJ24722" s="183"/>
      <c r="AK24722" s="183"/>
      <c r="AL24722" s="183"/>
    </row>
    <row r="24723" spans="1:38">
      <c r="A24723" s="182"/>
      <c r="Q24723" s="183"/>
      <c r="R24723" s="183"/>
      <c r="S24723" s="183"/>
      <c r="AJ24723" s="183"/>
    </row>
    <row r="24724" spans="1:38">
      <c r="A24724" s="182"/>
      <c r="Q24724" s="183"/>
      <c r="R24724" s="183"/>
      <c r="S24724" s="183"/>
    </row>
    <row r="24725" spans="1:38">
      <c r="A24725" s="182"/>
      <c r="Q24725" s="183"/>
      <c r="R24725" s="183"/>
      <c r="S24725" s="183"/>
    </row>
    <row r="24726" spans="1:38">
      <c r="A24726" s="182"/>
      <c r="Q24726" s="183"/>
      <c r="R24726" s="183"/>
      <c r="S24726" s="183"/>
    </row>
    <row r="24727" spans="1:38">
      <c r="A24727" s="182"/>
      <c r="Q24727" s="183"/>
      <c r="R24727" s="183"/>
      <c r="S24727" s="183"/>
    </row>
    <row r="24728" spans="1:38">
      <c r="A24728" s="182"/>
      <c r="Q24728" s="183"/>
      <c r="R24728" s="183"/>
      <c r="S24728" s="183"/>
    </row>
    <row r="24729" spans="1:38">
      <c r="A24729" s="182"/>
      <c r="Q24729" s="183"/>
      <c r="R24729" s="183"/>
      <c r="S24729" s="183"/>
    </row>
    <row r="24730" spans="1:38">
      <c r="A24730" s="182"/>
      <c r="Q24730" s="183"/>
      <c r="R24730" s="183"/>
      <c r="S24730" s="183"/>
    </row>
    <row r="24731" spans="1:38">
      <c r="A24731" s="182"/>
      <c r="Q24731" s="183"/>
      <c r="R24731" s="183"/>
      <c r="S24731" s="183"/>
    </row>
    <row r="24732" spans="1:38">
      <c r="A24732" s="182"/>
      <c r="Q24732" s="183"/>
      <c r="R24732" s="183"/>
      <c r="S24732" s="183"/>
    </row>
    <row r="24733" spans="1:38">
      <c r="A24733" s="182"/>
      <c r="Q24733" s="183"/>
      <c r="R24733" s="183"/>
      <c r="S24733" s="183"/>
    </row>
    <row r="24734" spans="1:38">
      <c r="A24734" s="182"/>
      <c r="Q24734" s="183"/>
      <c r="R24734" s="183"/>
      <c r="S24734" s="183"/>
    </row>
    <row r="24735" spans="1:38">
      <c r="A24735" s="182"/>
      <c r="Q24735" s="183"/>
      <c r="R24735" s="183"/>
      <c r="S24735" s="183"/>
    </row>
    <row r="24736" spans="1:38">
      <c r="A24736" s="182"/>
      <c r="Q24736" s="183"/>
      <c r="R24736" s="183"/>
      <c r="S24736" s="183"/>
    </row>
    <row r="24737" spans="1:38">
      <c r="A24737" s="182"/>
      <c r="Q24737" s="183"/>
      <c r="R24737" s="183"/>
      <c r="S24737" s="183"/>
    </row>
    <row r="24738" spans="1:38">
      <c r="A24738" s="182"/>
      <c r="Q24738" s="183"/>
      <c r="R24738" s="183"/>
      <c r="S24738" s="183"/>
    </row>
    <row r="24739" spans="1:38">
      <c r="A24739" s="182"/>
      <c r="Q24739" s="183"/>
      <c r="R24739" s="183"/>
      <c r="S24739" s="183"/>
      <c r="AK24739" s="183"/>
      <c r="AL24739" s="183"/>
    </row>
    <row r="24740" spans="1:38">
      <c r="A24740" s="182"/>
      <c r="Q24740" s="183"/>
      <c r="R24740" s="183"/>
      <c r="S24740" s="183"/>
      <c r="AJ24740" s="183"/>
      <c r="AK24740" s="183"/>
      <c r="AL24740" s="183"/>
    </row>
    <row r="24741" spans="1:38">
      <c r="A24741" s="182"/>
      <c r="Q24741" s="183"/>
      <c r="R24741" s="183"/>
      <c r="S24741" s="183"/>
      <c r="AJ24741" s="183"/>
      <c r="AK24741" s="183"/>
      <c r="AL24741" s="183"/>
    </row>
    <row r="24742" spans="1:38">
      <c r="A24742" s="182"/>
      <c r="Q24742" s="183"/>
      <c r="R24742" s="183"/>
      <c r="S24742" s="183"/>
      <c r="AJ24742" s="183"/>
      <c r="AK24742" s="183"/>
      <c r="AL24742" s="183"/>
    </row>
    <row r="24743" spans="1:38">
      <c r="A24743" s="182"/>
      <c r="Q24743" s="183"/>
      <c r="R24743" s="183"/>
      <c r="S24743" s="183"/>
      <c r="AJ24743" s="183"/>
    </row>
    <row r="24744" spans="1:38">
      <c r="A24744" s="182"/>
      <c r="Q24744" s="183"/>
      <c r="R24744" s="183"/>
      <c r="S24744" s="183"/>
    </row>
    <row r="24745" spans="1:38">
      <c r="A24745" s="182"/>
      <c r="Q24745" s="183"/>
      <c r="R24745" s="183"/>
      <c r="S24745" s="183"/>
    </row>
    <row r="24746" spans="1:38">
      <c r="A24746" s="182"/>
      <c r="Q24746" s="183"/>
      <c r="R24746" s="183"/>
      <c r="S24746" s="183"/>
    </row>
    <row r="24747" spans="1:38">
      <c r="A24747" s="182"/>
      <c r="Q24747" s="183"/>
      <c r="R24747" s="183"/>
      <c r="S24747" s="183"/>
      <c r="AK24747" s="183"/>
      <c r="AL24747" s="183"/>
    </row>
    <row r="24748" spans="1:38">
      <c r="A24748" s="182"/>
      <c r="Q24748" s="183"/>
      <c r="R24748" s="183"/>
      <c r="S24748" s="183"/>
      <c r="AJ24748" s="183"/>
      <c r="AK24748" s="183"/>
      <c r="AL24748" s="183"/>
    </row>
    <row r="24749" spans="1:38">
      <c r="A24749" s="182"/>
      <c r="Q24749" s="183"/>
      <c r="R24749" s="183"/>
      <c r="S24749" s="183"/>
      <c r="AJ24749" s="183"/>
      <c r="AK24749" s="183"/>
      <c r="AL24749" s="183"/>
    </row>
    <row r="24750" spans="1:38">
      <c r="A24750" s="182"/>
      <c r="Q24750" s="183"/>
      <c r="R24750" s="183"/>
      <c r="S24750" s="183"/>
      <c r="AJ24750" s="183"/>
      <c r="AK24750" s="183"/>
      <c r="AL24750" s="183"/>
    </row>
    <row r="24751" spans="1:38">
      <c r="A24751" s="182"/>
      <c r="Q24751" s="183"/>
      <c r="R24751" s="183"/>
      <c r="S24751" s="183"/>
      <c r="AJ24751" s="183"/>
    </row>
    <row r="24752" spans="1:38">
      <c r="A24752" s="182"/>
      <c r="Q24752" s="183"/>
      <c r="R24752" s="183"/>
      <c r="S24752" s="183"/>
    </row>
    <row r="24753" spans="1:19">
      <c r="A24753" s="182"/>
      <c r="Q24753" s="183"/>
      <c r="R24753" s="183"/>
      <c r="S24753" s="183"/>
    </row>
    <row r="24754" spans="1:19">
      <c r="A24754" s="182"/>
      <c r="Q24754" s="183"/>
      <c r="R24754" s="183"/>
      <c r="S24754" s="183"/>
    </row>
    <row r="24755" spans="1:19">
      <c r="A24755" s="182"/>
      <c r="Q24755" s="183"/>
      <c r="R24755" s="183"/>
      <c r="S24755" s="183"/>
    </row>
    <row r="24756" spans="1:19">
      <c r="A24756" s="182"/>
      <c r="Q24756" s="183"/>
      <c r="R24756" s="183"/>
      <c r="S24756" s="183"/>
    </row>
    <row r="24757" spans="1:19">
      <c r="A24757" s="182"/>
      <c r="Q24757" s="183"/>
      <c r="R24757" s="183"/>
      <c r="S24757" s="183"/>
    </row>
    <row r="24758" spans="1:19">
      <c r="A24758" s="182"/>
      <c r="Q24758" s="183"/>
      <c r="R24758" s="183"/>
      <c r="S24758" s="183"/>
    </row>
    <row r="24759" spans="1:19">
      <c r="A24759" s="182"/>
      <c r="Q24759" s="183"/>
      <c r="R24759" s="183"/>
      <c r="S24759" s="183"/>
    </row>
    <row r="24760" spans="1:19">
      <c r="A24760" s="182"/>
      <c r="Q24760" s="183"/>
      <c r="R24760" s="183"/>
      <c r="S24760" s="183"/>
    </row>
    <row r="24761" spans="1:19">
      <c r="A24761" s="182"/>
      <c r="Q24761" s="183"/>
      <c r="R24761" s="183"/>
      <c r="S24761" s="183"/>
    </row>
    <row r="24762" spans="1:19">
      <c r="A24762" s="182"/>
      <c r="Q24762" s="183"/>
      <c r="R24762" s="183"/>
      <c r="S24762" s="183"/>
    </row>
    <row r="24763" spans="1:19">
      <c r="A24763" s="182"/>
      <c r="Q24763" s="183"/>
      <c r="R24763" s="183"/>
      <c r="S24763" s="183"/>
    </row>
    <row r="24764" spans="1:19">
      <c r="A24764" s="182"/>
      <c r="Q24764" s="183"/>
      <c r="R24764" s="183"/>
      <c r="S24764" s="183"/>
    </row>
    <row r="24765" spans="1:19">
      <c r="A24765" s="182"/>
      <c r="Q24765" s="183"/>
      <c r="R24765" s="183"/>
      <c r="S24765" s="183"/>
    </row>
    <row r="24766" spans="1:19">
      <c r="A24766" s="182"/>
      <c r="Q24766" s="183"/>
      <c r="R24766" s="183"/>
      <c r="S24766" s="183"/>
    </row>
    <row r="24767" spans="1:19">
      <c r="A24767" s="182"/>
      <c r="Q24767" s="183"/>
      <c r="R24767" s="183"/>
      <c r="S24767" s="183"/>
    </row>
    <row r="24768" spans="1:19">
      <c r="A24768" s="182"/>
      <c r="Q24768" s="183"/>
      <c r="R24768" s="183"/>
      <c r="S24768" s="183"/>
    </row>
    <row r="24769" spans="1:38">
      <c r="A24769" s="182"/>
      <c r="Q24769" s="183"/>
      <c r="R24769" s="183"/>
      <c r="S24769" s="183"/>
    </row>
    <row r="24770" spans="1:38">
      <c r="A24770" s="182"/>
      <c r="Q24770" s="183"/>
      <c r="R24770" s="183"/>
      <c r="S24770" s="183"/>
    </row>
    <row r="24771" spans="1:38">
      <c r="A24771" s="182"/>
      <c r="Q24771" s="183"/>
      <c r="R24771" s="183"/>
      <c r="S24771" s="183"/>
    </row>
    <row r="24772" spans="1:38">
      <c r="A24772" s="182"/>
      <c r="Q24772" s="183"/>
      <c r="R24772" s="183"/>
      <c r="S24772" s="183"/>
    </row>
    <row r="24773" spans="1:38">
      <c r="A24773" s="182"/>
      <c r="Q24773" s="183"/>
      <c r="R24773" s="183"/>
      <c r="S24773" s="183"/>
    </row>
    <row r="24774" spans="1:38">
      <c r="A24774" s="182"/>
      <c r="Q24774" s="183"/>
      <c r="R24774" s="183"/>
      <c r="S24774" s="183"/>
    </row>
    <row r="24775" spans="1:38">
      <c r="A24775" s="182"/>
      <c r="Q24775" s="183"/>
      <c r="R24775" s="183"/>
      <c r="S24775" s="183"/>
      <c r="AK24775" s="183"/>
      <c r="AL24775" s="183"/>
    </row>
    <row r="24776" spans="1:38">
      <c r="A24776" s="182"/>
      <c r="Q24776" s="183"/>
      <c r="R24776" s="183"/>
      <c r="S24776" s="183"/>
      <c r="AJ24776" s="183"/>
      <c r="AK24776" s="183"/>
      <c r="AL24776" s="183"/>
    </row>
    <row r="24777" spans="1:38">
      <c r="A24777" s="182"/>
      <c r="Q24777" s="183"/>
      <c r="R24777" s="183"/>
      <c r="S24777" s="183"/>
      <c r="AJ24777" s="183"/>
      <c r="AK24777" s="183"/>
      <c r="AL24777" s="183"/>
    </row>
    <row r="24778" spans="1:38">
      <c r="A24778" s="182"/>
      <c r="Q24778" s="183"/>
      <c r="R24778" s="183"/>
      <c r="S24778" s="183"/>
      <c r="AJ24778" s="183"/>
      <c r="AK24778" s="183"/>
      <c r="AL24778" s="183"/>
    </row>
    <row r="24779" spans="1:38">
      <c r="A24779" s="182"/>
      <c r="Q24779" s="183"/>
      <c r="R24779" s="183"/>
      <c r="S24779" s="183"/>
      <c r="AJ24779" s="183"/>
    </row>
    <row r="24780" spans="1:38">
      <c r="A24780" s="182"/>
      <c r="Q24780" s="183"/>
      <c r="R24780" s="183"/>
      <c r="S24780" s="183"/>
    </row>
    <row r="24781" spans="1:38">
      <c r="A24781" s="182"/>
      <c r="Q24781" s="183"/>
      <c r="R24781" s="183"/>
      <c r="S24781" s="183"/>
    </row>
    <row r="24782" spans="1:38">
      <c r="A24782" s="182"/>
      <c r="Q24782" s="183"/>
      <c r="R24782" s="183"/>
      <c r="S24782" s="183"/>
    </row>
    <row r="24783" spans="1:38">
      <c r="A24783" s="182"/>
      <c r="Q24783" s="183"/>
      <c r="R24783" s="183"/>
      <c r="S24783" s="183"/>
    </row>
    <row r="24784" spans="1:38">
      <c r="A24784" s="182"/>
      <c r="Q24784" s="183"/>
      <c r="R24784" s="183"/>
      <c r="S24784" s="183"/>
    </row>
    <row r="24785" spans="1:19">
      <c r="A24785" s="182"/>
      <c r="Q24785" s="183"/>
      <c r="R24785" s="183"/>
      <c r="S24785" s="183"/>
    </row>
    <row r="24786" spans="1:19">
      <c r="A24786" s="182"/>
      <c r="Q24786" s="183"/>
      <c r="R24786" s="183"/>
      <c r="S24786" s="183"/>
    </row>
    <row r="24787" spans="1:19">
      <c r="A24787" s="182"/>
      <c r="Q24787" s="183"/>
      <c r="R24787" s="183"/>
      <c r="S24787" s="183"/>
    </row>
    <row r="24788" spans="1:19">
      <c r="A24788" s="182"/>
      <c r="Q24788" s="183"/>
      <c r="R24788" s="183"/>
      <c r="S24788" s="183"/>
    </row>
    <row r="24789" spans="1:19">
      <c r="A24789" s="182"/>
      <c r="Q24789" s="183"/>
      <c r="R24789" s="183"/>
      <c r="S24789" s="183"/>
    </row>
    <row r="24790" spans="1:19">
      <c r="A24790" s="182"/>
      <c r="Q24790" s="183"/>
      <c r="R24790" s="183"/>
      <c r="S24790" s="183"/>
    </row>
    <row r="24791" spans="1:19">
      <c r="A24791" s="182"/>
      <c r="Q24791" s="183"/>
      <c r="R24791" s="183"/>
      <c r="S24791" s="183"/>
    </row>
    <row r="24792" spans="1:19">
      <c r="A24792" s="182"/>
      <c r="Q24792" s="183"/>
      <c r="R24792" s="183"/>
      <c r="S24792" s="183"/>
    </row>
    <row r="24793" spans="1:19">
      <c r="A24793" s="182"/>
      <c r="Q24793" s="183"/>
      <c r="R24793" s="183"/>
      <c r="S24793" s="183"/>
    </row>
    <row r="24794" spans="1:19">
      <c r="A24794" s="182"/>
      <c r="Q24794" s="183"/>
      <c r="R24794" s="183"/>
      <c r="S24794" s="183"/>
    </row>
    <row r="24795" spans="1:19">
      <c r="A24795" s="182"/>
      <c r="Q24795" s="183"/>
      <c r="R24795" s="183"/>
      <c r="S24795" s="183"/>
    </row>
    <row r="24796" spans="1:19">
      <c r="A24796" s="182"/>
      <c r="Q24796" s="183"/>
      <c r="R24796" s="183"/>
      <c r="S24796" s="183"/>
    </row>
    <row r="24797" spans="1:19">
      <c r="A24797" s="182"/>
      <c r="Q24797" s="183"/>
      <c r="R24797" s="183"/>
      <c r="S24797" s="183"/>
    </row>
    <row r="24798" spans="1:19">
      <c r="A24798" s="182"/>
      <c r="Q24798" s="183"/>
      <c r="R24798" s="183"/>
      <c r="S24798" s="183"/>
    </row>
    <row r="24799" spans="1:19">
      <c r="A24799" s="182"/>
      <c r="Q24799" s="183"/>
      <c r="R24799" s="183"/>
      <c r="S24799" s="183"/>
    </row>
    <row r="24800" spans="1:19">
      <c r="A24800" s="182"/>
      <c r="Q24800" s="183"/>
      <c r="R24800" s="183"/>
      <c r="S24800" s="183"/>
    </row>
    <row r="24801" spans="1:38">
      <c r="A24801" s="182"/>
      <c r="Q24801" s="183"/>
      <c r="R24801" s="183"/>
      <c r="S24801" s="183"/>
    </row>
    <row r="24802" spans="1:38">
      <c r="A24802" s="182"/>
      <c r="Q24802" s="183"/>
      <c r="R24802" s="183"/>
      <c r="S24802" s="183"/>
    </row>
    <row r="24803" spans="1:38">
      <c r="A24803" s="182"/>
      <c r="Q24803" s="183"/>
      <c r="R24803" s="183"/>
      <c r="S24803" s="183"/>
    </row>
    <row r="24804" spans="1:38">
      <c r="A24804" s="182"/>
      <c r="Q24804" s="183"/>
      <c r="R24804" s="183"/>
      <c r="S24804" s="183"/>
    </row>
    <row r="24805" spans="1:38">
      <c r="A24805" s="182"/>
      <c r="Q24805" s="183"/>
      <c r="R24805" s="183"/>
      <c r="S24805" s="183"/>
    </row>
    <row r="24806" spans="1:38">
      <c r="A24806" s="182"/>
      <c r="Q24806" s="183"/>
      <c r="R24806" s="183"/>
      <c r="S24806" s="183"/>
    </row>
    <row r="24807" spans="1:38">
      <c r="A24807" s="182"/>
      <c r="Q24807" s="183"/>
      <c r="R24807" s="183"/>
      <c r="S24807" s="183"/>
      <c r="AK24807" s="183"/>
      <c r="AL24807" s="183"/>
    </row>
    <row r="24808" spans="1:38">
      <c r="A24808" s="182"/>
      <c r="Q24808" s="183"/>
      <c r="R24808" s="183"/>
      <c r="S24808" s="183"/>
      <c r="AJ24808" s="183"/>
      <c r="AK24808" s="183"/>
      <c r="AL24808" s="183"/>
    </row>
    <row r="24809" spans="1:38">
      <c r="A24809" s="182"/>
      <c r="Q24809" s="183"/>
      <c r="R24809" s="183"/>
      <c r="S24809" s="183"/>
      <c r="AJ24809" s="183"/>
      <c r="AK24809" s="183"/>
      <c r="AL24809" s="183"/>
    </row>
    <row r="24810" spans="1:38">
      <c r="A24810" s="182"/>
      <c r="Q24810" s="183"/>
      <c r="R24810" s="183"/>
      <c r="S24810" s="183"/>
      <c r="AJ24810" s="183"/>
      <c r="AK24810" s="183"/>
      <c r="AL24810" s="183"/>
    </row>
    <row r="24811" spans="1:38">
      <c r="A24811" s="182"/>
      <c r="Q24811" s="183"/>
      <c r="R24811" s="183"/>
      <c r="S24811" s="183"/>
      <c r="AJ24811" s="183"/>
      <c r="AK24811" s="183"/>
      <c r="AL24811" s="183"/>
    </row>
    <row r="24812" spans="1:38">
      <c r="A24812" s="182"/>
      <c r="Q24812" s="183"/>
      <c r="R24812" s="183"/>
      <c r="S24812" s="183"/>
      <c r="AJ24812" s="183"/>
      <c r="AK24812" s="183"/>
      <c r="AL24812" s="183"/>
    </row>
    <row r="24813" spans="1:38">
      <c r="A24813" s="182"/>
      <c r="Q24813" s="183"/>
      <c r="R24813" s="183"/>
      <c r="S24813" s="183"/>
      <c r="AJ24813" s="183"/>
      <c r="AK24813" s="183"/>
      <c r="AL24813" s="183"/>
    </row>
    <row r="24814" spans="1:38">
      <c r="A24814" s="182"/>
      <c r="Q24814" s="183"/>
      <c r="R24814" s="183"/>
      <c r="S24814" s="183"/>
      <c r="AJ24814" s="183"/>
      <c r="AK24814" s="183"/>
      <c r="AL24814" s="183"/>
    </row>
    <row r="24815" spans="1:38">
      <c r="A24815" s="182"/>
      <c r="Q24815" s="183"/>
      <c r="R24815" s="183"/>
      <c r="S24815" s="183"/>
      <c r="AJ24815" s="183"/>
    </row>
    <row r="24816" spans="1:38">
      <c r="A24816" s="182"/>
      <c r="Q24816" s="183"/>
      <c r="R24816" s="183"/>
      <c r="S24816" s="183"/>
    </row>
    <row r="24817" spans="1:38">
      <c r="A24817" s="182"/>
      <c r="Q24817" s="183"/>
      <c r="R24817" s="183"/>
      <c r="S24817" s="183"/>
    </row>
    <row r="24818" spans="1:38">
      <c r="A24818" s="182"/>
      <c r="Q24818" s="183"/>
      <c r="R24818" s="183"/>
      <c r="S24818" s="183"/>
    </row>
    <row r="24819" spans="1:38">
      <c r="A24819" s="182"/>
      <c r="Q24819" s="183"/>
      <c r="R24819" s="183"/>
      <c r="S24819" s="183"/>
      <c r="AK24819" s="183"/>
      <c r="AL24819" s="183"/>
    </row>
    <row r="24820" spans="1:38">
      <c r="A24820" s="182"/>
      <c r="Q24820" s="183"/>
      <c r="R24820" s="183"/>
      <c r="S24820" s="183"/>
      <c r="AJ24820" s="183"/>
      <c r="AK24820" s="183"/>
      <c r="AL24820" s="183"/>
    </row>
    <row r="24821" spans="1:38">
      <c r="A24821" s="182"/>
      <c r="Q24821" s="183"/>
      <c r="R24821" s="183"/>
      <c r="S24821" s="183"/>
      <c r="AJ24821" s="183"/>
      <c r="AK24821" s="183"/>
      <c r="AL24821" s="183"/>
    </row>
    <row r="24822" spans="1:38">
      <c r="A24822" s="182"/>
      <c r="Q24822" s="183"/>
      <c r="R24822" s="183"/>
      <c r="S24822" s="183"/>
      <c r="AJ24822" s="183"/>
      <c r="AK24822" s="183"/>
      <c r="AL24822" s="183"/>
    </row>
    <row r="24823" spans="1:38">
      <c r="A24823" s="182"/>
      <c r="Q24823" s="183"/>
      <c r="R24823" s="183"/>
      <c r="S24823" s="183"/>
      <c r="AJ24823" s="183"/>
    </row>
    <row r="24824" spans="1:38">
      <c r="A24824" s="182"/>
      <c r="Q24824" s="183"/>
      <c r="R24824" s="183"/>
      <c r="S24824" s="183"/>
    </row>
    <row r="24825" spans="1:38">
      <c r="A24825" s="182"/>
      <c r="Q24825" s="183"/>
      <c r="R24825" s="183"/>
      <c r="S24825" s="183"/>
    </row>
    <row r="24826" spans="1:38">
      <c r="A24826" s="182"/>
      <c r="Q24826" s="183"/>
      <c r="R24826" s="183"/>
      <c r="S24826" s="183"/>
    </row>
    <row r="24827" spans="1:38">
      <c r="A24827" s="182"/>
      <c r="Q24827" s="183"/>
      <c r="R24827" s="183"/>
      <c r="S24827" s="183"/>
    </row>
    <row r="24828" spans="1:38">
      <c r="A24828" s="182"/>
      <c r="Q24828" s="183"/>
      <c r="R24828" s="183"/>
      <c r="S24828" s="183"/>
    </row>
    <row r="24829" spans="1:38">
      <c r="A24829" s="182"/>
      <c r="Q24829" s="183"/>
      <c r="R24829" s="183"/>
      <c r="S24829" s="183"/>
    </row>
    <row r="24830" spans="1:38">
      <c r="A24830" s="182"/>
      <c r="Q24830" s="183"/>
      <c r="R24830" s="183"/>
      <c r="S24830" s="183"/>
    </row>
    <row r="24831" spans="1:38">
      <c r="A24831" s="182"/>
      <c r="Q24831" s="183"/>
      <c r="R24831" s="183"/>
      <c r="S24831" s="183"/>
      <c r="AK24831" s="183"/>
      <c r="AL24831" s="183"/>
    </row>
    <row r="24832" spans="1:38">
      <c r="A24832" s="182"/>
      <c r="Q24832" s="183"/>
      <c r="R24832" s="183"/>
      <c r="S24832" s="183"/>
      <c r="AJ24832" s="183"/>
      <c r="AK24832" s="183"/>
      <c r="AL24832" s="183"/>
    </row>
    <row r="24833" spans="1:38">
      <c r="A24833" s="182"/>
      <c r="Q24833" s="183"/>
      <c r="R24833" s="183"/>
      <c r="S24833" s="183"/>
      <c r="AJ24833" s="183"/>
      <c r="AK24833" s="183"/>
      <c r="AL24833" s="183"/>
    </row>
    <row r="24834" spans="1:38">
      <c r="A24834" s="182"/>
      <c r="Q24834" s="183"/>
      <c r="R24834" s="183"/>
      <c r="S24834" s="183"/>
      <c r="AJ24834" s="183"/>
      <c r="AK24834" s="183"/>
      <c r="AL24834" s="183"/>
    </row>
    <row r="24835" spans="1:38">
      <c r="A24835" s="182"/>
      <c r="Q24835" s="183"/>
      <c r="R24835" s="183"/>
      <c r="S24835" s="183"/>
      <c r="AJ24835" s="183"/>
    </row>
    <row r="24836" spans="1:38">
      <c r="A24836" s="182"/>
      <c r="Q24836" s="183"/>
      <c r="R24836" s="183"/>
      <c r="S24836" s="183"/>
    </row>
    <row r="24837" spans="1:38">
      <c r="A24837" s="182"/>
      <c r="Q24837" s="183"/>
      <c r="R24837" s="183"/>
      <c r="S24837" s="183"/>
    </row>
    <row r="24838" spans="1:38">
      <c r="A24838" s="182"/>
      <c r="Q24838" s="183"/>
      <c r="R24838" s="183"/>
      <c r="S24838" s="183"/>
    </row>
    <row r="24839" spans="1:38">
      <c r="A24839" s="182"/>
      <c r="Q24839" s="183"/>
      <c r="R24839" s="183"/>
      <c r="S24839" s="183"/>
      <c r="AK24839" s="183"/>
      <c r="AL24839" s="183"/>
    </row>
    <row r="24840" spans="1:38">
      <c r="A24840" s="182"/>
      <c r="Q24840" s="183"/>
      <c r="R24840" s="183"/>
      <c r="S24840" s="183"/>
      <c r="AJ24840" s="183"/>
      <c r="AK24840" s="183"/>
      <c r="AL24840" s="183"/>
    </row>
    <row r="24841" spans="1:38">
      <c r="A24841" s="182"/>
      <c r="Q24841" s="183"/>
      <c r="R24841" s="183"/>
      <c r="S24841" s="183"/>
      <c r="AJ24841" s="183"/>
      <c r="AK24841" s="183"/>
      <c r="AL24841" s="183"/>
    </row>
    <row r="24842" spans="1:38">
      <c r="A24842" s="182"/>
      <c r="Q24842" s="183"/>
      <c r="R24842" s="183"/>
      <c r="S24842" s="183"/>
      <c r="AJ24842" s="183"/>
      <c r="AK24842" s="183"/>
      <c r="AL24842" s="183"/>
    </row>
    <row r="24843" spans="1:38">
      <c r="A24843" s="182"/>
      <c r="Q24843" s="183"/>
      <c r="R24843" s="183"/>
      <c r="S24843" s="183"/>
      <c r="AJ24843" s="183"/>
    </row>
    <row r="24844" spans="1:38">
      <c r="A24844" s="182"/>
      <c r="Q24844" s="183"/>
      <c r="R24844" s="183"/>
      <c r="S24844" s="183"/>
    </row>
    <row r="24845" spans="1:38">
      <c r="A24845" s="182"/>
      <c r="Q24845" s="183"/>
      <c r="R24845" s="183"/>
      <c r="S24845" s="183"/>
    </row>
    <row r="24846" spans="1:38">
      <c r="A24846" s="182"/>
      <c r="Q24846" s="183"/>
      <c r="R24846" s="183"/>
      <c r="S24846" s="183"/>
    </row>
    <row r="24847" spans="1:38">
      <c r="A24847" s="182"/>
      <c r="Q24847" s="183"/>
      <c r="R24847" s="183"/>
      <c r="S24847" s="183"/>
      <c r="AK24847" s="183"/>
      <c r="AL24847" s="183"/>
    </row>
    <row r="24848" spans="1:38">
      <c r="A24848" s="182"/>
      <c r="Q24848" s="183"/>
      <c r="R24848" s="183"/>
      <c r="S24848" s="183"/>
      <c r="AJ24848" s="183"/>
      <c r="AK24848" s="183"/>
      <c r="AL24848" s="183"/>
    </row>
    <row r="24849" spans="1:38">
      <c r="A24849" s="182"/>
      <c r="Q24849" s="183"/>
      <c r="R24849" s="183"/>
      <c r="S24849" s="183"/>
      <c r="AJ24849" s="183"/>
      <c r="AK24849" s="183"/>
      <c r="AL24849" s="183"/>
    </row>
    <row r="24850" spans="1:38">
      <c r="A24850" s="182"/>
      <c r="Q24850" s="183"/>
      <c r="R24850" s="183"/>
      <c r="S24850" s="183"/>
      <c r="AJ24850" s="183"/>
      <c r="AK24850" s="183"/>
      <c r="AL24850" s="183"/>
    </row>
    <row r="24851" spans="1:38">
      <c r="A24851" s="182"/>
      <c r="Q24851" s="183"/>
      <c r="R24851" s="183"/>
      <c r="S24851" s="183"/>
      <c r="AJ24851" s="183"/>
      <c r="AK24851" s="183"/>
      <c r="AL24851" s="183"/>
    </row>
    <row r="24852" spans="1:38">
      <c r="A24852" s="182"/>
      <c r="Q24852" s="183"/>
      <c r="R24852" s="183"/>
      <c r="S24852" s="183"/>
      <c r="AJ24852" s="183"/>
      <c r="AK24852" s="183"/>
      <c r="AL24852" s="183"/>
    </row>
    <row r="24853" spans="1:38">
      <c r="A24853" s="182"/>
      <c r="Q24853" s="183"/>
      <c r="R24853" s="183"/>
      <c r="S24853" s="183"/>
      <c r="AJ24853" s="183"/>
      <c r="AK24853" s="183"/>
      <c r="AL24853" s="183"/>
    </row>
    <row r="24854" spans="1:38">
      <c r="A24854" s="182"/>
      <c r="Q24854" s="183"/>
      <c r="R24854" s="183"/>
      <c r="S24854" s="183"/>
      <c r="AJ24854" s="183"/>
      <c r="AK24854" s="183"/>
      <c r="AL24854" s="183"/>
    </row>
    <row r="24855" spans="1:38">
      <c r="A24855" s="182"/>
      <c r="Q24855" s="183"/>
      <c r="R24855" s="183"/>
      <c r="S24855" s="183"/>
      <c r="AJ24855" s="183"/>
    </row>
    <row r="24856" spans="1:38">
      <c r="A24856" s="182"/>
      <c r="Q24856" s="183"/>
      <c r="R24856" s="183"/>
      <c r="S24856" s="183"/>
    </row>
    <row r="24857" spans="1:38">
      <c r="A24857" s="182"/>
      <c r="Q24857" s="183"/>
      <c r="R24857" s="183"/>
      <c r="S24857" s="183"/>
    </row>
    <row r="24858" spans="1:38">
      <c r="A24858" s="182"/>
      <c r="Q24858" s="183"/>
      <c r="R24858" s="183"/>
      <c r="S24858" s="183"/>
    </row>
    <row r="24859" spans="1:38">
      <c r="A24859" s="182"/>
      <c r="Q24859" s="183"/>
      <c r="R24859" s="183"/>
      <c r="S24859" s="183"/>
    </row>
    <row r="24860" spans="1:38">
      <c r="A24860" s="182"/>
      <c r="Q24860" s="183"/>
      <c r="R24860" s="183"/>
      <c r="S24860" s="183"/>
    </row>
    <row r="24861" spans="1:38">
      <c r="A24861" s="182"/>
      <c r="Q24861" s="183"/>
      <c r="R24861" s="183"/>
      <c r="S24861" s="183"/>
    </row>
    <row r="24862" spans="1:38">
      <c r="A24862" s="182"/>
      <c r="Q24862" s="183"/>
      <c r="R24862" s="183"/>
      <c r="S24862" s="183"/>
    </row>
    <row r="24863" spans="1:38">
      <c r="A24863" s="182"/>
      <c r="Q24863" s="183"/>
      <c r="R24863" s="183"/>
      <c r="S24863" s="183"/>
    </row>
    <row r="24864" spans="1:38">
      <c r="A24864" s="182"/>
      <c r="Q24864" s="183"/>
      <c r="R24864" s="183"/>
      <c r="S24864" s="183"/>
    </row>
    <row r="24865" spans="1:38">
      <c r="A24865" s="182"/>
      <c r="Q24865" s="183"/>
      <c r="R24865" s="183"/>
      <c r="S24865" s="183"/>
    </row>
    <row r="24866" spans="1:38">
      <c r="A24866" s="182"/>
      <c r="Q24866" s="183"/>
      <c r="R24866" s="183"/>
      <c r="S24866" s="183"/>
    </row>
    <row r="24867" spans="1:38">
      <c r="A24867" s="182"/>
      <c r="Q24867" s="183"/>
      <c r="R24867" s="183"/>
      <c r="S24867" s="183"/>
    </row>
    <row r="24868" spans="1:38">
      <c r="A24868" s="182"/>
      <c r="Q24868" s="183"/>
      <c r="R24868" s="183"/>
      <c r="S24868" s="183"/>
    </row>
    <row r="24869" spans="1:38">
      <c r="A24869" s="182"/>
      <c r="Q24869" s="183"/>
      <c r="R24869" s="183"/>
      <c r="S24869" s="183"/>
    </row>
    <row r="24870" spans="1:38">
      <c r="A24870" s="182"/>
      <c r="Q24870" s="183"/>
      <c r="R24870" s="183"/>
      <c r="S24870" s="183"/>
    </row>
    <row r="24871" spans="1:38">
      <c r="A24871" s="182"/>
      <c r="Q24871" s="183"/>
      <c r="R24871" s="183"/>
      <c r="S24871" s="183"/>
      <c r="AK24871" s="183"/>
      <c r="AL24871" s="183"/>
    </row>
    <row r="24872" spans="1:38">
      <c r="A24872" s="182"/>
      <c r="M24872" s="183"/>
      <c r="N24872" s="183"/>
      <c r="Q24872" s="183"/>
      <c r="R24872" s="183"/>
      <c r="S24872" s="183"/>
      <c r="AJ24872" s="183"/>
      <c r="AK24872" s="183"/>
      <c r="AL24872" s="183"/>
    </row>
    <row r="24873" spans="1:38">
      <c r="A24873" s="182"/>
      <c r="L24873" s="183"/>
      <c r="Q24873" s="183"/>
      <c r="R24873" s="183"/>
      <c r="S24873" s="183"/>
      <c r="AJ24873" s="183"/>
      <c r="AK24873" s="183"/>
      <c r="AL24873" s="183"/>
    </row>
    <row r="24874" spans="1:38">
      <c r="A24874" s="182"/>
      <c r="Q24874" s="183"/>
      <c r="R24874" s="183"/>
      <c r="S24874" s="183"/>
      <c r="AJ24874" s="183"/>
      <c r="AK24874" s="183"/>
      <c r="AL24874" s="183"/>
    </row>
    <row r="24875" spans="1:38">
      <c r="A24875" s="182"/>
      <c r="Q24875" s="183"/>
      <c r="R24875" s="183"/>
      <c r="S24875" s="183"/>
      <c r="AJ24875" s="183"/>
      <c r="AK24875" s="183"/>
      <c r="AL24875" s="183"/>
    </row>
    <row r="24876" spans="1:38">
      <c r="A24876" s="182"/>
      <c r="Q24876" s="183"/>
      <c r="R24876" s="183"/>
      <c r="S24876" s="183"/>
      <c r="AJ24876" s="183"/>
      <c r="AK24876" s="183"/>
      <c r="AL24876" s="183"/>
    </row>
    <row r="24877" spans="1:38">
      <c r="A24877" s="182"/>
      <c r="Q24877" s="183"/>
      <c r="R24877" s="183"/>
      <c r="S24877" s="183"/>
      <c r="AJ24877" s="183"/>
      <c r="AK24877" s="183"/>
      <c r="AL24877" s="183"/>
    </row>
    <row r="24878" spans="1:38">
      <c r="A24878" s="182"/>
      <c r="Q24878" s="183"/>
      <c r="R24878" s="183"/>
      <c r="S24878" s="183"/>
      <c r="AJ24878" s="183"/>
      <c r="AK24878" s="183"/>
      <c r="AL24878" s="183"/>
    </row>
    <row r="24879" spans="1:38">
      <c r="A24879" s="182"/>
      <c r="Q24879" s="183"/>
      <c r="R24879" s="183"/>
      <c r="S24879" s="183"/>
      <c r="AJ24879" s="183"/>
      <c r="AK24879" s="183"/>
      <c r="AL24879" s="183"/>
    </row>
    <row r="24880" spans="1:38">
      <c r="A24880" s="182"/>
      <c r="Q24880" s="183"/>
      <c r="R24880" s="183"/>
      <c r="S24880" s="183"/>
      <c r="AJ24880" s="183"/>
      <c r="AK24880" s="183"/>
      <c r="AL24880" s="183"/>
    </row>
    <row r="24881" spans="1:38">
      <c r="A24881" s="182"/>
      <c r="Q24881" s="183"/>
      <c r="R24881" s="183"/>
      <c r="S24881" s="183"/>
      <c r="AJ24881" s="183"/>
      <c r="AK24881" s="183"/>
      <c r="AL24881" s="183"/>
    </row>
    <row r="24882" spans="1:38">
      <c r="A24882" s="182"/>
      <c r="Q24882" s="183"/>
      <c r="R24882" s="183"/>
      <c r="S24882" s="183"/>
      <c r="AJ24882" s="183"/>
      <c r="AK24882" s="183"/>
      <c r="AL24882" s="183"/>
    </row>
    <row r="24883" spans="1:38">
      <c r="A24883" s="182"/>
      <c r="Q24883" s="183"/>
      <c r="R24883" s="183"/>
      <c r="S24883" s="183"/>
      <c r="AJ24883" s="183"/>
    </row>
    <row r="24884" spans="1:38">
      <c r="A24884" s="182"/>
      <c r="Q24884" s="183"/>
      <c r="R24884" s="183"/>
      <c r="S24884" s="183"/>
    </row>
    <row r="24885" spans="1:38">
      <c r="A24885" s="182"/>
      <c r="Q24885" s="183"/>
      <c r="R24885" s="183"/>
      <c r="S24885" s="183"/>
    </row>
    <row r="24886" spans="1:38">
      <c r="A24886" s="182"/>
      <c r="Q24886" s="183"/>
      <c r="R24886" s="183"/>
      <c r="S24886" s="183"/>
    </row>
    <row r="24887" spans="1:38">
      <c r="A24887" s="182"/>
      <c r="Q24887" s="183"/>
      <c r="R24887" s="183"/>
      <c r="S24887" s="183"/>
    </row>
    <row r="24888" spans="1:38">
      <c r="A24888" s="182"/>
      <c r="Q24888" s="183"/>
      <c r="R24888" s="183"/>
      <c r="S24888" s="183"/>
    </row>
    <row r="24889" spans="1:38">
      <c r="A24889" s="182"/>
      <c r="Q24889" s="183"/>
      <c r="R24889" s="183"/>
      <c r="S24889" s="183"/>
    </row>
    <row r="24890" spans="1:38">
      <c r="A24890" s="182"/>
      <c r="Q24890" s="183"/>
      <c r="R24890" s="183"/>
      <c r="S24890" s="183"/>
    </row>
    <row r="24891" spans="1:38">
      <c r="A24891" s="182"/>
      <c r="Q24891" s="183"/>
      <c r="R24891" s="183"/>
      <c r="S24891" s="183"/>
      <c r="AK24891" s="183"/>
      <c r="AL24891" s="183"/>
    </row>
    <row r="24892" spans="1:38">
      <c r="A24892" s="182"/>
      <c r="Q24892" s="183"/>
      <c r="R24892" s="183"/>
      <c r="S24892" s="183"/>
      <c r="AJ24892" s="183"/>
      <c r="AK24892" s="183"/>
      <c r="AL24892" s="183"/>
    </row>
    <row r="24893" spans="1:38">
      <c r="A24893" s="182"/>
      <c r="Q24893" s="183"/>
      <c r="R24893" s="183"/>
      <c r="S24893" s="183"/>
      <c r="AJ24893" s="183"/>
      <c r="AK24893" s="183"/>
      <c r="AL24893" s="183"/>
    </row>
    <row r="24894" spans="1:38">
      <c r="A24894" s="182"/>
      <c r="Q24894" s="183"/>
      <c r="R24894" s="183"/>
      <c r="S24894" s="183"/>
      <c r="AJ24894" s="183"/>
      <c r="AK24894" s="183"/>
      <c r="AL24894" s="183"/>
    </row>
    <row r="24895" spans="1:38">
      <c r="A24895" s="182"/>
      <c r="Q24895" s="183"/>
      <c r="R24895" s="183"/>
      <c r="S24895" s="183"/>
      <c r="AJ24895" s="183"/>
      <c r="AK24895" s="183"/>
      <c r="AL24895" s="183"/>
    </row>
    <row r="24896" spans="1:38">
      <c r="A24896" s="182"/>
      <c r="Q24896" s="183"/>
      <c r="R24896" s="183"/>
      <c r="S24896" s="183"/>
      <c r="AJ24896" s="183"/>
      <c r="AK24896" s="183"/>
      <c r="AL24896" s="183"/>
    </row>
    <row r="24897" spans="1:38">
      <c r="A24897" s="182"/>
      <c r="Q24897" s="183"/>
      <c r="R24897" s="183"/>
      <c r="S24897" s="183"/>
      <c r="AJ24897" s="183"/>
      <c r="AK24897" s="183"/>
      <c r="AL24897" s="183"/>
    </row>
    <row r="24898" spans="1:38">
      <c r="A24898" s="182"/>
      <c r="Q24898" s="183"/>
      <c r="R24898" s="183"/>
      <c r="S24898" s="183"/>
      <c r="AJ24898" s="183"/>
      <c r="AK24898" s="183"/>
      <c r="AL24898" s="183"/>
    </row>
    <row r="24899" spans="1:38">
      <c r="A24899" s="182"/>
      <c r="Q24899" s="183"/>
      <c r="R24899" s="183"/>
      <c r="S24899" s="183"/>
      <c r="AJ24899" s="183"/>
    </row>
    <row r="24900" spans="1:38">
      <c r="A24900" s="182"/>
      <c r="Q24900" s="183"/>
      <c r="R24900" s="183"/>
      <c r="S24900" s="183"/>
    </row>
    <row r="24901" spans="1:38">
      <c r="A24901" s="182"/>
      <c r="Q24901" s="183"/>
      <c r="R24901" s="183"/>
      <c r="S24901" s="183"/>
    </row>
    <row r="24902" spans="1:38">
      <c r="A24902" s="182"/>
      <c r="Q24902" s="183"/>
      <c r="R24902" s="183"/>
      <c r="S24902" s="183"/>
    </row>
    <row r="24903" spans="1:38">
      <c r="A24903" s="182"/>
      <c r="Q24903" s="183"/>
      <c r="R24903" s="183"/>
      <c r="S24903" s="183"/>
      <c r="AK24903" s="183"/>
      <c r="AL24903" s="183"/>
    </row>
    <row r="24904" spans="1:38">
      <c r="A24904" s="182"/>
      <c r="Q24904" s="183"/>
      <c r="R24904" s="183"/>
      <c r="S24904" s="183"/>
      <c r="AJ24904" s="183"/>
      <c r="AK24904" s="183"/>
      <c r="AL24904" s="183"/>
    </row>
    <row r="24905" spans="1:38">
      <c r="A24905" s="182"/>
      <c r="Q24905" s="183"/>
      <c r="R24905" s="183"/>
      <c r="S24905" s="183"/>
      <c r="AJ24905" s="183"/>
      <c r="AK24905" s="183"/>
      <c r="AL24905" s="183"/>
    </row>
    <row r="24906" spans="1:38">
      <c r="A24906" s="182"/>
      <c r="Q24906" s="183"/>
      <c r="R24906" s="183"/>
      <c r="S24906" s="183"/>
      <c r="AJ24906" s="183"/>
      <c r="AK24906" s="183"/>
      <c r="AL24906" s="183"/>
    </row>
    <row r="24907" spans="1:38">
      <c r="A24907" s="182"/>
      <c r="Q24907" s="183"/>
      <c r="R24907" s="183"/>
      <c r="S24907" s="183"/>
      <c r="AJ24907" s="183"/>
    </row>
    <row r="24908" spans="1:38">
      <c r="A24908" s="182"/>
      <c r="Q24908" s="183"/>
      <c r="R24908" s="183"/>
      <c r="S24908" s="183"/>
    </row>
    <row r="24909" spans="1:38">
      <c r="A24909" s="182"/>
      <c r="Q24909" s="183"/>
      <c r="R24909" s="183"/>
      <c r="S24909" s="183"/>
    </row>
    <row r="24910" spans="1:38">
      <c r="A24910" s="182"/>
      <c r="Q24910" s="183"/>
      <c r="R24910" s="183"/>
      <c r="S24910" s="183"/>
    </row>
    <row r="24911" spans="1:38">
      <c r="A24911" s="182"/>
      <c r="Q24911" s="183"/>
      <c r="R24911" s="183"/>
      <c r="S24911" s="183"/>
      <c r="AK24911" s="183"/>
      <c r="AL24911" s="183"/>
    </row>
    <row r="24912" spans="1:38">
      <c r="A24912" s="182"/>
      <c r="Q24912" s="183"/>
      <c r="R24912" s="183"/>
      <c r="S24912" s="183"/>
      <c r="AJ24912" s="183"/>
      <c r="AK24912" s="183"/>
      <c r="AL24912" s="183"/>
    </row>
    <row r="24913" spans="1:38">
      <c r="A24913" s="182"/>
      <c r="Q24913" s="183"/>
      <c r="R24913" s="183"/>
      <c r="S24913" s="183"/>
      <c r="AJ24913" s="183"/>
      <c r="AK24913" s="183"/>
      <c r="AL24913" s="183"/>
    </row>
    <row r="24914" spans="1:38">
      <c r="A24914" s="182"/>
      <c r="Q24914" s="183"/>
      <c r="R24914" s="183"/>
      <c r="S24914" s="183"/>
      <c r="AJ24914" s="183"/>
      <c r="AK24914" s="183"/>
      <c r="AL24914" s="183"/>
    </row>
    <row r="24915" spans="1:38">
      <c r="A24915" s="182"/>
      <c r="Q24915" s="183"/>
      <c r="R24915" s="183"/>
      <c r="S24915" s="183"/>
      <c r="AJ24915" s="183"/>
      <c r="AK24915" s="183"/>
      <c r="AL24915" s="183"/>
    </row>
    <row r="24916" spans="1:38">
      <c r="A24916" s="182"/>
      <c r="Q24916" s="183"/>
      <c r="R24916" s="183"/>
      <c r="S24916" s="183"/>
      <c r="AJ24916" s="183"/>
      <c r="AK24916" s="183"/>
      <c r="AL24916" s="183"/>
    </row>
    <row r="24917" spans="1:38">
      <c r="A24917" s="182"/>
      <c r="Q24917" s="183"/>
      <c r="R24917" s="183"/>
      <c r="S24917" s="183"/>
      <c r="AJ24917" s="183"/>
      <c r="AK24917" s="183"/>
      <c r="AL24917" s="183"/>
    </row>
    <row r="24918" spans="1:38">
      <c r="A24918" s="182"/>
      <c r="Q24918" s="183"/>
      <c r="R24918" s="183"/>
      <c r="S24918" s="183"/>
      <c r="AJ24918" s="183"/>
      <c r="AK24918" s="183"/>
      <c r="AL24918" s="183"/>
    </row>
    <row r="24919" spans="1:38">
      <c r="A24919" s="182"/>
      <c r="Q24919" s="183"/>
      <c r="R24919" s="183"/>
      <c r="S24919" s="183"/>
      <c r="AJ24919" s="183"/>
    </row>
    <row r="24920" spans="1:38">
      <c r="A24920" s="182"/>
      <c r="Q24920" s="183"/>
      <c r="R24920" s="183"/>
      <c r="S24920" s="183"/>
    </row>
    <row r="24921" spans="1:38">
      <c r="A24921" s="182"/>
      <c r="Q24921" s="183"/>
      <c r="R24921" s="183"/>
      <c r="S24921" s="183"/>
    </row>
    <row r="24922" spans="1:38">
      <c r="A24922" s="182"/>
      <c r="Q24922" s="183"/>
      <c r="R24922" s="183"/>
      <c r="S24922" s="183"/>
    </row>
    <row r="24923" spans="1:38">
      <c r="A24923" s="182"/>
      <c r="Q24923" s="183"/>
      <c r="R24923" s="183"/>
      <c r="S24923" s="183"/>
    </row>
    <row r="24924" spans="1:38">
      <c r="A24924" s="182"/>
      <c r="Q24924" s="183"/>
      <c r="R24924" s="183"/>
      <c r="S24924" s="183"/>
    </row>
    <row r="24925" spans="1:38">
      <c r="A24925" s="182"/>
      <c r="Q24925" s="183"/>
      <c r="R24925" s="183"/>
      <c r="S24925" s="183"/>
    </row>
    <row r="24926" spans="1:38">
      <c r="A24926" s="182"/>
      <c r="Q24926" s="183"/>
      <c r="R24926" s="183"/>
      <c r="S24926" s="183"/>
    </row>
    <row r="24927" spans="1:38">
      <c r="A24927" s="182"/>
      <c r="Q24927" s="183"/>
      <c r="R24927" s="183"/>
      <c r="S24927" s="183"/>
    </row>
    <row r="24928" spans="1:38">
      <c r="A24928" s="182"/>
      <c r="Q24928" s="183"/>
      <c r="R24928" s="183"/>
      <c r="S24928" s="183"/>
    </row>
    <row r="24929" spans="1:38">
      <c r="A24929" s="182"/>
      <c r="Q24929" s="183"/>
      <c r="R24929" s="183"/>
      <c r="S24929" s="183"/>
    </row>
    <row r="24930" spans="1:38">
      <c r="A24930" s="182"/>
      <c r="Q24930" s="183"/>
      <c r="R24930" s="183"/>
      <c r="S24930" s="183"/>
    </row>
    <row r="24931" spans="1:38">
      <c r="A24931" s="182"/>
      <c r="Q24931" s="183"/>
      <c r="R24931" s="183"/>
      <c r="S24931" s="183"/>
    </row>
    <row r="24932" spans="1:38">
      <c r="A24932" s="182"/>
      <c r="Q24932" s="183"/>
      <c r="R24932" s="183"/>
      <c r="S24932" s="183"/>
    </row>
    <row r="24933" spans="1:38">
      <c r="A24933" s="182"/>
      <c r="Q24933" s="183"/>
      <c r="R24933" s="183"/>
      <c r="S24933" s="183"/>
    </row>
    <row r="24934" spans="1:38">
      <c r="A24934" s="182"/>
      <c r="Q24934" s="183"/>
      <c r="R24934" s="183"/>
      <c r="S24934" s="183"/>
    </row>
    <row r="24935" spans="1:38">
      <c r="A24935" s="182"/>
      <c r="Q24935" s="183"/>
      <c r="R24935" s="183"/>
      <c r="S24935" s="183"/>
      <c r="AK24935" s="183"/>
      <c r="AL24935" s="183"/>
    </row>
    <row r="24936" spans="1:38">
      <c r="A24936" s="182"/>
      <c r="Q24936" s="183"/>
      <c r="R24936" s="183"/>
      <c r="S24936" s="183"/>
      <c r="AJ24936" s="183"/>
      <c r="AK24936" s="183"/>
      <c r="AL24936" s="183"/>
    </row>
    <row r="24937" spans="1:38">
      <c r="A24937" s="182"/>
      <c r="Q24937" s="183"/>
      <c r="R24937" s="183"/>
      <c r="S24937" s="183"/>
      <c r="AJ24937" s="183"/>
      <c r="AK24937" s="183"/>
      <c r="AL24937" s="183"/>
    </row>
    <row r="24938" spans="1:38">
      <c r="A24938" s="182"/>
      <c r="N24938" s="183"/>
      <c r="O24938" s="183"/>
      <c r="Q24938" s="183"/>
      <c r="R24938" s="183"/>
      <c r="S24938" s="183"/>
      <c r="AJ24938" s="183"/>
      <c r="AK24938" s="183"/>
      <c r="AL24938" s="183"/>
    </row>
    <row r="24939" spans="1:38">
      <c r="A24939" s="182"/>
      <c r="M24939" s="183"/>
      <c r="Q24939" s="183"/>
      <c r="R24939" s="183"/>
      <c r="S24939" s="183"/>
      <c r="AJ24939" s="183"/>
      <c r="AK24939" s="183"/>
      <c r="AL24939" s="183"/>
    </row>
    <row r="24940" spans="1:38">
      <c r="A24940" s="182"/>
      <c r="Q24940" s="183"/>
      <c r="R24940" s="183"/>
      <c r="S24940" s="183"/>
      <c r="AJ24940" s="183"/>
      <c r="AK24940" s="183"/>
      <c r="AL24940" s="183"/>
    </row>
    <row r="24941" spans="1:38">
      <c r="A24941" s="182"/>
      <c r="Q24941" s="183"/>
      <c r="R24941" s="183"/>
      <c r="S24941" s="183"/>
      <c r="AJ24941" s="183"/>
      <c r="AK24941" s="183"/>
      <c r="AL24941" s="183"/>
    </row>
    <row r="24942" spans="1:38">
      <c r="A24942" s="182"/>
      <c r="Q24942" s="183"/>
      <c r="R24942" s="183"/>
      <c r="S24942" s="183"/>
      <c r="AJ24942" s="183"/>
      <c r="AK24942" s="183"/>
      <c r="AL24942" s="183"/>
    </row>
    <row r="24943" spans="1:38">
      <c r="A24943" s="182"/>
      <c r="Q24943" s="183"/>
      <c r="R24943" s="183"/>
      <c r="S24943" s="183"/>
      <c r="AJ24943" s="183"/>
    </row>
    <row r="24944" spans="1:38">
      <c r="A24944" s="182"/>
      <c r="Q24944" s="183"/>
      <c r="R24944" s="183"/>
      <c r="S24944" s="183"/>
    </row>
    <row r="24945" spans="1:38">
      <c r="A24945" s="182"/>
      <c r="Q24945" s="183"/>
      <c r="R24945" s="183"/>
      <c r="S24945" s="183"/>
    </row>
    <row r="24946" spans="1:38">
      <c r="A24946" s="182"/>
      <c r="Q24946" s="183"/>
      <c r="R24946" s="183"/>
      <c r="S24946" s="183"/>
    </row>
    <row r="24947" spans="1:38">
      <c r="A24947" s="182"/>
      <c r="Q24947" s="183"/>
      <c r="R24947" s="183"/>
      <c r="S24947" s="183"/>
      <c r="AK24947" s="183"/>
      <c r="AL24947" s="183"/>
    </row>
    <row r="24948" spans="1:38">
      <c r="A24948" s="182"/>
      <c r="Q24948" s="183"/>
      <c r="R24948" s="183"/>
      <c r="S24948" s="183"/>
      <c r="AJ24948" s="183"/>
      <c r="AK24948" s="183"/>
      <c r="AL24948" s="183"/>
    </row>
    <row r="24949" spans="1:38">
      <c r="A24949" s="182"/>
      <c r="Q24949" s="183"/>
      <c r="R24949" s="183"/>
      <c r="S24949" s="183"/>
      <c r="AJ24949" s="183"/>
      <c r="AK24949" s="183"/>
      <c r="AL24949" s="183"/>
    </row>
    <row r="24950" spans="1:38">
      <c r="A24950" s="182"/>
      <c r="Q24950" s="183"/>
      <c r="R24950" s="183"/>
      <c r="S24950" s="183"/>
      <c r="AJ24950" s="183"/>
      <c r="AK24950" s="183"/>
      <c r="AL24950" s="183"/>
    </row>
    <row r="24951" spans="1:38">
      <c r="A24951" s="182"/>
      <c r="Q24951" s="183"/>
      <c r="R24951" s="183"/>
      <c r="S24951" s="183"/>
      <c r="AJ24951" s="183"/>
    </row>
    <row r="24952" spans="1:38">
      <c r="A24952" s="182"/>
      <c r="Q24952" s="183"/>
      <c r="R24952" s="183"/>
      <c r="S24952" s="183"/>
    </row>
    <row r="24953" spans="1:38">
      <c r="A24953" s="182"/>
      <c r="Q24953" s="183"/>
      <c r="R24953" s="183"/>
      <c r="S24953" s="183"/>
    </row>
    <row r="24954" spans="1:38">
      <c r="A24954" s="182"/>
      <c r="Q24954" s="183"/>
      <c r="R24954" s="183"/>
      <c r="S24954" s="183"/>
    </row>
    <row r="24955" spans="1:38">
      <c r="A24955" s="182"/>
      <c r="Q24955" s="183"/>
      <c r="R24955" s="183"/>
      <c r="S24955" s="183"/>
      <c r="AK24955" s="183"/>
      <c r="AL24955" s="183"/>
    </row>
    <row r="24956" spans="1:38">
      <c r="A24956" s="182"/>
      <c r="Q24956" s="183"/>
      <c r="R24956" s="183"/>
      <c r="S24956" s="183"/>
      <c r="AJ24956" s="183"/>
      <c r="AK24956" s="183"/>
      <c r="AL24956" s="183"/>
    </row>
    <row r="24957" spans="1:38">
      <c r="A24957" s="182"/>
      <c r="Q24957" s="183"/>
      <c r="R24957" s="183"/>
      <c r="S24957" s="183"/>
      <c r="AJ24957" s="183"/>
      <c r="AK24957" s="183"/>
      <c r="AL24957" s="183"/>
    </row>
    <row r="24958" spans="1:38">
      <c r="A24958" s="182"/>
      <c r="Q24958" s="183"/>
      <c r="R24958" s="183"/>
      <c r="S24958" s="183"/>
      <c r="AJ24958" s="183"/>
      <c r="AK24958" s="183"/>
      <c r="AL24958" s="183"/>
    </row>
    <row r="24959" spans="1:38">
      <c r="A24959" s="182"/>
      <c r="Q24959" s="183"/>
      <c r="R24959" s="183"/>
      <c r="S24959" s="183"/>
      <c r="AJ24959" s="183"/>
      <c r="AK24959" s="183"/>
      <c r="AL24959" s="183"/>
    </row>
    <row r="24960" spans="1:38">
      <c r="A24960" s="182"/>
      <c r="Q24960" s="183"/>
      <c r="R24960" s="183"/>
      <c r="S24960" s="183"/>
      <c r="AJ24960" s="183"/>
      <c r="AK24960" s="183"/>
      <c r="AL24960" s="183"/>
    </row>
    <row r="24961" spans="1:38">
      <c r="A24961" s="182"/>
      <c r="Q24961" s="183"/>
      <c r="R24961" s="183"/>
      <c r="S24961" s="183"/>
      <c r="AJ24961" s="183"/>
      <c r="AK24961" s="183"/>
      <c r="AL24961" s="183"/>
    </row>
    <row r="24962" spans="1:38">
      <c r="A24962" s="182"/>
      <c r="Q24962" s="183"/>
      <c r="R24962" s="183"/>
      <c r="S24962" s="183"/>
      <c r="AJ24962" s="183"/>
      <c r="AK24962" s="183"/>
      <c r="AL24962" s="183"/>
    </row>
    <row r="24963" spans="1:38">
      <c r="A24963" s="182"/>
      <c r="Q24963" s="183"/>
      <c r="R24963" s="183"/>
      <c r="S24963" s="183"/>
      <c r="AJ24963" s="183"/>
      <c r="AK24963" s="183"/>
      <c r="AL24963" s="183"/>
    </row>
    <row r="24964" spans="1:38">
      <c r="A24964" s="182"/>
      <c r="Q24964" s="183"/>
      <c r="R24964" s="183"/>
      <c r="S24964" s="183"/>
      <c r="AJ24964" s="183"/>
      <c r="AK24964" s="183"/>
      <c r="AL24964" s="183"/>
    </row>
    <row r="24965" spans="1:38">
      <c r="A24965" s="182"/>
      <c r="Q24965" s="183"/>
      <c r="R24965" s="183"/>
      <c r="S24965" s="183"/>
      <c r="AJ24965" s="183"/>
      <c r="AK24965" s="183"/>
      <c r="AL24965" s="183"/>
    </row>
    <row r="24966" spans="1:38">
      <c r="A24966" s="182"/>
      <c r="Q24966" s="183"/>
      <c r="R24966" s="183"/>
      <c r="S24966" s="183"/>
      <c r="AJ24966" s="183"/>
      <c r="AK24966" s="183"/>
      <c r="AL24966" s="183"/>
    </row>
    <row r="24967" spans="1:38">
      <c r="A24967" s="182"/>
      <c r="Q24967" s="183"/>
      <c r="R24967" s="183"/>
      <c r="S24967" s="183"/>
      <c r="AJ24967" s="183"/>
      <c r="AK24967" s="183"/>
      <c r="AL24967" s="183"/>
    </row>
    <row r="24968" spans="1:38">
      <c r="A24968" s="182"/>
      <c r="Q24968" s="183"/>
      <c r="R24968" s="183"/>
      <c r="S24968" s="183"/>
      <c r="AJ24968" s="183"/>
      <c r="AK24968" s="183"/>
      <c r="AL24968" s="183"/>
    </row>
    <row r="24969" spans="1:38">
      <c r="A24969" s="182"/>
      <c r="Q24969" s="183"/>
      <c r="R24969" s="183"/>
      <c r="S24969" s="183"/>
      <c r="AJ24969" s="183"/>
      <c r="AK24969" s="183"/>
      <c r="AL24969" s="183"/>
    </row>
    <row r="24970" spans="1:38">
      <c r="A24970" s="182"/>
      <c r="Q24970" s="183"/>
      <c r="R24970" s="183"/>
      <c r="S24970" s="183"/>
      <c r="AJ24970" s="183"/>
      <c r="AK24970" s="183"/>
      <c r="AL24970" s="183"/>
    </row>
    <row r="24971" spans="1:38">
      <c r="A24971" s="182"/>
      <c r="Q24971" s="183"/>
      <c r="R24971" s="183"/>
      <c r="S24971" s="183"/>
      <c r="AJ24971" s="183"/>
      <c r="AK24971" s="183"/>
      <c r="AL24971" s="183"/>
    </row>
    <row r="24972" spans="1:38">
      <c r="A24972" s="182"/>
      <c r="Q24972" s="183"/>
      <c r="R24972" s="183"/>
      <c r="S24972" s="183"/>
      <c r="AJ24972" s="183"/>
      <c r="AK24972" s="183"/>
      <c r="AL24972" s="183"/>
    </row>
    <row r="24973" spans="1:38">
      <c r="A24973" s="182"/>
      <c r="Q24973" s="183"/>
      <c r="R24973" s="183"/>
      <c r="S24973" s="183"/>
      <c r="AJ24973" s="183"/>
      <c r="AK24973" s="183"/>
      <c r="AL24973" s="183"/>
    </row>
    <row r="24974" spans="1:38">
      <c r="A24974" s="182"/>
      <c r="Q24974" s="183"/>
      <c r="R24974" s="183"/>
      <c r="S24974" s="183"/>
      <c r="AJ24974" s="183"/>
      <c r="AK24974" s="183"/>
      <c r="AL24974" s="183"/>
    </row>
    <row r="24975" spans="1:38">
      <c r="A24975" s="182"/>
      <c r="Q24975" s="183"/>
      <c r="R24975" s="183"/>
      <c r="S24975" s="183"/>
      <c r="AJ24975" s="183"/>
      <c r="AK24975" s="183"/>
      <c r="AL24975" s="183"/>
    </row>
    <row r="24976" spans="1:38">
      <c r="A24976" s="182"/>
      <c r="Q24976" s="183"/>
      <c r="R24976" s="183"/>
      <c r="S24976" s="183"/>
      <c r="AJ24976" s="183"/>
      <c r="AK24976" s="183"/>
      <c r="AL24976" s="183"/>
    </row>
    <row r="24977" spans="1:38">
      <c r="A24977" s="182"/>
      <c r="Q24977" s="183"/>
      <c r="R24977" s="183"/>
      <c r="S24977" s="183"/>
      <c r="AJ24977" s="183"/>
      <c r="AK24977" s="183"/>
      <c r="AL24977" s="183"/>
    </row>
    <row r="24978" spans="1:38">
      <c r="A24978" s="182"/>
      <c r="Q24978" s="183"/>
      <c r="R24978" s="183"/>
      <c r="S24978" s="183"/>
      <c r="AJ24978" s="183"/>
      <c r="AK24978" s="183"/>
      <c r="AL24978" s="183"/>
    </row>
    <row r="24979" spans="1:38">
      <c r="A24979" s="182"/>
      <c r="Q24979" s="183"/>
      <c r="R24979" s="183"/>
      <c r="S24979" s="183"/>
      <c r="AJ24979" s="183"/>
    </row>
    <row r="24980" spans="1:38">
      <c r="A24980" s="182"/>
      <c r="Q24980" s="183"/>
      <c r="R24980" s="183"/>
      <c r="S24980" s="183"/>
    </row>
    <row r="24981" spans="1:38">
      <c r="A24981" s="182"/>
      <c r="Q24981" s="183"/>
      <c r="R24981" s="183"/>
      <c r="S24981" s="183"/>
    </row>
    <row r="24982" spans="1:38">
      <c r="A24982" s="182"/>
      <c r="Q24982" s="183"/>
      <c r="R24982" s="183"/>
      <c r="S24982" s="183"/>
    </row>
    <row r="24983" spans="1:38">
      <c r="A24983" s="182"/>
      <c r="Q24983" s="183"/>
      <c r="R24983" s="183"/>
      <c r="S24983" s="183"/>
      <c r="AK24983" s="183"/>
      <c r="AL24983" s="183"/>
    </row>
    <row r="24984" spans="1:38">
      <c r="A24984" s="182"/>
      <c r="Q24984" s="183"/>
      <c r="R24984" s="183"/>
      <c r="S24984" s="183"/>
      <c r="AJ24984" s="183"/>
      <c r="AK24984" s="183"/>
      <c r="AL24984" s="183"/>
    </row>
    <row r="24985" spans="1:38">
      <c r="A24985" s="182"/>
      <c r="Q24985" s="183"/>
      <c r="R24985" s="183"/>
      <c r="S24985" s="183"/>
      <c r="AJ24985" s="183"/>
      <c r="AK24985" s="183"/>
      <c r="AL24985" s="183"/>
    </row>
    <row r="24986" spans="1:38">
      <c r="A24986" s="182"/>
      <c r="Q24986" s="183"/>
      <c r="R24986" s="183"/>
      <c r="S24986" s="183"/>
      <c r="AJ24986" s="183"/>
      <c r="AK24986" s="183"/>
      <c r="AL24986" s="183"/>
    </row>
    <row r="24987" spans="1:38">
      <c r="A24987" s="182"/>
      <c r="Q24987" s="183"/>
      <c r="R24987" s="183"/>
      <c r="S24987" s="183"/>
      <c r="AJ24987" s="183"/>
    </row>
    <row r="24988" spans="1:38">
      <c r="A24988" s="182"/>
      <c r="Q24988" s="183"/>
      <c r="R24988" s="183"/>
      <c r="S24988" s="183"/>
    </row>
    <row r="24989" spans="1:38">
      <c r="A24989" s="182"/>
      <c r="Q24989" s="183"/>
      <c r="R24989" s="183"/>
      <c r="S24989" s="183"/>
    </row>
    <row r="24990" spans="1:38">
      <c r="A24990" s="182"/>
      <c r="Q24990" s="183"/>
      <c r="R24990" s="183"/>
      <c r="S24990" s="183"/>
    </row>
    <row r="24991" spans="1:38">
      <c r="A24991" s="182"/>
      <c r="Q24991" s="183"/>
      <c r="R24991" s="183"/>
      <c r="S24991" s="183"/>
    </row>
    <row r="24992" spans="1:38">
      <c r="A24992" s="182"/>
      <c r="Q24992" s="183"/>
      <c r="R24992" s="183"/>
      <c r="S24992" s="183"/>
    </row>
    <row r="24993" spans="1:38">
      <c r="A24993" s="182"/>
      <c r="Q24993" s="183"/>
      <c r="R24993" s="183"/>
      <c r="S24993" s="183"/>
    </row>
    <row r="24994" spans="1:38">
      <c r="A24994" s="182"/>
      <c r="Q24994" s="183"/>
      <c r="R24994" s="183"/>
      <c r="S24994" s="183"/>
    </row>
    <row r="24995" spans="1:38">
      <c r="A24995" s="182"/>
      <c r="Q24995" s="183"/>
      <c r="R24995" s="183"/>
      <c r="S24995" s="183"/>
      <c r="AK24995" s="183"/>
      <c r="AL24995" s="183"/>
    </row>
    <row r="24996" spans="1:38">
      <c r="A24996" s="182"/>
      <c r="Q24996" s="183"/>
      <c r="R24996" s="183"/>
      <c r="S24996" s="183"/>
      <c r="AJ24996" s="183"/>
      <c r="AK24996" s="183"/>
      <c r="AL24996" s="183"/>
    </row>
    <row r="24997" spans="1:38">
      <c r="A24997" s="182"/>
      <c r="Q24997" s="183"/>
      <c r="R24997" s="183"/>
      <c r="S24997" s="183"/>
      <c r="AJ24997" s="183"/>
      <c r="AK24997" s="183"/>
      <c r="AL24997" s="183"/>
    </row>
    <row r="24998" spans="1:38">
      <c r="A24998" s="182"/>
      <c r="Q24998" s="183"/>
      <c r="R24998" s="183"/>
      <c r="S24998" s="183"/>
      <c r="AJ24998" s="183"/>
      <c r="AK24998" s="183"/>
      <c r="AL24998" s="183"/>
    </row>
    <row r="24999" spans="1:38">
      <c r="A24999" s="182"/>
      <c r="Q24999" s="183"/>
      <c r="R24999" s="183"/>
      <c r="S24999" s="183"/>
      <c r="AJ24999" s="183"/>
      <c r="AK24999" s="183"/>
      <c r="AL24999" s="183"/>
    </row>
    <row r="25000" spans="1:38">
      <c r="A25000" s="182"/>
      <c r="Q25000" s="183"/>
      <c r="R25000" s="183"/>
      <c r="S25000" s="183"/>
      <c r="AJ25000" s="183"/>
      <c r="AK25000" s="183"/>
      <c r="AL25000" s="183"/>
    </row>
    <row r="25001" spans="1:38">
      <c r="A25001" s="182"/>
      <c r="Q25001" s="183"/>
      <c r="R25001" s="183"/>
      <c r="S25001" s="183"/>
      <c r="AJ25001" s="183"/>
      <c r="AK25001" s="183"/>
      <c r="AL25001" s="183"/>
    </row>
    <row r="25002" spans="1:38">
      <c r="A25002" s="182"/>
      <c r="Q25002" s="183"/>
      <c r="R25002" s="183"/>
      <c r="S25002" s="183"/>
      <c r="AJ25002" s="183"/>
      <c r="AK25002" s="183"/>
      <c r="AL25002" s="183"/>
    </row>
    <row r="25003" spans="1:38">
      <c r="A25003" s="182"/>
      <c r="Q25003" s="183"/>
      <c r="R25003" s="183"/>
      <c r="S25003" s="183"/>
      <c r="AJ25003" s="183"/>
      <c r="AK25003" s="183"/>
      <c r="AL25003" s="183"/>
    </row>
    <row r="25004" spans="1:38">
      <c r="A25004" s="182"/>
      <c r="Q25004" s="183"/>
      <c r="R25004" s="183"/>
      <c r="S25004" s="183"/>
      <c r="AJ25004" s="183"/>
      <c r="AK25004" s="183"/>
      <c r="AL25004" s="183"/>
    </row>
    <row r="25005" spans="1:38">
      <c r="A25005" s="182"/>
      <c r="Q25005" s="183"/>
      <c r="R25005" s="183"/>
      <c r="S25005" s="183"/>
      <c r="AJ25005" s="183"/>
      <c r="AK25005" s="183"/>
      <c r="AL25005" s="183"/>
    </row>
    <row r="25006" spans="1:38">
      <c r="A25006" s="182"/>
      <c r="Q25006" s="183"/>
      <c r="R25006" s="183"/>
      <c r="S25006" s="183"/>
      <c r="AJ25006" s="183"/>
      <c r="AK25006" s="183"/>
      <c r="AL25006" s="183"/>
    </row>
    <row r="25007" spans="1:38">
      <c r="A25007" s="182"/>
      <c r="Q25007" s="183"/>
      <c r="R25007" s="183"/>
      <c r="S25007" s="183"/>
      <c r="AJ25007" s="183"/>
    </row>
    <row r="25008" spans="1:38">
      <c r="A25008" s="182"/>
      <c r="Q25008" s="183"/>
      <c r="R25008" s="183"/>
      <c r="S25008" s="183"/>
    </row>
    <row r="25009" spans="1:19">
      <c r="A25009" s="182"/>
      <c r="Q25009" s="183"/>
      <c r="R25009" s="183"/>
      <c r="S25009" s="183"/>
    </row>
    <row r="25010" spans="1:19">
      <c r="A25010" s="182"/>
      <c r="Q25010" s="183"/>
      <c r="R25010" s="183"/>
      <c r="S25010" s="183"/>
    </row>
    <row r="25011" spans="1:19">
      <c r="A25011" s="182"/>
      <c r="Q25011" s="183"/>
      <c r="R25011" s="183"/>
      <c r="S25011" s="183"/>
    </row>
    <row r="25012" spans="1:19">
      <c r="A25012" s="182"/>
      <c r="Q25012" s="183"/>
      <c r="R25012" s="183"/>
      <c r="S25012" s="183"/>
    </row>
    <row r="25013" spans="1:19">
      <c r="A25013" s="182"/>
      <c r="Q25013" s="183"/>
      <c r="R25013" s="183"/>
      <c r="S25013" s="183"/>
    </row>
    <row r="25014" spans="1:19">
      <c r="A25014" s="182"/>
      <c r="Q25014" s="183"/>
      <c r="R25014" s="183"/>
      <c r="S25014" s="183"/>
    </row>
    <row r="25015" spans="1:19">
      <c r="A25015" s="182"/>
      <c r="Q25015" s="183"/>
      <c r="R25015" s="183"/>
      <c r="S25015" s="183"/>
    </row>
    <row r="25016" spans="1:19">
      <c r="A25016" s="182"/>
      <c r="Q25016" s="183"/>
      <c r="R25016" s="183"/>
      <c r="S25016" s="183"/>
    </row>
    <row r="25017" spans="1:19">
      <c r="A25017" s="182"/>
      <c r="Q25017" s="183"/>
      <c r="R25017" s="183"/>
      <c r="S25017" s="183"/>
    </row>
    <row r="25018" spans="1:19">
      <c r="A25018" s="182"/>
      <c r="Q25018" s="183"/>
      <c r="R25018" s="183"/>
      <c r="S25018" s="183"/>
    </row>
    <row r="25019" spans="1:19">
      <c r="A25019" s="182"/>
      <c r="Q25019" s="183"/>
      <c r="R25019" s="183"/>
      <c r="S25019" s="183"/>
    </row>
    <row r="25020" spans="1:19">
      <c r="A25020" s="182"/>
      <c r="Q25020" s="183"/>
      <c r="R25020" s="183"/>
      <c r="S25020" s="183"/>
    </row>
    <row r="25021" spans="1:19">
      <c r="A25021" s="182"/>
      <c r="Q25021" s="183"/>
      <c r="R25021" s="183"/>
      <c r="S25021" s="183"/>
    </row>
    <row r="25022" spans="1:19">
      <c r="A25022" s="182"/>
      <c r="Q25022" s="183"/>
      <c r="R25022" s="183"/>
      <c r="S25022" s="183"/>
    </row>
    <row r="25023" spans="1:19">
      <c r="A25023" s="182"/>
      <c r="Q25023" s="183"/>
      <c r="R25023" s="183"/>
      <c r="S25023" s="183"/>
    </row>
    <row r="25024" spans="1:19">
      <c r="A25024" s="182"/>
      <c r="Q25024" s="183"/>
      <c r="R25024" s="183"/>
      <c r="S25024" s="183"/>
    </row>
    <row r="25025" spans="1:38">
      <c r="A25025" s="182"/>
      <c r="Q25025" s="183"/>
      <c r="R25025" s="183"/>
      <c r="S25025" s="183"/>
    </row>
    <row r="25026" spans="1:38">
      <c r="A25026" s="182"/>
      <c r="Q25026" s="183"/>
      <c r="R25026" s="183"/>
      <c r="S25026" s="183"/>
    </row>
    <row r="25027" spans="1:38">
      <c r="A25027" s="182"/>
      <c r="Q25027" s="183"/>
      <c r="R25027" s="183"/>
      <c r="S25027" s="183"/>
      <c r="AK25027" s="183"/>
      <c r="AL25027" s="183"/>
    </row>
    <row r="25028" spans="1:38">
      <c r="A25028" s="182"/>
      <c r="Q25028" s="183"/>
      <c r="R25028" s="183"/>
      <c r="S25028" s="183"/>
      <c r="AJ25028" s="183"/>
      <c r="AK25028" s="183"/>
      <c r="AL25028" s="183"/>
    </row>
    <row r="25029" spans="1:38">
      <c r="A25029" s="182"/>
      <c r="Q25029" s="183"/>
      <c r="R25029" s="183"/>
      <c r="S25029" s="183"/>
      <c r="AJ25029" s="183"/>
      <c r="AK25029" s="183"/>
      <c r="AL25029" s="183"/>
    </row>
    <row r="25030" spans="1:38">
      <c r="A25030" s="182"/>
      <c r="Q25030" s="183"/>
      <c r="R25030" s="183"/>
      <c r="S25030" s="183"/>
      <c r="AJ25030" s="183"/>
      <c r="AK25030" s="183"/>
      <c r="AL25030" s="183"/>
    </row>
    <row r="25031" spans="1:38">
      <c r="A25031" s="182"/>
      <c r="Q25031" s="183"/>
      <c r="R25031" s="183"/>
      <c r="S25031" s="183"/>
      <c r="AJ25031" s="183"/>
      <c r="AK25031" s="183"/>
      <c r="AL25031" s="183"/>
    </row>
    <row r="25032" spans="1:38">
      <c r="A25032" s="182"/>
      <c r="M25032" s="183"/>
      <c r="N25032" s="183"/>
      <c r="Q25032" s="183"/>
      <c r="R25032" s="183"/>
      <c r="S25032" s="183"/>
      <c r="AJ25032" s="183"/>
      <c r="AK25032" s="183"/>
      <c r="AL25032" s="183"/>
    </row>
    <row r="25033" spans="1:38">
      <c r="A25033" s="182"/>
      <c r="L25033" s="183"/>
      <c r="Q25033" s="183"/>
      <c r="R25033" s="183"/>
      <c r="S25033" s="183"/>
      <c r="AJ25033" s="183"/>
      <c r="AK25033" s="183"/>
      <c r="AL25033" s="183"/>
    </row>
    <row r="25034" spans="1:38">
      <c r="A25034" s="182"/>
      <c r="Q25034" s="183"/>
      <c r="R25034" s="183"/>
      <c r="S25034" s="183"/>
      <c r="AJ25034" s="183"/>
      <c r="AK25034" s="183"/>
      <c r="AL25034" s="183"/>
    </row>
    <row r="25035" spans="1:38">
      <c r="A25035" s="182"/>
      <c r="Q25035" s="183"/>
      <c r="R25035" s="183"/>
      <c r="S25035" s="183"/>
      <c r="AJ25035" s="183"/>
      <c r="AK25035" s="183"/>
      <c r="AL25035" s="183"/>
    </row>
    <row r="25036" spans="1:38">
      <c r="A25036" s="182"/>
      <c r="Q25036" s="183"/>
      <c r="R25036" s="183"/>
      <c r="S25036" s="183"/>
      <c r="AJ25036" s="183"/>
      <c r="AK25036" s="183"/>
      <c r="AL25036" s="183"/>
    </row>
    <row r="25037" spans="1:38">
      <c r="A25037" s="182"/>
      <c r="Q25037" s="183"/>
      <c r="R25037" s="183"/>
      <c r="S25037" s="183"/>
      <c r="AJ25037" s="183"/>
      <c r="AK25037" s="183"/>
      <c r="AL25037" s="183"/>
    </row>
    <row r="25038" spans="1:38">
      <c r="A25038" s="182"/>
      <c r="Q25038" s="183"/>
      <c r="R25038" s="183"/>
      <c r="S25038" s="183"/>
      <c r="AJ25038" s="183"/>
      <c r="AK25038" s="183"/>
      <c r="AL25038" s="183"/>
    </row>
    <row r="25039" spans="1:38">
      <c r="A25039" s="182"/>
      <c r="Q25039" s="183"/>
      <c r="R25039" s="183"/>
      <c r="S25039" s="183"/>
      <c r="AJ25039" s="183"/>
      <c r="AK25039" s="183"/>
      <c r="AL25039" s="183"/>
    </row>
    <row r="25040" spans="1:38">
      <c r="A25040" s="182"/>
      <c r="Q25040" s="183"/>
      <c r="R25040" s="183"/>
      <c r="S25040" s="183"/>
      <c r="AJ25040" s="183"/>
      <c r="AK25040" s="183"/>
      <c r="AL25040" s="183"/>
    </row>
    <row r="25041" spans="1:38">
      <c r="A25041" s="182"/>
      <c r="Q25041" s="183"/>
      <c r="R25041" s="183"/>
      <c r="S25041" s="183"/>
      <c r="AJ25041" s="183"/>
      <c r="AK25041" s="183"/>
      <c r="AL25041" s="183"/>
    </row>
    <row r="25042" spans="1:38">
      <c r="A25042" s="182"/>
      <c r="Q25042" s="183"/>
      <c r="R25042" s="183"/>
      <c r="S25042" s="183"/>
      <c r="AJ25042" s="183"/>
      <c r="AK25042" s="183"/>
      <c r="AL25042" s="183"/>
    </row>
    <row r="25043" spans="1:38">
      <c r="A25043" s="182"/>
      <c r="Q25043" s="183"/>
      <c r="R25043" s="183"/>
      <c r="S25043" s="183"/>
      <c r="AJ25043" s="183"/>
    </row>
    <row r="25044" spans="1:38">
      <c r="A25044" s="182"/>
      <c r="Q25044" s="183"/>
      <c r="R25044" s="183"/>
      <c r="S25044" s="183"/>
    </row>
    <row r="25045" spans="1:38">
      <c r="A25045" s="182"/>
      <c r="Q25045" s="183"/>
      <c r="R25045" s="183"/>
      <c r="S25045" s="183"/>
    </row>
    <row r="25046" spans="1:38">
      <c r="A25046" s="182"/>
      <c r="Q25046" s="183"/>
      <c r="R25046" s="183"/>
      <c r="S25046" s="183"/>
    </row>
    <row r="25047" spans="1:38">
      <c r="A25047" s="182"/>
      <c r="Q25047" s="183"/>
      <c r="R25047" s="183"/>
      <c r="S25047" s="183"/>
    </row>
    <row r="25048" spans="1:38">
      <c r="A25048" s="182"/>
      <c r="Q25048" s="183"/>
      <c r="R25048" s="183"/>
      <c r="S25048" s="183"/>
    </row>
    <row r="25049" spans="1:38">
      <c r="A25049" s="182"/>
      <c r="Q25049" s="183"/>
      <c r="R25049" s="183"/>
      <c r="S25049" s="183"/>
    </row>
    <row r="25050" spans="1:38">
      <c r="A25050" s="182"/>
      <c r="Q25050" s="183"/>
      <c r="R25050" s="183"/>
      <c r="S25050" s="183"/>
    </row>
    <row r="25051" spans="1:38">
      <c r="A25051" s="182"/>
      <c r="Q25051" s="183"/>
      <c r="R25051" s="183"/>
      <c r="S25051" s="183"/>
      <c r="AK25051" s="183"/>
      <c r="AL25051" s="183"/>
    </row>
    <row r="25052" spans="1:38">
      <c r="A25052" s="182"/>
      <c r="Q25052" s="183"/>
      <c r="R25052" s="183"/>
      <c r="S25052" s="183"/>
      <c r="AJ25052" s="183"/>
      <c r="AK25052" s="183"/>
      <c r="AL25052" s="183"/>
    </row>
    <row r="25053" spans="1:38">
      <c r="A25053" s="182"/>
      <c r="Q25053" s="183"/>
      <c r="R25053" s="183"/>
      <c r="S25053" s="183"/>
      <c r="AJ25053" s="183"/>
      <c r="AK25053" s="183"/>
      <c r="AL25053" s="183"/>
    </row>
    <row r="25054" spans="1:38">
      <c r="A25054" s="182"/>
      <c r="Q25054" s="183"/>
      <c r="R25054" s="183"/>
      <c r="S25054" s="183"/>
      <c r="AJ25054" s="183"/>
      <c r="AK25054" s="183"/>
      <c r="AL25054" s="183"/>
    </row>
    <row r="25055" spans="1:38">
      <c r="A25055" s="182"/>
      <c r="Q25055" s="183"/>
      <c r="R25055" s="183"/>
      <c r="S25055" s="183"/>
      <c r="AJ25055" s="183"/>
    </row>
    <row r="25056" spans="1:38">
      <c r="A25056" s="182"/>
      <c r="Q25056" s="183"/>
      <c r="R25056" s="183"/>
      <c r="S25056" s="183"/>
    </row>
    <row r="25057" spans="1:38">
      <c r="A25057" s="182"/>
      <c r="Q25057" s="183"/>
      <c r="R25057" s="183"/>
      <c r="S25057" s="183"/>
    </row>
    <row r="25058" spans="1:38">
      <c r="A25058" s="182"/>
      <c r="Q25058" s="183"/>
      <c r="R25058" s="183"/>
      <c r="S25058" s="183"/>
    </row>
    <row r="25059" spans="1:38">
      <c r="A25059" s="182"/>
      <c r="Q25059" s="183"/>
      <c r="R25059" s="183"/>
      <c r="S25059" s="183"/>
    </row>
    <row r="25060" spans="1:38">
      <c r="A25060" s="182"/>
      <c r="Q25060" s="183"/>
      <c r="R25060" s="183"/>
      <c r="S25060" s="183"/>
    </row>
    <row r="25061" spans="1:38">
      <c r="A25061" s="182"/>
      <c r="Q25061" s="183"/>
      <c r="R25061" s="183"/>
      <c r="S25061" s="183"/>
    </row>
    <row r="25062" spans="1:38">
      <c r="A25062" s="182"/>
      <c r="Q25062" s="183"/>
      <c r="R25062" s="183"/>
      <c r="S25062" s="183"/>
    </row>
    <row r="25063" spans="1:38">
      <c r="A25063" s="182"/>
      <c r="Q25063" s="183"/>
      <c r="R25063" s="183"/>
      <c r="S25063" s="183"/>
      <c r="AK25063" s="183"/>
      <c r="AL25063" s="183"/>
    </row>
    <row r="25064" spans="1:38">
      <c r="A25064" s="182"/>
      <c r="Q25064" s="183"/>
      <c r="R25064" s="183"/>
      <c r="S25064" s="183"/>
      <c r="AJ25064" s="183"/>
      <c r="AK25064" s="183"/>
      <c r="AL25064" s="183"/>
    </row>
    <row r="25065" spans="1:38">
      <c r="A25065" s="182"/>
      <c r="Q25065" s="183"/>
      <c r="R25065" s="183"/>
      <c r="S25065" s="183"/>
      <c r="AJ25065" s="183"/>
      <c r="AK25065" s="183"/>
      <c r="AL25065" s="183"/>
    </row>
    <row r="25066" spans="1:38">
      <c r="A25066" s="182"/>
      <c r="Q25066" s="183"/>
      <c r="R25066" s="183"/>
      <c r="S25066" s="183"/>
      <c r="AJ25066" s="183"/>
      <c r="AK25066" s="183"/>
      <c r="AL25066" s="183"/>
    </row>
    <row r="25067" spans="1:38">
      <c r="A25067" s="182"/>
      <c r="Q25067" s="183"/>
      <c r="R25067" s="183"/>
      <c r="S25067" s="183"/>
      <c r="AJ25067" s="183"/>
    </row>
    <row r="25068" spans="1:38">
      <c r="A25068" s="182"/>
      <c r="Q25068" s="183"/>
      <c r="R25068" s="183"/>
      <c r="S25068" s="183"/>
    </row>
    <row r="25069" spans="1:38">
      <c r="A25069" s="182"/>
      <c r="Q25069" s="183"/>
      <c r="R25069" s="183"/>
      <c r="S25069" s="183"/>
    </row>
    <row r="25070" spans="1:38">
      <c r="A25070" s="182"/>
      <c r="Q25070" s="183"/>
      <c r="R25070" s="183"/>
      <c r="S25070" s="183"/>
    </row>
    <row r="25071" spans="1:38">
      <c r="A25071" s="182"/>
      <c r="Q25071" s="183"/>
      <c r="R25071" s="183"/>
      <c r="S25071" s="183"/>
      <c r="AK25071" s="183"/>
      <c r="AL25071" s="183"/>
    </row>
    <row r="25072" spans="1:38">
      <c r="A25072" s="182"/>
      <c r="Q25072" s="183"/>
      <c r="R25072" s="183"/>
      <c r="S25072" s="183"/>
      <c r="AJ25072" s="183"/>
      <c r="AK25072" s="183"/>
      <c r="AL25072" s="183"/>
    </row>
    <row r="25073" spans="1:38">
      <c r="A25073" s="182"/>
      <c r="Q25073" s="183"/>
      <c r="R25073" s="183"/>
      <c r="S25073" s="183"/>
      <c r="AJ25073" s="183"/>
      <c r="AK25073" s="183"/>
      <c r="AL25073" s="183"/>
    </row>
    <row r="25074" spans="1:38">
      <c r="A25074" s="182"/>
      <c r="Q25074" s="183"/>
      <c r="R25074" s="183"/>
      <c r="S25074" s="183"/>
      <c r="AJ25074" s="183"/>
      <c r="AK25074" s="183"/>
      <c r="AL25074" s="183"/>
    </row>
    <row r="25075" spans="1:38">
      <c r="A25075" s="182"/>
      <c r="Q25075" s="183"/>
      <c r="R25075" s="183"/>
      <c r="S25075" s="183"/>
      <c r="AJ25075" s="183"/>
    </row>
    <row r="25076" spans="1:38">
      <c r="A25076" s="182"/>
      <c r="Q25076" s="183"/>
      <c r="R25076" s="183"/>
      <c r="S25076" s="183"/>
    </row>
    <row r="25077" spans="1:38">
      <c r="A25077" s="182"/>
      <c r="Q25077" s="183"/>
      <c r="R25077" s="183"/>
      <c r="S25077" s="183"/>
    </row>
    <row r="25078" spans="1:38">
      <c r="A25078" s="182"/>
      <c r="Q25078" s="183"/>
      <c r="R25078" s="183"/>
      <c r="S25078" s="183"/>
    </row>
    <row r="25079" spans="1:38">
      <c r="A25079" s="182"/>
      <c r="Q25079" s="183"/>
      <c r="R25079" s="183"/>
      <c r="S25079" s="183"/>
    </row>
    <row r="25080" spans="1:38">
      <c r="A25080" s="182"/>
      <c r="Q25080" s="183"/>
      <c r="R25080" s="183"/>
      <c r="S25080" s="183"/>
    </row>
    <row r="25081" spans="1:38">
      <c r="A25081" s="182"/>
      <c r="Q25081" s="183"/>
      <c r="R25081" s="183"/>
      <c r="S25081" s="183"/>
    </row>
    <row r="25082" spans="1:38">
      <c r="A25082" s="182"/>
      <c r="Q25082" s="183"/>
      <c r="R25082" s="183"/>
      <c r="S25082" s="183"/>
    </row>
    <row r="25083" spans="1:38">
      <c r="A25083" s="182"/>
      <c r="Q25083" s="183"/>
      <c r="R25083" s="183"/>
      <c r="S25083" s="183"/>
    </row>
    <row r="25084" spans="1:38">
      <c r="A25084" s="182"/>
      <c r="Q25084" s="183"/>
      <c r="R25084" s="183"/>
      <c r="S25084" s="183"/>
    </row>
    <row r="25085" spans="1:38">
      <c r="A25085" s="182"/>
      <c r="Q25085" s="183"/>
      <c r="R25085" s="183"/>
      <c r="S25085" s="183"/>
    </row>
    <row r="25086" spans="1:38">
      <c r="A25086" s="182"/>
      <c r="Q25086" s="183"/>
      <c r="R25086" s="183"/>
      <c r="S25086" s="183"/>
    </row>
    <row r="25087" spans="1:38">
      <c r="A25087" s="182"/>
      <c r="Q25087" s="183"/>
      <c r="R25087" s="183"/>
      <c r="S25087" s="183"/>
    </row>
    <row r="25088" spans="1:38">
      <c r="A25088" s="182"/>
      <c r="Q25088" s="183"/>
      <c r="R25088" s="183"/>
      <c r="S25088" s="183"/>
    </row>
    <row r="25089" spans="1:19">
      <c r="A25089" s="182"/>
      <c r="Q25089" s="183"/>
      <c r="R25089" s="183"/>
      <c r="S25089" s="183"/>
    </row>
    <row r="25090" spans="1:19">
      <c r="A25090" s="182"/>
      <c r="Q25090" s="183"/>
      <c r="R25090" s="183"/>
      <c r="S25090" s="183"/>
    </row>
    <row r="25091" spans="1:19">
      <c r="A25091" s="182"/>
      <c r="Q25091" s="183"/>
      <c r="R25091" s="183"/>
      <c r="S25091" s="183"/>
    </row>
    <row r="25092" spans="1:19">
      <c r="A25092" s="182"/>
      <c r="Q25092" s="183"/>
      <c r="R25092" s="183"/>
      <c r="S25092" s="183"/>
    </row>
    <row r="25093" spans="1:19">
      <c r="A25093" s="182"/>
      <c r="Q25093" s="183"/>
      <c r="R25093" s="183"/>
      <c r="S25093" s="183"/>
    </row>
    <row r="25094" spans="1:19">
      <c r="A25094" s="182"/>
      <c r="Q25094" s="183"/>
      <c r="R25094" s="183"/>
      <c r="S25094" s="183"/>
    </row>
    <row r="25095" spans="1:19">
      <c r="A25095" s="182"/>
      <c r="Q25095" s="183"/>
      <c r="R25095" s="183"/>
      <c r="S25095" s="183"/>
    </row>
    <row r="25096" spans="1:19">
      <c r="A25096" s="182"/>
      <c r="Q25096" s="183"/>
      <c r="R25096" s="183"/>
      <c r="S25096" s="183"/>
    </row>
    <row r="25097" spans="1:19">
      <c r="A25097" s="182"/>
      <c r="Q25097" s="183"/>
      <c r="R25097" s="183"/>
      <c r="S25097" s="183"/>
    </row>
    <row r="25098" spans="1:19">
      <c r="A25098" s="182"/>
      <c r="Q25098" s="183"/>
      <c r="R25098" s="183"/>
      <c r="S25098" s="183"/>
    </row>
    <row r="25099" spans="1:19">
      <c r="A25099" s="182"/>
      <c r="Q25099" s="183"/>
      <c r="R25099" s="183"/>
      <c r="S25099" s="183"/>
    </row>
    <row r="25100" spans="1:19">
      <c r="A25100" s="182"/>
      <c r="Q25100" s="183"/>
      <c r="R25100" s="183"/>
      <c r="S25100" s="183"/>
    </row>
    <row r="25101" spans="1:19">
      <c r="A25101" s="182"/>
      <c r="Q25101" s="183"/>
      <c r="R25101" s="183"/>
      <c r="S25101" s="183"/>
    </row>
    <row r="25102" spans="1:19">
      <c r="A25102" s="182"/>
      <c r="Q25102" s="183"/>
      <c r="R25102" s="183"/>
      <c r="S25102" s="183"/>
    </row>
    <row r="25103" spans="1:19">
      <c r="A25103" s="182"/>
      <c r="Q25103" s="183"/>
      <c r="R25103" s="183"/>
      <c r="S25103" s="183"/>
    </row>
    <row r="25104" spans="1:19">
      <c r="A25104" s="182"/>
      <c r="Q25104" s="183"/>
      <c r="R25104" s="183"/>
      <c r="S25104" s="183"/>
    </row>
    <row r="25105" spans="1:19">
      <c r="A25105" s="182"/>
      <c r="Q25105" s="183"/>
      <c r="R25105" s="183"/>
      <c r="S25105" s="183"/>
    </row>
    <row r="25106" spans="1:19">
      <c r="A25106" s="182"/>
      <c r="Q25106" s="183"/>
      <c r="R25106" s="183"/>
      <c r="S25106" s="183"/>
    </row>
    <row r="25107" spans="1:19">
      <c r="A25107" s="182"/>
      <c r="Q25107" s="183"/>
      <c r="R25107" s="183"/>
      <c r="S25107" s="183"/>
    </row>
    <row r="25108" spans="1:19">
      <c r="A25108" s="182"/>
      <c r="Q25108" s="183"/>
      <c r="R25108" s="183"/>
      <c r="S25108" s="183"/>
    </row>
    <row r="25109" spans="1:19">
      <c r="A25109" s="182"/>
      <c r="Q25109" s="183"/>
      <c r="R25109" s="183"/>
      <c r="S25109" s="183"/>
    </row>
    <row r="25110" spans="1:19">
      <c r="A25110" s="182"/>
      <c r="Q25110" s="183"/>
      <c r="R25110" s="183"/>
      <c r="S25110" s="183"/>
    </row>
    <row r="25111" spans="1:19">
      <c r="A25111" s="182"/>
      <c r="Q25111" s="183"/>
      <c r="R25111" s="183"/>
      <c r="S25111" s="183"/>
    </row>
    <row r="25112" spans="1:19">
      <c r="A25112" s="182"/>
      <c r="Q25112" s="183"/>
      <c r="R25112" s="183"/>
      <c r="S25112" s="183"/>
    </row>
    <row r="25113" spans="1:19">
      <c r="A25113" s="182"/>
      <c r="Q25113" s="183"/>
      <c r="R25113" s="183"/>
      <c r="S25113" s="183"/>
    </row>
    <row r="25114" spans="1:19">
      <c r="A25114" s="182"/>
      <c r="Q25114" s="183"/>
      <c r="R25114" s="183"/>
      <c r="S25114" s="183"/>
    </row>
    <row r="25115" spans="1:19">
      <c r="A25115" s="182"/>
      <c r="Q25115" s="183"/>
      <c r="R25115" s="183"/>
      <c r="S25115" s="183"/>
    </row>
    <row r="25116" spans="1:19">
      <c r="A25116" s="182"/>
      <c r="Q25116" s="183"/>
      <c r="R25116" s="183"/>
      <c r="S25116" s="183"/>
    </row>
    <row r="25117" spans="1:19">
      <c r="A25117" s="182"/>
      <c r="M25117" s="183"/>
      <c r="N25117" s="183"/>
      <c r="Q25117" s="183"/>
      <c r="R25117" s="183"/>
      <c r="S25117" s="183"/>
    </row>
    <row r="25118" spans="1:19">
      <c r="A25118" s="182"/>
      <c r="L25118" s="183"/>
      <c r="Q25118" s="183"/>
      <c r="R25118" s="183"/>
      <c r="S25118" s="183"/>
    </row>
    <row r="25119" spans="1:19">
      <c r="A25119" s="182"/>
      <c r="Q25119" s="183"/>
      <c r="R25119" s="183"/>
      <c r="S25119" s="183"/>
    </row>
    <row r="25120" spans="1:19">
      <c r="A25120" s="182"/>
      <c r="Q25120" s="183"/>
      <c r="R25120" s="183"/>
      <c r="S25120" s="183"/>
    </row>
    <row r="25121" spans="1:38">
      <c r="A25121" s="182"/>
      <c r="Q25121" s="183"/>
      <c r="R25121" s="183"/>
      <c r="S25121" s="183"/>
    </row>
    <row r="25122" spans="1:38">
      <c r="A25122" s="182"/>
      <c r="Q25122" s="183"/>
      <c r="R25122" s="183"/>
      <c r="S25122" s="183"/>
    </row>
    <row r="25123" spans="1:38">
      <c r="A25123" s="182"/>
      <c r="Q25123" s="183"/>
      <c r="R25123" s="183"/>
      <c r="S25123" s="183"/>
    </row>
    <row r="25124" spans="1:38">
      <c r="A25124" s="182"/>
      <c r="Q25124" s="183"/>
      <c r="R25124" s="183"/>
      <c r="S25124" s="183"/>
    </row>
    <row r="25125" spans="1:38">
      <c r="A25125" s="182"/>
      <c r="Q25125" s="183"/>
      <c r="R25125" s="183"/>
      <c r="S25125" s="183"/>
    </row>
    <row r="25126" spans="1:38">
      <c r="A25126" s="182"/>
      <c r="Q25126" s="183"/>
      <c r="R25126" s="183"/>
      <c r="S25126" s="183"/>
    </row>
    <row r="25127" spans="1:38">
      <c r="A25127" s="182"/>
      <c r="Q25127" s="183"/>
      <c r="R25127" s="183"/>
      <c r="S25127" s="183"/>
      <c r="AK25127" s="183"/>
      <c r="AL25127" s="183"/>
    </row>
    <row r="25128" spans="1:38">
      <c r="A25128" s="182"/>
      <c r="Q25128" s="183"/>
      <c r="R25128" s="183"/>
      <c r="S25128" s="183"/>
      <c r="AJ25128" s="183"/>
      <c r="AK25128" s="183"/>
      <c r="AL25128" s="183"/>
    </row>
    <row r="25129" spans="1:38">
      <c r="A25129" s="182"/>
      <c r="Q25129" s="183"/>
      <c r="R25129" s="183"/>
      <c r="S25129" s="183"/>
      <c r="AJ25129" s="183"/>
      <c r="AK25129" s="183"/>
      <c r="AL25129" s="183"/>
    </row>
    <row r="25130" spans="1:38">
      <c r="A25130" s="182"/>
      <c r="Q25130" s="183"/>
      <c r="R25130" s="183"/>
      <c r="S25130" s="183"/>
      <c r="AJ25130" s="183"/>
      <c r="AK25130" s="183"/>
      <c r="AL25130" s="183"/>
    </row>
    <row r="25131" spans="1:38">
      <c r="A25131" s="182"/>
      <c r="Q25131" s="183"/>
      <c r="R25131" s="183"/>
      <c r="S25131" s="183"/>
      <c r="AJ25131" s="183"/>
      <c r="AK25131" s="183"/>
      <c r="AL25131" s="183"/>
    </row>
    <row r="25132" spans="1:38">
      <c r="A25132" s="182"/>
      <c r="Q25132" s="183"/>
      <c r="R25132" s="183"/>
      <c r="S25132" s="183"/>
      <c r="AJ25132" s="183"/>
      <c r="AK25132" s="183"/>
      <c r="AL25132" s="183"/>
    </row>
    <row r="25133" spans="1:38">
      <c r="A25133" s="182"/>
      <c r="Q25133" s="183"/>
      <c r="R25133" s="183"/>
      <c r="S25133" s="183"/>
      <c r="AJ25133" s="183"/>
      <c r="AK25133" s="183"/>
      <c r="AL25133" s="183"/>
    </row>
    <row r="25134" spans="1:38">
      <c r="A25134" s="182"/>
      <c r="Q25134" s="183"/>
      <c r="R25134" s="183"/>
      <c r="S25134" s="183"/>
      <c r="AJ25134" s="183"/>
      <c r="AK25134" s="183"/>
      <c r="AL25134" s="183"/>
    </row>
    <row r="25135" spans="1:38">
      <c r="A25135" s="182"/>
      <c r="Q25135" s="183"/>
      <c r="R25135" s="183"/>
      <c r="S25135" s="183"/>
      <c r="AJ25135" s="183"/>
      <c r="AK25135" s="183"/>
      <c r="AL25135" s="183"/>
    </row>
    <row r="25136" spans="1:38">
      <c r="A25136" s="182"/>
      <c r="Q25136" s="183"/>
      <c r="R25136" s="183"/>
      <c r="S25136" s="183"/>
      <c r="AJ25136" s="183"/>
      <c r="AK25136" s="183"/>
      <c r="AL25136" s="183"/>
    </row>
    <row r="25137" spans="1:38">
      <c r="A25137" s="182"/>
      <c r="Q25137" s="183"/>
      <c r="R25137" s="183"/>
      <c r="S25137" s="183"/>
      <c r="AJ25137" s="183"/>
      <c r="AK25137" s="183"/>
      <c r="AL25137" s="183"/>
    </row>
    <row r="25138" spans="1:38">
      <c r="A25138" s="182"/>
      <c r="Q25138" s="183"/>
      <c r="R25138" s="183"/>
      <c r="S25138" s="183"/>
      <c r="AJ25138" s="183"/>
      <c r="AK25138" s="183"/>
      <c r="AL25138" s="183"/>
    </row>
    <row r="25139" spans="1:38">
      <c r="A25139" s="182"/>
      <c r="Q25139" s="183"/>
      <c r="R25139" s="183"/>
      <c r="S25139" s="183"/>
      <c r="AJ25139" s="183"/>
      <c r="AK25139" s="183"/>
      <c r="AL25139" s="183"/>
    </row>
    <row r="25140" spans="1:38">
      <c r="A25140" s="182"/>
      <c r="Q25140" s="183"/>
      <c r="R25140" s="183"/>
      <c r="S25140" s="183"/>
      <c r="AJ25140" s="183"/>
      <c r="AK25140" s="183"/>
      <c r="AL25140" s="183"/>
    </row>
    <row r="25141" spans="1:38">
      <c r="A25141" s="182"/>
      <c r="Q25141" s="183"/>
      <c r="R25141" s="183"/>
      <c r="S25141" s="183"/>
      <c r="AJ25141" s="183"/>
      <c r="AK25141" s="183"/>
      <c r="AL25141" s="183"/>
    </row>
    <row r="25142" spans="1:38">
      <c r="A25142" s="182"/>
      <c r="Q25142" s="183"/>
      <c r="R25142" s="183"/>
      <c r="S25142" s="183"/>
      <c r="AJ25142" s="183"/>
      <c r="AK25142" s="183"/>
      <c r="AL25142" s="183"/>
    </row>
    <row r="25143" spans="1:38">
      <c r="A25143" s="182"/>
      <c r="Q25143" s="183"/>
      <c r="R25143" s="183"/>
      <c r="S25143" s="183"/>
      <c r="AJ25143" s="183"/>
    </row>
    <row r="25144" spans="1:38">
      <c r="A25144" s="182"/>
      <c r="Q25144" s="183"/>
      <c r="R25144" s="183"/>
      <c r="S25144" s="183"/>
    </row>
    <row r="25145" spans="1:38">
      <c r="A25145" s="182"/>
      <c r="Q25145" s="183"/>
      <c r="R25145" s="183"/>
      <c r="S25145" s="183"/>
    </row>
    <row r="25146" spans="1:38">
      <c r="A25146" s="182"/>
      <c r="Q25146" s="183"/>
      <c r="R25146" s="183"/>
      <c r="S25146" s="183"/>
    </row>
    <row r="25147" spans="1:38">
      <c r="A25147" s="182"/>
      <c r="Q25147" s="183"/>
      <c r="R25147" s="183"/>
      <c r="S25147" s="183"/>
    </row>
    <row r="25148" spans="1:38">
      <c r="A25148" s="182"/>
      <c r="Q25148" s="183"/>
      <c r="R25148" s="183"/>
      <c r="S25148" s="183"/>
    </row>
    <row r="25149" spans="1:38">
      <c r="A25149" s="182"/>
      <c r="Q25149" s="183"/>
      <c r="R25149" s="183"/>
      <c r="S25149" s="183"/>
    </row>
    <row r="25150" spans="1:38">
      <c r="A25150" s="182"/>
      <c r="Q25150" s="183"/>
      <c r="R25150" s="183"/>
      <c r="S25150" s="183"/>
    </row>
    <row r="25151" spans="1:38">
      <c r="A25151" s="182"/>
      <c r="Q25151" s="183"/>
      <c r="R25151" s="183"/>
      <c r="S25151" s="183"/>
      <c r="AK25151" s="183"/>
      <c r="AL25151" s="183"/>
    </row>
    <row r="25152" spans="1:38">
      <c r="A25152" s="182"/>
      <c r="Q25152" s="183"/>
      <c r="R25152" s="183"/>
      <c r="S25152" s="183"/>
      <c r="AJ25152" s="183"/>
      <c r="AK25152" s="183"/>
      <c r="AL25152" s="183"/>
    </row>
    <row r="25153" spans="1:38">
      <c r="A25153" s="182"/>
      <c r="Q25153" s="183"/>
      <c r="R25153" s="183"/>
      <c r="S25153" s="183"/>
      <c r="AJ25153" s="183"/>
      <c r="AK25153" s="183"/>
      <c r="AL25153" s="183"/>
    </row>
    <row r="25154" spans="1:38">
      <c r="A25154" s="182"/>
      <c r="Q25154" s="183"/>
      <c r="R25154" s="183"/>
      <c r="S25154" s="183"/>
      <c r="AJ25154" s="183"/>
      <c r="AK25154" s="183"/>
      <c r="AL25154" s="183"/>
    </row>
    <row r="25155" spans="1:38">
      <c r="A25155" s="182"/>
      <c r="Q25155" s="183"/>
      <c r="R25155" s="183"/>
      <c r="S25155" s="183"/>
      <c r="AJ25155" s="183"/>
    </row>
    <row r="25156" spans="1:38">
      <c r="A25156" s="182"/>
      <c r="Q25156" s="183"/>
      <c r="R25156" s="183"/>
      <c r="S25156" s="183"/>
    </row>
    <row r="25157" spans="1:38">
      <c r="A25157" s="182"/>
      <c r="Q25157" s="183"/>
      <c r="R25157" s="183"/>
      <c r="S25157" s="183"/>
    </row>
    <row r="25158" spans="1:38">
      <c r="A25158" s="182"/>
      <c r="Q25158" s="183"/>
      <c r="R25158" s="183"/>
      <c r="S25158" s="183"/>
    </row>
    <row r="25159" spans="1:38">
      <c r="A25159" s="182"/>
      <c r="Q25159" s="183"/>
      <c r="R25159" s="183"/>
      <c r="S25159" s="183"/>
      <c r="AK25159" s="183"/>
      <c r="AL25159" s="183"/>
    </row>
    <row r="25160" spans="1:38">
      <c r="A25160" s="182"/>
      <c r="Q25160" s="183"/>
      <c r="R25160" s="183"/>
      <c r="S25160" s="183"/>
      <c r="AJ25160" s="183"/>
      <c r="AK25160" s="183"/>
      <c r="AL25160" s="183"/>
    </row>
    <row r="25161" spans="1:38">
      <c r="A25161" s="182"/>
      <c r="Q25161" s="183"/>
      <c r="R25161" s="183"/>
      <c r="S25161" s="183"/>
      <c r="AJ25161" s="183"/>
      <c r="AK25161" s="183"/>
      <c r="AL25161" s="183"/>
    </row>
    <row r="25162" spans="1:38">
      <c r="A25162" s="182"/>
      <c r="Q25162" s="183"/>
      <c r="R25162" s="183"/>
      <c r="S25162" s="183"/>
      <c r="AJ25162" s="183"/>
      <c r="AK25162" s="183"/>
      <c r="AL25162" s="183"/>
    </row>
    <row r="25163" spans="1:38">
      <c r="A25163" s="182"/>
      <c r="Q25163" s="183"/>
      <c r="R25163" s="183"/>
      <c r="S25163" s="183"/>
      <c r="AJ25163" s="183"/>
      <c r="AK25163" s="183"/>
      <c r="AL25163" s="183"/>
    </row>
    <row r="25164" spans="1:38">
      <c r="A25164" s="182"/>
      <c r="Q25164" s="183"/>
      <c r="R25164" s="183"/>
      <c r="S25164" s="183"/>
      <c r="AJ25164" s="183"/>
      <c r="AK25164" s="183"/>
      <c r="AL25164" s="183"/>
    </row>
    <row r="25165" spans="1:38">
      <c r="A25165" s="182"/>
      <c r="N25165" s="183"/>
      <c r="O25165" s="183"/>
      <c r="Q25165" s="183"/>
      <c r="R25165" s="183"/>
      <c r="S25165" s="183"/>
      <c r="AJ25165" s="183"/>
      <c r="AK25165" s="183"/>
      <c r="AL25165" s="183"/>
    </row>
    <row r="25166" spans="1:38">
      <c r="A25166" s="182"/>
      <c r="M25166" s="183"/>
      <c r="Q25166" s="183"/>
      <c r="R25166" s="183"/>
      <c r="S25166" s="183"/>
      <c r="AJ25166" s="183"/>
      <c r="AK25166" s="183"/>
      <c r="AL25166" s="183"/>
    </row>
    <row r="25167" spans="1:38">
      <c r="A25167" s="182"/>
      <c r="Q25167" s="183"/>
      <c r="R25167" s="183"/>
      <c r="S25167" s="183"/>
      <c r="AJ25167" s="183"/>
      <c r="AK25167" s="183"/>
      <c r="AL25167" s="183"/>
    </row>
    <row r="25168" spans="1:38">
      <c r="A25168" s="182"/>
      <c r="Q25168" s="183"/>
      <c r="R25168" s="183"/>
      <c r="S25168" s="183"/>
      <c r="AJ25168" s="183"/>
      <c r="AK25168" s="183"/>
      <c r="AL25168" s="183"/>
    </row>
    <row r="25169" spans="1:38">
      <c r="A25169" s="182"/>
      <c r="Q25169" s="183"/>
      <c r="R25169" s="183"/>
      <c r="S25169" s="183"/>
      <c r="AJ25169" s="183"/>
      <c r="AK25169" s="183"/>
      <c r="AL25169" s="183"/>
    </row>
    <row r="25170" spans="1:38">
      <c r="A25170" s="182"/>
      <c r="Q25170" s="183"/>
      <c r="R25170" s="183"/>
      <c r="S25170" s="183"/>
      <c r="AJ25170" s="183"/>
      <c r="AK25170" s="183"/>
      <c r="AL25170" s="183"/>
    </row>
    <row r="25171" spans="1:38">
      <c r="A25171" s="182"/>
      <c r="Q25171" s="183"/>
      <c r="R25171" s="183"/>
      <c r="S25171" s="183"/>
      <c r="AJ25171" s="183"/>
    </row>
    <row r="25172" spans="1:38">
      <c r="A25172" s="182"/>
      <c r="Q25172" s="183"/>
      <c r="R25172" s="183"/>
      <c r="S25172" s="183"/>
    </row>
    <row r="25173" spans="1:38">
      <c r="A25173" s="182"/>
      <c r="Q25173" s="183"/>
      <c r="R25173" s="183"/>
      <c r="S25173" s="183"/>
    </row>
    <row r="25174" spans="1:38">
      <c r="A25174" s="182"/>
      <c r="Q25174" s="183"/>
      <c r="R25174" s="183"/>
      <c r="S25174" s="183"/>
    </row>
    <row r="25175" spans="1:38">
      <c r="A25175" s="182"/>
      <c r="Q25175" s="183"/>
      <c r="R25175" s="183"/>
      <c r="S25175" s="183"/>
    </row>
    <row r="25176" spans="1:38">
      <c r="A25176" s="182"/>
      <c r="Q25176" s="183"/>
      <c r="R25176" s="183"/>
      <c r="S25176" s="183"/>
    </row>
    <row r="25177" spans="1:38">
      <c r="A25177" s="182"/>
      <c r="Q25177" s="183"/>
      <c r="R25177" s="183"/>
      <c r="S25177" s="183"/>
    </row>
    <row r="25178" spans="1:38">
      <c r="A25178" s="182"/>
      <c r="Q25178" s="183"/>
      <c r="R25178" s="183"/>
      <c r="S25178" s="183"/>
    </row>
    <row r="25179" spans="1:38">
      <c r="A25179" s="182"/>
      <c r="Q25179" s="183"/>
      <c r="R25179" s="183"/>
      <c r="S25179" s="183"/>
    </row>
    <row r="25180" spans="1:38">
      <c r="A25180" s="182"/>
      <c r="Q25180" s="183"/>
      <c r="R25180" s="183"/>
      <c r="S25180" s="183"/>
    </row>
    <row r="25181" spans="1:38">
      <c r="A25181" s="182"/>
      <c r="Q25181" s="183"/>
      <c r="R25181" s="183"/>
      <c r="S25181" s="183"/>
    </row>
    <row r="25182" spans="1:38">
      <c r="A25182" s="182"/>
      <c r="Q25182" s="183"/>
      <c r="R25182" s="183"/>
      <c r="S25182" s="183"/>
    </row>
    <row r="25183" spans="1:38">
      <c r="A25183" s="182"/>
      <c r="Q25183" s="183"/>
      <c r="R25183" s="183"/>
      <c r="S25183" s="183"/>
    </row>
    <row r="25184" spans="1:38">
      <c r="A25184" s="182"/>
      <c r="Q25184" s="183"/>
      <c r="R25184" s="183"/>
      <c r="S25184" s="183"/>
    </row>
    <row r="25185" spans="1:38">
      <c r="A25185" s="182"/>
      <c r="Q25185" s="183"/>
      <c r="R25185" s="183"/>
      <c r="S25185" s="183"/>
    </row>
    <row r="25186" spans="1:38">
      <c r="A25186" s="182"/>
      <c r="Q25186" s="183"/>
      <c r="R25186" s="183"/>
      <c r="S25186" s="183"/>
    </row>
    <row r="25187" spans="1:38">
      <c r="A25187" s="182"/>
      <c r="Q25187" s="183"/>
      <c r="R25187" s="183"/>
      <c r="S25187" s="183"/>
    </row>
    <row r="25188" spans="1:38">
      <c r="A25188" s="182"/>
      <c r="Q25188" s="183"/>
      <c r="R25188" s="183"/>
      <c r="S25188" s="183"/>
    </row>
    <row r="25189" spans="1:38">
      <c r="A25189" s="182"/>
      <c r="Q25189" s="183"/>
      <c r="R25189" s="183"/>
      <c r="S25189" s="183"/>
    </row>
    <row r="25190" spans="1:38">
      <c r="A25190" s="182"/>
      <c r="Q25190" s="183"/>
      <c r="R25190" s="183"/>
      <c r="S25190" s="183"/>
    </row>
    <row r="25191" spans="1:38">
      <c r="A25191" s="182"/>
      <c r="Q25191" s="183"/>
      <c r="R25191" s="183"/>
      <c r="S25191" s="183"/>
      <c r="AK25191" s="183"/>
      <c r="AL25191" s="183"/>
    </row>
    <row r="25192" spans="1:38">
      <c r="A25192" s="182"/>
      <c r="Q25192" s="183"/>
      <c r="R25192" s="183"/>
      <c r="S25192" s="183"/>
      <c r="AJ25192" s="183"/>
      <c r="AK25192" s="183"/>
      <c r="AL25192" s="183"/>
    </row>
    <row r="25193" spans="1:38">
      <c r="A25193" s="182"/>
      <c r="Q25193" s="183"/>
      <c r="R25193" s="183"/>
      <c r="S25193" s="183"/>
      <c r="AJ25193" s="183"/>
      <c r="AK25193" s="183"/>
      <c r="AL25193" s="183"/>
    </row>
    <row r="25194" spans="1:38">
      <c r="A25194" s="182"/>
      <c r="Q25194" s="183"/>
      <c r="R25194" s="183"/>
      <c r="S25194" s="183"/>
      <c r="AJ25194" s="183"/>
      <c r="AK25194" s="183"/>
      <c r="AL25194" s="183"/>
    </row>
    <row r="25195" spans="1:38">
      <c r="A25195" s="182"/>
      <c r="Q25195" s="183"/>
      <c r="R25195" s="183"/>
      <c r="S25195" s="183"/>
      <c r="AJ25195" s="183"/>
    </row>
    <row r="25196" spans="1:38">
      <c r="A25196" s="182"/>
      <c r="Q25196" s="183"/>
      <c r="R25196" s="183"/>
      <c r="S25196" s="183"/>
    </row>
    <row r="25197" spans="1:38">
      <c r="A25197" s="182"/>
      <c r="Q25197" s="183"/>
      <c r="R25197" s="183"/>
      <c r="S25197" s="183"/>
    </row>
    <row r="25198" spans="1:38">
      <c r="A25198" s="182"/>
      <c r="Q25198" s="183"/>
      <c r="R25198" s="183"/>
      <c r="S25198" s="183"/>
    </row>
    <row r="25199" spans="1:38">
      <c r="A25199" s="182"/>
      <c r="Q25199" s="183"/>
      <c r="R25199" s="183"/>
      <c r="S25199" s="183"/>
      <c r="AK25199" s="183"/>
      <c r="AL25199" s="183"/>
    </row>
    <row r="25200" spans="1:38">
      <c r="A25200" s="182"/>
      <c r="Q25200" s="183"/>
      <c r="R25200" s="183"/>
      <c r="S25200" s="183"/>
      <c r="AJ25200" s="183"/>
      <c r="AK25200" s="183"/>
      <c r="AL25200" s="183"/>
    </row>
    <row r="25201" spans="1:38">
      <c r="A25201" s="182"/>
      <c r="Q25201" s="183"/>
      <c r="R25201" s="183"/>
      <c r="S25201" s="183"/>
      <c r="AJ25201" s="183"/>
      <c r="AK25201" s="183"/>
      <c r="AL25201" s="183"/>
    </row>
    <row r="25202" spans="1:38">
      <c r="A25202" s="182"/>
      <c r="Q25202" s="183"/>
      <c r="R25202" s="183"/>
      <c r="S25202" s="183"/>
      <c r="AJ25202" s="183"/>
      <c r="AK25202" s="183"/>
      <c r="AL25202" s="183"/>
    </row>
    <row r="25203" spans="1:38">
      <c r="A25203" s="182"/>
      <c r="Q25203" s="183"/>
      <c r="R25203" s="183"/>
      <c r="S25203" s="183"/>
      <c r="AJ25203" s="183"/>
    </row>
    <row r="25204" spans="1:38">
      <c r="A25204" s="182"/>
      <c r="Q25204" s="183"/>
      <c r="R25204" s="183"/>
      <c r="S25204" s="183"/>
    </row>
    <row r="25205" spans="1:38">
      <c r="A25205" s="182"/>
      <c r="Q25205" s="183"/>
      <c r="R25205" s="183"/>
      <c r="S25205" s="183"/>
    </row>
    <row r="25206" spans="1:38">
      <c r="A25206" s="182"/>
      <c r="Q25206" s="183"/>
      <c r="R25206" s="183"/>
      <c r="S25206" s="183"/>
    </row>
    <row r="25207" spans="1:38">
      <c r="A25207" s="182"/>
      <c r="Q25207" s="183"/>
      <c r="R25207" s="183"/>
      <c r="S25207" s="183"/>
    </row>
    <row r="25208" spans="1:38">
      <c r="A25208" s="182"/>
      <c r="Q25208" s="183"/>
      <c r="R25208" s="183"/>
      <c r="S25208" s="183"/>
    </row>
    <row r="25209" spans="1:38">
      <c r="A25209" s="182"/>
      <c r="Q25209" s="183"/>
      <c r="R25209" s="183"/>
      <c r="S25209" s="183"/>
    </row>
    <row r="25210" spans="1:38">
      <c r="A25210" s="182"/>
      <c r="Q25210" s="183"/>
      <c r="R25210" s="183"/>
      <c r="S25210" s="183"/>
    </row>
    <row r="25211" spans="1:38">
      <c r="A25211" s="182"/>
      <c r="Q25211" s="183"/>
      <c r="R25211" s="183"/>
      <c r="S25211" s="183"/>
    </row>
    <row r="25212" spans="1:38">
      <c r="A25212" s="182"/>
      <c r="Q25212" s="183"/>
      <c r="R25212" s="183"/>
      <c r="S25212" s="183"/>
    </row>
    <row r="25213" spans="1:38">
      <c r="A25213" s="182"/>
      <c r="Q25213" s="183"/>
      <c r="R25213" s="183"/>
      <c r="S25213" s="183"/>
    </row>
    <row r="25214" spans="1:38">
      <c r="A25214" s="182"/>
      <c r="Q25214" s="183"/>
      <c r="R25214" s="183"/>
      <c r="S25214" s="183"/>
    </row>
    <row r="25215" spans="1:38">
      <c r="A25215" s="182"/>
      <c r="Q25215" s="183"/>
      <c r="R25215" s="183"/>
      <c r="S25215" s="183"/>
    </row>
    <row r="25216" spans="1:38">
      <c r="A25216" s="182"/>
      <c r="Q25216" s="183"/>
      <c r="R25216" s="183"/>
      <c r="S25216" s="183"/>
    </row>
    <row r="25217" spans="1:38">
      <c r="A25217" s="182"/>
      <c r="Q25217" s="183"/>
      <c r="R25217" s="183"/>
      <c r="S25217" s="183"/>
    </row>
    <row r="25218" spans="1:38">
      <c r="A25218" s="182"/>
      <c r="Q25218" s="183"/>
      <c r="R25218" s="183"/>
      <c r="S25218" s="183"/>
    </row>
    <row r="25219" spans="1:38">
      <c r="A25219" s="182"/>
      <c r="Q25219" s="183"/>
      <c r="R25219" s="183"/>
      <c r="S25219" s="183"/>
    </row>
    <row r="25220" spans="1:38">
      <c r="A25220" s="182"/>
      <c r="Q25220" s="183"/>
      <c r="R25220" s="183"/>
      <c r="S25220" s="183"/>
    </row>
    <row r="25221" spans="1:38">
      <c r="A25221" s="182"/>
      <c r="Q25221" s="183"/>
      <c r="R25221" s="183"/>
      <c r="S25221" s="183"/>
    </row>
    <row r="25222" spans="1:38">
      <c r="A25222" s="182"/>
      <c r="Q25222" s="183"/>
      <c r="R25222" s="183"/>
      <c r="S25222" s="183"/>
    </row>
    <row r="25223" spans="1:38">
      <c r="A25223" s="182"/>
      <c r="Q25223" s="183"/>
      <c r="R25223" s="183"/>
      <c r="S25223" s="183"/>
    </row>
    <row r="25224" spans="1:38">
      <c r="A25224" s="182"/>
      <c r="Q25224" s="183"/>
      <c r="R25224" s="183"/>
      <c r="S25224" s="183"/>
    </row>
    <row r="25225" spans="1:38">
      <c r="A25225" s="182"/>
      <c r="Q25225" s="183"/>
      <c r="R25225" s="183"/>
      <c r="S25225" s="183"/>
    </row>
    <row r="25226" spans="1:38">
      <c r="A25226" s="182"/>
      <c r="Q25226" s="183"/>
      <c r="R25226" s="183"/>
      <c r="S25226" s="183"/>
    </row>
    <row r="25227" spans="1:38">
      <c r="A25227" s="182"/>
      <c r="Q25227" s="183"/>
      <c r="R25227" s="183"/>
      <c r="S25227" s="183"/>
      <c r="AK25227" s="183"/>
      <c r="AL25227" s="183"/>
    </row>
    <row r="25228" spans="1:38">
      <c r="A25228" s="182"/>
      <c r="Q25228" s="183"/>
      <c r="R25228" s="183"/>
      <c r="S25228" s="183"/>
      <c r="AJ25228" s="183"/>
      <c r="AK25228" s="183"/>
      <c r="AL25228" s="183"/>
    </row>
    <row r="25229" spans="1:38">
      <c r="A25229" s="182"/>
      <c r="Q25229" s="183"/>
      <c r="R25229" s="183"/>
      <c r="S25229" s="183"/>
      <c r="AJ25229" s="183"/>
      <c r="AK25229" s="183"/>
      <c r="AL25229" s="183"/>
    </row>
    <row r="25230" spans="1:38">
      <c r="A25230" s="182"/>
      <c r="Q25230" s="183"/>
      <c r="R25230" s="183"/>
      <c r="S25230" s="183"/>
      <c r="AJ25230" s="183"/>
      <c r="AK25230" s="183"/>
      <c r="AL25230" s="183"/>
    </row>
    <row r="25231" spans="1:38">
      <c r="A25231" s="182"/>
      <c r="Q25231" s="183"/>
      <c r="R25231" s="183"/>
      <c r="S25231" s="183"/>
      <c r="AJ25231" s="183"/>
    </row>
    <row r="25232" spans="1:38">
      <c r="A25232" s="182"/>
      <c r="Q25232" s="183"/>
      <c r="R25232" s="183"/>
      <c r="S25232" s="183"/>
    </row>
    <row r="25233" spans="1:38">
      <c r="A25233" s="182"/>
      <c r="Q25233" s="183"/>
      <c r="R25233" s="183"/>
      <c r="S25233" s="183"/>
    </row>
    <row r="25234" spans="1:38">
      <c r="A25234" s="182"/>
      <c r="Q25234" s="183"/>
      <c r="R25234" s="183"/>
      <c r="S25234" s="183"/>
    </row>
    <row r="25235" spans="1:38">
      <c r="A25235" s="182"/>
      <c r="Q25235" s="183"/>
      <c r="R25235" s="183"/>
      <c r="S25235" s="183"/>
    </row>
    <row r="25236" spans="1:38">
      <c r="A25236" s="182"/>
      <c r="Q25236" s="183"/>
      <c r="R25236" s="183"/>
      <c r="S25236" s="183"/>
    </row>
    <row r="25237" spans="1:38">
      <c r="A25237" s="182"/>
      <c r="Q25237" s="183"/>
      <c r="R25237" s="183"/>
      <c r="S25237" s="183"/>
    </row>
    <row r="25238" spans="1:38">
      <c r="A25238" s="182"/>
      <c r="Q25238" s="183"/>
      <c r="R25238" s="183"/>
      <c r="S25238" s="183"/>
    </row>
    <row r="25239" spans="1:38">
      <c r="A25239" s="182"/>
      <c r="Q25239" s="183"/>
      <c r="R25239" s="183"/>
      <c r="S25239" s="183"/>
    </row>
    <row r="25240" spans="1:38">
      <c r="A25240" s="182"/>
      <c r="Q25240" s="183"/>
      <c r="R25240" s="183"/>
      <c r="S25240" s="183"/>
    </row>
    <row r="25241" spans="1:38">
      <c r="A25241" s="182"/>
      <c r="Q25241" s="183"/>
      <c r="R25241" s="183"/>
      <c r="S25241" s="183"/>
    </row>
    <row r="25242" spans="1:38">
      <c r="A25242" s="182"/>
      <c r="Q25242" s="183"/>
      <c r="R25242" s="183"/>
      <c r="S25242" s="183"/>
    </row>
    <row r="25243" spans="1:38">
      <c r="A25243" s="182"/>
      <c r="Q25243" s="183"/>
      <c r="R25243" s="183"/>
      <c r="S25243" s="183"/>
    </row>
    <row r="25244" spans="1:38">
      <c r="A25244" s="182"/>
      <c r="Q25244" s="183"/>
      <c r="R25244" s="183"/>
      <c r="S25244" s="183"/>
    </row>
    <row r="25245" spans="1:38">
      <c r="A25245" s="182"/>
      <c r="Q25245" s="183"/>
      <c r="R25245" s="183"/>
      <c r="S25245" s="183"/>
    </row>
    <row r="25246" spans="1:38">
      <c r="A25246" s="182"/>
      <c r="Q25246" s="183"/>
      <c r="R25246" s="183"/>
      <c r="S25246" s="183"/>
    </row>
    <row r="25247" spans="1:38">
      <c r="A25247" s="182"/>
      <c r="Q25247" s="183"/>
      <c r="R25247" s="183"/>
      <c r="S25247" s="183"/>
      <c r="AK25247" s="183"/>
      <c r="AL25247" s="183"/>
    </row>
    <row r="25248" spans="1:38">
      <c r="A25248" s="182"/>
      <c r="Q25248" s="183"/>
      <c r="R25248" s="183"/>
      <c r="S25248" s="183"/>
      <c r="AJ25248" s="183"/>
      <c r="AK25248" s="183"/>
      <c r="AL25248" s="183"/>
    </row>
    <row r="25249" spans="1:38">
      <c r="A25249" s="182"/>
      <c r="Q25249" s="183"/>
      <c r="R25249" s="183"/>
      <c r="S25249" s="183"/>
      <c r="AJ25249" s="183"/>
      <c r="AK25249" s="183"/>
      <c r="AL25249" s="183"/>
    </row>
    <row r="25250" spans="1:38">
      <c r="A25250" s="182"/>
      <c r="Q25250" s="183"/>
      <c r="R25250" s="183"/>
      <c r="S25250" s="183"/>
      <c r="AJ25250" s="183"/>
      <c r="AK25250" s="183"/>
      <c r="AL25250" s="183"/>
    </row>
    <row r="25251" spans="1:38">
      <c r="A25251" s="182"/>
      <c r="Q25251" s="183"/>
      <c r="R25251" s="183"/>
      <c r="S25251" s="183"/>
      <c r="AJ25251" s="183"/>
    </row>
    <row r="25252" spans="1:38">
      <c r="A25252" s="182"/>
      <c r="Q25252" s="183"/>
      <c r="R25252" s="183"/>
      <c r="S25252" s="183"/>
    </row>
    <row r="25253" spans="1:38">
      <c r="A25253" s="182"/>
      <c r="Q25253" s="183"/>
      <c r="R25253" s="183"/>
      <c r="S25253" s="183"/>
    </row>
    <row r="25254" spans="1:38">
      <c r="A25254" s="182"/>
      <c r="Q25254" s="183"/>
      <c r="R25254" s="183"/>
      <c r="S25254" s="183"/>
    </row>
    <row r="25255" spans="1:38">
      <c r="A25255" s="182"/>
      <c r="Q25255" s="183"/>
      <c r="R25255" s="183"/>
      <c r="S25255" s="183"/>
    </row>
    <row r="25256" spans="1:38">
      <c r="A25256" s="182"/>
      <c r="Q25256" s="183"/>
      <c r="R25256" s="183"/>
      <c r="S25256" s="183"/>
    </row>
    <row r="25257" spans="1:38">
      <c r="A25257" s="182"/>
      <c r="Q25257" s="183"/>
      <c r="R25257" s="183"/>
      <c r="S25257" s="183"/>
    </row>
    <row r="25258" spans="1:38">
      <c r="A25258" s="182"/>
      <c r="Q25258" s="183"/>
      <c r="R25258" s="183"/>
      <c r="S25258" s="183"/>
    </row>
    <row r="25259" spans="1:38">
      <c r="A25259" s="182"/>
      <c r="Q25259" s="183"/>
      <c r="R25259" s="183"/>
      <c r="S25259" s="183"/>
    </row>
    <row r="25260" spans="1:38">
      <c r="A25260" s="182"/>
      <c r="Q25260" s="183"/>
      <c r="R25260" s="183"/>
      <c r="S25260" s="183"/>
    </row>
    <row r="25261" spans="1:38">
      <c r="A25261" s="182"/>
      <c r="Q25261" s="183"/>
      <c r="R25261" s="183"/>
      <c r="S25261" s="183"/>
    </row>
    <row r="25262" spans="1:38">
      <c r="A25262" s="182"/>
      <c r="Q25262" s="183"/>
      <c r="R25262" s="183"/>
      <c r="S25262" s="183"/>
    </row>
    <row r="25263" spans="1:38">
      <c r="A25263" s="182"/>
      <c r="Q25263" s="183"/>
      <c r="R25263" s="183"/>
      <c r="S25263" s="183"/>
    </row>
    <row r="25264" spans="1:38">
      <c r="A25264" s="182"/>
      <c r="Q25264" s="183"/>
      <c r="R25264" s="183"/>
      <c r="S25264" s="183"/>
    </row>
    <row r="25265" spans="1:38">
      <c r="A25265" s="182"/>
      <c r="Q25265" s="183"/>
      <c r="R25265" s="183"/>
      <c r="S25265" s="183"/>
    </row>
    <row r="25266" spans="1:38">
      <c r="A25266" s="182"/>
      <c r="Q25266" s="183"/>
      <c r="R25266" s="183"/>
      <c r="S25266" s="183"/>
    </row>
    <row r="25267" spans="1:38">
      <c r="A25267" s="182"/>
      <c r="Q25267" s="183"/>
      <c r="R25267" s="183"/>
      <c r="S25267" s="183"/>
    </row>
    <row r="25268" spans="1:38">
      <c r="A25268" s="182"/>
      <c r="Q25268" s="183"/>
      <c r="R25268" s="183"/>
      <c r="S25268" s="183"/>
    </row>
    <row r="25269" spans="1:38">
      <c r="A25269" s="182"/>
      <c r="Q25269" s="183"/>
      <c r="R25269" s="183"/>
      <c r="S25269" s="183"/>
    </row>
    <row r="25270" spans="1:38">
      <c r="A25270" s="182"/>
      <c r="Q25270" s="183"/>
      <c r="R25270" s="183"/>
      <c r="S25270" s="183"/>
    </row>
    <row r="25271" spans="1:38">
      <c r="A25271" s="182"/>
      <c r="Q25271" s="183"/>
      <c r="R25271" s="183"/>
      <c r="S25271" s="183"/>
    </row>
    <row r="25272" spans="1:38">
      <c r="A25272" s="182"/>
      <c r="Q25272" s="183"/>
      <c r="R25272" s="183"/>
      <c r="S25272" s="183"/>
    </row>
    <row r="25273" spans="1:38">
      <c r="A25273" s="182"/>
      <c r="Q25273" s="183"/>
      <c r="R25273" s="183"/>
      <c r="S25273" s="183"/>
    </row>
    <row r="25274" spans="1:38">
      <c r="A25274" s="182"/>
      <c r="Q25274" s="183"/>
      <c r="R25274" s="183"/>
      <c r="S25274" s="183"/>
    </row>
    <row r="25275" spans="1:38">
      <c r="A25275" s="182"/>
      <c r="Q25275" s="183"/>
      <c r="R25275" s="183"/>
      <c r="S25275" s="183"/>
    </row>
    <row r="25276" spans="1:38">
      <c r="A25276" s="182"/>
      <c r="Q25276" s="183"/>
      <c r="R25276" s="183"/>
      <c r="S25276" s="183"/>
    </row>
    <row r="25277" spans="1:38">
      <c r="A25277" s="182"/>
      <c r="Q25277" s="183"/>
      <c r="R25277" s="183"/>
      <c r="S25277" s="183"/>
    </row>
    <row r="25278" spans="1:38">
      <c r="A25278" s="182"/>
      <c r="Q25278" s="183"/>
      <c r="R25278" s="183"/>
      <c r="S25278" s="183"/>
    </row>
    <row r="25279" spans="1:38">
      <c r="A25279" s="182"/>
      <c r="Q25279" s="183"/>
      <c r="R25279" s="183"/>
      <c r="S25279" s="183"/>
      <c r="AK25279" s="183"/>
      <c r="AL25279" s="183"/>
    </row>
    <row r="25280" spans="1:38">
      <c r="A25280" s="182"/>
      <c r="Q25280" s="183"/>
      <c r="R25280" s="183"/>
      <c r="S25280" s="183"/>
      <c r="AJ25280" s="183"/>
      <c r="AK25280" s="183"/>
      <c r="AL25280" s="183"/>
    </row>
    <row r="25281" spans="1:38">
      <c r="A25281" s="182"/>
      <c r="Q25281" s="183"/>
      <c r="R25281" s="183"/>
      <c r="S25281" s="183"/>
      <c r="AJ25281" s="183"/>
      <c r="AK25281" s="183"/>
      <c r="AL25281" s="183"/>
    </row>
    <row r="25282" spans="1:38">
      <c r="A25282" s="182"/>
      <c r="Q25282" s="183"/>
      <c r="R25282" s="183"/>
      <c r="S25282" s="183"/>
      <c r="AJ25282" s="183"/>
      <c r="AK25282" s="183"/>
      <c r="AL25282" s="183"/>
    </row>
    <row r="25283" spans="1:38">
      <c r="A25283" s="182"/>
      <c r="Q25283" s="183"/>
      <c r="R25283" s="183"/>
      <c r="S25283" s="183"/>
      <c r="AJ25283" s="183"/>
    </row>
    <row r="25284" spans="1:38">
      <c r="A25284" s="182"/>
      <c r="Q25284" s="183"/>
      <c r="R25284" s="183"/>
      <c r="S25284" s="183"/>
    </row>
    <row r="25285" spans="1:38">
      <c r="A25285" s="182"/>
      <c r="Q25285" s="183"/>
      <c r="R25285" s="183"/>
      <c r="S25285" s="183"/>
    </row>
    <row r="25286" spans="1:38">
      <c r="A25286" s="182"/>
      <c r="Q25286" s="183"/>
      <c r="R25286" s="183"/>
      <c r="S25286" s="183"/>
    </row>
    <row r="25287" spans="1:38">
      <c r="A25287" s="182"/>
      <c r="Q25287" s="183"/>
      <c r="R25287" s="183"/>
      <c r="S25287" s="183"/>
    </row>
    <row r="25288" spans="1:38">
      <c r="A25288" s="182"/>
      <c r="Q25288" s="183"/>
      <c r="R25288" s="183"/>
      <c r="S25288" s="183"/>
    </row>
    <row r="25289" spans="1:38">
      <c r="A25289" s="182"/>
      <c r="Q25289" s="183"/>
      <c r="R25289" s="183"/>
      <c r="S25289" s="183"/>
    </row>
    <row r="25290" spans="1:38">
      <c r="A25290" s="182"/>
      <c r="Q25290" s="183"/>
      <c r="R25290" s="183"/>
      <c r="S25290" s="183"/>
    </row>
    <row r="25291" spans="1:38">
      <c r="A25291" s="182"/>
      <c r="Q25291" s="183"/>
      <c r="R25291" s="183"/>
      <c r="S25291" s="183"/>
    </row>
    <row r="25292" spans="1:38">
      <c r="A25292" s="182"/>
      <c r="Q25292" s="183"/>
      <c r="R25292" s="183"/>
      <c r="S25292" s="183"/>
    </row>
    <row r="25293" spans="1:38">
      <c r="A25293" s="182"/>
      <c r="Q25293" s="183"/>
      <c r="R25293" s="183"/>
      <c r="S25293" s="183"/>
    </row>
    <row r="25294" spans="1:38">
      <c r="A25294" s="182"/>
      <c r="Q25294" s="183"/>
      <c r="R25294" s="183"/>
      <c r="S25294" s="183"/>
    </row>
    <row r="25295" spans="1:38">
      <c r="A25295" s="182"/>
      <c r="Q25295" s="183"/>
      <c r="R25295" s="183"/>
      <c r="S25295" s="183"/>
    </row>
    <row r="25296" spans="1:38">
      <c r="A25296" s="182"/>
      <c r="Q25296" s="183"/>
      <c r="R25296" s="183"/>
      <c r="S25296" s="183"/>
    </row>
    <row r="25297" spans="1:38">
      <c r="A25297" s="182"/>
      <c r="Q25297" s="183"/>
      <c r="R25297" s="183"/>
      <c r="S25297" s="183"/>
    </row>
    <row r="25298" spans="1:38">
      <c r="A25298" s="182"/>
      <c r="Q25298" s="183"/>
      <c r="R25298" s="183"/>
      <c r="S25298" s="183"/>
    </row>
    <row r="25299" spans="1:38">
      <c r="A25299" s="182"/>
      <c r="Q25299" s="183"/>
      <c r="R25299" s="183"/>
      <c r="S25299" s="183"/>
    </row>
    <row r="25300" spans="1:38">
      <c r="A25300" s="182"/>
      <c r="Q25300" s="183"/>
      <c r="R25300" s="183"/>
      <c r="S25300" s="183"/>
    </row>
    <row r="25301" spans="1:38">
      <c r="A25301" s="182"/>
      <c r="Q25301" s="183"/>
      <c r="R25301" s="183"/>
      <c r="S25301" s="183"/>
    </row>
    <row r="25302" spans="1:38">
      <c r="A25302" s="182"/>
      <c r="Q25302" s="183"/>
      <c r="R25302" s="183"/>
      <c r="S25302" s="183"/>
    </row>
    <row r="25303" spans="1:38">
      <c r="A25303" s="182"/>
      <c r="Q25303" s="183"/>
      <c r="R25303" s="183"/>
      <c r="S25303" s="183"/>
    </row>
    <row r="25304" spans="1:38">
      <c r="A25304" s="182"/>
      <c r="Q25304" s="183"/>
      <c r="R25304" s="183"/>
      <c r="S25304" s="183"/>
    </row>
    <row r="25305" spans="1:38">
      <c r="A25305" s="182"/>
      <c r="Q25305" s="183"/>
      <c r="R25305" s="183"/>
      <c r="S25305" s="183"/>
    </row>
    <row r="25306" spans="1:38">
      <c r="A25306" s="182"/>
      <c r="M25306" s="183"/>
      <c r="N25306" s="183"/>
      <c r="Q25306" s="183"/>
      <c r="R25306" s="183"/>
      <c r="S25306" s="183"/>
    </row>
    <row r="25307" spans="1:38">
      <c r="A25307" s="182"/>
      <c r="L25307" s="183"/>
      <c r="Q25307" s="183"/>
      <c r="R25307" s="183"/>
      <c r="S25307" s="183"/>
    </row>
    <row r="25308" spans="1:38">
      <c r="A25308" s="182"/>
      <c r="Q25308" s="183"/>
      <c r="R25308" s="183"/>
      <c r="S25308" s="183"/>
    </row>
    <row r="25309" spans="1:38">
      <c r="A25309" s="182"/>
      <c r="Q25309" s="183"/>
      <c r="R25309" s="183"/>
      <c r="S25309" s="183"/>
    </row>
    <row r="25310" spans="1:38">
      <c r="A25310" s="182"/>
      <c r="Q25310" s="183"/>
      <c r="R25310" s="183"/>
      <c r="S25310" s="183"/>
    </row>
    <row r="25311" spans="1:38">
      <c r="A25311" s="182"/>
      <c r="Q25311" s="183"/>
      <c r="R25311" s="183"/>
      <c r="S25311" s="183"/>
      <c r="AK25311" s="183"/>
      <c r="AL25311" s="183"/>
    </row>
    <row r="25312" spans="1:38">
      <c r="A25312" s="182"/>
      <c r="Q25312" s="183"/>
      <c r="R25312" s="183"/>
      <c r="S25312" s="183"/>
      <c r="AJ25312" s="183"/>
      <c r="AK25312" s="183"/>
      <c r="AL25312" s="183"/>
    </row>
    <row r="25313" spans="1:38">
      <c r="A25313" s="182"/>
      <c r="Q25313" s="183"/>
      <c r="R25313" s="183"/>
      <c r="S25313" s="183"/>
      <c r="AJ25313" s="183"/>
      <c r="AK25313" s="183"/>
      <c r="AL25313" s="183"/>
    </row>
    <row r="25314" spans="1:38">
      <c r="A25314" s="182"/>
      <c r="Q25314" s="183"/>
      <c r="R25314" s="183"/>
      <c r="S25314" s="183"/>
      <c r="AJ25314" s="183"/>
      <c r="AK25314" s="183"/>
      <c r="AL25314" s="183"/>
    </row>
    <row r="25315" spans="1:38">
      <c r="A25315" s="182"/>
      <c r="Q25315" s="183"/>
      <c r="R25315" s="183"/>
      <c r="S25315" s="183"/>
      <c r="AJ25315" s="183"/>
      <c r="AK25315" s="183"/>
      <c r="AL25315" s="183"/>
    </row>
    <row r="25316" spans="1:38">
      <c r="A25316" s="182"/>
      <c r="Q25316" s="183"/>
      <c r="R25316" s="183"/>
      <c r="S25316" s="183"/>
      <c r="AJ25316" s="183"/>
      <c r="AK25316" s="183"/>
      <c r="AL25316" s="183"/>
    </row>
    <row r="25317" spans="1:38">
      <c r="A25317" s="182"/>
      <c r="Q25317" s="183"/>
      <c r="R25317" s="183"/>
      <c r="S25317" s="183"/>
      <c r="AJ25317" s="183"/>
      <c r="AK25317" s="183"/>
      <c r="AL25317" s="183"/>
    </row>
    <row r="25318" spans="1:38">
      <c r="A25318" s="182"/>
      <c r="Q25318" s="183"/>
      <c r="R25318" s="183"/>
      <c r="S25318" s="183"/>
      <c r="AJ25318" s="183"/>
      <c r="AK25318" s="183"/>
      <c r="AL25318" s="183"/>
    </row>
    <row r="25319" spans="1:38">
      <c r="A25319" s="182"/>
      <c r="Q25319" s="183"/>
      <c r="R25319" s="183"/>
      <c r="S25319" s="183"/>
      <c r="AJ25319" s="183"/>
    </row>
    <row r="25320" spans="1:38">
      <c r="A25320" s="182"/>
      <c r="Q25320" s="183"/>
      <c r="R25320" s="183"/>
      <c r="S25320" s="183"/>
    </row>
    <row r="25321" spans="1:38">
      <c r="A25321" s="182"/>
      <c r="Q25321" s="183"/>
      <c r="R25321" s="183"/>
      <c r="S25321" s="183"/>
    </row>
    <row r="25322" spans="1:38">
      <c r="A25322" s="182"/>
      <c r="Q25322" s="183"/>
      <c r="R25322" s="183"/>
      <c r="S25322" s="183"/>
    </row>
    <row r="25323" spans="1:38">
      <c r="A25323" s="182"/>
      <c r="Q25323" s="183"/>
      <c r="R25323" s="183"/>
      <c r="S25323" s="183"/>
    </row>
    <row r="25324" spans="1:38">
      <c r="A25324" s="182"/>
      <c r="Q25324" s="183"/>
      <c r="R25324" s="183"/>
      <c r="S25324" s="183"/>
    </row>
    <row r="25325" spans="1:38">
      <c r="A25325" s="182"/>
      <c r="Q25325" s="183"/>
      <c r="R25325" s="183"/>
      <c r="S25325" s="183"/>
    </row>
    <row r="25326" spans="1:38">
      <c r="A25326" s="182"/>
      <c r="Q25326" s="183"/>
      <c r="R25326" s="183"/>
      <c r="S25326" s="183"/>
    </row>
    <row r="25327" spans="1:38">
      <c r="A25327" s="182"/>
      <c r="Q25327" s="183"/>
      <c r="R25327" s="183"/>
      <c r="S25327" s="183"/>
      <c r="AK25327" s="183"/>
      <c r="AL25327" s="183"/>
    </row>
    <row r="25328" spans="1:38">
      <c r="A25328" s="182"/>
      <c r="Q25328" s="183"/>
      <c r="R25328" s="183"/>
      <c r="S25328" s="183"/>
      <c r="AJ25328" s="183"/>
      <c r="AK25328" s="183"/>
      <c r="AL25328" s="183"/>
    </row>
    <row r="25329" spans="1:38">
      <c r="A25329" s="182"/>
      <c r="Q25329" s="183"/>
      <c r="R25329" s="183"/>
      <c r="S25329" s="183"/>
      <c r="AJ25329" s="183"/>
      <c r="AK25329" s="183"/>
      <c r="AL25329" s="183"/>
    </row>
    <row r="25330" spans="1:38">
      <c r="A25330" s="182"/>
      <c r="Q25330" s="183"/>
      <c r="R25330" s="183"/>
      <c r="S25330" s="183"/>
      <c r="AJ25330" s="183"/>
      <c r="AK25330" s="183"/>
      <c r="AL25330" s="183"/>
    </row>
    <row r="25331" spans="1:38">
      <c r="A25331" s="182"/>
      <c r="Q25331" s="183"/>
      <c r="R25331" s="183"/>
      <c r="S25331" s="183"/>
      <c r="AJ25331" s="183"/>
    </row>
    <row r="25332" spans="1:38">
      <c r="A25332" s="182"/>
      <c r="Q25332" s="183"/>
      <c r="R25332" s="183"/>
      <c r="S25332" s="183"/>
    </row>
    <row r="25333" spans="1:38">
      <c r="A25333" s="182"/>
      <c r="Q25333" s="183"/>
      <c r="R25333" s="183"/>
      <c r="S25333" s="183"/>
    </row>
    <row r="25334" spans="1:38">
      <c r="A25334" s="182"/>
      <c r="Q25334" s="183"/>
      <c r="R25334" s="183"/>
      <c r="S25334" s="183"/>
    </row>
    <row r="25335" spans="1:38">
      <c r="A25335" s="182"/>
      <c r="Q25335" s="183"/>
      <c r="R25335" s="183"/>
      <c r="S25335" s="183"/>
    </row>
    <row r="25336" spans="1:38">
      <c r="A25336" s="182"/>
      <c r="Q25336" s="183"/>
      <c r="R25336" s="183"/>
      <c r="S25336" s="183"/>
    </row>
    <row r="25337" spans="1:38">
      <c r="A25337" s="182"/>
      <c r="Q25337" s="183"/>
      <c r="R25337" s="183"/>
      <c r="S25337" s="183"/>
    </row>
    <row r="25338" spans="1:38">
      <c r="A25338" s="182"/>
      <c r="Q25338" s="183"/>
      <c r="R25338" s="183"/>
      <c r="S25338" s="183"/>
    </row>
    <row r="25339" spans="1:38">
      <c r="A25339" s="182"/>
      <c r="Q25339" s="183"/>
      <c r="R25339" s="183"/>
      <c r="S25339" s="183"/>
    </row>
    <row r="25340" spans="1:38">
      <c r="A25340" s="182"/>
      <c r="Q25340" s="183"/>
      <c r="R25340" s="183"/>
      <c r="S25340" s="183"/>
    </row>
    <row r="25341" spans="1:38">
      <c r="A25341" s="182"/>
      <c r="Q25341" s="183"/>
      <c r="R25341" s="183"/>
      <c r="S25341" s="183"/>
    </row>
    <row r="25342" spans="1:38">
      <c r="A25342" s="182"/>
      <c r="Q25342" s="183"/>
      <c r="R25342" s="183"/>
      <c r="S25342" s="183"/>
    </row>
    <row r="25343" spans="1:38">
      <c r="A25343" s="182"/>
      <c r="Q25343" s="183"/>
      <c r="R25343" s="183"/>
      <c r="S25343" s="183"/>
      <c r="AK25343" s="183"/>
      <c r="AL25343" s="183"/>
    </row>
    <row r="25344" spans="1:38">
      <c r="A25344" s="182"/>
      <c r="Q25344" s="183"/>
      <c r="R25344" s="183"/>
      <c r="S25344" s="183"/>
      <c r="AJ25344" s="183"/>
      <c r="AK25344" s="183"/>
      <c r="AL25344" s="183"/>
    </row>
    <row r="25345" spans="1:38">
      <c r="A25345" s="182"/>
      <c r="Q25345" s="183"/>
      <c r="R25345" s="183"/>
      <c r="S25345" s="183"/>
      <c r="AJ25345" s="183"/>
      <c r="AK25345" s="183"/>
      <c r="AL25345" s="183"/>
    </row>
    <row r="25346" spans="1:38">
      <c r="A25346" s="182"/>
      <c r="Q25346" s="183"/>
      <c r="R25346" s="183"/>
      <c r="S25346" s="183"/>
      <c r="AJ25346" s="183"/>
      <c r="AK25346" s="183"/>
      <c r="AL25346" s="183"/>
    </row>
    <row r="25347" spans="1:38">
      <c r="A25347" s="182"/>
      <c r="Q25347" s="183"/>
      <c r="R25347" s="183"/>
      <c r="S25347" s="183"/>
      <c r="AJ25347" s="183"/>
    </row>
    <row r="25348" spans="1:38">
      <c r="A25348" s="182"/>
      <c r="Q25348" s="183"/>
      <c r="R25348" s="183"/>
      <c r="S25348" s="183"/>
    </row>
    <row r="25349" spans="1:38">
      <c r="A25349" s="182"/>
      <c r="Q25349" s="183"/>
      <c r="R25349" s="183"/>
      <c r="S25349" s="183"/>
    </row>
    <row r="25350" spans="1:38">
      <c r="A25350" s="182"/>
      <c r="Q25350" s="183"/>
      <c r="R25350" s="183"/>
      <c r="S25350" s="183"/>
    </row>
    <row r="25351" spans="1:38">
      <c r="A25351" s="182"/>
      <c r="Q25351" s="183"/>
      <c r="R25351" s="183"/>
      <c r="S25351" s="183"/>
    </row>
    <row r="25352" spans="1:38">
      <c r="A25352" s="182"/>
      <c r="Q25352" s="183"/>
      <c r="R25352" s="183"/>
      <c r="S25352" s="183"/>
    </row>
    <row r="25353" spans="1:38">
      <c r="A25353" s="182"/>
      <c r="Q25353" s="183"/>
      <c r="R25353" s="183"/>
      <c r="S25353" s="183"/>
    </row>
    <row r="25354" spans="1:38">
      <c r="A25354" s="182"/>
      <c r="Q25354" s="183"/>
      <c r="R25354" s="183"/>
      <c r="S25354" s="183"/>
    </row>
    <row r="25355" spans="1:38">
      <c r="A25355" s="182"/>
      <c r="Q25355" s="183"/>
      <c r="R25355" s="183"/>
      <c r="S25355" s="183"/>
    </row>
    <row r="25356" spans="1:38">
      <c r="A25356" s="182"/>
      <c r="Q25356" s="183"/>
      <c r="R25356" s="183"/>
      <c r="S25356" s="183"/>
    </row>
    <row r="25357" spans="1:38">
      <c r="A25357" s="182"/>
      <c r="Q25357" s="183"/>
      <c r="R25357" s="183"/>
      <c r="S25357" s="183"/>
    </row>
    <row r="25358" spans="1:38">
      <c r="A25358" s="182"/>
      <c r="Q25358" s="183"/>
      <c r="R25358" s="183"/>
      <c r="S25358" s="183"/>
    </row>
    <row r="25359" spans="1:38">
      <c r="A25359" s="182"/>
      <c r="Q25359" s="183"/>
      <c r="R25359" s="183"/>
      <c r="S25359" s="183"/>
    </row>
    <row r="25360" spans="1:38">
      <c r="A25360" s="182"/>
      <c r="Q25360" s="183"/>
      <c r="R25360" s="183"/>
      <c r="S25360" s="183"/>
    </row>
    <row r="25361" spans="1:38">
      <c r="A25361" s="182"/>
      <c r="Q25361" s="183"/>
      <c r="R25361" s="183"/>
      <c r="S25361" s="183"/>
    </row>
    <row r="25362" spans="1:38">
      <c r="A25362" s="182"/>
      <c r="Q25362" s="183"/>
      <c r="R25362" s="183"/>
      <c r="S25362" s="183"/>
    </row>
    <row r="25363" spans="1:38">
      <c r="A25363" s="182"/>
      <c r="Q25363" s="183"/>
      <c r="R25363" s="183"/>
      <c r="S25363" s="183"/>
    </row>
    <row r="25364" spans="1:38">
      <c r="A25364" s="182"/>
      <c r="Q25364" s="183"/>
      <c r="R25364" s="183"/>
      <c r="S25364" s="183"/>
    </row>
    <row r="25365" spans="1:38">
      <c r="A25365" s="182"/>
      <c r="Q25365" s="183"/>
      <c r="R25365" s="183"/>
      <c r="S25365" s="183"/>
    </row>
    <row r="25366" spans="1:38">
      <c r="A25366" s="182"/>
      <c r="Q25366" s="183"/>
      <c r="R25366" s="183"/>
      <c r="S25366" s="183"/>
    </row>
    <row r="25367" spans="1:38">
      <c r="A25367" s="182"/>
      <c r="Q25367" s="183"/>
      <c r="R25367" s="183"/>
      <c r="S25367" s="183"/>
    </row>
    <row r="25368" spans="1:38">
      <c r="A25368" s="182"/>
      <c r="Q25368" s="183"/>
      <c r="R25368" s="183"/>
      <c r="S25368" s="183"/>
    </row>
    <row r="25369" spans="1:38">
      <c r="A25369" s="182"/>
      <c r="Q25369" s="183"/>
      <c r="R25369" s="183"/>
      <c r="S25369" s="183"/>
    </row>
    <row r="25370" spans="1:38">
      <c r="A25370" s="182"/>
      <c r="Q25370" s="183"/>
      <c r="R25370" s="183"/>
      <c r="S25370" s="183"/>
    </row>
    <row r="25371" spans="1:38">
      <c r="A25371" s="182"/>
      <c r="Q25371" s="183"/>
      <c r="R25371" s="183"/>
      <c r="S25371" s="183"/>
      <c r="AK25371" s="183"/>
      <c r="AL25371" s="183"/>
    </row>
    <row r="25372" spans="1:38">
      <c r="A25372" s="182"/>
      <c r="Q25372" s="183"/>
      <c r="R25372" s="183"/>
      <c r="S25372" s="183"/>
      <c r="AJ25372" s="183"/>
      <c r="AK25372" s="183"/>
      <c r="AL25372" s="183"/>
    </row>
    <row r="25373" spans="1:38">
      <c r="A25373" s="182"/>
      <c r="Q25373" s="183"/>
      <c r="R25373" s="183"/>
      <c r="S25373" s="183"/>
      <c r="AJ25373" s="183"/>
      <c r="AK25373" s="183"/>
      <c r="AL25373" s="183"/>
    </row>
    <row r="25374" spans="1:38">
      <c r="A25374" s="182"/>
      <c r="Q25374" s="183"/>
      <c r="R25374" s="183"/>
      <c r="S25374" s="183"/>
      <c r="AJ25374" s="183"/>
      <c r="AK25374" s="183"/>
      <c r="AL25374" s="183"/>
    </row>
    <row r="25375" spans="1:38">
      <c r="A25375" s="182"/>
      <c r="Q25375" s="183"/>
      <c r="R25375" s="183"/>
      <c r="S25375" s="183"/>
      <c r="AJ25375" s="183"/>
    </row>
    <row r="25376" spans="1:38">
      <c r="A25376" s="182"/>
      <c r="Q25376" s="183"/>
      <c r="R25376" s="183"/>
      <c r="S25376" s="183"/>
    </row>
    <row r="25377" spans="1:38">
      <c r="A25377" s="182"/>
      <c r="Q25377" s="183"/>
      <c r="R25377" s="183"/>
      <c r="S25377" s="183"/>
    </row>
    <row r="25378" spans="1:38">
      <c r="A25378" s="182"/>
      <c r="Q25378" s="183"/>
      <c r="R25378" s="183"/>
      <c r="S25378" s="183"/>
    </row>
    <row r="25379" spans="1:38">
      <c r="A25379" s="182"/>
      <c r="Q25379" s="183"/>
      <c r="R25379" s="183"/>
      <c r="S25379" s="183"/>
      <c r="AK25379" s="183"/>
      <c r="AL25379" s="183"/>
    </row>
    <row r="25380" spans="1:38">
      <c r="A25380" s="182"/>
      <c r="Q25380" s="183"/>
      <c r="R25380" s="183"/>
      <c r="S25380" s="183"/>
      <c r="AJ25380" s="183"/>
      <c r="AK25380" s="183"/>
      <c r="AL25380" s="183"/>
    </row>
    <row r="25381" spans="1:38">
      <c r="A25381" s="182"/>
      <c r="Q25381" s="183"/>
      <c r="R25381" s="183"/>
      <c r="S25381" s="183"/>
      <c r="AJ25381" s="183"/>
      <c r="AK25381" s="183"/>
      <c r="AL25381" s="183"/>
    </row>
    <row r="25382" spans="1:38">
      <c r="A25382" s="182"/>
      <c r="Q25382" s="183"/>
      <c r="R25382" s="183"/>
      <c r="S25382" s="183"/>
      <c r="AJ25382" s="183"/>
      <c r="AK25382" s="183"/>
      <c r="AL25382" s="183"/>
    </row>
    <row r="25383" spans="1:38">
      <c r="A25383" s="182"/>
      <c r="Q25383" s="183"/>
      <c r="R25383" s="183"/>
      <c r="S25383" s="183"/>
      <c r="AJ25383" s="183"/>
    </row>
    <row r="25384" spans="1:38">
      <c r="A25384" s="182"/>
      <c r="Q25384" s="183"/>
      <c r="R25384" s="183"/>
      <c r="S25384" s="183"/>
    </row>
    <row r="25385" spans="1:38">
      <c r="A25385" s="182"/>
      <c r="Q25385" s="183"/>
      <c r="R25385" s="183"/>
      <c r="S25385" s="183"/>
    </row>
    <row r="25386" spans="1:38">
      <c r="A25386" s="182"/>
      <c r="Q25386" s="183"/>
      <c r="R25386" s="183"/>
      <c r="S25386" s="183"/>
    </row>
    <row r="25387" spans="1:38">
      <c r="A25387" s="182"/>
      <c r="Q25387" s="183"/>
      <c r="R25387" s="183"/>
      <c r="S25387" s="183"/>
      <c r="AK25387" s="183"/>
      <c r="AL25387" s="183"/>
    </row>
    <row r="25388" spans="1:38">
      <c r="A25388" s="182"/>
      <c r="Q25388" s="183"/>
      <c r="R25388" s="183"/>
      <c r="S25388" s="183"/>
      <c r="AJ25388" s="183"/>
      <c r="AK25388" s="183"/>
      <c r="AL25388" s="183"/>
    </row>
    <row r="25389" spans="1:38">
      <c r="A25389" s="182"/>
      <c r="Q25389" s="183"/>
      <c r="R25389" s="183"/>
      <c r="S25389" s="183"/>
      <c r="AJ25389" s="183"/>
      <c r="AK25389" s="183"/>
      <c r="AL25389" s="183"/>
    </row>
    <row r="25390" spans="1:38">
      <c r="A25390" s="182"/>
      <c r="Q25390" s="183"/>
      <c r="R25390" s="183"/>
      <c r="S25390" s="183"/>
      <c r="AJ25390" s="183"/>
      <c r="AK25390" s="183"/>
      <c r="AL25390" s="183"/>
    </row>
    <row r="25391" spans="1:38">
      <c r="A25391" s="182"/>
      <c r="Q25391" s="183"/>
      <c r="R25391" s="183"/>
      <c r="S25391" s="183"/>
      <c r="AJ25391" s="183"/>
    </row>
    <row r="25392" spans="1:38">
      <c r="A25392" s="182"/>
      <c r="Q25392" s="183"/>
      <c r="R25392" s="183"/>
      <c r="S25392" s="183"/>
    </row>
    <row r="25393" spans="1:38">
      <c r="A25393" s="182"/>
      <c r="Q25393" s="183"/>
      <c r="R25393" s="183"/>
      <c r="S25393" s="183"/>
    </row>
    <row r="25394" spans="1:38">
      <c r="A25394" s="182"/>
      <c r="Q25394" s="183"/>
      <c r="R25394" s="183"/>
      <c r="S25394" s="183"/>
    </row>
    <row r="25395" spans="1:38">
      <c r="A25395" s="182"/>
      <c r="Q25395" s="183"/>
      <c r="R25395" s="183"/>
      <c r="S25395" s="183"/>
    </row>
    <row r="25396" spans="1:38">
      <c r="A25396" s="182"/>
      <c r="Q25396" s="183"/>
      <c r="R25396" s="183"/>
      <c r="S25396" s="183"/>
    </row>
    <row r="25397" spans="1:38">
      <c r="A25397" s="182"/>
      <c r="Q25397" s="183"/>
      <c r="R25397" s="183"/>
      <c r="S25397" s="183"/>
    </row>
    <row r="25398" spans="1:38">
      <c r="A25398" s="182"/>
      <c r="Q25398" s="183"/>
      <c r="R25398" s="183"/>
      <c r="S25398" s="183"/>
    </row>
    <row r="25399" spans="1:38">
      <c r="A25399" s="182"/>
      <c r="Q25399" s="183"/>
      <c r="R25399" s="183"/>
      <c r="S25399" s="183"/>
    </row>
    <row r="25400" spans="1:38">
      <c r="A25400" s="182"/>
      <c r="Q25400" s="183"/>
      <c r="R25400" s="183"/>
      <c r="S25400" s="183"/>
    </row>
    <row r="25401" spans="1:38">
      <c r="A25401" s="182"/>
      <c r="Q25401" s="183"/>
      <c r="R25401" s="183"/>
      <c r="S25401" s="183"/>
    </row>
    <row r="25402" spans="1:38">
      <c r="A25402" s="182"/>
      <c r="Q25402" s="183"/>
      <c r="R25402" s="183"/>
      <c r="S25402" s="183"/>
    </row>
    <row r="25403" spans="1:38">
      <c r="A25403" s="182"/>
      <c r="Q25403" s="183"/>
      <c r="R25403" s="183"/>
      <c r="S25403" s="183"/>
      <c r="AK25403" s="183"/>
      <c r="AL25403" s="183"/>
    </row>
    <row r="25404" spans="1:38">
      <c r="A25404" s="182"/>
      <c r="Q25404" s="183"/>
      <c r="R25404" s="183"/>
      <c r="S25404" s="183"/>
      <c r="AJ25404" s="183"/>
      <c r="AK25404" s="183"/>
      <c r="AL25404" s="183"/>
    </row>
    <row r="25405" spans="1:38">
      <c r="A25405" s="182"/>
      <c r="Q25405" s="183"/>
      <c r="R25405" s="183"/>
      <c r="S25405" s="183"/>
      <c r="AJ25405" s="183"/>
      <c r="AK25405" s="183"/>
      <c r="AL25405" s="183"/>
    </row>
    <row r="25406" spans="1:38">
      <c r="A25406" s="182"/>
      <c r="Q25406" s="183"/>
      <c r="R25406" s="183"/>
      <c r="S25406" s="183"/>
      <c r="AJ25406" s="183"/>
      <c r="AK25406" s="183"/>
      <c r="AL25406" s="183"/>
    </row>
    <row r="25407" spans="1:38">
      <c r="A25407" s="182"/>
      <c r="Q25407" s="183"/>
      <c r="R25407" s="183"/>
      <c r="S25407" s="183"/>
      <c r="AJ25407" s="183"/>
      <c r="AK25407" s="183"/>
      <c r="AL25407" s="183"/>
    </row>
    <row r="25408" spans="1:38">
      <c r="A25408" s="182"/>
      <c r="Q25408" s="183"/>
      <c r="R25408" s="183"/>
      <c r="S25408" s="183"/>
      <c r="AJ25408" s="183"/>
      <c r="AK25408" s="183"/>
      <c r="AL25408" s="183"/>
    </row>
    <row r="25409" spans="1:38">
      <c r="A25409" s="182"/>
      <c r="Q25409" s="183"/>
      <c r="R25409" s="183"/>
      <c r="S25409" s="183"/>
      <c r="AJ25409" s="183"/>
      <c r="AK25409" s="183"/>
      <c r="AL25409" s="183"/>
    </row>
    <row r="25410" spans="1:38">
      <c r="A25410" s="182"/>
      <c r="Q25410" s="183"/>
      <c r="R25410" s="183"/>
      <c r="S25410" s="183"/>
      <c r="AJ25410" s="183"/>
      <c r="AK25410" s="183"/>
      <c r="AL25410" s="183"/>
    </row>
    <row r="25411" spans="1:38">
      <c r="A25411" s="182"/>
      <c r="Q25411" s="183"/>
      <c r="R25411" s="183"/>
      <c r="S25411" s="183"/>
      <c r="AJ25411" s="183"/>
    </row>
    <row r="25412" spans="1:38">
      <c r="A25412" s="182"/>
      <c r="Q25412" s="183"/>
      <c r="R25412" s="183"/>
      <c r="S25412" s="183"/>
    </row>
    <row r="25413" spans="1:38">
      <c r="A25413" s="182"/>
      <c r="Q25413" s="183"/>
      <c r="R25413" s="183"/>
      <c r="S25413" s="183"/>
    </row>
    <row r="25414" spans="1:38">
      <c r="A25414" s="182"/>
      <c r="Q25414" s="183"/>
      <c r="R25414" s="183"/>
      <c r="S25414" s="183"/>
    </row>
    <row r="25415" spans="1:38">
      <c r="A25415" s="182"/>
      <c r="Q25415" s="183"/>
      <c r="R25415" s="183"/>
      <c r="S25415" s="183"/>
      <c r="AK25415" s="183"/>
      <c r="AL25415" s="183"/>
    </row>
    <row r="25416" spans="1:38">
      <c r="A25416" s="182"/>
      <c r="Q25416" s="183"/>
      <c r="R25416" s="183"/>
      <c r="S25416" s="183"/>
      <c r="AJ25416" s="183"/>
      <c r="AK25416" s="183"/>
      <c r="AL25416" s="183"/>
    </row>
    <row r="25417" spans="1:38">
      <c r="A25417" s="182"/>
      <c r="Q25417" s="183"/>
      <c r="R25417" s="183"/>
      <c r="S25417" s="183"/>
      <c r="AJ25417" s="183"/>
      <c r="AK25417" s="183"/>
      <c r="AL25417" s="183"/>
    </row>
    <row r="25418" spans="1:38">
      <c r="A25418" s="182"/>
      <c r="Q25418" s="183"/>
      <c r="R25418" s="183"/>
      <c r="S25418" s="183"/>
      <c r="AJ25418" s="183"/>
      <c r="AK25418" s="183"/>
      <c r="AL25418" s="183"/>
    </row>
    <row r="25419" spans="1:38">
      <c r="A25419" s="182"/>
      <c r="Q25419" s="183"/>
      <c r="R25419" s="183"/>
      <c r="S25419" s="183"/>
      <c r="AJ25419" s="183"/>
      <c r="AK25419" s="183"/>
      <c r="AL25419" s="183"/>
    </row>
    <row r="25420" spans="1:38">
      <c r="A25420" s="182"/>
      <c r="Q25420" s="183"/>
      <c r="R25420" s="183"/>
      <c r="S25420" s="183"/>
      <c r="AJ25420" s="183"/>
      <c r="AK25420" s="183"/>
      <c r="AL25420" s="183"/>
    </row>
    <row r="25421" spans="1:38">
      <c r="A25421" s="182"/>
      <c r="Q25421" s="183"/>
      <c r="R25421" s="183"/>
      <c r="S25421" s="183"/>
      <c r="AJ25421" s="183"/>
      <c r="AK25421" s="183"/>
      <c r="AL25421" s="183"/>
    </row>
    <row r="25422" spans="1:38">
      <c r="A25422" s="182"/>
      <c r="Q25422" s="183"/>
      <c r="R25422" s="183"/>
      <c r="S25422" s="183"/>
      <c r="AJ25422" s="183"/>
      <c r="AK25422" s="183"/>
      <c r="AL25422" s="183"/>
    </row>
    <row r="25423" spans="1:38">
      <c r="A25423" s="182"/>
      <c r="Q25423" s="183"/>
      <c r="R25423" s="183"/>
      <c r="S25423" s="183"/>
      <c r="AJ25423" s="183"/>
    </row>
    <row r="25424" spans="1:38">
      <c r="A25424" s="182"/>
      <c r="Q25424" s="183"/>
      <c r="R25424" s="183"/>
      <c r="S25424" s="183"/>
    </row>
    <row r="25425" spans="1:38">
      <c r="A25425" s="182"/>
      <c r="Q25425" s="183"/>
      <c r="R25425" s="183"/>
      <c r="S25425" s="183"/>
    </row>
    <row r="25426" spans="1:38">
      <c r="A25426" s="182"/>
      <c r="Q25426" s="183"/>
      <c r="R25426" s="183"/>
      <c r="S25426" s="183"/>
    </row>
    <row r="25427" spans="1:38">
      <c r="A25427" s="182"/>
      <c r="Q25427" s="183"/>
      <c r="R25427" s="183"/>
      <c r="S25427" s="183"/>
      <c r="AK25427" s="183"/>
      <c r="AL25427" s="183"/>
    </row>
    <row r="25428" spans="1:38">
      <c r="A25428" s="182"/>
      <c r="Q25428" s="183"/>
      <c r="R25428" s="183"/>
      <c r="S25428" s="183"/>
      <c r="AJ25428" s="183"/>
      <c r="AK25428" s="183"/>
      <c r="AL25428" s="183"/>
    </row>
    <row r="25429" spans="1:38">
      <c r="A25429" s="182"/>
      <c r="Q25429" s="183"/>
      <c r="R25429" s="183"/>
      <c r="S25429" s="183"/>
      <c r="AJ25429" s="183"/>
      <c r="AK25429" s="183"/>
      <c r="AL25429" s="183"/>
    </row>
    <row r="25430" spans="1:38">
      <c r="A25430" s="182"/>
      <c r="Q25430" s="183"/>
      <c r="R25430" s="183"/>
      <c r="S25430" s="183"/>
      <c r="AJ25430" s="183"/>
      <c r="AK25430" s="183"/>
      <c r="AL25430" s="183"/>
    </row>
    <row r="25431" spans="1:38">
      <c r="A25431" s="182"/>
      <c r="Q25431" s="183"/>
      <c r="R25431" s="183"/>
      <c r="S25431" s="183"/>
      <c r="AJ25431" s="183"/>
    </row>
    <row r="25432" spans="1:38">
      <c r="A25432" s="182"/>
      <c r="Q25432" s="183"/>
      <c r="R25432" s="183"/>
      <c r="S25432" s="183"/>
    </row>
    <row r="25433" spans="1:38">
      <c r="A25433" s="182"/>
      <c r="Q25433" s="183"/>
      <c r="R25433" s="183"/>
      <c r="S25433" s="183"/>
    </row>
    <row r="25434" spans="1:38">
      <c r="A25434" s="182"/>
      <c r="Q25434" s="183"/>
      <c r="R25434" s="183"/>
      <c r="S25434" s="183"/>
    </row>
    <row r="25435" spans="1:38">
      <c r="A25435" s="182"/>
      <c r="Q25435" s="183"/>
      <c r="R25435" s="183"/>
      <c r="S25435" s="183"/>
      <c r="AK25435" s="183"/>
      <c r="AL25435" s="183"/>
    </row>
    <row r="25436" spans="1:38">
      <c r="A25436" s="182"/>
      <c r="Q25436" s="183"/>
      <c r="R25436" s="183"/>
      <c r="S25436" s="183"/>
      <c r="AJ25436" s="183"/>
      <c r="AK25436" s="183"/>
      <c r="AL25436" s="183"/>
    </row>
    <row r="25437" spans="1:38">
      <c r="A25437" s="182"/>
      <c r="Q25437" s="183"/>
      <c r="R25437" s="183"/>
      <c r="S25437" s="183"/>
      <c r="AJ25437" s="183"/>
      <c r="AK25437" s="183"/>
      <c r="AL25437" s="183"/>
    </row>
    <row r="25438" spans="1:38">
      <c r="A25438" s="182"/>
      <c r="Q25438" s="183"/>
      <c r="R25438" s="183"/>
      <c r="S25438" s="183"/>
      <c r="AJ25438" s="183"/>
      <c r="AK25438" s="183"/>
      <c r="AL25438" s="183"/>
    </row>
    <row r="25439" spans="1:38">
      <c r="A25439" s="182"/>
      <c r="Q25439" s="183"/>
      <c r="R25439" s="183"/>
      <c r="S25439" s="183"/>
      <c r="AJ25439" s="183"/>
    </row>
    <row r="25440" spans="1:38">
      <c r="A25440" s="182"/>
      <c r="Q25440" s="183"/>
      <c r="R25440" s="183"/>
      <c r="S25440" s="183"/>
    </row>
    <row r="25441" spans="1:19">
      <c r="A25441" s="182"/>
      <c r="Q25441" s="183"/>
      <c r="R25441" s="183"/>
      <c r="S25441" s="183"/>
    </row>
    <row r="25442" spans="1:19">
      <c r="A25442" s="182"/>
      <c r="Q25442" s="183"/>
      <c r="R25442" s="183"/>
      <c r="S25442" s="183"/>
    </row>
    <row r="25443" spans="1:19">
      <c r="A25443" s="182"/>
      <c r="Q25443" s="183"/>
      <c r="R25443" s="183"/>
      <c r="S25443" s="183"/>
    </row>
    <row r="25444" spans="1:19">
      <c r="A25444" s="182"/>
      <c r="Q25444" s="183"/>
      <c r="R25444" s="183"/>
      <c r="S25444" s="183"/>
    </row>
    <row r="25445" spans="1:19">
      <c r="A25445" s="182"/>
      <c r="Q25445" s="183"/>
      <c r="R25445" s="183"/>
      <c r="S25445" s="183"/>
    </row>
    <row r="25446" spans="1:19">
      <c r="A25446" s="182"/>
      <c r="Q25446" s="183"/>
      <c r="R25446" s="183"/>
      <c r="S25446" s="183"/>
    </row>
    <row r="25447" spans="1:19">
      <c r="A25447" s="182"/>
      <c r="Q25447" s="183"/>
      <c r="R25447" s="183"/>
      <c r="S25447" s="183"/>
    </row>
    <row r="25448" spans="1:19">
      <c r="A25448" s="182"/>
      <c r="Q25448" s="183"/>
      <c r="R25448" s="183"/>
      <c r="S25448" s="183"/>
    </row>
    <row r="25449" spans="1:19">
      <c r="A25449" s="182"/>
      <c r="Q25449" s="183"/>
      <c r="R25449" s="183"/>
      <c r="S25449" s="183"/>
    </row>
    <row r="25450" spans="1:19">
      <c r="A25450" s="182"/>
      <c r="Q25450" s="183"/>
      <c r="R25450" s="183"/>
      <c r="S25450" s="183"/>
    </row>
    <row r="25451" spans="1:19">
      <c r="A25451" s="182"/>
      <c r="Q25451" s="183"/>
      <c r="R25451" s="183"/>
      <c r="S25451" s="183"/>
    </row>
    <row r="25452" spans="1:19">
      <c r="A25452" s="182"/>
      <c r="Q25452" s="183"/>
      <c r="R25452" s="183"/>
      <c r="S25452" s="183"/>
    </row>
    <row r="25453" spans="1:19">
      <c r="A25453" s="182"/>
      <c r="Q25453" s="183"/>
      <c r="R25453" s="183"/>
      <c r="S25453" s="183"/>
    </row>
    <row r="25454" spans="1:19">
      <c r="A25454" s="182"/>
      <c r="Q25454" s="183"/>
      <c r="R25454" s="183"/>
      <c r="S25454" s="183"/>
    </row>
    <row r="25455" spans="1:19">
      <c r="A25455" s="182"/>
      <c r="Q25455" s="183"/>
      <c r="R25455" s="183"/>
      <c r="S25455" s="183"/>
    </row>
    <row r="25456" spans="1:19">
      <c r="A25456" s="182"/>
      <c r="Q25456" s="183"/>
      <c r="R25456" s="183"/>
      <c r="S25456" s="183"/>
    </row>
    <row r="25457" spans="1:38">
      <c r="A25457" s="182"/>
      <c r="Q25457" s="183"/>
      <c r="R25457" s="183"/>
      <c r="S25457" s="183"/>
    </row>
    <row r="25458" spans="1:38">
      <c r="A25458" s="182"/>
      <c r="Q25458" s="183"/>
      <c r="R25458" s="183"/>
      <c r="S25458" s="183"/>
    </row>
    <row r="25459" spans="1:38">
      <c r="A25459" s="182"/>
      <c r="Q25459" s="183"/>
      <c r="R25459" s="183"/>
      <c r="S25459" s="183"/>
    </row>
    <row r="25460" spans="1:38">
      <c r="A25460" s="182"/>
      <c r="Q25460" s="183"/>
      <c r="R25460" s="183"/>
      <c r="S25460" s="183"/>
    </row>
    <row r="25461" spans="1:38">
      <c r="A25461" s="182"/>
      <c r="Q25461" s="183"/>
      <c r="R25461" s="183"/>
      <c r="S25461" s="183"/>
    </row>
    <row r="25462" spans="1:38">
      <c r="A25462" s="182"/>
      <c r="Q25462" s="183"/>
      <c r="R25462" s="183"/>
      <c r="S25462" s="183"/>
    </row>
    <row r="25463" spans="1:38">
      <c r="A25463" s="182"/>
      <c r="Q25463" s="183"/>
      <c r="R25463" s="183"/>
      <c r="S25463" s="183"/>
    </row>
    <row r="25464" spans="1:38">
      <c r="A25464" s="182"/>
      <c r="Q25464" s="183"/>
      <c r="R25464" s="183"/>
      <c r="S25464" s="183"/>
    </row>
    <row r="25465" spans="1:38">
      <c r="A25465" s="182"/>
      <c r="Q25465" s="183"/>
      <c r="R25465" s="183"/>
      <c r="S25465" s="183"/>
    </row>
    <row r="25466" spans="1:38">
      <c r="A25466" s="182"/>
      <c r="Q25466" s="183"/>
      <c r="R25466" s="183"/>
      <c r="S25466" s="183"/>
    </row>
    <row r="25467" spans="1:38">
      <c r="A25467" s="182"/>
      <c r="Q25467" s="183"/>
      <c r="R25467" s="183"/>
      <c r="S25467" s="183"/>
      <c r="AK25467" s="183"/>
      <c r="AL25467" s="183"/>
    </row>
    <row r="25468" spans="1:38">
      <c r="A25468" s="182"/>
      <c r="Q25468" s="183"/>
      <c r="R25468" s="183"/>
      <c r="S25468" s="183"/>
      <c r="AJ25468" s="183"/>
      <c r="AK25468" s="183"/>
      <c r="AL25468" s="183"/>
    </row>
    <row r="25469" spans="1:38">
      <c r="A25469" s="182"/>
      <c r="Q25469" s="183"/>
      <c r="R25469" s="183"/>
      <c r="S25469" s="183"/>
      <c r="AJ25469" s="183"/>
      <c r="AK25469" s="183"/>
      <c r="AL25469" s="183"/>
    </row>
    <row r="25470" spans="1:38">
      <c r="A25470" s="182"/>
      <c r="Q25470" s="183"/>
      <c r="R25470" s="183"/>
      <c r="S25470" s="183"/>
      <c r="AJ25470" s="183"/>
      <c r="AK25470" s="183"/>
      <c r="AL25470" s="183"/>
    </row>
    <row r="25471" spans="1:38">
      <c r="A25471" s="182"/>
      <c r="Q25471" s="183"/>
      <c r="R25471" s="183"/>
      <c r="S25471" s="183"/>
      <c r="AJ25471" s="183"/>
    </row>
    <row r="25472" spans="1:38">
      <c r="A25472" s="182"/>
      <c r="Q25472" s="183"/>
      <c r="R25472" s="183"/>
      <c r="S25472" s="183"/>
    </row>
    <row r="25473" spans="1:19">
      <c r="A25473" s="182"/>
      <c r="Q25473" s="183"/>
      <c r="R25473" s="183"/>
      <c r="S25473" s="183"/>
    </row>
    <row r="25474" spans="1:19">
      <c r="A25474" s="182"/>
      <c r="Q25474" s="183"/>
      <c r="R25474" s="183"/>
      <c r="S25474" s="183"/>
    </row>
    <row r="25475" spans="1:19">
      <c r="A25475" s="182"/>
      <c r="Q25475" s="183"/>
      <c r="R25475" s="183"/>
      <c r="S25475" s="183"/>
    </row>
    <row r="25476" spans="1:19">
      <c r="A25476" s="182"/>
      <c r="Q25476" s="183"/>
      <c r="R25476" s="183"/>
      <c r="S25476" s="183"/>
    </row>
    <row r="25477" spans="1:19">
      <c r="A25477" s="182"/>
      <c r="Q25477" s="183"/>
      <c r="R25477" s="183"/>
      <c r="S25477" s="183"/>
    </row>
    <row r="25478" spans="1:19">
      <c r="A25478" s="182"/>
      <c r="Q25478" s="183"/>
      <c r="R25478" s="183"/>
      <c r="S25478" s="183"/>
    </row>
    <row r="25479" spans="1:19">
      <c r="A25479" s="182"/>
      <c r="Q25479" s="183"/>
      <c r="R25479" s="183"/>
      <c r="S25479" s="183"/>
    </row>
    <row r="25480" spans="1:19">
      <c r="A25480" s="182"/>
      <c r="Q25480" s="183"/>
      <c r="R25480" s="183"/>
      <c r="S25480" s="183"/>
    </row>
    <row r="25481" spans="1:19">
      <c r="A25481" s="182"/>
      <c r="Q25481" s="183"/>
      <c r="R25481" s="183"/>
      <c r="S25481" s="183"/>
    </row>
    <row r="25482" spans="1:19">
      <c r="A25482" s="182"/>
      <c r="Q25482" s="183"/>
      <c r="R25482" s="183"/>
      <c r="S25482" s="183"/>
    </row>
    <row r="25483" spans="1:19">
      <c r="A25483" s="182"/>
      <c r="Q25483" s="183"/>
      <c r="R25483" s="183"/>
      <c r="S25483" s="183"/>
    </row>
    <row r="25484" spans="1:19">
      <c r="A25484" s="182"/>
      <c r="Q25484" s="183"/>
      <c r="R25484" s="183"/>
      <c r="S25484" s="183"/>
    </row>
    <row r="25485" spans="1:19">
      <c r="A25485" s="182"/>
      <c r="Q25485" s="183"/>
      <c r="R25485" s="183"/>
      <c r="S25485" s="183"/>
    </row>
    <row r="25486" spans="1:19">
      <c r="A25486" s="182"/>
      <c r="Q25486" s="183"/>
      <c r="R25486" s="183"/>
      <c r="S25486" s="183"/>
    </row>
    <row r="25487" spans="1:19">
      <c r="A25487" s="182"/>
      <c r="Q25487" s="183"/>
      <c r="R25487" s="183"/>
      <c r="S25487" s="183"/>
    </row>
    <row r="25488" spans="1:19">
      <c r="A25488" s="182"/>
      <c r="Q25488" s="183"/>
      <c r="R25488" s="183"/>
      <c r="S25488" s="183"/>
    </row>
    <row r="25489" spans="1:38">
      <c r="A25489" s="182"/>
      <c r="Q25489" s="183"/>
      <c r="R25489" s="183"/>
      <c r="S25489" s="183"/>
    </row>
    <row r="25490" spans="1:38">
      <c r="A25490" s="182"/>
      <c r="Q25490" s="183"/>
      <c r="R25490" s="183"/>
      <c r="S25490" s="183"/>
    </row>
    <row r="25491" spans="1:38">
      <c r="A25491" s="182"/>
      <c r="Q25491" s="183"/>
      <c r="R25491" s="183"/>
      <c r="S25491" s="183"/>
    </row>
    <row r="25492" spans="1:38">
      <c r="A25492" s="182"/>
      <c r="Q25492" s="183"/>
      <c r="R25492" s="183"/>
      <c r="S25492" s="183"/>
    </row>
    <row r="25493" spans="1:38">
      <c r="A25493" s="182"/>
      <c r="Q25493" s="183"/>
      <c r="R25493" s="183"/>
      <c r="S25493" s="183"/>
    </row>
    <row r="25494" spans="1:38">
      <c r="A25494" s="182"/>
      <c r="Q25494" s="183"/>
      <c r="R25494" s="183"/>
      <c r="S25494" s="183"/>
    </row>
    <row r="25495" spans="1:38">
      <c r="A25495" s="182"/>
      <c r="Q25495" s="183"/>
      <c r="R25495" s="183"/>
      <c r="S25495" s="183"/>
    </row>
    <row r="25496" spans="1:38">
      <c r="A25496" s="182"/>
      <c r="Q25496" s="183"/>
      <c r="R25496" s="183"/>
      <c r="S25496" s="183"/>
    </row>
    <row r="25497" spans="1:38">
      <c r="A25497" s="182"/>
      <c r="Q25497" s="183"/>
      <c r="R25497" s="183"/>
      <c r="S25497" s="183"/>
    </row>
    <row r="25498" spans="1:38">
      <c r="A25498" s="182"/>
      <c r="Q25498" s="183"/>
      <c r="R25498" s="183"/>
      <c r="S25498" s="183"/>
    </row>
    <row r="25499" spans="1:38">
      <c r="A25499" s="182"/>
      <c r="Q25499" s="183"/>
      <c r="R25499" s="183"/>
      <c r="S25499" s="183"/>
    </row>
    <row r="25500" spans="1:38">
      <c r="A25500" s="182"/>
      <c r="Q25500" s="183"/>
      <c r="R25500" s="183"/>
      <c r="S25500" s="183"/>
    </row>
    <row r="25501" spans="1:38">
      <c r="A25501" s="182"/>
      <c r="Q25501" s="183"/>
      <c r="R25501" s="183"/>
      <c r="S25501" s="183"/>
    </row>
    <row r="25502" spans="1:38">
      <c r="A25502" s="182"/>
      <c r="Q25502" s="183"/>
      <c r="R25502" s="183"/>
      <c r="S25502" s="183"/>
    </row>
    <row r="25503" spans="1:38">
      <c r="A25503" s="182"/>
      <c r="Q25503" s="183"/>
      <c r="R25503" s="183"/>
      <c r="S25503" s="183"/>
      <c r="AK25503" s="183"/>
      <c r="AL25503" s="183"/>
    </row>
    <row r="25504" spans="1:38">
      <c r="A25504" s="182"/>
      <c r="Q25504" s="183"/>
      <c r="R25504" s="183"/>
      <c r="S25504" s="183"/>
      <c r="AJ25504" s="183"/>
      <c r="AK25504" s="183"/>
      <c r="AL25504" s="183"/>
    </row>
    <row r="25505" spans="1:38">
      <c r="A25505" s="182"/>
      <c r="Q25505" s="183"/>
      <c r="R25505" s="183"/>
      <c r="S25505" s="183"/>
      <c r="AJ25505" s="183"/>
      <c r="AK25505" s="183"/>
      <c r="AL25505" s="183"/>
    </row>
    <row r="25506" spans="1:38">
      <c r="A25506" s="182"/>
      <c r="Q25506" s="183"/>
      <c r="R25506" s="183"/>
      <c r="S25506" s="183"/>
      <c r="AJ25506" s="183"/>
      <c r="AK25506" s="183"/>
      <c r="AL25506" s="183"/>
    </row>
    <row r="25507" spans="1:38">
      <c r="A25507" s="182"/>
      <c r="Q25507" s="183"/>
      <c r="R25507" s="183"/>
      <c r="S25507" s="183"/>
      <c r="AJ25507" s="183"/>
    </row>
    <row r="25508" spans="1:38">
      <c r="A25508" s="182"/>
      <c r="Q25508" s="183"/>
      <c r="R25508" s="183"/>
      <c r="S25508" s="183"/>
    </row>
    <row r="25509" spans="1:38">
      <c r="A25509" s="182"/>
      <c r="Q25509" s="183"/>
      <c r="R25509" s="183"/>
      <c r="S25509" s="183"/>
    </row>
    <row r="25510" spans="1:38">
      <c r="A25510" s="182"/>
      <c r="Q25510" s="183"/>
      <c r="R25510" s="183"/>
      <c r="S25510" s="183"/>
    </row>
    <row r="25511" spans="1:38">
      <c r="A25511" s="182"/>
      <c r="Q25511" s="183"/>
      <c r="R25511" s="183"/>
      <c r="S25511" s="183"/>
    </row>
    <row r="25512" spans="1:38">
      <c r="A25512" s="182"/>
      <c r="Q25512" s="183"/>
      <c r="R25512" s="183"/>
      <c r="S25512" s="183"/>
    </row>
    <row r="25513" spans="1:38">
      <c r="A25513" s="182"/>
      <c r="Q25513" s="183"/>
      <c r="R25513" s="183"/>
      <c r="S25513" s="183"/>
    </row>
    <row r="25514" spans="1:38">
      <c r="A25514" s="182"/>
      <c r="Q25514" s="183"/>
      <c r="R25514" s="183"/>
      <c r="S25514" s="183"/>
    </row>
    <row r="25515" spans="1:38">
      <c r="A25515" s="182"/>
      <c r="Q25515" s="183"/>
      <c r="R25515" s="183"/>
      <c r="S25515" s="183"/>
    </row>
    <row r="25516" spans="1:38">
      <c r="A25516" s="182"/>
      <c r="Q25516" s="183"/>
      <c r="R25516" s="183"/>
      <c r="S25516" s="183"/>
    </row>
    <row r="25517" spans="1:38">
      <c r="A25517" s="182"/>
      <c r="Q25517" s="183"/>
      <c r="R25517" s="183"/>
      <c r="S25517" s="183"/>
    </row>
    <row r="25518" spans="1:38">
      <c r="A25518" s="182"/>
      <c r="Q25518" s="183"/>
      <c r="R25518" s="183"/>
      <c r="S25518" s="183"/>
    </row>
    <row r="25519" spans="1:38">
      <c r="A25519" s="182"/>
      <c r="Q25519" s="183"/>
      <c r="R25519" s="183"/>
      <c r="S25519" s="183"/>
      <c r="AK25519" s="183"/>
      <c r="AL25519" s="183"/>
    </row>
    <row r="25520" spans="1:38">
      <c r="A25520" s="182"/>
      <c r="Q25520" s="183"/>
      <c r="R25520" s="183"/>
      <c r="S25520" s="183"/>
      <c r="AJ25520" s="183"/>
      <c r="AK25520" s="183"/>
      <c r="AL25520" s="183"/>
    </row>
    <row r="25521" spans="1:38">
      <c r="A25521" s="182"/>
      <c r="Q25521" s="183"/>
      <c r="R25521" s="183"/>
      <c r="S25521" s="183"/>
      <c r="AJ25521" s="183"/>
      <c r="AK25521" s="183"/>
      <c r="AL25521" s="183"/>
    </row>
    <row r="25522" spans="1:38">
      <c r="A25522" s="182"/>
      <c r="Q25522" s="183"/>
      <c r="R25522" s="183"/>
      <c r="S25522" s="183"/>
      <c r="AJ25522" s="183"/>
      <c r="AK25522" s="183"/>
      <c r="AL25522" s="183"/>
    </row>
    <row r="25523" spans="1:38">
      <c r="A25523" s="182"/>
      <c r="Q25523" s="183"/>
      <c r="R25523" s="183"/>
      <c r="S25523" s="183"/>
      <c r="AJ25523" s="183"/>
    </row>
    <row r="25524" spans="1:38">
      <c r="A25524" s="182"/>
      <c r="Q25524" s="183"/>
      <c r="R25524" s="183"/>
      <c r="S25524" s="183"/>
    </row>
    <row r="25525" spans="1:38">
      <c r="A25525" s="182"/>
      <c r="Q25525" s="183"/>
      <c r="R25525" s="183"/>
      <c r="S25525" s="183"/>
    </row>
    <row r="25526" spans="1:38">
      <c r="A25526" s="182"/>
      <c r="Q25526" s="183"/>
      <c r="R25526" s="183"/>
      <c r="S25526" s="183"/>
    </row>
    <row r="25527" spans="1:38">
      <c r="A25527" s="182"/>
      <c r="Q25527" s="183"/>
      <c r="R25527" s="183"/>
      <c r="S25527" s="183"/>
    </row>
    <row r="25528" spans="1:38">
      <c r="A25528" s="182"/>
      <c r="Q25528" s="183"/>
      <c r="R25528" s="183"/>
      <c r="S25528" s="183"/>
    </row>
    <row r="25529" spans="1:38">
      <c r="A25529" s="182"/>
      <c r="Q25529" s="183"/>
      <c r="R25529" s="183"/>
      <c r="S25529" s="183"/>
    </row>
    <row r="25530" spans="1:38">
      <c r="A25530" s="182"/>
      <c r="Q25530" s="183"/>
      <c r="R25530" s="183"/>
      <c r="S25530" s="183"/>
    </row>
    <row r="25531" spans="1:38">
      <c r="A25531" s="182"/>
      <c r="Q25531" s="183"/>
      <c r="R25531" s="183"/>
      <c r="S25531" s="183"/>
      <c r="AK25531" s="183"/>
      <c r="AL25531" s="183"/>
    </row>
    <row r="25532" spans="1:38">
      <c r="A25532" s="182"/>
      <c r="Q25532" s="183"/>
      <c r="R25532" s="183"/>
      <c r="S25532" s="183"/>
      <c r="AJ25532" s="183"/>
      <c r="AK25532" s="183"/>
      <c r="AL25532" s="183"/>
    </row>
    <row r="25533" spans="1:38">
      <c r="A25533" s="182"/>
      <c r="Q25533" s="183"/>
      <c r="R25533" s="183"/>
      <c r="S25533" s="183"/>
      <c r="AJ25533" s="183"/>
      <c r="AK25533" s="183"/>
      <c r="AL25533" s="183"/>
    </row>
    <row r="25534" spans="1:38">
      <c r="A25534" s="182"/>
      <c r="Q25534" s="183"/>
      <c r="R25534" s="183"/>
      <c r="S25534" s="183"/>
      <c r="AJ25534" s="183"/>
      <c r="AK25534" s="183"/>
      <c r="AL25534" s="183"/>
    </row>
    <row r="25535" spans="1:38">
      <c r="A25535" s="182"/>
      <c r="Q25535" s="183"/>
      <c r="R25535" s="183"/>
      <c r="S25535" s="183"/>
      <c r="AJ25535" s="183"/>
      <c r="AK25535" s="183"/>
      <c r="AL25535" s="183"/>
    </row>
    <row r="25536" spans="1:38">
      <c r="A25536" s="182"/>
      <c r="Q25536" s="183"/>
      <c r="R25536" s="183"/>
      <c r="S25536" s="183"/>
      <c r="AJ25536" s="183"/>
      <c r="AK25536" s="183"/>
      <c r="AL25536" s="183"/>
    </row>
    <row r="25537" spans="1:38">
      <c r="A25537" s="182"/>
      <c r="Q25537" s="183"/>
      <c r="R25537" s="183"/>
      <c r="S25537" s="183"/>
      <c r="AJ25537" s="183"/>
      <c r="AK25537" s="183"/>
      <c r="AL25537" s="183"/>
    </row>
    <row r="25538" spans="1:38">
      <c r="A25538" s="182"/>
      <c r="Q25538" s="183"/>
      <c r="R25538" s="183"/>
      <c r="S25538" s="183"/>
      <c r="AJ25538" s="183"/>
      <c r="AK25538" s="183"/>
      <c r="AL25538" s="183"/>
    </row>
    <row r="25539" spans="1:38">
      <c r="A25539" s="182"/>
      <c r="Q25539" s="183"/>
      <c r="R25539" s="183"/>
      <c r="S25539" s="183"/>
      <c r="AJ25539" s="183"/>
    </row>
    <row r="25540" spans="1:38">
      <c r="A25540" s="182"/>
      <c r="Q25540" s="183"/>
      <c r="R25540" s="183"/>
      <c r="S25540" s="183"/>
    </row>
    <row r="25541" spans="1:38">
      <c r="A25541" s="182"/>
      <c r="Q25541" s="183"/>
      <c r="R25541" s="183"/>
      <c r="S25541" s="183"/>
    </row>
    <row r="25542" spans="1:38">
      <c r="A25542" s="182"/>
      <c r="Q25542" s="183"/>
      <c r="R25542" s="183"/>
      <c r="S25542" s="183"/>
    </row>
    <row r="25543" spans="1:38">
      <c r="A25543" s="182"/>
      <c r="Q25543" s="183"/>
      <c r="R25543" s="183"/>
      <c r="S25543" s="183"/>
      <c r="AK25543" s="183"/>
      <c r="AL25543" s="183"/>
    </row>
    <row r="25544" spans="1:38">
      <c r="A25544" s="182"/>
      <c r="Q25544" s="183"/>
      <c r="R25544" s="183"/>
      <c r="S25544" s="183"/>
      <c r="AJ25544" s="183"/>
      <c r="AK25544" s="183"/>
      <c r="AL25544" s="183"/>
    </row>
    <row r="25545" spans="1:38">
      <c r="A25545" s="182"/>
      <c r="Q25545" s="183"/>
      <c r="R25545" s="183"/>
      <c r="S25545" s="183"/>
      <c r="AJ25545" s="183"/>
      <c r="AK25545" s="183"/>
      <c r="AL25545" s="183"/>
    </row>
    <row r="25546" spans="1:38">
      <c r="A25546" s="182"/>
      <c r="Q25546" s="183"/>
      <c r="R25546" s="183"/>
      <c r="S25546" s="183"/>
      <c r="AJ25546" s="183"/>
      <c r="AK25546" s="183"/>
      <c r="AL25546" s="183"/>
    </row>
    <row r="25547" spans="1:38">
      <c r="A25547" s="182"/>
      <c r="Q25547" s="183"/>
      <c r="R25547" s="183"/>
      <c r="S25547" s="183"/>
      <c r="AJ25547" s="183"/>
    </row>
    <row r="25548" spans="1:38">
      <c r="A25548" s="182"/>
      <c r="Q25548" s="183"/>
      <c r="R25548" s="183"/>
      <c r="S25548" s="183"/>
    </row>
    <row r="25549" spans="1:38">
      <c r="A25549" s="182"/>
      <c r="Q25549" s="183"/>
      <c r="R25549" s="183"/>
      <c r="S25549" s="183"/>
    </row>
    <row r="25550" spans="1:38">
      <c r="A25550" s="182"/>
      <c r="Q25550" s="183"/>
      <c r="R25550" s="183"/>
      <c r="S25550" s="183"/>
    </row>
    <row r="25551" spans="1:38">
      <c r="A25551" s="182"/>
      <c r="Q25551" s="183"/>
      <c r="R25551" s="183"/>
      <c r="S25551" s="183"/>
    </row>
    <row r="25552" spans="1:38">
      <c r="A25552" s="182"/>
      <c r="Q25552" s="183"/>
      <c r="R25552" s="183"/>
      <c r="S25552" s="183"/>
    </row>
    <row r="25553" spans="1:38">
      <c r="A25553" s="182"/>
      <c r="Q25553" s="183"/>
      <c r="R25553" s="183"/>
      <c r="S25553" s="183"/>
    </row>
    <row r="25554" spans="1:38">
      <c r="A25554" s="182"/>
      <c r="Q25554" s="183"/>
      <c r="R25554" s="183"/>
      <c r="S25554" s="183"/>
    </row>
    <row r="25555" spans="1:38">
      <c r="A25555" s="182"/>
      <c r="Q25555" s="183"/>
      <c r="R25555" s="183"/>
      <c r="S25555" s="183"/>
    </row>
    <row r="25556" spans="1:38">
      <c r="A25556" s="182"/>
      <c r="Q25556" s="183"/>
      <c r="R25556" s="183"/>
      <c r="S25556" s="183"/>
    </row>
    <row r="25557" spans="1:38">
      <c r="A25557" s="182"/>
      <c r="Q25557" s="183"/>
      <c r="R25557" s="183"/>
      <c r="S25557" s="183"/>
    </row>
    <row r="25558" spans="1:38">
      <c r="A25558" s="182"/>
      <c r="Q25558" s="183"/>
      <c r="R25558" s="183"/>
      <c r="S25558" s="183"/>
    </row>
    <row r="25559" spans="1:38">
      <c r="A25559" s="182"/>
      <c r="Q25559" s="183"/>
      <c r="R25559" s="183"/>
      <c r="S25559" s="183"/>
    </row>
    <row r="25560" spans="1:38">
      <c r="A25560" s="182"/>
      <c r="Q25560" s="183"/>
      <c r="R25560" s="183"/>
      <c r="S25560" s="183"/>
    </row>
    <row r="25561" spans="1:38">
      <c r="A25561" s="182"/>
      <c r="Q25561" s="183"/>
      <c r="R25561" s="183"/>
      <c r="S25561" s="183"/>
    </row>
    <row r="25562" spans="1:38">
      <c r="A25562" s="182"/>
      <c r="Q25562" s="183"/>
      <c r="R25562" s="183"/>
      <c r="S25562" s="183"/>
    </row>
    <row r="25563" spans="1:38">
      <c r="A25563" s="182"/>
      <c r="Q25563" s="183"/>
      <c r="R25563" s="183"/>
      <c r="S25563" s="183"/>
      <c r="AK25563" s="183"/>
      <c r="AL25563" s="183"/>
    </row>
    <row r="25564" spans="1:38">
      <c r="A25564" s="182"/>
      <c r="Q25564" s="183"/>
      <c r="R25564" s="183"/>
      <c r="S25564" s="183"/>
      <c r="AJ25564" s="183"/>
      <c r="AK25564" s="183"/>
      <c r="AL25564" s="183"/>
    </row>
    <row r="25565" spans="1:38">
      <c r="A25565" s="182"/>
      <c r="Q25565" s="183"/>
      <c r="R25565" s="183"/>
      <c r="S25565" s="183"/>
      <c r="AJ25565" s="183"/>
      <c r="AK25565" s="183"/>
      <c r="AL25565" s="183"/>
    </row>
    <row r="25566" spans="1:38">
      <c r="A25566" s="182"/>
      <c r="Q25566" s="183"/>
      <c r="R25566" s="183"/>
      <c r="S25566" s="183"/>
      <c r="AJ25566" s="183"/>
      <c r="AK25566" s="183"/>
      <c r="AL25566" s="183"/>
    </row>
    <row r="25567" spans="1:38">
      <c r="A25567" s="182"/>
      <c r="Q25567" s="183"/>
      <c r="R25567" s="183"/>
      <c r="S25567" s="183"/>
      <c r="AJ25567" s="183"/>
    </row>
    <row r="25568" spans="1:38">
      <c r="A25568" s="182"/>
      <c r="Q25568" s="183"/>
      <c r="R25568" s="183"/>
      <c r="S25568" s="183"/>
    </row>
    <row r="25569" spans="1:38">
      <c r="A25569" s="182"/>
      <c r="Q25569" s="183"/>
      <c r="R25569" s="183"/>
      <c r="S25569" s="183"/>
    </row>
    <row r="25570" spans="1:38">
      <c r="A25570" s="182"/>
      <c r="Q25570" s="183"/>
      <c r="R25570" s="183"/>
      <c r="S25570" s="183"/>
    </row>
    <row r="25571" spans="1:38">
      <c r="A25571" s="182"/>
      <c r="Q25571" s="183"/>
      <c r="R25571" s="183"/>
      <c r="S25571" s="183"/>
      <c r="AK25571" s="183"/>
      <c r="AL25571" s="183"/>
    </row>
    <row r="25572" spans="1:38">
      <c r="A25572" s="182"/>
      <c r="Q25572" s="183"/>
      <c r="R25572" s="183"/>
      <c r="S25572" s="183"/>
      <c r="AJ25572" s="183"/>
      <c r="AK25572" s="183"/>
      <c r="AL25572" s="183"/>
    </row>
    <row r="25573" spans="1:38">
      <c r="A25573" s="182"/>
      <c r="Q25573" s="183"/>
      <c r="R25573" s="183"/>
      <c r="S25573" s="183"/>
      <c r="AJ25573" s="183"/>
      <c r="AK25573" s="183"/>
      <c r="AL25573" s="183"/>
    </row>
    <row r="25574" spans="1:38">
      <c r="A25574" s="182"/>
      <c r="Q25574" s="183"/>
      <c r="R25574" s="183"/>
      <c r="S25574" s="183"/>
      <c r="AJ25574" s="183"/>
      <c r="AK25574" s="183"/>
      <c r="AL25574" s="183"/>
    </row>
    <row r="25575" spans="1:38">
      <c r="A25575" s="182"/>
      <c r="Q25575" s="183"/>
      <c r="R25575" s="183"/>
      <c r="S25575" s="183"/>
      <c r="AJ25575" s="183"/>
    </row>
    <row r="25576" spans="1:38">
      <c r="A25576" s="182"/>
      <c r="Q25576" s="183"/>
      <c r="R25576" s="183"/>
      <c r="S25576" s="183"/>
    </row>
    <row r="25577" spans="1:38">
      <c r="A25577" s="182"/>
      <c r="Q25577" s="183"/>
      <c r="R25577" s="183"/>
      <c r="S25577" s="183"/>
    </row>
    <row r="25578" spans="1:38">
      <c r="A25578" s="182"/>
      <c r="Q25578" s="183"/>
      <c r="R25578" s="183"/>
      <c r="S25578" s="183"/>
    </row>
    <row r="25579" spans="1:38">
      <c r="A25579" s="182"/>
      <c r="Q25579" s="183"/>
      <c r="R25579" s="183"/>
      <c r="S25579" s="183"/>
    </row>
    <row r="25580" spans="1:38">
      <c r="A25580" s="182"/>
      <c r="Q25580" s="183"/>
      <c r="R25580" s="183"/>
      <c r="S25580" s="183"/>
    </row>
    <row r="25581" spans="1:38">
      <c r="A25581" s="182"/>
      <c r="Q25581" s="183"/>
      <c r="R25581" s="183"/>
      <c r="S25581" s="183"/>
    </row>
    <row r="25582" spans="1:38">
      <c r="A25582" s="182"/>
      <c r="Q25582" s="183"/>
      <c r="R25582" s="183"/>
      <c r="S25582" s="183"/>
    </row>
    <row r="25583" spans="1:38">
      <c r="A25583" s="182"/>
      <c r="Q25583" s="183"/>
      <c r="R25583" s="183"/>
      <c r="S25583" s="183"/>
    </row>
    <row r="25584" spans="1:38">
      <c r="A25584" s="182"/>
      <c r="Q25584" s="183"/>
      <c r="R25584" s="183"/>
      <c r="S25584" s="183"/>
    </row>
    <row r="25585" spans="1:19">
      <c r="A25585" s="182"/>
      <c r="Q25585" s="183"/>
      <c r="R25585" s="183"/>
      <c r="S25585" s="183"/>
    </row>
    <row r="25586" spans="1:19">
      <c r="A25586" s="182"/>
      <c r="Q25586" s="183"/>
      <c r="R25586" s="183"/>
      <c r="S25586" s="183"/>
    </row>
    <row r="25587" spans="1:19">
      <c r="A25587" s="182"/>
      <c r="Q25587" s="183"/>
      <c r="R25587" s="183"/>
      <c r="S25587" s="183"/>
    </row>
    <row r="25588" spans="1:19">
      <c r="A25588" s="182"/>
      <c r="Q25588" s="183"/>
      <c r="R25588" s="183"/>
      <c r="S25588" s="183"/>
    </row>
    <row r="25589" spans="1:19">
      <c r="A25589" s="182"/>
      <c r="Q25589" s="183"/>
      <c r="R25589" s="183"/>
      <c r="S25589" s="183"/>
    </row>
    <row r="25590" spans="1:19">
      <c r="A25590" s="182"/>
      <c r="Q25590" s="183"/>
      <c r="R25590" s="183"/>
      <c r="S25590" s="183"/>
    </row>
    <row r="25591" spans="1:19">
      <c r="A25591" s="182"/>
      <c r="Q25591" s="183"/>
      <c r="R25591" s="183"/>
      <c r="S25591" s="183"/>
    </row>
    <row r="25592" spans="1:19">
      <c r="A25592" s="182"/>
      <c r="Q25592" s="183"/>
      <c r="R25592" s="183"/>
      <c r="S25592" s="183"/>
    </row>
    <row r="25593" spans="1:19">
      <c r="A25593" s="182"/>
      <c r="Q25593" s="183"/>
      <c r="R25593" s="183"/>
      <c r="S25593" s="183"/>
    </row>
    <row r="25594" spans="1:19">
      <c r="A25594" s="182"/>
      <c r="Q25594" s="183"/>
      <c r="R25594" s="183"/>
      <c r="S25594" s="183"/>
    </row>
    <row r="25595" spans="1:19">
      <c r="A25595" s="182"/>
      <c r="Q25595" s="183"/>
      <c r="R25595" s="183"/>
      <c r="S25595" s="183"/>
    </row>
    <row r="25596" spans="1:19">
      <c r="A25596" s="182"/>
      <c r="Q25596" s="183"/>
      <c r="R25596" s="183"/>
      <c r="S25596" s="183"/>
    </row>
    <row r="25597" spans="1:19">
      <c r="A25597" s="182"/>
      <c r="Q25597" s="183"/>
      <c r="R25597" s="183"/>
      <c r="S25597" s="183"/>
    </row>
    <row r="25598" spans="1:19">
      <c r="A25598" s="182"/>
      <c r="Q25598" s="183"/>
      <c r="R25598" s="183"/>
      <c r="S25598" s="183"/>
    </row>
    <row r="25599" spans="1:19">
      <c r="A25599" s="182"/>
      <c r="Q25599" s="183"/>
      <c r="R25599" s="183"/>
      <c r="S25599" s="183"/>
    </row>
    <row r="25600" spans="1:19">
      <c r="A25600" s="182"/>
      <c r="Q25600" s="183"/>
      <c r="R25600" s="183"/>
      <c r="S25600" s="183"/>
    </row>
    <row r="25601" spans="1:19">
      <c r="A25601" s="182"/>
      <c r="Q25601" s="183"/>
      <c r="R25601" s="183"/>
      <c r="S25601" s="183"/>
    </row>
    <row r="25602" spans="1:19">
      <c r="A25602" s="182"/>
      <c r="Q25602" s="183"/>
      <c r="R25602" s="183"/>
      <c r="S25602" s="183"/>
    </row>
    <row r="25603" spans="1:19">
      <c r="A25603" s="182"/>
      <c r="Q25603" s="183"/>
      <c r="R25603" s="183"/>
      <c r="S25603" s="183"/>
    </row>
    <row r="25604" spans="1:19">
      <c r="A25604" s="182"/>
      <c r="Q25604" s="183"/>
      <c r="R25604" s="183"/>
      <c r="S25604" s="183"/>
    </row>
    <row r="25605" spans="1:19">
      <c r="A25605" s="182"/>
      <c r="Q25605" s="183"/>
      <c r="R25605" s="183"/>
      <c r="S25605" s="183"/>
    </row>
    <row r="25606" spans="1:19">
      <c r="A25606" s="182"/>
      <c r="Q25606" s="183"/>
      <c r="R25606" s="183"/>
      <c r="S25606" s="183"/>
    </row>
    <row r="25607" spans="1:19">
      <c r="A25607" s="182"/>
      <c r="Q25607" s="183"/>
      <c r="R25607" s="183"/>
      <c r="S25607" s="183"/>
    </row>
    <row r="25608" spans="1:19">
      <c r="A25608" s="182"/>
      <c r="Q25608" s="183"/>
      <c r="R25608" s="183"/>
      <c r="S25608" s="183"/>
    </row>
    <row r="25609" spans="1:19">
      <c r="A25609" s="182"/>
      <c r="Q25609" s="183"/>
      <c r="R25609" s="183"/>
      <c r="S25609" s="183"/>
    </row>
    <row r="25610" spans="1:19">
      <c r="A25610" s="182"/>
      <c r="Q25610" s="183"/>
      <c r="R25610" s="183"/>
      <c r="S25610" s="183"/>
    </row>
    <row r="25611" spans="1:19">
      <c r="A25611" s="182"/>
      <c r="Q25611" s="183"/>
      <c r="R25611" s="183"/>
      <c r="S25611" s="183"/>
    </row>
    <row r="25612" spans="1:19">
      <c r="A25612" s="182"/>
      <c r="Q25612" s="183"/>
      <c r="R25612" s="183"/>
      <c r="S25612" s="183"/>
    </row>
    <row r="25613" spans="1:19">
      <c r="A25613" s="182"/>
      <c r="Q25613" s="183"/>
      <c r="R25613" s="183"/>
      <c r="S25613" s="183"/>
    </row>
    <row r="25614" spans="1:19">
      <c r="A25614" s="182"/>
      <c r="Q25614" s="183"/>
      <c r="R25614" s="183"/>
      <c r="S25614" s="183"/>
    </row>
    <row r="25615" spans="1:19">
      <c r="A25615" s="182"/>
      <c r="Q25615" s="183"/>
      <c r="R25615" s="183"/>
      <c r="S25615" s="183"/>
    </row>
    <row r="25616" spans="1:19">
      <c r="A25616" s="182"/>
      <c r="Q25616" s="183"/>
      <c r="R25616" s="183"/>
      <c r="S25616" s="183"/>
    </row>
    <row r="25617" spans="1:38">
      <c r="A25617" s="182"/>
      <c r="Q25617" s="183"/>
      <c r="R25617" s="183"/>
      <c r="S25617" s="183"/>
    </row>
    <row r="25618" spans="1:38">
      <c r="A25618" s="182"/>
      <c r="Q25618" s="183"/>
      <c r="R25618" s="183"/>
      <c r="S25618" s="183"/>
    </row>
    <row r="25619" spans="1:38">
      <c r="A25619" s="182"/>
      <c r="Q25619" s="183"/>
      <c r="R25619" s="183"/>
      <c r="S25619" s="183"/>
    </row>
    <row r="25620" spans="1:38">
      <c r="A25620" s="182"/>
      <c r="Q25620" s="183"/>
      <c r="R25620" s="183"/>
      <c r="S25620" s="183"/>
    </row>
    <row r="25621" spans="1:38">
      <c r="A25621" s="182"/>
      <c r="Q25621" s="183"/>
      <c r="R25621" s="183"/>
      <c r="S25621" s="183"/>
    </row>
    <row r="25622" spans="1:38">
      <c r="A25622" s="182"/>
      <c r="Q25622" s="183"/>
      <c r="R25622" s="183"/>
      <c r="S25622" s="183"/>
    </row>
    <row r="25623" spans="1:38">
      <c r="A25623" s="182"/>
      <c r="Q25623" s="183"/>
      <c r="R25623" s="183"/>
      <c r="S25623" s="183"/>
      <c r="AK25623" s="183"/>
      <c r="AL25623" s="183"/>
    </row>
    <row r="25624" spans="1:38">
      <c r="A25624" s="182"/>
      <c r="Q25624" s="183"/>
      <c r="R25624" s="183"/>
      <c r="S25624" s="183"/>
      <c r="AJ25624" s="183"/>
      <c r="AK25624" s="183"/>
      <c r="AL25624" s="183"/>
    </row>
    <row r="25625" spans="1:38">
      <c r="A25625" s="182"/>
      <c r="Q25625" s="183"/>
      <c r="R25625" s="183"/>
      <c r="S25625" s="183"/>
      <c r="AJ25625" s="183"/>
      <c r="AK25625" s="183"/>
      <c r="AL25625" s="183"/>
    </row>
    <row r="25626" spans="1:38">
      <c r="A25626" s="182"/>
      <c r="Q25626" s="183"/>
      <c r="R25626" s="183"/>
      <c r="S25626" s="183"/>
      <c r="AJ25626" s="183"/>
      <c r="AK25626" s="183"/>
      <c r="AL25626" s="183"/>
    </row>
    <row r="25627" spans="1:38">
      <c r="A25627" s="182"/>
      <c r="Q25627" s="183"/>
      <c r="R25627" s="183"/>
      <c r="S25627" s="183"/>
      <c r="AJ25627" s="183"/>
      <c r="AK25627" s="183"/>
      <c r="AL25627" s="183"/>
    </row>
    <row r="25628" spans="1:38">
      <c r="A25628" s="182"/>
      <c r="Q25628" s="183"/>
      <c r="R25628" s="183"/>
      <c r="S25628" s="183"/>
      <c r="AJ25628" s="183"/>
      <c r="AK25628" s="183"/>
      <c r="AL25628" s="183"/>
    </row>
    <row r="25629" spans="1:38">
      <c r="A25629" s="182"/>
      <c r="Q25629" s="183"/>
      <c r="R25629" s="183"/>
      <c r="S25629" s="183"/>
      <c r="AJ25629" s="183"/>
      <c r="AK25629" s="183"/>
      <c r="AL25629" s="183"/>
    </row>
    <row r="25630" spans="1:38">
      <c r="A25630" s="182"/>
      <c r="Q25630" s="183"/>
      <c r="R25630" s="183"/>
      <c r="S25630" s="183"/>
      <c r="AJ25630" s="183"/>
      <c r="AK25630" s="183"/>
      <c r="AL25630" s="183"/>
    </row>
    <row r="25631" spans="1:38">
      <c r="A25631" s="182"/>
      <c r="Q25631" s="183"/>
      <c r="R25631" s="183"/>
      <c r="S25631" s="183"/>
      <c r="AJ25631" s="183"/>
      <c r="AK25631" s="183"/>
      <c r="AL25631" s="183"/>
    </row>
    <row r="25632" spans="1:38">
      <c r="A25632" s="182"/>
      <c r="Q25632" s="183"/>
      <c r="R25632" s="183"/>
      <c r="S25632" s="183"/>
      <c r="AJ25632" s="183"/>
      <c r="AK25632" s="183"/>
      <c r="AL25632" s="183"/>
    </row>
    <row r="25633" spans="1:38">
      <c r="A25633" s="182"/>
      <c r="Q25633" s="183"/>
      <c r="R25633" s="183"/>
      <c r="S25633" s="183"/>
      <c r="AJ25633" s="183"/>
      <c r="AK25633" s="183"/>
      <c r="AL25633" s="183"/>
    </row>
    <row r="25634" spans="1:38">
      <c r="A25634" s="182"/>
      <c r="Q25634" s="183"/>
      <c r="R25634" s="183"/>
      <c r="S25634" s="183"/>
      <c r="AJ25634" s="183"/>
      <c r="AK25634" s="183"/>
      <c r="AL25634" s="183"/>
    </row>
    <row r="25635" spans="1:38">
      <c r="A25635" s="182"/>
      <c r="Q25635" s="183"/>
      <c r="R25635" s="183"/>
      <c r="S25635" s="183"/>
      <c r="AJ25635" s="183"/>
    </row>
    <row r="25636" spans="1:38">
      <c r="A25636" s="182"/>
      <c r="Q25636" s="183"/>
      <c r="R25636" s="183"/>
      <c r="S25636" s="183"/>
    </row>
    <row r="25637" spans="1:38">
      <c r="A25637" s="182"/>
      <c r="Q25637" s="183"/>
      <c r="R25637" s="183"/>
      <c r="S25637" s="183"/>
    </row>
    <row r="25638" spans="1:38">
      <c r="A25638" s="182"/>
      <c r="Q25638" s="183"/>
      <c r="R25638" s="183"/>
      <c r="S25638" s="183"/>
    </row>
    <row r="25639" spans="1:38">
      <c r="A25639" s="182"/>
      <c r="Q25639" s="183"/>
      <c r="R25639" s="183"/>
      <c r="S25639" s="183"/>
    </row>
    <row r="25640" spans="1:38">
      <c r="A25640" s="182"/>
      <c r="Q25640" s="183"/>
      <c r="R25640" s="183"/>
      <c r="S25640" s="183"/>
    </row>
    <row r="25641" spans="1:38">
      <c r="A25641" s="182"/>
      <c r="Q25641" s="183"/>
      <c r="R25641" s="183"/>
      <c r="S25641" s="183"/>
    </row>
    <row r="25642" spans="1:38">
      <c r="A25642" s="182"/>
      <c r="Q25642" s="183"/>
      <c r="R25642" s="183"/>
      <c r="S25642" s="183"/>
    </row>
    <row r="25643" spans="1:38">
      <c r="A25643" s="182"/>
      <c r="Q25643" s="183"/>
      <c r="R25643" s="183"/>
      <c r="S25643" s="183"/>
    </row>
    <row r="25644" spans="1:38">
      <c r="A25644" s="182"/>
      <c r="Q25644" s="183"/>
      <c r="R25644" s="183"/>
      <c r="S25644" s="183"/>
    </row>
    <row r="25645" spans="1:38">
      <c r="A25645" s="182"/>
      <c r="Q25645" s="183"/>
      <c r="R25645" s="183"/>
      <c r="S25645" s="183"/>
    </row>
    <row r="25646" spans="1:38">
      <c r="A25646" s="182"/>
      <c r="Q25646" s="183"/>
      <c r="R25646" s="183"/>
      <c r="S25646" s="183"/>
    </row>
    <row r="25647" spans="1:38">
      <c r="A25647" s="182"/>
      <c r="Q25647" s="183"/>
      <c r="R25647" s="183"/>
      <c r="S25647" s="183"/>
    </row>
    <row r="25648" spans="1:38">
      <c r="A25648" s="182"/>
      <c r="Q25648" s="183"/>
      <c r="R25648" s="183"/>
      <c r="S25648" s="183"/>
    </row>
    <row r="25649" spans="1:19">
      <c r="A25649" s="182"/>
      <c r="Q25649" s="183"/>
      <c r="R25649" s="183"/>
      <c r="S25649" s="183"/>
    </row>
    <row r="25650" spans="1:19">
      <c r="A25650" s="182"/>
      <c r="Q25650" s="183"/>
      <c r="R25650" s="183"/>
      <c r="S25650" s="183"/>
    </row>
    <row r="25651" spans="1:19">
      <c r="A25651" s="182"/>
      <c r="Q25651" s="183"/>
      <c r="R25651" s="183"/>
      <c r="S25651" s="183"/>
    </row>
    <row r="25652" spans="1:19">
      <c r="A25652" s="182"/>
      <c r="Q25652" s="183"/>
      <c r="R25652" s="183"/>
      <c r="S25652" s="183"/>
    </row>
    <row r="25653" spans="1:19">
      <c r="A25653" s="182"/>
      <c r="Q25653" s="183"/>
      <c r="R25653" s="183"/>
      <c r="S25653" s="183"/>
    </row>
    <row r="25654" spans="1:19">
      <c r="A25654" s="182"/>
      <c r="Q25654" s="183"/>
      <c r="R25654" s="183"/>
      <c r="S25654" s="183"/>
    </row>
    <row r="25655" spans="1:19">
      <c r="A25655" s="182"/>
      <c r="Q25655" s="183"/>
      <c r="R25655" s="183"/>
      <c r="S25655" s="183"/>
    </row>
    <row r="25656" spans="1:19">
      <c r="A25656" s="182"/>
      <c r="Q25656" s="183"/>
      <c r="R25656" s="183"/>
      <c r="S25656" s="183"/>
    </row>
    <row r="25657" spans="1:19">
      <c r="A25657" s="182"/>
      <c r="Q25657" s="183"/>
      <c r="R25657" s="183"/>
      <c r="S25657" s="183"/>
    </row>
    <row r="25658" spans="1:19">
      <c r="A25658" s="182"/>
      <c r="Q25658" s="183"/>
      <c r="R25658" s="183"/>
      <c r="S25658" s="183"/>
    </row>
    <row r="25659" spans="1:19">
      <c r="A25659" s="182"/>
      <c r="Q25659" s="183"/>
      <c r="R25659" s="183"/>
      <c r="S25659" s="183"/>
    </row>
    <row r="25660" spans="1:19">
      <c r="A25660" s="182"/>
      <c r="Q25660" s="183"/>
      <c r="R25660" s="183"/>
      <c r="S25660" s="183"/>
    </row>
    <row r="25661" spans="1:19">
      <c r="A25661" s="182"/>
      <c r="Q25661" s="183"/>
      <c r="R25661" s="183"/>
      <c r="S25661" s="183"/>
    </row>
    <row r="25662" spans="1:19">
      <c r="A25662" s="182"/>
      <c r="Q25662" s="183"/>
      <c r="R25662" s="183"/>
      <c r="S25662" s="183"/>
    </row>
    <row r="25663" spans="1:19">
      <c r="A25663" s="182"/>
      <c r="Q25663" s="183"/>
      <c r="R25663" s="183"/>
      <c r="S25663" s="183"/>
    </row>
    <row r="25664" spans="1:19">
      <c r="A25664" s="182"/>
      <c r="Q25664" s="183"/>
      <c r="R25664" s="183"/>
      <c r="S25664" s="183"/>
    </row>
    <row r="25665" spans="1:19">
      <c r="A25665" s="182"/>
      <c r="Q25665" s="183"/>
      <c r="R25665" s="183"/>
      <c r="S25665" s="183"/>
    </row>
    <row r="25666" spans="1:19">
      <c r="A25666" s="182"/>
      <c r="Q25666" s="183"/>
      <c r="R25666" s="183"/>
      <c r="S25666" s="183"/>
    </row>
    <row r="25667" spans="1:19">
      <c r="A25667" s="182"/>
      <c r="Q25667" s="183"/>
      <c r="R25667" s="183"/>
      <c r="S25667" s="183"/>
    </row>
    <row r="25668" spans="1:19">
      <c r="A25668" s="182"/>
      <c r="Q25668" s="183"/>
      <c r="R25668" s="183"/>
      <c r="S25668" s="183"/>
    </row>
    <row r="25669" spans="1:19">
      <c r="A25669" s="182"/>
      <c r="Q25669" s="183"/>
      <c r="R25669" s="183"/>
      <c r="S25669" s="183"/>
    </row>
    <row r="25670" spans="1:19">
      <c r="A25670" s="182"/>
      <c r="Q25670" s="183"/>
      <c r="R25670" s="183"/>
      <c r="S25670" s="183"/>
    </row>
    <row r="25671" spans="1:19">
      <c r="A25671" s="182"/>
      <c r="Q25671" s="183"/>
      <c r="R25671" s="183"/>
      <c r="S25671" s="183"/>
    </row>
    <row r="25672" spans="1:19">
      <c r="A25672" s="182"/>
      <c r="Q25672" s="183"/>
      <c r="R25672" s="183"/>
      <c r="S25672" s="183"/>
    </row>
    <row r="25673" spans="1:19">
      <c r="A25673" s="182"/>
      <c r="Q25673" s="183"/>
      <c r="R25673" s="183"/>
      <c r="S25673" s="183"/>
    </row>
    <row r="25674" spans="1:19">
      <c r="A25674" s="182"/>
      <c r="Q25674" s="183"/>
      <c r="R25674" s="183"/>
      <c r="S25674" s="183"/>
    </row>
    <row r="25675" spans="1:19">
      <c r="A25675" s="182"/>
      <c r="Q25675" s="183"/>
      <c r="R25675" s="183"/>
      <c r="S25675" s="183"/>
    </row>
    <row r="25676" spans="1:19">
      <c r="A25676" s="182"/>
      <c r="Q25676" s="183"/>
      <c r="R25676" s="183"/>
      <c r="S25676" s="183"/>
    </row>
    <row r="25677" spans="1:19">
      <c r="A25677" s="182"/>
      <c r="Q25677" s="183"/>
      <c r="R25677" s="183"/>
      <c r="S25677" s="183"/>
    </row>
    <row r="25678" spans="1:19">
      <c r="A25678" s="182"/>
      <c r="Q25678" s="183"/>
      <c r="R25678" s="183"/>
      <c r="S25678" s="183"/>
    </row>
    <row r="25679" spans="1:19">
      <c r="A25679" s="182"/>
      <c r="Q25679" s="183"/>
      <c r="R25679" s="183"/>
      <c r="S25679" s="183"/>
    </row>
    <row r="25680" spans="1:19">
      <c r="A25680" s="182"/>
      <c r="Q25680" s="183"/>
      <c r="R25680" s="183"/>
      <c r="S25680" s="183"/>
    </row>
    <row r="25681" spans="1:38">
      <c r="A25681" s="182"/>
      <c r="Q25681" s="183"/>
      <c r="R25681" s="183"/>
      <c r="S25681" s="183"/>
    </row>
    <row r="25682" spans="1:38">
      <c r="A25682" s="182"/>
      <c r="Q25682" s="183"/>
      <c r="R25682" s="183"/>
      <c r="S25682" s="183"/>
    </row>
    <row r="25683" spans="1:38">
      <c r="A25683" s="182"/>
      <c r="Q25683" s="183"/>
      <c r="R25683" s="183"/>
      <c r="S25683" s="183"/>
    </row>
    <row r="25684" spans="1:38">
      <c r="A25684" s="182"/>
      <c r="Q25684" s="183"/>
      <c r="R25684" s="183"/>
      <c r="S25684" s="183"/>
    </row>
    <row r="25685" spans="1:38">
      <c r="A25685" s="182"/>
      <c r="Q25685" s="183"/>
      <c r="R25685" s="183"/>
      <c r="S25685" s="183"/>
    </row>
    <row r="25686" spans="1:38">
      <c r="A25686" s="182"/>
      <c r="Q25686" s="183"/>
      <c r="R25686" s="183"/>
      <c r="S25686" s="183"/>
    </row>
    <row r="25687" spans="1:38">
      <c r="A25687" s="182"/>
      <c r="Q25687" s="183"/>
      <c r="R25687" s="183"/>
      <c r="S25687" s="183"/>
    </row>
    <row r="25688" spans="1:38">
      <c r="A25688" s="182"/>
      <c r="Q25688" s="183"/>
      <c r="R25688" s="183"/>
      <c r="S25688" s="183"/>
    </row>
    <row r="25689" spans="1:38">
      <c r="A25689" s="182"/>
      <c r="Q25689" s="183"/>
      <c r="R25689" s="183"/>
      <c r="S25689" s="183"/>
    </row>
    <row r="25690" spans="1:38">
      <c r="A25690" s="182"/>
      <c r="Q25690" s="183"/>
      <c r="R25690" s="183"/>
      <c r="S25690" s="183"/>
    </row>
    <row r="25691" spans="1:38">
      <c r="A25691" s="182"/>
      <c r="N25691" s="183"/>
      <c r="O25691" s="183"/>
      <c r="Q25691" s="183"/>
      <c r="R25691" s="183"/>
      <c r="S25691" s="183"/>
    </row>
    <row r="25692" spans="1:38">
      <c r="A25692" s="182"/>
      <c r="M25692" s="183"/>
      <c r="Q25692" s="183"/>
      <c r="R25692" s="183"/>
      <c r="S25692" s="183"/>
    </row>
    <row r="25693" spans="1:38">
      <c r="A25693" s="182"/>
      <c r="Q25693" s="183"/>
      <c r="R25693" s="183"/>
      <c r="S25693" s="183"/>
    </row>
    <row r="25694" spans="1:38">
      <c r="A25694" s="182"/>
      <c r="Q25694" s="183"/>
      <c r="R25694" s="183"/>
      <c r="S25694" s="183"/>
    </row>
    <row r="25695" spans="1:38">
      <c r="A25695" s="182"/>
      <c r="Q25695" s="183"/>
      <c r="R25695" s="183"/>
      <c r="S25695" s="183"/>
      <c r="AK25695" s="183"/>
      <c r="AL25695" s="183"/>
    </row>
    <row r="25696" spans="1:38">
      <c r="A25696" s="182"/>
      <c r="Q25696" s="183"/>
      <c r="R25696" s="183"/>
      <c r="S25696" s="183"/>
      <c r="AJ25696" s="183"/>
      <c r="AK25696" s="183"/>
      <c r="AL25696" s="183"/>
    </row>
    <row r="25697" spans="1:38">
      <c r="A25697" s="182"/>
      <c r="Q25697" s="183"/>
      <c r="R25697" s="183"/>
      <c r="S25697" s="183"/>
      <c r="AJ25697" s="183"/>
      <c r="AK25697" s="183"/>
      <c r="AL25697" s="183"/>
    </row>
    <row r="25698" spans="1:38">
      <c r="A25698" s="182"/>
      <c r="Q25698" s="183"/>
      <c r="R25698" s="183"/>
      <c r="S25698" s="183"/>
      <c r="AJ25698" s="183"/>
      <c r="AK25698" s="183"/>
      <c r="AL25698" s="183"/>
    </row>
    <row r="25699" spans="1:38">
      <c r="A25699" s="182"/>
      <c r="Q25699" s="183"/>
      <c r="R25699" s="183"/>
      <c r="S25699" s="183"/>
      <c r="AJ25699" s="183"/>
    </row>
    <row r="25700" spans="1:38">
      <c r="A25700" s="182"/>
      <c r="Q25700" s="183"/>
      <c r="R25700" s="183"/>
      <c r="S25700" s="183"/>
    </row>
    <row r="25701" spans="1:38">
      <c r="A25701" s="182"/>
      <c r="Q25701" s="183"/>
      <c r="R25701" s="183"/>
      <c r="S25701" s="183"/>
    </row>
    <row r="25702" spans="1:38">
      <c r="A25702" s="182"/>
      <c r="Q25702" s="183"/>
      <c r="R25702" s="183"/>
      <c r="S25702" s="183"/>
    </row>
    <row r="25703" spans="1:38">
      <c r="A25703" s="182"/>
      <c r="Q25703" s="183"/>
      <c r="R25703" s="183"/>
      <c r="S25703" s="183"/>
    </row>
    <row r="25704" spans="1:38">
      <c r="A25704" s="182"/>
      <c r="Q25704" s="183"/>
      <c r="R25704" s="183"/>
      <c r="S25704" s="183"/>
    </row>
    <row r="25705" spans="1:38">
      <c r="A25705" s="182"/>
      <c r="Q25705" s="183"/>
      <c r="R25705" s="183"/>
      <c r="S25705" s="183"/>
    </row>
    <row r="25706" spans="1:38">
      <c r="A25706" s="182"/>
      <c r="Q25706" s="183"/>
      <c r="R25706" s="183"/>
      <c r="S25706" s="183"/>
    </row>
    <row r="25707" spans="1:38">
      <c r="A25707" s="182"/>
      <c r="N25707" s="183"/>
      <c r="O25707" s="183"/>
      <c r="Q25707" s="183"/>
      <c r="R25707" s="183"/>
      <c r="S25707" s="183"/>
      <c r="AK25707" s="183"/>
      <c r="AL25707" s="183"/>
    </row>
    <row r="25708" spans="1:38">
      <c r="A25708" s="182"/>
      <c r="M25708" s="183"/>
      <c r="Q25708" s="183"/>
      <c r="R25708" s="183"/>
      <c r="S25708" s="183"/>
      <c r="AJ25708" s="183"/>
      <c r="AK25708" s="183"/>
      <c r="AL25708" s="183"/>
    </row>
    <row r="25709" spans="1:38">
      <c r="A25709" s="182"/>
      <c r="Q25709" s="183"/>
      <c r="R25709" s="183"/>
      <c r="S25709" s="183"/>
      <c r="AJ25709" s="183"/>
      <c r="AK25709" s="183"/>
      <c r="AL25709" s="183"/>
    </row>
    <row r="25710" spans="1:38">
      <c r="A25710" s="182"/>
      <c r="Q25710" s="183"/>
      <c r="R25710" s="183"/>
      <c r="S25710" s="183"/>
      <c r="AJ25710" s="183"/>
      <c r="AK25710" s="183"/>
      <c r="AL25710" s="183"/>
    </row>
    <row r="25711" spans="1:38">
      <c r="A25711" s="182"/>
      <c r="Q25711" s="183"/>
      <c r="R25711" s="183"/>
      <c r="S25711" s="183"/>
      <c r="AJ25711" s="183"/>
      <c r="AK25711" s="183"/>
      <c r="AL25711" s="183"/>
    </row>
    <row r="25712" spans="1:38">
      <c r="A25712" s="182"/>
      <c r="Q25712" s="183"/>
      <c r="R25712" s="183"/>
      <c r="S25712" s="183"/>
      <c r="AJ25712" s="183"/>
      <c r="AK25712" s="183"/>
      <c r="AL25712" s="183"/>
    </row>
    <row r="25713" spans="1:38">
      <c r="A25713" s="182"/>
      <c r="Q25713" s="183"/>
      <c r="R25713" s="183"/>
      <c r="S25713" s="183"/>
      <c r="AJ25713" s="183"/>
      <c r="AK25713" s="183"/>
      <c r="AL25713" s="183"/>
    </row>
    <row r="25714" spans="1:38">
      <c r="A25714" s="182"/>
      <c r="Q25714" s="183"/>
      <c r="R25714" s="183"/>
      <c r="S25714" s="183"/>
      <c r="AJ25714" s="183"/>
      <c r="AK25714" s="183"/>
      <c r="AL25714" s="183"/>
    </row>
    <row r="25715" spans="1:38">
      <c r="A25715" s="182"/>
      <c r="Q25715" s="183"/>
      <c r="R25715" s="183"/>
      <c r="S25715" s="183"/>
      <c r="AJ25715" s="183"/>
    </row>
    <row r="25716" spans="1:38">
      <c r="A25716" s="182"/>
      <c r="Q25716" s="183"/>
      <c r="R25716" s="183"/>
      <c r="S25716" s="183"/>
    </row>
    <row r="25717" spans="1:38">
      <c r="A25717" s="182"/>
      <c r="Q25717" s="183"/>
      <c r="R25717" s="183"/>
      <c r="S25717" s="183"/>
    </row>
    <row r="25718" spans="1:38">
      <c r="A25718" s="182"/>
      <c r="Q25718" s="183"/>
      <c r="R25718" s="183"/>
      <c r="S25718" s="183"/>
    </row>
    <row r="25719" spans="1:38">
      <c r="A25719" s="182"/>
      <c r="Q25719" s="183"/>
      <c r="R25719" s="183"/>
      <c r="S25719" s="183"/>
    </row>
    <row r="25720" spans="1:38">
      <c r="A25720" s="182"/>
      <c r="Q25720" s="183"/>
      <c r="R25720" s="183"/>
      <c r="S25720" s="183"/>
    </row>
    <row r="25721" spans="1:38">
      <c r="A25721" s="182"/>
      <c r="Q25721" s="183"/>
      <c r="R25721" s="183"/>
      <c r="S25721" s="183"/>
    </row>
    <row r="25722" spans="1:38">
      <c r="A25722" s="182"/>
      <c r="Q25722" s="183"/>
      <c r="R25722" s="183"/>
      <c r="S25722" s="183"/>
    </row>
    <row r="25723" spans="1:38">
      <c r="A25723" s="182"/>
      <c r="Q25723" s="183"/>
      <c r="R25723" s="183"/>
      <c r="S25723" s="183"/>
    </row>
    <row r="25724" spans="1:38">
      <c r="A25724" s="182"/>
      <c r="Q25724" s="183"/>
      <c r="R25724" s="183"/>
      <c r="S25724" s="183"/>
    </row>
    <row r="25725" spans="1:38">
      <c r="A25725" s="182"/>
      <c r="Q25725" s="183"/>
      <c r="R25725" s="183"/>
      <c r="S25725" s="183"/>
    </row>
    <row r="25726" spans="1:38">
      <c r="A25726" s="182"/>
      <c r="Q25726" s="183"/>
      <c r="R25726" s="183"/>
      <c r="S25726" s="183"/>
    </row>
    <row r="25727" spans="1:38">
      <c r="A25727" s="182"/>
      <c r="Q25727" s="183"/>
      <c r="R25727" s="183"/>
      <c r="S25727" s="183"/>
    </row>
    <row r="25728" spans="1:38">
      <c r="A25728" s="182"/>
      <c r="Q25728" s="183"/>
      <c r="R25728" s="183"/>
      <c r="S25728" s="183"/>
    </row>
    <row r="25729" spans="1:38">
      <c r="A25729" s="182"/>
      <c r="Q25729" s="183"/>
      <c r="R25729" s="183"/>
      <c r="S25729" s="183"/>
    </row>
    <row r="25730" spans="1:38">
      <c r="A25730" s="182"/>
      <c r="Q25730" s="183"/>
      <c r="R25730" s="183"/>
      <c r="S25730" s="183"/>
    </row>
    <row r="25731" spans="1:38">
      <c r="A25731" s="182"/>
      <c r="Q25731" s="183"/>
      <c r="R25731" s="183"/>
      <c r="S25731" s="183"/>
    </row>
    <row r="25732" spans="1:38">
      <c r="A25732" s="182"/>
      <c r="Q25732" s="183"/>
      <c r="R25732" s="183"/>
      <c r="S25732" s="183"/>
    </row>
    <row r="25733" spans="1:38">
      <c r="A25733" s="182"/>
      <c r="Q25733" s="183"/>
      <c r="R25733" s="183"/>
      <c r="S25733" s="183"/>
    </row>
    <row r="25734" spans="1:38">
      <c r="A25734" s="182"/>
      <c r="Q25734" s="183"/>
      <c r="R25734" s="183"/>
      <c r="S25734" s="183"/>
    </row>
    <row r="25735" spans="1:38">
      <c r="A25735" s="182"/>
      <c r="Q25735" s="183"/>
      <c r="R25735" s="183"/>
      <c r="S25735" s="183"/>
    </row>
    <row r="25736" spans="1:38">
      <c r="A25736" s="182"/>
      <c r="Q25736" s="183"/>
      <c r="R25736" s="183"/>
      <c r="S25736" s="183"/>
    </row>
    <row r="25737" spans="1:38">
      <c r="A25737" s="182"/>
      <c r="Q25737" s="183"/>
      <c r="R25737" s="183"/>
      <c r="S25737" s="183"/>
    </row>
    <row r="25738" spans="1:38">
      <c r="A25738" s="182"/>
      <c r="Q25738" s="183"/>
      <c r="R25738" s="183"/>
      <c r="S25738" s="183"/>
    </row>
    <row r="25739" spans="1:38">
      <c r="A25739" s="182"/>
      <c r="Q25739" s="183"/>
      <c r="R25739" s="183"/>
      <c r="S25739" s="183"/>
      <c r="AK25739" s="183"/>
      <c r="AL25739" s="183"/>
    </row>
    <row r="25740" spans="1:38">
      <c r="A25740" s="182"/>
      <c r="Q25740" s="183"/>
      <c r="R25740" s="183"/>
      <c r="S25740" s="183"/>
      <c r="AJ25740" s="183"/>
      <c r="AK25740" s="183"/>
      <c r="AL25740" s="183"/>
    </row>
    <row r="25741" spans="1:38">
      <c r="A25741" s="182"/>
      <c r="Q25741" s="183"/>
      <c r="R25741" s="183"/>
      <c r="S25741" s="183"/>
      <c r="AJ25741" s="183"/>
      <c r="AK25741" s="183"/>
      <c r="AL25741" s="183"/>
    </row>
    <row r="25742" spans="1:38">
      <c r="A25742" s="182"/>
      <c r="Q25742" s="183"/>
      <c r="R25742" s="183"/>
      <c r="S25742" s="183"/>
      <c r="AJ25742" s="183"/>
      <c r="AK25742" s="183"/>
      <c r="AL25742" s="183"/>
    </row>
    <row r="25743" spans="1:38">
      <c r="A25743" s="182"/>
      <c r="Q25743" s="183"/>
      <c r="R25743" s="183"/>
      <c r="S25743" s="183"/>
      <c r="AJ25743" s="183"/>
    </row>
    <row r="25744" spans="1:38">
      <c r="A25744" s="182"/>
      <c r="Q25744" s="183"/>
      <c r="R25744" s="183"/>
      <c r="S25744" s="183"/>
    </row>
    <row r="25745" spans="1:38">
      <c r="A25745" s="182"/>
      <c r="Q25745" s="183"/>
      <c r="R25745" s="183"/>
      <c r="S25745" s="183"/>
    </row>
    <row r="25746" spans="1:38">
      <c r="A25746" s="182"/>
      <c r="Q25746" s="183"/>
      <c r="R25746" s="183"/>
      <c r="S25746" s="183"/>
    </row>
    <row r="25747" spans="1:38">
      <c r="A25747" s="182"/>
      <c r="Q25747" s="183"/>
      <c r="R25747" s="183"/>
      <c r="S25747" s="183"/>
    </row>
    <row r="25748" spans="1:38">
      <c r="A25748" s="182"/>
      <c r="Q25748" s="183"/>
      <c r="R25748" s="183"/>
      <c r="S25748" s="183"/>
    </row>
    <row r="25749" spans="1:38">
      <c r="A25749" s="182"/>
      <c r="Q25749" s="183"/>
      <c r="R25749" s="183"/>
      <c r="S25749" s="183"/>
    </row>
    <row r="25750" spans="1:38">
      <c r="A25750" s="182"/>
      <c r="Q25750" s="183"/>
      <c r="R25750" s="183"/>
      <c r="S25750" s="183"/>
    </row>
    <row r="25751" spans="1:38">
      <c r="A25751" s="182"/>
      <c r="Q25751" s="183"/>
      <c r="R25751" s="183"/>
      <c r="S25751" s="183"/>
      <c r="AK25751" s="183"/>
      <c r="AL25751" s="183"/>
    </row>
    <row r="25752" spans="1:38">
      <c r="A25752" s="182"/>
      <c r="Q25752" s="183"/>
      <c r="R25752" s="183"/>
      <c r="S25752" s="183"/>
      <c r="AJ25752" s="183"/>
      <c r="AK25752" s="183"/>
      <c r="AL25752" s="183"/>
    </row>
    <row r="25753" spans="1:38">
      <c r="A25753" s="182"/>
      <c r="Q25753" s="183"/>
      <c r="R25753" s="183"/>
      <c r="S25753" s="183"/>
      <c r="AJ25753" s="183"/>
      <c r="AK25753" s="183"/>
      <c r="AL25753" s="183"/>
    </row>
    <row r="25754" spans="1:38">
      <c r="A25754" s="182"/>
      <c r="Q25754" s="183"/>
      <c r="R25754" s="183"/>
      <c r="S25754" s="183"/>
      <c r="AJ25754" s="183"/>
      <c r="AK25754" s="183"/>
      <c r="AL25754" s="183"/>
    </row>
    <row r="25755" spans="1:38">
      <c r="A25755" s="182"/>
      <c r="Q25755" s="183"/>
      <c r="R25755" s="183"/>
      <c r="S25755" s="183"/>
      <c r="AJ25755" s="183"/>
    </row>
    <row r="25756" spans="1:38">
      <c r="A25756" s="182"/>
      <c r="Q25756" s="183"/>
      <c r="R25756" s="183"/>
      <c r="S25756" s="183"/>
    </row>
    <row r="25757" spans="1:38">
      <c r="A25757" s="182"/>
      <c r="Q25757" s="183"/>
      <c r="R25757" s="183"/>
      <c r="S25757" s="183"/>
    </row>
    <row r="25758" spans="1:38">
      <c r="A25758" s="182"/>
      <c r="Q25758" s="183"/>
      <c r="R25758" s="183"/>
      <c r="S25758" s="183"/>
    </row>
    <row r="25759" spans="1:38">
      <c r="A25759" s="182"/>
      <c r="Q25759" s="183"/>
      <c r="R25759" s="183"/>
      <c r="S25759" s="183"/>
    </row>
    <row r="25760" spans="1:38">
      <c r="A25760" s="182"/>
      <c r="Q25760" s="183"/>
      <c r="R25760" s="183"/>
      <c r="S25760" s="183"/>
    </row>
    <row r="25761" spans="1:19">
      <c r="A25761" s="182"/>
      <c r="Q25761" s="183"/>
      <c r="R25761" s="183"/>
      <c r="S25761" s="183"/>
    </row>
    <row r="25762" spans="1:19">
      <c r="A25762" s="182"/>
      <c r="Q25762" s="183"/>
      <c r="R25762" s="183"/>
      <c r="S25762" s="183"/>
    </row>
    <row r="25763" spans="1:19">
      <c r="A25763" s="182"/>
      <c r="Q25763" s="183"/>
      <c r="R25763" s="183"/>
      <c r="S25763" s="183"/>
    </row>
    <row r="25764" spans="1:19">
      <c r="A25764" s="182"/>
      <c r="Q25764" s="183"/>
      <c r="R25764" s="183"/>
      <c r="S25764" s="183"/>
    </row>
    <row r="25765" spans="1:19">
      <c r="A25765" s="182"/>
      <c r="Q25765" s="183"/>
      <c r="R25765" s="183"/>
      <c r="S25765" s="183"/>
    </row>
    <row r="25766" spans="1:19">
      <c r="A25766" s="182"/>
      <c r="Q25766" s="183"/>
      <c r="R25766" s="183"/>
      <c r="S25766" s="183"/>
    </row>
    <row r="25767" spans="1:19">
      <c r="A25767" s="182"/>
      <c r="Q25767" s="183"/>
      <c r="R25767" s="183"/>
      <c r="S25767" s="183"/>
    </row>
    <row r="25768" spans="1:19">
      <c r="A25768" s="182"/>
      <c r="Q25768" s="183"/>
      <c r="R25768" s="183"/>
      <c r="S25768" s="183"/>
    </row>
    <row r="25769" spans="1:19">
      <c r="A25769" s="182"/>
      <c r="Q25769" s="183"/>
      <c r="R25769" s="183"/>
      <c r="S25769" s="183"/>
    </row>
    <row r="25770" spans="1:19">
      <c r="A25770" s="182"/>
      <c r="Q25770" s="183"/>
      <c r="R25770" s="183"/>
      <c r="S25770" s="183"/>
    </row>
    <row r="25771" spans="1:19">
      <c r="A25771" s="182"/>
      <c r="Q25771" s="183"/>
      <c r="R25771" s="183"/>
      <c r="S25771" s="183"/>
    </row>
    <row r="25772" spans="1:19">
      <c r="A25772" s="182"/>
      <c r="Q25772" s="183"/>
      <c r="R25772" s="183"/>
      <c r="S25772" s="183"/>
    </row>
    <row r="25773" spans="1:19">
      <c r="A25773" s="182"/>
      <c r="Q25773" s="183"/>
      <c r="R25773" s="183"/>
      <c r="S25773" s="183"/>
    </row>
    <row r="25774" spans="1:19">
      <c r="A25774" s="182"/>
      <c r="Q25774" s="183"/>
      <c r="R25774" s="183"/>
      <c r="S25774" s="183"/>
    </row>
    <row r="25775" spans="1:19">
      <c r="A25775" s="182"/>
      <c r="Q25775" s="183"/>
      <c r="R25775" s="183"/>
      <c r="S25775" s="183"/>
    </row>
    <row r="25776" spans="1:19">
      <c r="A25776" s="182"/>
      <c r="Q25776" s="183"/>
      <c r="R25776" s="183"/>
      <c r="S25776" s="183"/>
    </row>
    <row r="25777" spans="1:19">
      <c r="A25777" s="182"/>
      <c r="Q25777" s="183"/>
      <c r="R25777" s="183"/>
      <c r="S25777" s="183"/>
    </row>
    <row r="25778" spans="1:19">
      <c r="A25778" s="182"/>
      <c r="Q25778" s="183"/>
      <c r="R25778" s="183"/>
      <c r="S25778" s="183"/>
    </row>
    <row r="25779" spans="1:19">
      <c r="A25779" s="182"/>
      <c r="Q25779" s="183"/>
      <c r="R25779" s="183"/>
      <c r="S25779" s="183"/>
    </row>
    <row r="25780" spans="1:19">
      <c r="A25780" s="182"/>
      <c r="Q25780" s="183"/>
      <c r="R25780" s="183"/>
      <c r="S25780" s="183"/>
    </row>
    <row r="25781" spans="1:19">
      <c r="A25781" s="182"/>
      <c r="Q25781" s="183"/>
      <c r="R25781" s="183"/>
      <c r="S25781" s="183"/>
    </row>
    <row r="25782" spans="1:19">
      <c r="A25782" s="182"/>
      <c r="Q25782" s="183"/>
      <c r="R25782" s="183"/>
      <c r="S25782" s="183"/>
    </row>
    <row r="25783" spans="1:19">
      <c r="A25783" s="182"/>
      <c r="Q25783" s="183"/>
      <c r="R25783" s="183"/>
      <c r="S25783" s="183"/>
    </row>
    <row r="25784" spans="1:19">
      <c r="A25784" s="182"/>
      <c r="Q25784" s="183"/>
      <c r="R25784" s="183"/>
      <c r="S25784" s="183"/>
    </row>
    <row r="25785" spans="1:19">
      <c r="A25785" s="182"/>
      <c r="Q25785" s="183"/>
      <c r="R25785" s="183"/>
      <c r="S25785" s="183"/>
    </row>
    <row r="25786" spans="1:19">
      <c r="A25786" s="182"/>
      <c r="Q25786" s="183"/>
      <c r="R25786" s="183"/>
      <c r="S25786" s="183"/>
    </row>
    <row r="25787" spans="1:19">
      <c r="A25787" s="182"/>
      <c r="Q25787" s="183"/>
      <c r="R25787" s="183"/>
      <c r="S25787" s="183"/>
    </row>
    <row r="25788" spans="1:19">
      <c r="A25788" s="182"/>
      <c r="Q25788" s="183"/>
      <c r="R25788" s="183"/>
      <c r="S25788" s="183"/>
    </row>
    <row r="25789" spans="1:19">
      <c r="A25789" s="182"/>
      <c r="Q25789" s="183"/>
      <c r="R25789" s="183"/>
      <c r="S25789" s="183"/>
    </row>
    <row r="25790" spans="1:19">
      <c r="A25790" s="182"/>
      <c r="Q25790" s="183"/>
      <c r="R25790" s="183"/>
      <c r="S25790" s="183"/>
    </row>
    <row r="25791" spans="1:19">
      <c r="A25791" s="182"/>
      <c r="Q25791" s="183"/>
      <c r="R25791" s="183"/>
      <c r="S25791" s="183"/>
    </row>
    <row r="25792" spans="1:19">
      <c r="A25792" s="182"/>
      <c r="Q25792" s="183"/>
      <c r="R25792" s="183"/>
      <c r="S25792" s="183"/>
    </row>
    <row r="25793" spans="1:38">
      <c r="A25793" s="182"/>
      <c r="Q25793" s="183"/>
      <c r="R25793" s="183"/>
      <c r="S25793" s="183"/>
    </row>
    <row r="25794" spans="1:38">
      <c r="A25794" s="182"/>
      <c r="Q25794" s="183"/>
      <c r="R25794" s="183"/>
      <c r="S25794" s="183"/>
    </row>
    <row r="25795" spans="1:38">
      <c r="A25795" s="182"/>
      <c r="Q25795" s="183"/>
      <c r="R25795" s="183"/>
      <c r="S25795" s="183"/>
    </row>
    <row r="25796" spans="1:38">
      <c r="A25796" s="182"/>
      <c r="Q25796" s="183"/>
      <c r="R25796" s="183"/>
      <c r="S25796" s="183"/>
    </row>
    <row r="25797" spans="1:38">
      <c r="A25797" s="182"/>
      <c r="Q25797" s="183"/>
      <c r="R25797" s="183"/>
      <c r="S25797" s="183"/>
    </row>
    <row r="25798" spans="1:38">
      <c r="A25798" s="182"/>
      <c r="Q25798" s="183"/>
      <c r="R25798" s="183"/>
      <c r="S25798" s="183"/>
    </row>
    <row r="25799" spans="1:38">
      <c r="A25799" s="182"/>
      <c r="Q25799" s="183"/>
      <c r="R25799" s="183"/>
      <c r="S25799" s="183"/>
    </row>
    <row r="25800" spans="1:38">
      <c r="A25800" s="182"/>
      <c r="Q25800" s="183"/>
      <c r="R25800" s="183"/>
      <c r="S25800" s="183"/>
    </row>
    <row r="25801" spans="1:38">
      <c r="A25801" s="182"/>
      <c r="Q25801" s="183"/>
      <c r="R25801" s="183"/>
      <c r="S25801" s="183"/>
    </row>
    <row r="25802" spans="1:38">
      <c r="A25802" s="182"/>
      <c r="Q25802" s="183"/>
      <c r="R25802" s="183"/>
      <c r="S25802" s="183"/>
    </row>
    <row r="25803" spans="1:38">
      <c r="A25803" s="182"/>
      <c r="Q25803" s="183"/>
      <c r="R25803" s="183"/>
      <c r="S25803" s="183"/>
    </row>
    <row r="25804" spans="1:38">
      <c r="A25804" s="182"/>
      <c r="Q25804" s="183"/>
      <c r="R25804" s="183"/>
      <c r="S25804" s="183"/>
    </row>
    <row r="25805" spans="1:38">
      <c r="A25805" s="182"/>
      <c r="Q25805" s="183"/>
      <c r="R25805" s="183"/>
      <c r="S25805" s="183"/>
    </row>
    <row r="25806" spans="1:38">
      <c r="A25806" s="182"/>
      <c r="Q25806" s="183"/>
      <c r="R25806" s="183"/>
      <c r="S25806" s="183"/>
    </row>
    <row r="25807" spans="1:38">
      <c r="A25807" s="182"/>
      <c r="Q25807" s="183"/>
      <c r="R25807" s="183"/>
      <c r="S25807" s="183"/>
      <c r="AK25807" s="183"/>
      <c r="AL25807" s="183"/>
    </row>
    <row r="25808" spans="1:38">
      <c r="A25808" s="182"/>
      <c r="Q25808" s="183"/>
      <c r="R25808" s="183"/>
      <c r="S25808" s="183"/>
      <c r="AJ25808" s="183"/>
      <c r="AK25808" s="183"/>
      <c r="AL25808" s="183"/>
    </row>
    <row r="25809" spans="1:38">
      <c r="A25809" s="182"/>
      <c r="Q25809" s="183"/>
      <c r="R25809" s="183"/>
      <c r="S25809" s="183"/>
      <c r="AJ25809" s="183"/>
      <c r="AK25809" s="183"/>
      <c r="AL25809" s="183"/>
    </row>
    <row r="25810" spans="1:38">
      <c r="A25810" s="182"/>
      <c r="Q25810" s="183"/>
      <c r="R25810" s="183"/>
      <c r="S25810" s="183"/>
      <c r="AJ25810" s="183"/>
      <c r="AK25810" s="183"/>
      <c r="AL25810" s="183"/>
    </row>
    <row r="25811" spans="1:38">
      <c r="A25811" s="182"/>
      <c r="Q25811" s="183"/>
      <c r="R25811" s="183"/>
      <c r="S25811" s="183"/>
      <c r="AJ25811" s="183"/>
    </row>
    <row r="25812" spans="1:38">
      <c r="A25812" s="182"/>
      <c r="Q25812" s="183"/>
      <c r="R25812" s="183"/>
      <c r="S25812" s="183"/>
    </row>
    <row r="25813" spans="1:38">
      <c r="A25813" s="182"/>
      <c r="Q25813" s="183"/>
      <c r="R25813" s="183"/>
      <c r="S25813" s="183"/>
    </row>
    <row r="25814" spans="1:38">
      <c r="A25814" s="182"/>
      <c r="Q25814" s="183"/>
      <c r="R25814" s="183"/>
      <c r="S25814" s="183"/>
    </row>
    <row r="25815" spans="1:38">
      <c r="A25815" s="182"/>
      <c r="Q25815" s="183"/>
      <c r="R25815" s="183"/>
      <c r="S25815" s="183"/>
    </row>
    <row r="25816" spans="1:38">
      <c r="A25816" s="182"/>
      <c r="Q25816" s="183"/>
      <c r="R25816" s="183"/>
      <c r="S25816" s="183"/>
    </row>
    <row r="25817" spans="1:38">
      <c r="A25817" s="182"/>
      <c r="Q25817" s="183"/>
      <c r="R25817" s="183"/>
      <c r="S25817" s="183"/>
    </row>
    <row r="25818" spans="1:38">
      <c r="A25818" s="182"/>
      <c r="Q25818" s="183"/>
      <c r="R25818" s="183"/>
      <c r="S25818" s="183"/>
    </row>
    <row r="25819" spans="1:38">
      <c r="A25819" s="182"/>
      <c r="Q25819" s="183"/>
      <c r="R25819" s="183"/>
      <c r="S25819" s="183"/>
      <c r="AK25819" s="183"/>
      <c r="AL25819" s="183"/>
    </row>
    <row r="25820" spans="1:38">
      <c r="A25820" s="182"/>
      <c r="Q25820" s="183"/>
      <c r="R25820" s="183"/>
      <c r="S25820" s="183"/>
      <c r="AJ25820" s="183"/>
      <c r="AK25820" s="183"/>
      <c r="AL25820" s="183"/>
    </row>
    <row r="25821" spans="1:38">
      <c r="A25821" s="182"/>
      <c r="Q25821" s="183"/>
      <c r="R25821" s="183"/>
      <c r="S25821" s="183"/>
      <c r="AJ25821" s="183"/>
      <c r="AK25821" s="183"/>
      <c r="AL25821" s="183"/>
    </row>
    <row r="25822" spans="1:38">
      <c r="A25822" s="182"/>
      <c r="Q25822" s="183"/>
      <c r="R25822" s="183"/>
      <c r="S25822" s="183"/>
      <c r="AJ25822" s="183"/>
      <c r="AK25822" s="183"/>
      <c r="AL25822" s="183"/>
    </row>
    <row r="25823" spans="1:38">
      <c r="A25823" s="182"/>
      <c r="Q25823" s="183"/>
      <c r="R25823" s="183"/>
      <c r="S25823" s="183"/>
      <c r="AJ25823" s="183"/>
      <c r="AK25823" s="183"/>
      <c r="AL25823" s="183"/>
    </row>
    <row r="25824" spans="1:38">
      <c r="A25824" s="182"/>
      <c r="Q25824" s="183"/>
      <c r="R25824" s="183"/>
      <c r="S25824" s="183"/>
      <c r="AJ25824" s="183"/>
      <c r="AK25824" s="183"/>
      <c r="AL25824" s="183"/>
    </row>
    <row r="25825" spans="1:38">
      <c r="A25825" s="182"/>
      <c r="Q25825" s="183"/>
      <c r="R25825" s="183"/>
      <c r="S25825" s="183"/>
      <c r="AJ25825" s="183"/>
      <c r="AK25825" s="183"/>
      <c r="AL25825" s="183"/>
    </row>
    <row r="25826" spans="1:38">
      <c r="A25826" s="182"/>
      <c r="Q25826" s="183"/>
      <c r="R25826" s="183"/>
      <c r="S25826" s="183"/>
      <c r="AJ25826" s="183"/>
      <c r="AK25826" s="183"/>
      <c r="AL25826" s="183"/>
    </row>
    <row r="25827" spans="1:38">
      <c r="A25827" s="182"/>
      <c r="Q25827" s="183"/>
      <c r="R25827" s="183"/>
      <c r="S25827" s="183"/>
      <c r="AJ25827" s="183"/>
    </row>
    <row r="25828" spans="1:38">
      <c r="A25828" s="182"/>
      <c r="Q25828" s="183"/>
      <c r="R25828" s="183"/>
      <c r="S25828" s="183"/>
    </row>
    <row r="25829" spans="1:38">
      <c r="A25829" s="182"/>
      <c r="Q25829" s="183"/>
      <c r="R25829" s="183"/>
      <c r="S25829" s="183"/>
    </row>
    <row r="25830" spans="1:38">
      <c r="A25830" s="182"/>
      <c r="Q25830" s="183"/>
      <c r="R25830" s="183"/>
      <c r="S25830" s="183"/>
    </row>
    <row r="25831" spans="1:38">
      <c r="A25831" s="182"/>
      <c r="Q25831" s="183"/>
      <c r="R25831" s="183"/>
      <c r="S25831" s="183"/>
    </row>
    <row r="25832" spans="1:38">
      <c r="A25832" s="182"/>
      <c r="Q25832" s="183"/>
      <c r="R25832" s="183"/>
      <c r="S25832" s="183"/>
    </row>
    <row r="25833" spans="1:38">
      <c r="A25833" s="182"/>
      <c r="Q25833" s="183"/>
      <c r="R25833" s="183"/>
      <c r="S25833" s="183"/>
    </row>
    <row r="25834" spans="1:38">
      <c r="A25834" s="182"/>
      <c r="Q25834" s="183"/>
      <c r="R25834" s="183"/>
      <c r="S25834" s="183"/>
    </row>
    <row r="25835" spans="1:38">
      <c r="A25835" s="182"/>
      <c r="Q25835" s="183"/>
      <c r="R25835" s="183"/>
      <c r="S25835" s="183"/>
    </row>
    <row r="25836" spans="1:38">
      <c r="A25836" s="182"/>
      <c r="Q25836" s="183"/>
      <c r="R25836" s="183"/>
      <c r="S25836" s="183"/>
    </row>
    <row r="25837" spans="1:38">
      <c r="A25837" s="182"/>
      <c r="Q25837" s="183"/>
      <c r="R25837" s="183"/>
      <c r="S25837" s="183"/>
    </row>
    <row r="25838" spans="1:38">
      <c r="A25838" s="182"/>
      <c r="Q25838" s="183"/>
      <c r="R25838" s="183"/>
      <c r="S25838" s="183"/>
    </row>
    <row r="25839" spans="1:38">
      <c r="A25839" s="182"/>
      <c r="Q25839" s="183"/>
      <c r="R25839" s="183"/>
      <c r="S25839" s="183"/>
    </row>
    <row r="25840" spans="1:38">
      <c r="A25840" s="182"/>
      <c r="Q25840" s="183"/>
      <c r="R25840" s="183"/>
      <c r="S25840" s="183"/>
    </row>
    <row r="25841" spans="1:19">
      <c r="A25841" s="182"/>
      <c r="Q25841" s="183"/>
      <c r="R25841" s="183"/>
      <c r="S25841" s="183"/>
    </row>
    <row r="25842" spans="1:19">
      <c r="A25842" s="182"/>
      <c r="Q25842" s="183"/>
      <c r="R25842" s="183"/>
      <c r="S25842" s="183"/>
    </row>
    <row r="25843" spans="1:19">
      <c r="A25843" s="182"/>
      <c r="Q25843" s="183"/>
      <c r="R25843" s="183"/>
      <c r="S25843" s="183"/>
    </row>
    <row r="25844" spans="1:19">
      <c r="A25844" s="182"/>
      <c r="Q25844" s="183"/>
      <c r="R25844" s="183"/>
      <c r="S25844" s="183"/>
    </row>
    <row r="25845" spans="1:19">
      <c r="A25845" s="182"/>
      <c r="Q25845" s="183"/>
      <c r="R25845" s="183"/>
      <c r="S25845" s="183"/>
    </row>
    <row r="25846" spans="1:19">
      <c r="A25846" s="182"/>
      <c r="Q25846" s="183"/>
      <c r="R25846" s="183"/>
      <c r="S25846" s="183"/>
    </row>
    <row r="25847" spans="1:19">
      <c r="A25847" s="182"/>
      <c r="Q25847" s="183"/>
      <c r="R25847" s="183"/>
      <c r="S25847" s="183"/>
    </row>
    <row r="25848" spans="1:19">
      <c r="A25848" s="182"/>
      <c r="Q25848" s="183"/>
      <c r="R25848" s="183"/>
      <c r="S25848" s="183"/>
    </row>
    <row r="25849" spans="1:19">
      <c r="A25849" s="182"/>
      <c r="Q25849" s="183"/>
      <c r="R25849" s="183"/>
      <c r="S25849" s="183"/>
    </row>
    <row r="25850" spans="1:19">
      <c r="A25850" s="182"/>
      <c r="Q25850" s="183"/>
      <c r="R25850" s="183"/>
      <c r="S25850" s="183"/>
    </row>
    <row r="25851" spans="1:19">
      <c r="A25851" s="182"/>
      <c r="Q25851" s="183"/>
      <c r="R25851" s="183"/>
      <c r="S25851" s="183"/>
    </row>
    <row r="25852" spans="1:19">
      <c r="A25852" s="182"/>
      <c r="Q25852" s="183"/>
      <c r="R25852" s="183"/>
      <c r="S25852" s="183"/>
    </row>
    <row r="25853" spans="1:19">
      <c r="A25853" s="182"/>
      <c r="Q25853" s="183"/>
      <c r="R25853" s="183"/>
      <c r="S25853" s="183"/>
    </row>
    <row r="25854" spans="1:19">
      <c r="A25854" s="182"/>
      <c r="Q25854" s="183"/>
      <c r="R25854" s="183"/>
      <c r="S25854" s="183"/>
    </row>
    <row r="25855" spans="1:19">
      <c r="A25855" s="182"/>
      <c r="Q25855" s="183"/>
      <c r="R25855" s="183"/>
      <c r="S25855" s="183"/>
    </row>
    <row r="25856" spans="1:19">
      <c r="A25856" s="182"/>
      <c r="Q25856" s="183"/>
      <c r="R25856" s="183"/>
      <c r="S25856" s="183"/>
    </row>
    <row r="25857" spans="1:19">
      <c r="A25857" s="182"/>
      <c r="Q25857" s="183"/>
      <c r="R25857" s="183"/>
      <c r="S25857" s="183"/>
    </row>
    <row r="25858" spans="1:19">
      <c r="A25858" s="182"/>
      <c r="Q25858" s="183"/>
      <c r="R25858" s="183"/>
      <c r="S25858" s="183"/>
    </row>
    <row r="25859" spans="1:19">
      <c r="A25859" s="182"/>
      <c r="Q25859" s="183"/>
      <c r="R25859" s="183"/>
      <c r="S25859" s="183"/>
    </row>
    <row r="25860" spans="1:19">
      <c r="A25860" s="182"/>
      <c r="Q25860" s="183"/>
      <c r="R25860" s="183"/>
      <c r="S25860" s="183"/>
    </row>
    <row r="25861" spans="1:19">
      <c r="A25861" s="182"/>
      <c r="Q25861" s="183"/>
      <c r="R25861" s="183"/>
      <c r="S25861" s="183"/>
    </row>
    <row r="25862" spans="1:19">
      <c r="A25862" s="182"/>
      <c r="Q25862" s="183"/>
      <c r="R25862" s="183"/>
      <c r="S25862" s="183"/>
    </row>
    <row r="25863" spans="1:19">
      <c r="A25863" s="182"/>
      <c r="Q25863" s="183"/>
      <c r="R25863" s="183"/>
      <c r="S25863" s="183"/>
    </row>
    <row r="25864" spans="1:19">
      <c r="A25864" s="182"/>
      <c r="Q25864" s="183"/>
      <c r="R25864" s="183"/>
      <c r="S25864" s="183"/>
    </row>
    <row r="25865" spans="1:19">
      <c r="A25865" s="182"/>
      <c r="Q25865" s="183"/>
      <c r="R25865" s="183"/>
      <c r="S25865" s="183"/>
    </row>
    <row r="25866" spans="1:19">
      <c r="A25866" s="182"/>
      <c r="Q25866" s="183"/>
      <c r="R25866" s="183"/>
      <c r="S25866" s="183"/>
    </row>
    <row r="25867" spans="1:19">
      <c r="A25867" s="182"/>
      <c r="Q25867" s="183"/>
      <c r="R25867" s="183"/>
      <c r="S25867" s="183"/>
    </row>
    <row r="25868" spans="1:19">
      <c r="A25868" s="182"/>
      <c r="Q25868" s="183"/>
      <c r="R25868" s="183"/>
      <c r="S25868" s="183"/>
    </row>
    <row r="25869" spans="1:19">
      <c r="A25869" s="182"/>
      <c r="Q25869" s="183"/>
      <c r="R25869" s="183"/>
      <c r="S25869" s="183"/>
    </row>
    <row r="25870" spans="1:19">
      <c r="A25870" s="182"/>
      <c r="Q25870" s="183"/>
      <c r="R25870" s="183"/>
      <c r="S25870" s="183"/>
    </row>
    <row r="25871" spans="1:19">
      <c r="A25871" s="182"/>
      <c r="Q25871" s="183"/>
      <c r="R25871" s="183"/>
      <c r="S25871" s="183"/>
    </row>
    <row r="25872" spans="1:19">
      <c r="A25872" s="182"/>
      <c r="Q25872" s="183"/>
      <c r="R25872" s="183"/>
      <c r="S25872" s="183"/>
    </row>
    <row r="25873" spans="1:38">
      <c r="A25873" s="182"/>
      <c r="Q25873" s="183"/>
      <c r="R25873" s="183"/>
      <c r="S25873" s="183"/>
    </row>
    <row r="25874" spans="1:38">
      <c r="A25874" s="182"/>
      <c r="Q25874" s="183"/>
      <c r="R25874" s="183"/>
      <c r="S25874" s="183"/>
    </row>
    <row r="25875" spans="1:38">
      <c r="A25875" s="182"/>
      <c r="Q25875" s="183"/>
      <c r="R25875" s="183"/>
      <c r="S25875" s="183"/>
    </row>
    <row r="25876" spans="1:38">
      <c r="A25876" s="182"/>
      <c r="Q25876" s="183"/>
      <c r="R25876" s="183"/>
      <c r="S25876" s="183"/>
    </row>
    <row r="25877" spans="1:38">
      <c r="A25877" s="182"/>
      <c r="Q25877" s="183"/>
      <c r="R25877" s="183"/>
      <c r="S25877" s="183"/>
    </row>
    <row r="25878" spans="1:38">
      <c r="A25878" s="182"/>
      <c r="Q25878" s="183"/>
      <c r="R25878" s="183"/>
      <c r="S25878" s="183"/>
    </row>
    <row r="25879" spans="1:38">
      <c r="A25879" s="182"/>
      <c r="Q25879" s="183"/>
      <c r="R25879" s="183"/>
      <c r="S25879" s="183"/>
      <c r="AK25879" s="183"/>
      <c r="AL25879" s="183"/>
    </row>
    <row r="25880" spans="1:38">
      <c r="A25880" s="182"/>
      <c r="Q25880" s="183"/>
      <c r="R25880" s="183"/>
      <c r="S25880" s="183"/>
      <c r="AJ25880" s="183"/>
      <c r="AK25880" s="183"/>
      <c r="AL25880" s="183"/>
    </row>
    <row r="25881" spans="1:38">
      <c r="A25881" s="182"/>
      <c r="Q25881" s="183"/>
      <c r="R25881" s="183"/>
      <c r="S25881" s="183"/>
      <c r="AJ25881" s="183"/>
      <c r="AK25881" s="183"/>
      <c r="AL25881" s="183"/>
    </row>
    <row r="25882" spans="1:38">
      <c r="A25882" s="182"/>
      <c r="Q25882" s="183"/>
      <c r="R25882" s="183"/>
      <c r="S25882" s="183"/>
      <c r="AJ25882" s="183"/>
      <c r="AK25882" s="183"/>
      <c r="AL25882" s="183"/>
    </row>
    <row r="25883" spans="1:38">
      <c r="A25883" s="182"/>
      <c r="Q25883" s="183"/>
      <c r="R25883" s="183"/>
      <c r="S25883" s="183"/>
      <c r="AJ25883" s="183"/>
      <c r="AK25883" s="183"/>
      <c r="AL25883" s="183"/>
    </row>
    <row r="25884" spans="1:38">
      <c r="A25884" s="182"/>
      <c r="Q25884" s="183"/>
      <c r="R25884" s="183"/>
      <c r="S25884" s="183"/>
      <c r="AJ25884" s="183"/>
      <c r="AK25884" s="183"/>
      <c r="AL25884" s="183"/>
    </row>
    <row r="25885" spans="1:38">
      <c r="A25885" s="182"/>
      <c r="Q25885" s="183"/>
      <c r="R25885" s="183"/>
      <c r="S25885" s="183"/>
      <c r="AJ25885" s="183"/>
      <c r="AK25885" s="183"/>
      <c r="AL25885" s="183"/>
    </row>
    <row r="25886" spans="1:38">
      <c r="A25886" s="182"/>
      <c r="Q25886" s="183"/>
      <c r="R25886" s="183"/>
      <c r="S25886" s="183"/>
      <c r="AJ25886" s="183"/>
      <c r="AK25886" s="183"/>
      <c r="AL25886" s="183"/>
    </row>
    <row r="25887" spans="1:38">
      <c r="A25887" s="182"/>
      <c r="Q25887" s="183"/>
      <c r="R25887" s="183"/>
      <c r="S25887" s="183"/>
      <c r="AJ25887" s="183"/>
    </row>
    <row r="25888" spans="1:38">
      <c r="A25888" s="182"/>
      <c r="Q25888" s="183"/>
      <c r="R25888" s="183"/>
      <c r="S25888" s="183"/>
    </row>
    <row r="25889" spans="1:19">
      <c r="A25889" s="182"/>
      <c r="Q25889" s="183"/>
      <c r="R25889" s="183"/>
      <c r="S25889" s="183"/>
    </row>
    <row r="25890" spans="1:19">
      <c r="A25890" s="182"/>
      <c r="Q25890" s="183"/>
      <c r="R25890" s="183"/>
      <c r="S25890" s="183"/>
    </row>
    <row r="25891" spans="1:19">
      <c r="A25891" s="182"/>
      <c r="Q25891" s="183"/>
      <c r="R25891" s="183"/>
      <c r="S25891" s="183"/>
    </row>
    <row r="25892" spans="1:19">
      <c r="A25892" s="182"/>
      <c r="Q25892" s="183"/>
      <c r="R25892" s="183"/>
      <c r="S25892" s="183"/>
    </row>
    <row r="25893" spans="1:19">
      <c r="A25893" s="182"/>
      <c r="Q25893" s="183"/>
      <c r="R25893" s="183"/>
      <c r="S25893" s="183"/>
    </row>
    <row r="25894" spans="1:19">
      <c r="A25894" s="182"/>
      <c r="N25894" s="183"/>
      <c r="O25894" s="183"/>
      <c r="Q25894" s="183"/>
      <c r="R25894" s="183"/>
      <c r="S25894" s="183"/>
    </row>
    <row r="25895" spans="1:19">
      <c r="A25895" s="182"/>
      <c r="M25895" s="183"/>
      <c r="Q25895" s="183"/>
      <c r="R25895" s="183"/>
      <c r="S25895" s="183"/>
    </row>
    <row r="25896" spans="1:19">
      <c r="A25896" s="182"/>
      <c r="Q25896" s="183"/>
      <c r="R25896" s="183"/>
      <c r="S25896" s="183"/>
    </row>
    <row r="25897" spans="1:19">
      <c r="A25897" s="182"/>
      <c r="Q25897" s="183"/>
      <c r="R25897" s="183"/>
      <c r="S25897" s="183"/>
    </row>
    <row r="25898" spans="1:19">
      <c r="A25898" s="182"/>
      <c r="Q25898" s="183"/>
      <c r="R25898" s="183"/>
      <c r="S25898" s="183"/>
    </row>
    <row r="25899" spans="1:19">
      <c r="A25899" s="182"/>
      <c r="Q25899" s="183"/>
      <c r="R25899" s="183"/>
      <c r="S25899" s="183"/>
    </row>
    <row r="25900" spans="1:19">
      <c r="A25900" s="182"/>
      <c r="Q25900" s="183"/>
      <c r="R25900" s="183"/>
      <c r="S25900" s="183"/>
    </row>
    <row r="25901" spans="1:19">
      <c r="A25901" s="182"/>
      <c r="Q25901" s="183"/>
      <c r="R25901" s="183"/>
      <c r="S25901" s="183"/>
    </row>
    <row r="25902" spans="1:19">
      <c r="A25902" s="182"/>
      <c r="Q25902" s="183"/>
      <c r="R25902" s="183"/>
      <c r="S25902" s="183"/>
    </row>
    <row r="25903" spans="1:19">
      <c r="A25903" s="182"/>
      <c r="Q25903" s="183"/>
      <c r="R25903" s="183"/>
      <c r="S25903" s="183"/>
    </row>
    <row r="25904" spans="1:19">
      <c r="A25904" s="182"/>
      <c r="Q25904" s="183"/>
      <c r="R25904" s="183"/>
      <c r="S25904" s="183"/>
    </row>
    <row r="25905" spans="1:19">
      <c r="A25905" s="182"/>
      <c r="Q25905" s="183"/>
      <c r="R25905" s="183"/>
      <c r="S25905" s="183"/>
    </row>
    <row r="25906" spans="1:19">
      <c r="A25906" s="182"/>
      <c r="Q25906" s="183"/>
      <c r="R25906" s="183"/>
      <c r="S25906" s="183"/>
    </row>
    <row r="25907" spans="1:19">
      <c r="A25907" s="182"/>
      <c r="Q25907" s="183"/>
      <c r="R25907" s="183"/>
      <c r="S25907" s="183"/>
    </row>
    <row r="25908" spans="1:19">
      <c r="A25908" s="182"/>
      <c r="Q25908" s="183"/>
      <c r="R25908" s="183"/>
      <c r="S25908" s="183"/>
    </row>
    <row r="25909" spans="1:19">
      <c r="A25909" s="182"/>
      <c r="Q25909" s="183"/>
      <c r="R25909" s="183"/>
      <c r="S25909" s="183"/>
    </row>
    <row r="25910" spans="1:19">
      <c r="A25910" s="182"/>
      <c r="Q25910" s="183"/>
      <c r="R25910" s="183"/>
      <c r="S25910" s="183"/>
    </row>
    <row r="25911" spans="1:19">
      <c r="A25911" s="182"/>
      <c r="N25911" s="183"/>
      <c r="O25911" s="183"/>
      <c r="Q25911" s="183"/>
      <c r="R25911" s="183"/>
      <c r="S25911" s="183"/>
    </row>
    <row r="25912" spans="1:19">
      <c r="A25912" s="182"/>
      <c r="M25912" s="183"/>
      <c r="Q25912" s="183"/>
      <c r="R25912" s="183"/>
      <c r="S25912" s="183"/>
    </row>
    <row r="25913" spans="1:19">
      <c r="A25913" s="182"/>
      <c r="Q25913" s="183"/>
      <c r="R25913" s="183"/>
      <c r="S25913" s="183"/>
    </row>
    <row r="25914" spans="1:19">
      <c r="A25914" s="182"/>
      <c r="Q25914" s="183"/>
      <c r="R25914" s="183"/>
      <c r="S25914" s="183"/>
    </row>
    <row r="25915" spans="1:19">
      <c r="A25915" s="182"/>
      <c r="Q25915" s="183"/>
      <c r="R25915" s="183"/>
      <c r="S25915" s="183"/>
    </row>
    <row r="25916" spans="1:19">
      <c r="A25916" s="182"/>
      <c r="Q25916" s="183"/>
      <c r="R25916" s="183"/>
      <c r="S25916" s="183"/>
    </row>
    <row r="25917" spans="1:19">
      <c r="A25917" s="182"/>
      <c r="Q25917" s="183"/>
      <c r="R25917" s="183"/>
      <c r="S25917" s="183"/>
    </row>
    <row r="25918" spans="1:19">
      <c r="A25918" s="182"/>
      <c r="Q25918" s="183"/>
      <c r="R25918" s="183"/>
      <c r="S25918" s="183"/>
    </row>
    <row r="25919" spans="1:19">
      <c r="A25919" s="182"/>
      <c r="Q25919" s="183"/>
      <c r="R25919" s="183"/>
      <c r="S25919" s="183"/>
    </row>
    <row r="25920" spans="1:19">
      <c r="A25920" s="182"/>
      <c r="Q25920" s="183"/>
      <c r="R25920" s="183"/>
      <c r="S25920" s="183"/>
    </row>
    <row r="25921" spans="1:19">
      <c r="A25921" s="182"/>
      <c r="Q25921" s="183"/>
      <c r="R25921" s="183"/>
      <c r="S25921" s="183"/>
    </row>
    <row r="25922" spans="1:19">
      <c r="A25922" s="182"/>
      <c r="Q25922" s="183"/>
      <c r="R25922" s="183"/>
      <c r="S25922" s="183"/>
    </row>
    <row r="25923" spans="1:19">
      <c r="A25923" s="182"/>
      <c r="Q25923" s="183"/>
    </row>
    <row r="25924" spans="1:19">
      <c r="A25924" s="182"/>
    </row>
    <row r="25925" spans="1:19">
      <c r="A25925" s="182"/>
    </row>
    <row r="25926" spans="1:19">
      <c r="A25926" s="182"/>
    </row>
    <row r="25927" spans="1:19">
      <c r="A25927" s="182"/>
    </row>
    <row r="25928" spans="1:19">
      <c r="A25928" s="182"/>
    </row>
    <row r="25929" spans="1:19">
      <c r="A25929" s="182"/>
    </row>
    <row r="25930" spans="1:19">
      <c r="A25930" s="182"/>
    </row>
    <row r="25931" spans="1:19">
      <c r="A25931" s="182"/>
    </row>
    <row r="25932" spans="1:19">
      <c r="A25932" s="182"/>
    </row>
    <row r="25933" spans="1:19">
      <c r="A25933" s="182"/>
    </row>
    <row r="25934" spans="1:19">
      <c r="A25934" s="182"/>
    </row>
    <row r="25935" spans="1:19">
      <c r="A25935" s="182"/>
    </row>
    <row r="25936" spans="1:19">
      <c r="A25936" s="182"/>
    </row>
    <row r="25937" spans="1:38">
      <c r="A25937" s="182"/>
      <c r="R25937" s="183"/>
      <c r="S25937" s="183"/>
    </row>
    <row r="25938" spans="1:38">
      <c r="A25938" s="182"/>
      <c r="Q25938" s="183"/>
    </row>
    <row r="25939" spans="1:38">
      <c r="A25939" s="182"/>
    </row>
    <row r="25940" spans="1:38">
      <c r="A25940" s="182"/>
    </row>
    <row r="25941" spans="1:38">
      <c r="A25941" s="182"/>
    </row>
    <row r="25942" spans="1:38">
      <c r="A25942" s="182"/>
    </row>
    <row r="25943" spans="1:38">
      <c r="A25943" s="182"/>
    </row>
    <row r="25944" spans="1:38">
      <c r="A25944" s="182"/>
    </row>
    <row r="25945" spans="1:38">
      <c r="A25945" s="182"/>
    </row>
    <row r="25946" spans="1:38">
      <c r="A25946" s="182"/>
    </row>
    <row r="25947" spans="1:38">
      <c r="A25947" s="182"/>
    </row>
    <row r="25948" spans="1:38">
      <c r="A25948" s="182"/>
    </row>
    <row r="25949" spans="1:38">
      <c r="A25949" s="182"/>
    </row>
    <row r="25950" spans="1:38">
      <c r="A25950" s="182"/>
    </row>
    <row r="25951" spans="1:38">
      <c r="A25951" s="182"/>
      <c r="R25951" s="183"/>
      <c r="S25951" s="183"/>
      <c r="AK25951" s="183"/>
      <c r="AL25951" s="183"/>
    </row>
    <row r="25952" spans="1:38">
      <c r="A25952" s="182"/>
      <c r="Q25952" s="183"/>
      <c r="AJ25952" s="183"/>
      <c r="AK25952" s="183"/>
      <c r="AL25952" s="183"/>
    </row>
    <row r="25953" spans="1:38">
      <c r="A25953" s="182"/>
      <c r="R25953" s="183"/>
      <c r="S25953" s="183"/>
      <c r="AJ25953" s="183"/>
      <c r="AK25953" s="183"/>
      <c r="AL25953" s="183"/>
    </row>
    <row r="25954" spans="1:38">
      <c r="A25954" s="182"/>
      <c r="Q25954" s="183"/>
      <c r="R25954" s="183"/>
      <c r="S25954" s="183"/>
      <c r="AJ25954" s="183"/>
      <c r="AK25954" s="183"/>
      <c r="AL25954" s="183"/>
    </row>
    <row r="25955" spans="1:38">
      <c r="A25955" s="182"/>
      <c r="Q25955" s="183"/>
      <c r="R25955" s="183"/>
      <c r="S25955" s="183"/>
      <c r="AJ25955" s="183"/>
    </row>
    <row r="25956" spans="1:38">
      <c r="A25956" s="182"/>
      <c r="Q25956" s="183"/>
      <c r="R25956" s="183"/>
      <c r="S25956" s="183"/>
    </row>
    <row r="25957" spans="1:38">
      <c r="A25957" s="182"/>
      <c r="Q25957" s="183"/>
      <c r="R25957" s="183"/>
      <c r="S25957" s="183"/>
    </row>
    <row r="25958" spans="1:38">
      <c r="A25958" s="182"/>
      <c r="Q25958" s="183"/>
      <c r="R25958" s="183"/>
      <c r="S25958" s="183"/>
    </row>
    <row r="25959" spans="1:38">
      <c r="A25959" s="182"/>
      <c r="Q25959" s="183"/>
      <c r="R25959" s="183"/>
      <c r="S25959" s="183"/>
    </row>
    <row r="25960" spans="1:38">
      <c r="A25960" s="182"/>
      <c r="Q25960" s="183"/>
      <c r="R25960" s="183"/>
      <c r="S25960" s="183"/>
    </row>
    <row r="25961" spans="1:38">
      <c r="A25961" s="182"/>
      <c r="Q25961" s="183"/>
      <c r="R25961" s="183"/>
      <c r="S25961" s="183"/>
    </row>
    <row r="25962" spans="1:38">
      <c r="A25962" s="182"/>
      <c r="Q25962" s="183"/>
      <c r="R25962" s="183"/>
      <c r="S25962" s="183"/>
    </row>
    <row r="25963" spans="1:38">
      <c r="A25963" s="182"/>
      <c r="Q25963" s="183"/>
      <c r="R25963" s="183"/>
      <c r="S25963" s="183"/>
    </row>
    <row r="25964" spans="1:38">
      <c r="A25964" s="182"/>
      <c r="Q25964" s="183"/>
      <c r="R25964" s="183"/>
      <c r="S25964" s="183"/>
    </row>
    <row r="25965" spans="1:38">
      <c r="A25965" s="182"/>
      <c r="Q25965" s="183"/>
      <c r="R25965" s="183"/>
      <c r="S25965" s="183"/>
    </row>
    <row r="25966" spans="1:38">
      <c r="A25966" s="182"/>
      <c r="Q25966" s="183"/>
      <c r="R25966" s="183"/>
      <c r="S25966" s="183"/>
    </row>
    <row r="25967" spans="1:38">
      <c r="A25967" s="182"/>
      <c r="Q25967" s="183"/>
      <c r="R25967" s="183"/>
      <c r="S25967" s="183"/>
    </row>
    <row r="25968" spans="1:38">
      <c r="A25968" s="182"/>
      <c r="Q25968" s="183"/>
      <c r="R25968" s="183"/>
      <c r="S25968" s="183"/>
    </row>
    <row r="25969" spans="1:38">
      <c r="A25969" s="182"/>
      <c r="Q25969" s="183"/>
      <c r="R25969" s="183"/>
      <c r="S25969" s="183"/>
    </row>
    <row r="25970" spans="1:38">
      <c r="A25970" s="182"/>
      <c r="Q25970" s="183"/>
      <c r="R25970" s="183"/>
      <c r="S25970" s="183"/>
    </row>
    <row r="25971" spans="1:38">
      <c r="A25971" s="182"/>
      <c r="Q25971" s="183"/>
      <c r="R25971" s="183"/>
      <c r="S25971" s="183"/>
    </row>
    <row r="25972" spans="1:38">
      <c r="A25972" s="182"/>
      <c r="Q25972" s="183"/>
      <c r="R25972" s="183"/>
      <c r="S25972" s="183"/>
    </row>
    <row r="25973" spans="1:38">
      <c r="A25973" s="182"/>
      <c r="Q25973" s="183"/>
      <c r="R25973" s="183"/>
      <c r="S25973" s="183"/>
    </row>
    <row r="25974" spans="1:38">
      <c r="A25974" s="182"/>
      <c r="Q25974" s="183"/>
      <c r="R25974" s="183"/>
      <c r="S25974" s="183"/>
    </row>
    <row r="25975" spans="1:38">
      <c r="A25975" s="182"/>
      <c r="Q25975" s="183"/>
      <c r="R25975" s="183"/>
      <c r="S25975" s="183"/>
      <c r="AK25975" s="183"/>
      <c r="AL25975" s="183"/>
    </row>
    <row r="25976" spans="1:38">
      <c r="A25976" s="182"/>
      <c r="Q25976" s="183"/>
      <c r="R25976" s="183"/>
      <c r="S25976" s="183"/>
      <c r="AJ25976" s="183"/>
      <c r="AK25976" s="183"/>
      <c r="AL25976" s="183"/>
    </row>
    <row r="25977" spans="1:38">
      <c r="A25977" s="182"/>
      <c r="Q25977" s="183"/>
      <c r="R25977" s="183"/>
      <c r="S25977" s="183"/>
      <c r="AJ25977" s="183"/>
      <c r="AK25977" s="183"/>
      <c r="AL25977" s="183"/>
    </row>
    <row r="25978" spans="1:38">
      <c r="A25978" s="182"/>
      <c r="Q25978" s="183"/>
      <c r="R25978" s="183"/>
      <c r="S25978" s="183"/>
      <c r="AJ25978" s="183"/>
      <c r="AK25978" s="183"/>
      <c r="AL25978" s="183"/>
    </row>
    <row r="25979" spans="1:38">
      <c r="A25979" s="182"/>
      <c r="Q25979" s="183"/>
      <c r="R25979" s="183"/>
      <c r="S25979" s="183"/>
      <c r="AJ25979" s="183"/>
      <c r="AK25979" s="183"/>
      <c r="AL25979" s="183"/>
    </row>
    <row r="25980" spans="1:38">
      <c r="A25980" s="182"/>
      <c r="Q25980" s="183"/>
      <c r="R25980" s="183"/>
      <c r="S25980" s="183"/>
      <c r="AJ25980" s="183"/>
      <c r="AK25980" s="183"/>
      <c r="AL25980" s="183"/>
    </row>
    <row r="25981" spans="1:38">
      <c r="A25981" s="182"/>
      <c r="Q25981" s="183"/>
      <c r="R25981" s="183"/>
      <c r="S25981" s="183"/>
      <c r="AJ25981" s="183"/>
      <c r="AK25981" s="183"/>
      <c r="AL25981" s="183"/>
    </row>
    <row r="25982" spans="1:38">
      <c r="A25982" s="182"/>
      <c r="Q25982" s="183"/>
      <c r="R25982" s="183"/>
      <c r="S25982" s="183"/>
      <c r="AJ25982" s="183"/>
      <c r="AK25982" s="183"/>
      <c r="AL25982" s="183"/>
    </row>
    <row r="25983" spans="1:38">
      <c r="A25983" s="182"/>
      <c r="Q25983" s="183"/>
      <c r="R25983" s="183"/>
      <c r="S25983" s="183"/>
      <c r="AJ25983" s="183"/>
      <c r="AK25983" s="183"/>
      <c r="AL25983" s="183"/>
    </row>
    <row r="25984" spans="1:38">
      <c r="A25984" s="182"/>
      <c r="Q25984" s="183"/>
      <c r="R25984" s="183"/>
      <c r="S25984" s="183"/>
      <c r="AJ25984" s="183"/>
      <c r="AK25984" s="183"/>
      <c r="AL25984" s="183"/>
    </row>
    <row r="25985" spans="1:38">
      <c r="A25985" s="182"/>
      <c r="Q25985" s="183"/>
      <c r="R25985" s="183"/>
      <c r="S25985" s="183"/>
      <c r="AJ25985" s="183"/>
      <c r="AK25985" s="183"/>
      <c r="AL25985" s="183"/>
    </row>
    <row r="25986" spans="1:38">
      <c r="A25986" s="182"/>
      <c r="Q25986" s="183"/>
      <c r="R25986" s="183"/>
      <c r="S25986" s="183"/>
      <c r="AJ25986" s="183"/>
      <c r="AK25986" s="183"/>
      <c r="AL25986" s="183"/>
    </row>
    <row r="25987" spans="1:38">
      <c r="A25987" s="182"/>
      <c r="Q25987" s="183"/>
      <c r="R25987" s="183"/>
      <c r="S25987" s="183"/>
      <c r="AJ25987" s="183"/>
    </row>
    <row r="25988" spans="1:38">
      <c r="A25988" s="182"/>
      <c r="Q25988" s="183"/>
      <c r="R25988" s="183"/>
      <c r="S25988" s="183"/>
    </row>
    <row r="25989" spans="1:38">
      <c r="A25989" s="182"/>
      <c r="Q25989" s="183"/>
      <c r="R25989" s="183"/>
      <c r="S25989" s="183"/>
    </row>
    <row r="25990" spans="1:38">
      <c r="A25990" s="182"/>
      <c r="Q25990" s="183"/>
      <c r="R25990" s="183"/>
      <c r="S25990" s="183"/>
    </row>
    <row r="25991" spans="1:38">
      <c r="A25991" s="182"/>
      <c r="Q25991" s="183"/>
      <c r="R25991" s="183"/>
      <c r="S25991" s="183"/>
    </row>
    <row r="25992" spans="1:38">
      <c r="A25992" s="182"/>
      <c r="Q25992" s="183"/>
      <c r="R25992" s="183"/>
      <c r="S25992" s="183"/>
    </row>
    <row r="25993" spans="1:38">
      <c r="A25993" s="182"/>
      <c r="Q25993" s="183"/>
      <c r="R25993" s="183"/>
      <c r="S25993" s="183"/>
    </row>
    <row r="25994" spans="1:38">
      <c r="A25994" s="182"/>
      <c r="Q25994" s="183"/>
      <c r="R25994" s="183"/>
      <c r="S25994" s="183"/>
    </row>
    <row r="25995" spans="1:38">
      <c r="A25995" s="182"/>
      <c r="Q25995" s="183"/>
      <c r="R25995" s="183"/>
      <c r="S25995" s="183"/>
      <c r="AK25995" s="183"/>
      <c r="AL25995" s="183"/>
    </row>
    <row r="25996" spans="1:38">
      <c r="A25996" s="182"/>
      <c r="Q25996" s="183"/>
      <c r="R25996" s="183"/>
      <c r="S25996" s="183"/>
      <c r="AJ25996" s="183"/>
      <c r="AK25996" s="183"/>
      <c r="AL25996" s="183"/>
    </row>
    <row r="25997" spans="1:38">
      <c r="A25997" s="182"/>
      <c r="Q25997" s="183"/>
      <c r="R25997" s="183"/>
      <c r="S25997" s="183"/>
      <c r="AJ25997" s="183"/>
      <c r="AK25997" s="183"/>
      <c r="AL25997" s="183"/>
    </row>
    <row r="25998" spans="1:38">
      <c r="A25998" s="182"/>
      <c r="Q25998" s="183"/>
      <c r="R25998" s="183"/>
      <c r="S25998" s="183"/>
      <c r="AJ25998" s="183"/>
      <c r="AK25998" s="183"/>
      <c r="AL25998" s="183"/>
    </row>
    <row r="25999" spans="1:38">
      <c r="A25999" s="182"/>
      <c r="Q25999" s="183"/>
      <c r="R25999" s="183"/>
      <c r="S25999" s="183"/>
      <c r="AJ25999" s="183"/>
    </row>
    <row r="26000" spans="1:38">
      <c r="A26000" s="182"/>
      <c r="Q26000" s="183"/>
      <c r="R26000" s="183"/>
      <c r="S26000" s="183"/>
    </row>
    <row r="26001" spans="1:38">
      <c r="A26001" s="182"/>
      <c r="Q26001" s="183"/>
      <c r="R26001" s="183"/>
      <c r="S26001" s="183"/>
    </row>
    <row r="26002" spans="1:38">
      <c r="A26002" s="182"/>
      <c r="Q26002" s="183"/>
      <c r="R26002" s="183"/>
      <c r="S26002" s="183"/>
    </row>
    <row r="26003" spans="1:38">
      <c r="A26003" s="182"/>
      <c r="Q26003" s="183"/>
      <c r="R26003" s="183"/>
      <c r="S26003" s="183"/>
      <c r="AK26003" s="183"/>
      <c r="AL26003" s="183"/>
    </row>
    <row r="26004" spans="1:38">
      <c r="A26004" s="182"/>
      <c r="Q26004" s="183"/>
      <c r="R26004" s="183"/>
      <c r="S26004" s="183"/>
      <c r="AJ26004" s="183"/>
      <c r="AK26004" s="183"/>
      <c r="AL26004" s="183"/>
    </row>
    <row r="26005" spans="1:38">
      <c r="A26005" s="182"/>
      <c r="Q26005" s="183"/>
      <c r="R26005" s="183"/>
      <c r="S26005" s="183"/>
      <c r="AJ26005" s="183"/>
      <c r="AK26005" s="183"/>
      <c r="AL26005" s="183"/>
    </row>
    <row r="26006" spans="1:38">
      <c r="A26006" s="182"/>
      <c r="Q26006" s="183"/>
      <c r="R26006" s="183"/>
      <c r="S26006" s="183"/>
      <c r="AJ26006" s="183"/>
      <c r="AK26006" s="183"/>
      <c r="AL26006" s="183"/>
    </row>
    <row r="26007" spans="1:38">
      <c r="A26007" s="182"/>
      <c r="Q26007" s="183"/>
      <c r="R26007" s="183"/>
      <c r="S26007" s="183"/>
      <c r="AJ26007" s="183"/>
    </row>
    <row r="26008" spans="1:38">
      <c r="A26008" s="182"/>
      <c r="Q26008" s="183"/>
      <c r="R26008" s="183"/>
      <c r="S26008" s="183"/>
    </row>
    <row r="26009" spans="1:38">
      <c r="A26009" s="182"/>
      <c r="Q26009" s="183"/>
      <c r="R26009" s="183"/>
      <c r="S26009" s="183"/>
    </row>
    <row r="26010" spans="1:38">
      <c r="A26010" s="182"/>
      <c r="Q26010" s="183"/>
      <c r="R26010" s="183"/>
      <c r="S26010" s="183"/>
    </row>
    <row r="26011" spans="1:38">
      <c r="A26011" s="182"/>
      <c r="Q26011" s="183"/>
      <c r="R26011" s="183"/>
      <c r="S26011" s="183"/>
      <c r="AK26011" s="183"/>
      <c r="AL26011" s="183"/>
    </row>
    <row r="26012" spans="1:38">
      <c r="A26012" s="182"/>
      <c r="Q26012" s="183"/>
      <c r="R26012" s="183"/>
      <c r="S26012" s="183"/>
      <c r="AJ26012" s="183"/>
      <c r="AK26012" s="183"/>
      <c r="AL26012" s="183"/>
    </row>
    <row r="26013" spans="1:38">
      <c r="A26013" s="182"/>
      <c r="Q26013" s="183"/>
      <c r="R26013" s="183"/>
      <c r="S26013" s="183"/>
      <c r="AJ26013" s="183"/>
      <c r="AK26013" s="183"/>
      <c r="AL26013" s="183"/>
    </row>
    <row r="26014" spans="1:38">
      <c r="A26014" s="182"/>
      <c r="Q26014" s="183"/>
      <c r="R26014" s="183"/>
      <c r="S26014" s="183"/>
      <c r="AJ26014" s="183"/>
      <c r="AK26014" s="183"/>
      <c r="AL26014" s="183"/>
    </row>
    <row r="26015" spans="1:38">
      <c r="A26015" s="182"/>
      <c r="Q26015" s="183"/>
      <c r="R26015" s="183"/>
      <c r="S26015" s="183"/>
      <c r="AJ26015" s="183"/>
      <c r="AK26015" s="183"/>
      <c r="AL26015" s="183"/>
    </row>
    <row r="26016" spans="1:38">
      <c r="A26016" s="182"/>
      <c r="Q26016" s="183"/>
      <c r="R26016" s="183"/>
      <c r="S26016" s="183"/>
      <c r="AJ26016" s="183"/>
      <c r="AK26016" s="183"/>
      <c r="AL26016" s="183"/>
    </row>
    <row r="26017" spans="1:38">
      <c r="A26017" s="182"/>
      <c r="Q26017" s="183"/>
      <c r="R26017" s="183"/>
      <c r="S26017" s="183"/>
      <c r="AJ26017" s="183"/>
      <c r="AK26017" s="183"/>
      <c r="AL26017" s="183"/>
    </row>
    <row r="26018" spans="1:38">
      <c r="A26018" s="182"/>
      <c r="Q26018" s="183"/>
      <c r="R26018" s="183"/>
      <c r="S26018" s="183"/>
      <c r="AJ26018" s="183"/>
      <c r="AK26018" s="183"/>
      <c r="AL26018" s="183"/>
    </row>
    <row r="26019" spans="1:38">
      <c r="A26019" s="182"/>
      <c r="Q26019" s="183"/>
      <c r="R26019" s="183"/>
      <c r="S26019" s="183"/>
      <c r="AJ26019" s="183"/>
      <c r="AK26019" s="183"/>
      <c r="AL26019" s="183"/>
    </row>
    <row r="26020" spans="1:38">
      <c r="A26020" s="182"/>
      <c r="Q26020" s="183"/>
      <c r="R26020" s="183"/>
      <c r="S26020" s="183"/>
      <c r="AJ26020" s="183"/>
      <c r="AK26020" s="183"/>
      <c r="AL26020" s="183"/>
    </row>
    <row r="26021" spans="1:38">
      <c r="A26021" s="182"/>
      <c r="Q26021" s="183"/>
      <c r="R26021" s="183"/>
      <c r="S26021" s="183"/>
      <c r="AJ26021" s="183"/>
      <c r="AK26021" s="183"/>
      <c r="AL26021" s="183"/>
    </row>
    <row r="26022" spans="1:38">
      <c r="A26022" s="182"/>
      <c r="Q26022" s="183"/>
      <c r="R26022" s="183"/>
      <c r="S26022" s="183"/>
      <c r="AJ26022" s="183"/>
      <c r="AK26022" s="183"/>
      <c r="AL26022" s="183"/>
    </row>
    <row r="26023" spans="1:38">
      <c r="A26023" s="182"/>
      <c r="Q26023" s="183"/>
      <c r="R26023" s="183"/>
      <c r="S26023" s="183"/>
      <c r="AJ26023" s="183"/>
      <c r="AK26023" s="183"/>
      <c r="AL26023" s="183"/>
    </row>
    <row r="26024" spans="1:38">
      <c r="A26024" s="182"/>
      <c r="Q26024" s="183"/>
      <c r="R26024" s="183"/>
      <c r="S26024" s="183"/>
      <c r="AJ26024" s="183"/>
      <c r="AK26024" s="183"/>
      <c r="AL26024" s="183"/>
    </row>
    <row r="26025" spans="1:38">
      <c r="A26025" s="182"/>
      <c r="Q26025" s="183"/>
      <c r="R26025" s="183"/>
      <c r="S26025" s="183"/>
      <c r="AJ26025" s="183"/>
      <c r="AK26025" s="183"/>
      <c r="AL26025" s="183"/>
    </row>
    <row r="26026" spans="1:38">
      <c r="A26026" s="182"/>
      <c r="Q26026" s="183"/>
      <c r="R26026" s="183"/>
      <c r="S26026" s="183"/>
      <c r="AJ26026" s="183"/>
      <c r="AK26026" s="183"/>
      <c r="AL26026" s="183"/>
    </row>
    <row r="26027" spans="1:38">
      <c r="A26027" s="182"/>
      <c r="Q26027" s="183"/>
      <c r="R26027" s="183"/>
      <c r="S26027" s="183"/>
      <c r="AJ26027" s="183"/>
    </row>
    <row r="26028" spans="1:38">
      <c r="A26028" s="182"/>
      <c r="Q26028" s="183"/>
      <c r="R26028" s="183"/>
      <c r="S26028" s="183"/>
    </row>
    <row r="26029" spans="1:38">
      <c r="A26029" s="182"/>
      <c r="Q26029" s="183"/>
      <c r="R26029" s="183"/>
      <c r="S26029" s="183"/>
    </row>
    <row r="26030" spans="1:38">
      <c r="A26030" s="182"/>
      <c r="Q26030" s="183"/>
      <c r="R26030" s="183"/>
      <c r="S26030" s="183"/>
    </row>
    <row r="26031" spans="1:38">
      <c r="A26031" s="182"/>
      <c r="Q26031" s="183"/>
      <c r="R26031" s="183"/>
      <c r="S26031" s="183"/>
    </row>
    <row r="26032" spans="1:38">
      <c r="A26032" s="182"/>
      <c r="Q26032" s="183"/>
      <c r="R26032" s="183"/>
      <c r="S26032" s="183"/>
    </row>
    <row r="26033" spans="1:19">
      <c r="A26033" s="182"/>
      <c r="Q26033" s="183"/>
      <c r="R26033" s="183"/>
      <c r="S26033" s="183"/>
    </row>
    <row r="26034" spans="1:19">
      <c r="A26034" s="182"/>
      <c r="Q26034" s="183"/>
      <c r="R26034" s="183"/>
      <c r="S26034" s="183"/>
    </row>
    <row r="26035" spans="1:19">
      <c r="A26035" s="182"/>
      <c r="Q26035" s="183"/>
      <c r="R26035" s="183"/>
      <c r="S26035" s="183"/>
    </row>
    <row r="26036" spans="1:19">
      <c r="A26036" s="182"/>
      <c r="Q26036" s="183"/>
      <c r="R26036" s="183"/>
      <c r="S26036" s="183"/>
    </row>
    <row r="26037" spans="1:19">
      <c r="A26037" s="182"/>
      <c r="Q26037" s="183"/>
      <c r="R26037" s="183"/>
      <c r="S26037" s="183"/>
    </row>
    <row r="26038" spans="1:19">
      <c r="A26038" s="182"/>
      <c r="Q26038" s="183"/>
      <c r="R26038" s="183"/>
      <c r="S26038" s="183"/>
    </row>
    <row r="26039" spans="1:19">
      <c r="A26039" s="182"/>
      <c r="Q26039" s="183"/>
      <c r="R26039" s="183"/>
      <c r="S26039" s="183"/>
    </row>
    <row r="26040" spans="1:19">
      <c r="A26040" s="182"/>
      <c r="Q26040" s="183"/>
      <c r="R26040" s="183"/>
      <c r="S26040" s="183"/>
    </row>
    <row r="26041" spans="1:19">
      <c r="A26041" s="182"/>
      <c r="Q26041" s="183"/>
      <c r="R26041" s="183"/>
      <c r="S26041" s="183"/>
    </row>
    <row r="26042" spans="1:19">
      <c r="A26042" s="182"/>
      <c r="Q26042" s="183"/>
      <c r="R26042" s="183"/>
      <c r="S26042" s="183"/>
    </row>
    <row r="26043" spans="1:19">
      <c r="A26043" s="182"/>
      <c r="Q26043" s="183"/>
      <c r="R26043" s="183"/>
      <c r="S26043" s="183"/>
    </row>
    <row r="26044" spans="1:19">
      <c r="A26044" s="182"/>
      <c r="Q26044" s="183"/>
      <c r="R26044" s="183"/>
      <c r="S26044" s="183"/>
    </row>
    <row r="26045" spans="1:19">
      <c r="A26045" s="182"/>
      <c r="Q26045" s="183"/>
      <c r="R26045" s="183"/>
      <c r="S26045" s="183"/>
    </row>
    <row r="26046" spans="1:19">
      <c r="A26046" s="182"/>
      <c r="Q26046" s="183"/>
      <c r="R26046" s="183"/>
      <c r="S26046" s="183"/>
    </row>
    <row r="26047" spans="1:19">
      <c r="A26047" s="182"/>
      <c r="Q26047" s="183"/>
      <c r="R26047" s="183"/>
      <c r="S26047" s="183"/>
    </row>
    <row r="26048" spans="1:19">
      <c r="A26048" s="182"/>
      <c r="Q26048" s="183"/>
      <c r="R26048" s="183"/>
      <c r="S26048" s="183"/>
    </row>
    <row r="26049" spans="1:19">
      <c r="A26049" s="182"/>
      <c r="Q26049" s="183"/>
      <c r="R26049" s="183"/>
      <c r="S26049" s="183"/>
    </row>
    <row r="26050" spans="1:19">
      <c r="A26050" s="182"/>
      <c r="Q26050" s="183"/>
      <c r="R26050" s="183"/>
      <c r="S26050" s="183"/>
    </row>
    <row r="26051" spans="1:19">
      <c r="A26051" s="182"/>
      <c r="Q26051" s="183"/>
      <c r="R26051" s="183"/>
      <c r="S26051" s="183"/>
    </row>
    <row r="26052" spans="1:19">
      <c r="A26052" s="182"/>
      <c r="Q26052" s="183"/>
      <c r="R26052" s="183"/>
      <c r="S26052" s="183"/>
    </row>
    <row r="26053" spans="1:19">
      <c r="A26053" s="182"/>
      <c r="Q26053" s="183"/>
      <c r="R26053" s="183"/>
      <c r="S26053" s="183"/>
    </row>
    <row r="26054" spans="1:19">
      <c r="A26054" s="182"/>
      <c r="Q26054" s="183"/>
      <c r="R26054" s="183"/>
      <c r="S26054" s="183"/>
    </row>
    <row r="26055" spans="1:19">
      <c r="A26055" s="182"/>
      <c r="Q26055" s="183"/>
      <c r="R26055" s="183"/>
      <c r="S26055" s="183"/>
    </row>
    <row r="26056" spans="1:19">
      <c r="A26056" s="182"/>
      <c r="Q26056" s="183"/>
      <c r="R26056" s="183"/>
      <c r="S26056" s="183"/>
    </row>
    <row r="26057" spans="1:19">
      <c r="A26057" s="182"/>
      <c r="Q26057" s="183"/>
      <c r="R26057" s="183"/>
      <c r="S26057" s="183"/>
    </row>
    <row r="26058" spans="1:19">
      <c r="A26058" s="182"/>
      <c r="Q26058" s="183"/>
      <c r="R26058" s="183"/>
      <c r="S26058" s="183"/>
    </row>
    <row r="26059" spans="1:19">
      <c r="A26059" s="182"/>
      <c r="Q26059" s="183"/>
      <c r="R26059" s="183"/>
      <c r="S26059" s="183"/>
    </row>
    <row r="26060" spans="1:19">
      <c r="A26060" s="182"/>
      <c r="Q26060" s="183"/>
      <c r="R26060" s="183"/>
      <c r="S26060" s="183"/>
    </row>
    <row r="26061" spans="1:19">
      <c r="A26061" s="182"/>
      <c r="Q26061" s="183"/>
      <c r="R26061" s="183"/>
      <c r="S26061" s="183"/>
    </row>
    <row r="26062" spans="1:19">
      <c r="A26062" s="182"/>
      <c r="Q26062" s="183"/>
      <c r="R26062" s="183"/>
      <c r="S26062" s="183"/>
    </row>
    <row r="26063" spans="1:19">
      <c r="A26063" s="182"/>
      <c r="Q26063" s="183"/>
      <c r="R26063" s="183"/>
      <c r="S26063" s="183"/>
    </row>
    <row r="26064" spans="1:19">
      <c r="A26064" s="182"/>
      <c r="Q26064" s="183"/>
      <c r="R26064" s="183"/>
      <c r="S26064" s="183"/>
    </row>
    <row r="26065" spans="1:38">
      <c r="A26065" s="182"/>
      <c r="Q26065" s="183"/>
      <c r="R26065" s="183"/>
      <c r="S26065" s="183"/>
    </row>
    <row r="26066" spans="1:38">
      <c r="A26066" s="182"/>
      <c r="Q26066" s="183"/>
      <c r="R26066" s="183"/>
      <c r="S26066" s="183"/>
    </row>
    <row r="26067" spans="1:38">
      <c r="A26067" s="182"/>
      <c r="Q26067" s="183"/>
      <c r="R26067" s="183"/>
      <c r="S26067" s="183"/>
    </row>
    <row r="26068" spans="1:38">
      <c r="A26068" s="182"/>
      <c r="Q26068" s="183"/>
      <c r="R26068" s="183"/>
      <c r="S26068" s="183"/>
    </row>
    <row r="26069" spans="1:38">
      <c r="A26069" s="182"/>
      <c r="Q26069" s="183"/>
      <c r="R26069" s="183"/>
      <c r="S26069" s="183"/>
    </row>
    <row r="26070" spans="1:38">
      <c r="A26070" s="182"/>
      <c r="Q26070" s="183"/>
      <c r="R26070" s="183"/>
      <c r="S26070" s="183"/>
    </row>
    <row r="26071" spans="1:38">
      <c r="A26071" s="182"/>
      <c r="Q26071" s="183"/>
      <c r="R26071" s="183"/>
      <c r="S26071" s="183"/>
      <c r="AK26071" s="183"/>
      <c r="AL26071" s="183"/>
    </row>
    <row r="26072" spans="1:38">
      <c r="A26072" s="182"/>
      <c r="Q26072" s="183"/>
      <c r="R26072" s="183"/>
      <c r="S26072" s="183"/>
      <c r="AJ26072" s="183"/>
      <c r="AK26072" s="183"/>
      <c r="AL26072" s="183"/>
    </row>
    <row r="26073" spans="1:38">
      <c r="A26073" s="182"/>
      <c r="Q26073" s="183"/>
      <c r="R26073" s="183"/>
      <c r="S26073" s="183"/>
      <c r="AJ26073" s="183"/>
      <c r="AK26073" s="183"/>
      <c r="AL26073" s="183"/>
    </row>
    <row r="26074" spans="1:38">
      <c r="A26074" s="182"/>
      <c r="Q26074" s="183"/>
      <c r="R26074" s="183"/>
      <c r="S26074" s="183"/>
      <c r="AJ26074" s="183"/>
      <c r="AK26074" s="183"/>
      <c r="AL26074" s="183"/>
    </row>
    <row r="26075" spans="1:38">
      <c r="A26075" s="182"/>
      <c r="Q26075" s="183"/>
      <c r="R26075" s="183"/>
      <c r="S26075" s="183"/>
      <c r="AJ26075" s="183"/>
    </row>
    <row r="26076" spans="1:38">
      <c r="A26076" s="182"/>
      <c r="Q26076" s="183"/>
      <c r="R26076" s="183"/>
      <c r="S26076" s="183"/>
    </row>
    <row r="26077" spans="1:38">
      <c r="A26077" s="182"/>
      <c r="Q26077" s="183"/>
      <c r="R26077" s="183"/>
      <c r="S26077" s="183"/>
    </row>
    <row r="26078" spans="1:38">
      <c r="A26078" s="182"/>
      <c r="Q26078" s="183"/>
      <c r="R26078" s="183"/>
      <c r="S26078" s="183"/>
    </row>
    <row r="26079" spans="1:38">
      <c r="A26079" s="182"/>
      <c r="Q26079" s="183"/>
      <c r="R26079" s="183"/>
      <c r="S26079" s="183"/>
      <c r="AK26079" s="183"/>
      <c r="AL26079" s="183"/>
    </row>
    <row r="26080" spans="1:38">
      <c r="A26080" s="182"/>
      <c r="Q26080" s="183"/>
      <c r="R26080" s="183"/>
      <c r="S26080" s="183"/>
      <c r="AJ26080" s="183"/>
      <c r="AK26080" s="183"/>
      <c r="AL26080" s="183"/>
    </row>
    <row r="26081" spans="1:38">
      <c r="A26081" s="182"/>
      <c r="Q26081" s="183"/>
      <c r="R26081" s="183"/>
      <c r="S26081" s="183"/>
      <c r="AJ26081" s="183"/>
      <c r="AK26081" s="183"/>
      <c r="AL26081" s="183"/>
    </row>
    <row r="26082" spans="1:38">
      <c r="A26082" s="182"/>
      <c r="Q26082" s="183"/>
      <c r="R26082" s="183"/>
      <c r="S26082" s="183"/>
      <c r="AJ26082" s="183"/>
      <c r="AK26082" s="183"/>
      <c r="AL26082" s="183"/>
    </row>
    <row r="26083" spans="1:38">
      <c r="A26083" s="182"/>
      <c r="Q26083" s="183"/>
      <c r="R26083" s="183"/>
      <c r="S26083" s="183"/>
      <c r="AJ26083" s="183"/>
      <c r="AK26083" s="183"/>
      <c r="AL26083" s="183"/>
    </row>
    <row r="26084" spans="1:38">
      <c r="A26084" s="182"/>
      <c r="Q26084" s="183"/>
      <c r="R26084" s="183"/>
      <c r="S26084" s="183"/>
      <c r="AJ26084" s="183"/>
      <c r="AK26084" s="183"/>
      <c r="AL26084" s="183"/>
    </row>
    <row r="26085" spans="1:38">
      <c r="A26085" s="182"/>
      <c r="Q26085" s="183"/>
      <c r="R26085" s="183"/>
      <c r="S26085" s="183"/>
      <c r="AJ26085" s="183"/>
      <c r="AK26085" s="183"/>
      <c r="AL26085" s="183"/>
    </row>
    <row r="26086" spans="1:38">
      <c r="A26086" s="182"/>
      <c r="Q26086" s="183"/>
      <c r="R26086" s="183"/>
      <c r="S26086" s="183"/>
      <c r="AJ26086" s="183"/>
      <c r="AK26086" s="183"/>
      <c r="AL26086" s="183"/>
    </row>
    <row r="26087" spans="1:38">
      <c r="A26087" s="182"/>
      <c r="Q26087" s="183"/>
      <c r="R26087" s="183"/>
      <c r="S26087" s="183"/>
      <c r="AJ26087" s="183"/>
      <c r="AK26087" s="183"/>
      <c r="AL26087" s="183"/>
    </row>
    <row r="26088" spans="1:38">
      <c r="A26088" s="182"/>
      <c r="Q26088" s="183"/>
      <c r="R26088" s="183"/>
      <c r="S26088" s="183"/>
      <c r="AJ26088" s="183"/>
      <c r="AK26088" s="183"/>
      <c r="AL26088" s="183"/>
    </row>
    <row r="26089" spans="1:38">
      <c r="A26089" s="182"/>
      <c r="Q26089" s="183"/>
      <c r="R26089" s="183"/>
      <c r="S26089" s="183"/>
      <c r="AJ26089" s="183"/>
      <c r="AK26089" s="183"/>
      <c r="AL26089" s="183"/>
    </row>
    <row r="26090" spans="1:38">
      <c r="A26090" s="182"/>
      <c r="Q26090" s="183"/>
      <c r="R26090" s="183"/>
      <c r="S26090" s="183"/>
      <c r="AJ26090" s="183"/>
      <c r="AK26090" s="183"/>
      <c r="AL26090" s="183"/>
    </row>
    <row r="26091" spans="1:38">
      <c r="A26091" s="182"/>
      <c r="Q26091" s="183"/>
      <c r="R26091" s="183"/>
      <c r="S26091" s="183"/>
      <c r="AJ26091" s="183"/>
      <c r="AK26091" s="183"/>
      <c r="AL26091" s="183"/>
    </row>
    <row r="26092" spans="1:38">
      <c r="A26092" s="182"/>
      <c r="Q26092" s="183"/>
      <c r="R26092" s="183"/>
      <c r="S26092" s="183"/>
      <c r="AJ26092" s="183"/>
      <c r="AK26092" s="183"/>
      <c r="AL26092" s="183"/>
    </row>
    <row r="26093" spans="1:38">
      <c r="A26093" s="182"/>
      <c r="Q26093" s="183"/>
      <c r="R26093" s="183"/>
      <c r="S26093" s="183"/>
      <c r="AJ26093" s="183"/>
      <c r="AK26093" s="183"/>
      <c r="AL26093" s="183"/>
    </row>
    <row r="26094" spans="1:38">
      <c r="A26094" s="182"/>
      <c r="Q26094" s="183"/>
      <c r="R26094" s="183"/>
      <c r="S26094" s="183"/>
      <c r="AJ26094" s="183"/>
      <c r="AK26094" s="183"/>
      <c r="AL26094" s="183"/>
    </row>
    <row r="26095" spans="1:38">
      <c r="A26095" s="182"/>
      <c r="Q26095" s="183"/>
      <c r="R26095" s="183"/>
      <c r="S26095" s="183"/>
      <c r="AJ26095" s="183"/>
    </row>
    <row r="26096" spans="1:38">
      <c r="A26096" s="182"/>
      <c r="Q26096" s="183"/>
      <c r="R26096" s="183"/>
      <c r="S26096" s="183"/>
    </row>
    <row r="26097" spans="1:38">
      <c r="A26097" s="182"/>
      <c r="Q26097" s="183"/>
      <c r="R26097" s="183"/>
      <c r="S26097" s="183"/>
    </row>
    <row r="26098" spans="1:38">
      <c r="A26098" s="182"/>
      <c r="Q26098" s="183"/>
      <c r="R26098" s="183"/>
      <c r="S26098" s="183"/>
    </row>
    <row r="26099" spans="1:38">
      <c r="A26099" s="182"/>
      <c r="Q26099" s="183"/>
      <c r="R26099" s="183"/>
      <c r="S26099" s="183"/>
    </row>
    <row r="26100" spans="1:38">
      <c r="A26100" s="182"/>
      <c r="Q26100" s="183"/>
      <c r="R26100" s="183"/>
      <c r="S26100" s="183"/>
    </row>
    <row r="26101" spans="1:38">
      <c r="A26101" s="182"/>
      <c r="Q26101" s="183"/>
      <c r="R26101" s="183"/>
      <c r="S26101" s="183"/>
    </row>
    <row r="26102" spans="1:38">
      <c r="A26102" s="182"/>
      <c r="Q26102" s="183"/>
      <c r="R26102" s="183"/>
      <c r="S26102" s="183"/>
    </row>
    <row r="26103" spans="1:38">
      <c r="A26103" s="182"/>
      <c r="Q26103" s="183"/>
      <c r="R26103" s="183"/>
      <c r="S26103" s="183"/>
    </row>
    <row r="26104" spans="1:38">
      <c r="A26104" s="182"/>
      <c r="Q26104" s="183"/>
      <c r="R26104" s="183"/>
      <c r="S26104" s="183"/>
    </row>
    <row r="26105" spans="1:38">
      <c r="A26105" s="182"/>
      <c r="Q26105" s="183"/>
      <c r="R26105" s="183"/>
      <c r="S26105" s="183"/>
    </row>
    <row r="26106" spans="1:38">
      <c r="A26106" s="182"/>
      <c r="Q26106" s="183"/>
      <c r="R26106" s="183"/>
      <c r="S26106" s="183"/>
    </row>
    <row r="26107" spans="1:38">
      <c r="A26107" s="182"/>
      <c r="Q26107" s="183"/>
      <c r="R26107" s="183"/>
      <c r="S26107" s="183"/>
    </row>
    <row r="26108" spans="1:38">
      <c r="A26108" s="182"/>
      <c r="Q26108" s="183"/>
      <c r="R26108" s="183"/>
      <c r="S26108" s="183"/>
    </row>
    <row r="26109" spans="1:38">
      <c r="A26109" s="182"/>
      <c r="Q26109" s="183"/>
      <c r="R26109" s="183"/>
      <c r="S26109" s="183"/>
    </row>
    <row r="26110" spans="1:38">
      <c r="A26110" s="182"/>
      <c r="Q26110" s="183"/>
      <c r="R26110" s="183"/>
      <c r="S26110" s="183"/>
    </row>
    <row r="26111" spans="1:38">
      <c r="A26111" s="182"/>
      <c r="Q26111" s="183"/>
      <c r="R26111" s="183"/>
      <c r="S26111" s="183"/>
      <c r="AK26111" s="183"/>
      <c r="AL26111" s="183"/>
    </row>
    <row r="26112" spans="1:38">
      <c r="A26112" s="182"/>
      <c r="Q26112" s="183"/>
      <c r="R26112" s="183"/>
      <c r="S26112" s="183"/>
      <c r="AJ26112" s="183"/>
      <c r="AK26112" s="183"/>
      <c r="AL26112" s="183"/>
    </row>
    <row r="26113" spans="1:38">
      <c r="A26113" s="182"/>
      <c r="Q26113" s="183"/>
      <c r="R26113" s="183"/>
      <c r="S26113" s="183"/>
      <c r="AJ26113" s="183"/>
      <c r="AK26113" s="183"/>
      <c r="AL26113" s="183"/>
    </row>
    <row r="26114" spans="1:38">
      <c r="A26114" s="182"/>
      <c r="Q26114" s="183"/>
      <c r="R26114" s="183"/>
      <c r="S26114" s="183"/>
      <c r="AJ26114" s="183"/>
      <c r="AK26114" s="183"/>
      <c r="AL26114" s="183"/>
    </row>
    <row r="26115" spans="1:38">
      <c r="A26115" s="182"/>
      <c r="Q26115" s="183"/>
      <c r="R26115" s="183"/>
      <c r="S26115" s="183"/>
      <c r="AJ26115" s="183"/>
    </row>
    <row r="26116" spans="1:38">
      <c r="A26116" s="182"/>
      <c r="Q26116" s="183"/>
    </row>
    <row r="26117" spans="1:38">
      <c r="A26117" s="182"/>
      <c r="R26117" s="183"/>
      <c r="S26117" s="183"/>
    </row>
    <row r="26118" spans="1:38">
      <c r="A26118" s="182"/>
      <c r="Q26118" s="183"/>
      <c r="R26118" s="183"/>
      <c r="S26118" s="183"/>
    </row>
    <row r="26119" spans="1:38">
      <c r="A26119" s="182"/>
      <c r="Q26119" s="183"/>
      <c r="R26119" s="183"/>
      <c r="S26119" s="183"/>
    </row>
    <row r="26120" spans="1:38">
      <c r="A26120" s="182"/>
      <c r="Q26120" s="183"/>
      <c r="R26120" s="183"/>
      <c r="S26120" s="183"/>
    </row>
    <row r="26121" spans="1:38">
      <c r="A26121" s="182"/>
      <c r="Q26121" s="183"/>
      <c r="R26121" s="183"/>
      <c r="S26121" s="183"/>
    </row>
    <row r="26122" spans="1:38">
      <c r="A26122" s="182"/>
      <c r="Q26122" s="183"/>
      <c r="R26122" s="183"/>
      <c r="S26122" s="183"/>
    </row>
    <row r="26123" spans="1:38">
      <c r="A26123" s="182"/>
      <c r="Q26123" s="183"/>
      <c r="R26123" s="183"/>
      <c r="S26123" s="183"/>
    </row>
    <row r="26124" spans="1:38">
      <c r="A26124" s="182"/>
      <c r="Q26124" s="183"/>
      <c r="R26124" s="183"/>
      <c r="S26124" s="183"/>
    </row>
    <row r="26125" spans="1:38">
      <c r="A26125" s="182"/>
      <c r="Q26125" s="183"/>
      <c r="R26125" s="183"/>
      <c r="S26125" s="183"/>
    </row>
    <row r="26126" spans="1:38">
      <c r="A26126" s="182"/>
      <c r="Q26126" s="183"/>
      <c r="R26126" s="183"/>
      <c r="S26126" s="183"/>
    </row>
    <row r="26127" spans="1:38">
      <c r="A26127" s="182"/>
      <c r="Q26127" s="183"/>
      <c r="R26127" s="183"/>
      <c r="S26127" s="183"/>
    </row>
    <row r="26128" spans="1:38">
      <c r="A26128" s="182"/>
      <c r="Q26128" s="183"/>
      <c r="R26128" s="183"/>
      <c r="S26128" s="183"/>
    </row>
    <row r="26129" spans="1:38">
      <c r="A26129" s="182"/>
      <c r="Q26129" s="183"/>
      <c r="R26129" s="183"/>
      <c r="S26129" s="183"/>
    </row>
    <row r="26130" spans="1:38">
      <c r="A26130" s="182"/>
      <c r="Q26130" s="183"/>
      <c r="R26130" s="183"/>
      <c r="S26130" s="183"/>
    </row>
    <row r="26131" spans="1:38">
      <c r="A26131" s="182"/>
      <c r="Q26131" s="183"/>
      <c r="R26131" s="183"/>
      <c r="S26131" s="183"/>
    </row>
    <row r="26132" spans="1:38">
      <c r="A26132" s="182"/>
      <c r="Q26132" s="183"/>
      <c r="R26132" s="183"/>
      <c r="S26132" s="183"/>
    </row>
    <row r="26133" spans="1:38">
      <c r="A26133" s="182"/>
      <c r="Q26133" s="183"/>
      <c r="R26133" s="183"/>
      <c r="S26133" s="183"/>
    </row>
    <row r="26134" spans="1:38">
      <c r="A26134" s="182"/>
      <c r="Q26134" s="183"/>
      <c r="R26134" s="183"/>
      <c r="S26134" s="183"/>
    </row>
    <row r="26135" spans="1:38">
      <c r="A26135" s="182"/>
      <c r="Q26135" s="183"/>
      <c r="R26135" s="183"/>
      <c r="S26135" s="183"/>
    </row>
    <row r="26136" spans="1:38">
      <c r="A26136" s="182"/>
      <c r="Q26136" s="183"/>
      <c r="R26136" s="183"/>
      <c r="S26136" s="183"/>
    </row>
    <row r="26137" spans="1:38">
      <c r="A26137" s="182"/>
      <c r="Q26137" s="183"/>
      <c r="R26137" s="183"/>
      <c r="S26137" s="183"/>
    </row>
    <row r="26138" spans="1:38">
      <c r="A26138" s="182"/>
      <c r="Q26138" s="183"/>
      <c r="R26138" s="183"/>
      <c r="S26138" s="183"/>
    </row>
    <row r="26139" spans="1:38">
      <c r="A26139" s="182"/>
      <c r="Q26139" s="183"/>
      <c r="R26139" s="183"/>
      <c r="S26139" s="183"/>
    </row>
    <row r="26140" spans="1:38">
      <c r="A26140" s="182"/>
      <c r="Q26140" s="183"/>
      <c r="R26140" s="183"/>
      <c r="S26140" s="183"/>
    </row>
    <row r="26141" spans="1:38">
      <c r="A26141" s="182"/>
      <c r="Q26141" s="183"/>
      <c r="R26141" s="183"/>
      <c r="S26141" s="183"/>
    </row>
    <row r="26142" spans="1:38">
      <c r="A26142" s="182"/>
      <c r="Q26142" s="183"/>
      <c r="R26142" s="183"/>
      <c r="S26142" s="183"/>
    </row>
    <row r="26143" spans="1:38">
      <c r="A26143" s="182"/>
      <c r="Q26143" s="183"/>
      <c r="R26143" s="183"/>
      <c r="S26143" s="183"/>
      <c r="AK26143" s="183"/>
      <c r="AL26143" s="183"/>
    </row>
    <row r="26144" spans="1:38">
      <c r="A26144" s="182"/>
      <c r="Q26144" s="183"/>
      <c r="R26144" s="183"/>
      <c r="S26144" s="183"/>
      <c r="AJ26144" s="183"/>
      <c r="AK26144" s="183"/>
      <c r="AL26144" s="183"/>
    </row>
    <row r="26145" spans="1:38">
      <c r="A26145" s="182"/>
      <c r="Q26145" s="183"/>
      <c r="R26145" s="183"/>
      <c r="S26145" s="183"/>
      <c r="AJ26145" s="183"/>
      <c r="AK26145" s="183"/>
      <c r="AL26145" s="183"/>
    </row>
    <row r="26146" spans="1:38">
      <c r="A26146" s="182"/>
      <c r="Q26146" s="183"/>
      <c r="R26146" s="183"/>
      <c r="S26146" s="183"/>
      <c r="AJ26146" s="183"/>
      <c r="AK26146" s="183"/>
      <c r="AL26146" s="183"/>
    </row>
    <row r="26147" spans="1:38">
      <c r="A26147" s="182"/>
      <c r="Q26147" s="183"/>
      <c r="R26147" s="183"/>
      <c r="S26147" s="183"/>
      <c r="AJ26147" s="183"/>
      <c r="AK26147" s="183"/>
      <c r="AL26147" s="183"/>
    </row>
    <row r="26148" spans="1:38">
      <c r="A26148" s="182"/>
      <c r="Q26148" s="183"/>
      <c r="R26148" s="183"/>
      <c r="S26148" s="183"/>
      <c r="AJ26148" s="183"/>
      <c r="AK26148" s="183"/>
      <c r="AL26148" s="183"/>
    </row>
    <row r="26149" spans="1:38">
      <c r="A26149" s="182"/>
      <c r="Q26149" s="183"/>
      <c r="R26149" s="183"/>
      <c r="S26149" s="183"/>
      <c r="AJ26149" s="183"/>
      <c r="AK26149" s="183"/>
      <c r="AL26149" s="183"/>
    </row>
    <row r="26150" spans="1:38">
      <c r="A26150" s="182"/>
      <c r="Q26150" s="183"/>
      <c r="R26150" s="183"/>
      <c r="S26150" s="183"/>
      <c r="AJ26150" s="183"/>
      <c r="AK26150" s="183"/>
      <c r="AL26150" s="183"/>
    </row>
    <row r="26151" spans="1:38">
      <c r="A26151" s="182"/>
      <c r="Q26151" s="183"/>
      <c r="R26151" s="183"/>
      <c r="S26151" s="183"/>
      <c r="AJ26151" s="183"/>
    </row>
    <row r="26152" spans="1:38">
      <c r="A26152" s="182"/>
      <c r="Q26152" s="183"/>
      <c r="R26152" s="183"/>
      <c r="S26152" s="183"/>
    </row>
    <row r="26153" spans="1:38">
      <c r="A26153" s="182"/>
      <c r="Q26153" s="183"/>
      <c r="R26153" s="183"/>
      <c r="S26153" s="183"/>
    </row>
    <row r="26154" spans="1:38">
      <c r="A26154" s="182"/>
      <c r="Q26154" s="183"/>
      <c r="R26154" s="183"/>
      <c r="S26154" s="183"/>
    </row>
    <row r="26155" spans="1:38">
      <c r="A26155" s="182"/>
      <c r="Q26155" s="183"/>
      <c r="R26155" s="183"/>
      <c r="S26155" s="183"/>
      <c r="AK26155" s="183"/>
      <c r="AL26155" s="183"/>
    </row>
    <row r="26156" spans="1:38">
      <c r="A26156" s="182"/>
      <c r="Q26156" s="183"/>
      <c r="R26156" s="183"/>
      <c r="S26156" s="183"/>
      <c r="AJ26156" s="183"/>
      <c r="AK26156" s="183"/>
      <c r="AL26156" s="183"/>
    </row>
    <row r="26157" spans="1:38">
      <c r="A26157" s="182"/>
      <c r="Q26157" s="183"/>
      <c r="R26157" s="183"/>
      <c r="S26157" s="183"/>
      <c r="AJ26157" s="183"/>
      <c r="AK26157" s="183"/>
      <c r="AL26157" s="183"/>
    </row>
    <row r="26158" spans="1:38">
      <c r="A26158" s="182"/>
      <c r="Q26158" s="183"/>
      <c r="R26158" s="183"/>
      <c r="S26158" s="183"/>
      <c r="AJ26158" s="183"/>
      <c r="AK26158" s="183"/>
      <c r="AL26158" s="183"/>
    </row>
    <row r="26159" spans="1:38">
      <c r="A26159" s="182"/>
      <c r="N26159" s="183"/>
      <c r="O26159" s="183"/>
      <c r="Q26159" s="183"/>
      <c r="R26159" s="183"/>
      <c r="S26159" s="183"/>
      <c r="AJ26159" s="183"/>
    </row>
    <row r="26160" spans="1:38">
      <c r="A26160" s="182"/>
      <c r="M26160" s="183"/>
      <c r="Q26160" s="183"/>
      <c r="R26160" s="183"/>
      <c r="S26160" s="183"/>
    </row>
    <row r="26161" spans="1:38">
      <c r="A26161" s="182"/>
      <c r="Q26161" s="183"/>
      <c r="R26161" s="183"/>
      <c r="S26161" s="183"/>
    </row>
    <row r="26162" spans="1:38">
      <c r="A26162" s="182"/>
      <c r="Q26162" s="183"/>
      <c r="R26162" s="183"/>
      <c r="S26162" s="183"/>
    </row>
    <row r="26163" spans="1:38">
      <c r="A26163" s="182"/>
      <c r="Q26163" s="183"/>
      <c r="R26163" s="183"/>
      <c r="S26163" s="183"/>
    </row>
    <row r="26164" spans="1:38">
      <c r="A26164" s="182"/>
      <c r="Q26164" s="183"/>
      <c r="R26164" s="183"/>
      <c r="S26164" s="183"/>
    </row>
    <row r="26165" spans="1:38">
      <c r="A26165" s="182"/>
      <c r="Q26165" s="183"/>
      <c r="R26165" s="183"/>
      <c r="S26165" s="183"/>
    </row>
    <row r="26166" spans="1:38">
      <c r="A26166" s="182"/>
      <c r="Q26166" s="183"/>
      <c r="R26166" s="183"/>
      <c r="S26166" s="183"/>
    </row>
    <row r="26167" spans="1:38">
      <c r="A26167" s="182"/>
      <c r="Q26167" s="183"/>
      <c r="R26167" s="183"/>
      <c r="S26167" s="183"/>
    </row>
    <row r="26168" spans="1:38">
      <c r="A26168" s="182"/>
      <c r="Q26168" s="183"/>
      <c r="R26168" s="183"/>
      <c r="S26168" s="183"/>
    </row>
    <row r="26169" spans="1:38">
      <c r="A26169" s="182"/>
      <c r="Q26169" s="183"/>
      <c r="R26169" s="183"/>
      <c r="S26169" s="183"/>
    </row>
    <row r="26170" spans="1:38">
      <c r="A26170" s="182"/>
      <c r="Q26170" s="183"/>
      <c r="R26170" s="183"/>
      <c r="S26170" s="183"/>
    </row>
    <row r="26171" spans="1:38">
      <c r="A26171" s="182"/>
      <c r="Q26171" s="183"/>
      <c r="R26171" s="183"/>
      <c r="S26171" s="183"/>
    </row>
    <row r="26172" spans="1:38">
      <c r="A26172" s="182"/>
      <c r="Q26172" s="183"/>
      <c r="R26172" s="183"/>
      <c r="S26172" s="183"/>
    </row>
    <row r="26173" spans="1:38">
      <c r="A26173" s="182"/>
      <c r="Q26173" s="183"/>
      <c r="R26173" s="183"/>
      <c r="S26173" s="183"/>
    </row>
    <row r="26174" spans="1:38">
      <c r="A26174" s="182"/>
      <c r="Q26174" s="183"/>
      <c r="R26174" s="183"/>
      <c r="S26174" s="183"/>
    </row>
    <row r="26175" spans="1:38">
      <c r="A26175" s="182"/>
      <c r="Q26175" s="183"/>
      <c r="R26175" s="183"/>
      <c r="S26175" s="183"/>
      <c r="AK26175" s="183"/>
      <c r="AL26175" s="183"/>
    </row>
    <row r="26176" spans="1:38">
      <c r="A26176" s="182"/>
      <c r="Q26176" s="183"/>
      <c r="R26176" s="183"/>
      <c r="S26176" s="183"/>
      <c r="AJ26176" s="183"/>
      <c r="AK26176" s="183"/>
      <c r="AL26176" s="183"/>
    </row>
    <row r="26177" spans="1:38">
      <c r="A26177" s="182"/>
      <c r="Q26177" s="183"/>
      <c r="R26177" s="183"/>
      <c r="S26177" s="183"/>
      <c r="AJ26177" s="183"/>
      <c r="AK26177" s="183"/>
      <c r="AL26177" s="183"/>
    </row>
    <row r="26178" spans="1:38">
      <c r="A26178" s="182"/>
      <c r="Q26178" s="183"/>
      <c r="R26178" s="183"/>
      <c r="S26178" s="183"/>
      <c r="AJ26178" s="183"/>
      <c r="AK26178" s="183"/>
      <c r="AL26178" s="183"/>
    </row>
    <row r="26179" spans="1:38">
      <c r="A26179" s="182"/>
      <c r="Q26179" s="183"/>
      <c r="R26179" s="183"/>
      <c r="S26179" s="183"/>
      <c r="AJ26179" s="183"/>
      <c r="AK26179" s="183"/>
      <c r="AL26179" s="183"/>
    </row>
    <row r="26180" spans="1:38">
      <c r="A26180" s="182"/>
      <c r="Q26180" s="183"/>
      <c r="R26180" s="183"/>
      <c r="S26180" s="183"/>
      <c r="AJ26180" s="183"/>
      <c r="AK26180" s="183"/>
      <c r="AL26180" s="183"/>
    </row>
    <row r="26181" spans="1:38">
      <c r="A26181" s="182"/>
      <c r="Q26181" s="183"/>
      <c r="R26181" s="183"/>
      <c r="S26181" s="183"/>
      <c r="AJ26181" s="183"/>
      <c r="AK26181" s="183"/>
      <c r="AL26181" s="183"/>
    </row>
    <row r="26182" spans="1:38">
      <c r="A26182" s="182"/>
      <c r="Q26182" s="183"/>
      <c r="R26182" s="183"/>
      <c r="S26182" s="183"/>
      <c r="AJ26182" s="183"/>
      <c r="AK26182" s="183"/>
      <c r="AL26182" s="183"/>
    </row>
    <row r="26183" spans="1:38">
      <c r="A26183" s="182"/>
      <c r="Q26183" s="183"/>
      <c r="R26183" s="183"/>
      <c r="S26183" s="183"/>
      <c r="AJ26183" s="183"/>
      <c r="AK26183" s="183"/>
      <c r="AL26183" s="183"/>
    </row>
    <row r="26184" spans="1:38">
      <c r="A26184" s="182"/>
      <c r="Q26184" s="183"/>
      <c r="R26184" s="183"/>
      <c r="S26184" s="183"/>
      <c r="AJ26184" s="183"/>
      <c r="AK26184" s="183"/>
      <c r="AL26184" s="183"/>
    </row>
    <row r="26185" spans="1:38">
      <c r="A26185" s="182"/>
      <c r="Q26185" s="183"/>
      <c r="R26185" s="183"/>
      <c r="S26185" s="183"/>
      <c r="AJ26185" s="183"/>
      <c r="AK26185" s="183"/>
      <c r="AL26185" s="183"/>
    </row>
    <row r="26186" spans="1:38">
      <c r="A26186" s="182"/>
      <c r="Q26186" s="183"/>
      <c r="R26186" s="183"/>
      <c r="S26186" s="183"/>
      <c r="AJ26186" s="183"/>
      <c r="AK26186" s="183"/>
      <c r="AL26186" s="183"/>
    </row>
    <row r="26187" spans="1:38">
      <c r="A26187" s="182"/>
      <c r="Q26187" s="183"/>
      <c r="R26187" s="183"/>
      <c r="S26187" s="183"/>
      <c r="AJ26187" s="183"/>
      <c r="AK26187" s="183"/>
      <c r="AL26187" s="183"/>
    </row>
    <row r="26188" spans="1:38">
      <c r="A26188" s="182"/>
      <c r="Q26188" s="183"/>
      <c r="R26188" s="183"/>
      <c r="S26188" s="183"/>
      <c r="AJ26188" s="183"/>
      <c r="AK26188" s="183"/>
      <c r="AL26188" s="183"/>
    </row>
    <row r="26189" spans="1:38">
      <c r="A26189" s="182"/>
      <c r="Q26189" s="183"/>
      <c r="R26189" s="183"/>
      <c r="S26189" s="183"/>
      <c r="AJ26189" s="183"/>
      <c r="AK26189" s="183"/>
      <c r="AL26189" s="183"/>
    </row>
    <row r="26190" spans="1:38">
      <c r="A26190" s="182"/>
      <c r="Q26190" s="183"/>
      <c r="R26190" s="183"/>
      <c r="S26190" s="183"/>
      <c r="AJ26190" s="183"/>
      <c r="AK26190" s="183"/>
      <c r="AL26190" s="183"/>
    </row>
    <row r="26191" spans="1:38">
      <c r="A26191" s="182"/>
      <c r="Q26191" s="183"/>
      <c r="R26191" s="183"/>
      <c r="S26191" s="183"/>
      <c r="AJ26191" s="183"/>
    </row>
    <row r="26192" spans="1:38">
      <c r="A26192" s="182"/>
      <c r="Q26192" s="183"/>
      <c r="R26192" s="183"/>
      <c r="S26192" s="183"/>
    </row>
    <row r="26193" spans="1:38">
      <c r="A26193" s="182"/>
      <c r="Q26193" s="183"/>
      <c r="R26193" s="183"/>
      <c r="S26193" s="183"/>
    </row>
    <row r="26194" spans="1:38">
      <c r="A26194" s="182"/>
      <c r="Q26194" s="183"/>
      <c r="R26194" s="183"/>
      <c r="S26194" s="183"/>
    </row>
    <row r="26195" spans="1:38">
      <c r="A26195" s="182"/>
      <c r="Q26195" s="183"/>
      <c r="R26195" s="183"/>
      <c r="S26195" s="183"/>
      <c r="AK26195" s="183"/>
      <c r="AL26195" s="183"/>
    </row>
    <row r="26196" spans="1:38">
      <c r="A26196" s="182"/>
      <c r="Q26196" s="183"/>
      <c r="R26196" s="183"/>
      <c r="S26196" s="183"/>
      <c r="AJ26196" s="183"/>
      <c r="AK26196" s="183"/>
      <c r="AL26196" s="183"/>
    </row>
    <row r="26197" spans="1:38">
      <c r="A26197" s="182"/>
      <c r="Q26197" s="183"/>
      <c r="R26197" s="183"/>
      <c r="S26197" s="183"/>
      <c r="AJ26197" s="183"/>
      <c r="AK26197" s="183"/>
      <c r="AL26197" s="183"/>
    </row>
    <row r="26198" spans="1:38">
      <c r="A26198" s="182"/>
      <c r="Q26198" s="183"/>
      <c r="R26198" s="183"/>
      <c r="S26198" s="183"/>
      <c r="AJ26198" s="183"/>
      <c r="AK26198" s="183"/>
      <c r="AL26198" s="183"/>
    </row>
    <row r="26199" spans="1:38">
      <c r="A26199" s="182"/>
      <c r="Q26199" s="183"/>
      <c r="R26199" s="183"/>
      <c r="S26199" s="183"/>
      <c r="AJ26199" s="183"/>
    </row>
    <row r="26200" spans="1:38">
      <c r="A26200" s="182"/>
      <c r="Q26200" s="183"/>
      <c r="R26200" s="183"/>
      <c r="S26200" s="183"/>
    </row>
    <row r="26201" spans="1:38">
      <c r="A26201" s="182"/>
      <c r="Q26201" s="183"/>
      <c r="R26201" s="183"/>
      <c r="S26201" s="183"/>
    </row>
    <row r="26202" spans="1:38">
      <c r="A26202" s="182"/>
      <c r="Q26202" s="183"/>
      <c r="R26202" s="183"/>
      <c r="S26202" s="183"/>
    </row>
    <row r="26203" spans="1:38">
      <c r="A26203" s="182"/>
      <c r="Q26203" s="183"/>
      <c r="R26203" s="183"/>
      <c r="S26203" s="183"/>
      <c r="AK26203" s="183"/>
      <c r="AL26203" s="183"/>
    </row>
    <row r="26204" spans="1:38">
      <c r="A26204" s="182"/>
      <c r="Q26204" s="183"/>
      <c r="R26204" s="183"/>
      <c r="S26204" s="183"/>
      <c r="AJ26204" s="183"/>
      <c r="AK26204" s="183"/>
      <c r="AL26204" s="183"/>
    </row>
    <row r="26205" spans="1:38">
      <c r="A26205" s="182"/>
      <c r="Q26205" s="183"/>
      <c r="R26205" s="183"/>
      <c r="S26205" s="183"/>
      <c r="AJ26205" s="183"/>
      <c r="AK26205" s="183"/>
      <c r="AL26205" s="183"/>
    </row>
    <row r="26206" spans="1:38">
      <c r="A26206" s="182"/>
      <c r="Q26206" s="183"/>
      <c r="R26206" s="183"/>
      <c r="S26206" s="183"/>
      <c r="AJ26206" s="183"/>
      <c r="AK26206" s="183"/>
      <c r="AL26206" s="183"/>
    </row>
    <row r="26207" spans="1:38">
      <c r="A26207" s="182"/>
      <c r="Q26207" s="183"/>
      <c r="R26207" s="183"/>
      <c r="S26207" s="183"/>
      <c r="AJ26207" s="183"/>
      <c r="AK26207" s="183"/>
      <c r="AL26207" s="183"/>
    </row>
    <row r="26208" spans="1:38">
      <c r="A26208" s="182"/>
      <c r="Q26208" s="183"/>
      <c r="R26208" s="183"/>
      <c r="S26208" s="183"/>
      <c r="AJ26208" s="183"/>
      <c r="AK26208" s="183"/>
      <c r="AL26208" s="183"/>
    </row>
    <row r="26209" spans="1:38">
      <c r="A26209" s="182"/>
      <c r="Q26209" s="183"/>
      <c r="R26209" s="183"/>
      <c r="S26209" s="183"/>
      <c r="AJ26209" s="183"/>
      <c r="AK26209" s="183"/>
      <c r="AL26209" s="183"/>
    </row>
    <row r="26210" spans="1:38">
      <c r="A26210" s="182"/>
      <c r="Q26210" s="183"/>
      <c r="R26210" s="183"/>
      <c r="S26210" s="183"/>
      <c r="AJ26210" s="183"/>
      <c r="AK26210" s="183"/>
      <c r="AL26210" s="183"/>
    </row>
    <row r="26211" spans="1:38">
      <c r="A26211" s="182"/>
      <c r="Q26211" s="183"/>
      <c r="R26211" s="183"/>
      <c r="S26211" s="183"/>
      <c r="AJ26211" s="183"/>
    </row>
    <row r="26212" spans="1:38">
      <c r="A26212" s="182"/>
      <c r="Q26212" s="183"/>
      <c r="R26212" s="183"/>
      <c r="S26212" s="183"/>
    </row>
    <row r="26213" spans="1:38">
      <c r="A26213" s="182"/>
      <c r="Q26213" s="183"/>
      <c r="R26213" s="183"/>
      <c r="S26213" s="183"/>
    </row>
    <row r="26214" spans="1:38">
      <c r="A26214" s="182"/>
      <c r="Q26214" s="183"/>
      <c r="R26214" s="183"/>
      <c r="S26214" s="183"/>
    </row>
    <row r="26215" spans="1:38">
      <c r="A26215" s="182"/>
      <c r="Q26215" s="183"/>
      <c r="R26215" s="183"/>
      <c r="S26215" s="183"/>
    </row>
    <row r="26216" spans="1:38">
      <c r="A26216" s="182"/>
      <c r="Q26216" s="183"/>
      <c r="R26216" s="183"/>
      <c r="S26216" s="183"/>
    </row>
    <row r="26217" spans="1:38">
      <c r="A26217" s="182"/>
      <c r="Q26217" s="183"/>
      <c r="R26217" s="183"/>
      <c r="S26217" s="183"/>
    </row>
    <row r="26218" spans="1:38">
      <c r="A26218" s="182"/>
      <c r="Q26218" s="183"/>
      <c r="R26218" s="183"/>
      <c r="S26218" s="183"/>
    </row>
    <row r="26219" spans="1:38">
      <c r="A26219" s="182"/>
      <c r="Q26219" s="183"/>
      <c r="R26219" s="183"/>
      <c r="S26219" s="183"/>
    </row>
    <row r="26220" spans="1:38">
      <c r="A26220" s="182"/>
      <c r="Q26220" s="183"/>
      <c r="R26220" s="183"/>
      <c r="S26220" s="183"/>
    </row>
    <row r="26221" spans="1:38">
      <c r="A26221" s="182"/>
      <c r="Q26221" s="183"/>
      <c r="R26221" s="183"/>
      <c r="S26221" s="183"/>
    </row>
    <row r="26222" spans="1:38">
      <c r="A26222" s="182"/>
      <c r="Q26222" s="183"/>
      <c r="R26222" s="183"/>
      <c r="S26222" s="183"/>
    </row>
    <row r="26223" spans="1:38">
      <c r="A26223" s="182"/>
      <c r="Q26223" s="183"/>
      <c r="R26223" s="183"/>
      <c r="S26223" s="183"/>
    </row>
    <row r="26224" spans="1:38">
      <c r="A26224" s="182"/>
      <c r="Q26224" s="183"/>
      <c r="R26224" s="183"/>
      <c r="S26224" s="183"/>
    </row>
    <row r="26225" spans="1:38">
      <c r="A26225" s="182"/>
      <c r="Q26225" s="183"/>
      <c r="R26225" s="183"/>
      <c r="S26225" s="183"/>
    </row>
    <row r="26226" spans="1:38">
      <c r="A26226" s="182"/>
      <c r="Q26226" s="183"/>
      <c r="R26226" s="183"/>
      <c r="S26226" s="183"/>
    </row>
    <row r="26227" spans="1:38">
      <c r="A26227" s="182"/>
      <c r="Q26227" s="183"/>
      <c r="R26227" s="183"/>
      <c r="S26227" s="183"/>
    </row>
    <row r="26228" spans="1:38">
      <c r="A26228" s="182"/>
      <c r="Q26228" s="183"/>
      <c r="R26228" s="183"/>
      <c r="S26228" s="183"/>
    </row>
    <row r="26229" spans="1:38">
      <c r="A26229" s="182"/>
      <c r="Q26229" s="183"/>
      <c r="R26229" s="183"/>
      <c r="S26229" s="183"/>
    </row>
    <row r="26230" spans="1:38">
      <c r="A26230" s="182"/>
      <c r="Q26230" s="183"/>
      <c r="R26230" s="183"/>
      <c r="S26230" s="183"/>
    </row>
    <row r="26231" spans="1:38">
      <c r="A26231" s="182"/>
      <c r="Q26231" s="183"/>
      <c r="R26231" s="183"/>
      <c r="S26231" s="183"/>
    </row>
    <row r="26232" spans="1:38">
      <c r="A26232" s="182"/>
      <c r="Q26232" s="183"/>
      <c r="R26232" s="183"/>
      <c r="S26232" s="183"/>
    </row>
    <row r="26233" spans="1:38">
      <c r="A26233" s="182"/>
      <c r="Q26233" s="183"/>
      <c r="R26233" s="183"/>
      <c r="S26233" s="183"/>
    </row>
    <row r="26234" spans="1:38">
      <c r="A26234" s="182"/>
      <c r="Q26234" s="183"/>
      <c r="R26234" s="183"/>
      <c r="S26234" s="183"/>
    </row>
    <row r="26235" spans="1:38">
      <c r="A26235" s="182"/>
      <c r="Q26235" s="183"/>
      <c r="R26235" s="183"/>
      <c r="S26235" s="183"/>
    </row>
    <row r="26236" spans="1:38">
      <c r="A26236" s="182"/>
      <c r="Q26236" s="183"/>
      <c r="R26236" s="183"/>
      <c r="S26236" s="183"/>
    </row>
    <row r="26237" spans="1:38">
      <c r="A26237" s="182"/>
      <c r="Q26237" s="183"/>
      <c r="R26237" s="183"/>
      <c r="S26237" s="183"/>
    </row>
    <row r="26238" spans="1:38">
      <c r="A26238" s="182"/>
      <c r="Q26238" s="183"/>
      <c r="R26238" s="183"/>
      <c r="S26238" s="183"/>
    </row>
    <row r="26239" spans="1:38">
      <c r="A26239" s="182"/>
      <c r="Q26239" s="183"/>
      <c r="R26239" s="183"/>
      <c r="S26239" s="183"/>
      <c r="AK26239" s="183"/>
      <c r="AL26239" s="183"/>
    </row>
    <row r="26240" spans="1:38">
      <c r="A26240" s="182"/>
      <c r="Q26240" s="183"/>
      <c r="R26240" s="183"/>
      <c r="S26240" s="183"/>
      <c r="AJ26240" s="183"/>
      <c r="AK26240" s="183"/>
      <c r="AL26240" s="183"/>
    </row>
    <row r="26241" spans="1:38">
      <c r="A26241" s="182"/>
      <c r="Q26241" s="183"/>
      <c r="R26241" s="183"/>
      <c r="S26241" s="183"/>
      <c r="AJ26241" s="183"/>
      <c r="AK26241" s="183"/>
      <c r="AL26241" s="183"/>
    </row>
    <row r="26242" spans="1:38">
      <c r="A26242" s="182"/>
      <c r="Q26242" s="183"/>
      <c r="R26242" s="183"/>
      <c r="S26242" s="183"/>
      <c r="AJ26242" s="183"/>
      <c r="AK26242" s="183"/>
      <c r="AL26242" s="183"/>
    </row>
    <row r="26243" spans="1:38">
      <c r="A26243" s="182"/>
      <c r="Q26243" s="183"/>
      <c r="R26243" s="183"/>
      <c r="S26243" s="183"/>
      <c r="AJ26243" s="183"/>
    </row>
    <row r="26244" spans="1:38">
      <c r="A26244" s="182"/>
      <c r="Q26244" s="183"/>
      <c r="R26244" s="183"/>
      <c r="S26244" s="183"/>
    </row>
    <row r="26245" spans="1:38">
      <c r="A26245" s="182"/>
      <c r="Q26245" s="183"/>
      <c r="R26245" s="183"/>
      <c r="S26245" s="183"/>
    </row>
    <row r="26246" spans="1:38">
      <c r="A26246" s="182"/>
      <c r="Q26246" s="183"/>
      <c r="R26246" s="183"/>
      <c r="S26246" s="183"/>
    </row>
    <row r="26247" spans="1:38">
      <c r="A26247" s="182"/>
      <c r="Q26247" s="183"/>
      <c r="R26247" s="183"/>
      <c r="S26247" s="183"/>
    </row>
    <row r="26248" spans="1:38">
      <c r="A26248" s="182"/>
      <c r="Q26248" s="183"/>
      <c r="R26248" s="183"/>
      <c r="S26248" s="183"/>
    </row>
    <row r="26249" spans="1:38">
      <c r="A26249" s="182"/>
      <c r="Q26249" s="183"/>
      <c r="R26249" s="183"/>
      <c r="S26249" s="183"/>
    </row>
    <row r="26250" spans="1:38">
      <c r="A26250" s="182"/>
      <c r="Q26250" s="183"/>
      <c r="R26250" s="183"/>
      <c r="S26250" s="183"/>
    </row>
    <row r="26251" spans="1:38">
      <c r="A26251" s="182"/>
      <c r="Q26251" s="183"/>
      <c r="R26251" s="183"/>
      <c r="S26251" s="183"/>
    </row>
    <row r="26252" spans="1:38">
      <c r="A26252" s="182"/>
      <c r="Q26252" s="183"/>
      <c r="R26252" s="183"/>
      <c r="S26252" s="183"/>
    </row>
    <row r="26253" spans="1:38">
      <c r="A26253" s="182"/>
      <c r="Q26253" s="183"/>
      <c r="R26253" s="183"/>
      <c r="S26253" s="183"/>
    </row>
    <row r="26254" spans="1:38">
      <c r="A26254" s="182"/>
      <c r="Q26254" s="183"/>
      <c r="R26254" s="183"/>
      <c r="S26254" s="183"/>
    </row>
    <row r="26255" spans="1:38">
      <c r="A26255" s="182"/>
      <c r="Q26255" s="183"/>
      <c r="R26255" s="183"/>
      <c r="S26255" s="183"/>
    </row>
    <row r="26256" spans="1:38">
      <c r="A26256" s="182"/>
      <c r="Q26256" s="183"/>
      <c r="R26256" s="183"/>
      <c r="S26256" s="183"/>
    </row>
    <row r="26257" spans="1:38">
      <c r="A26257" s="182"/>
      <c r="Q26257" s="183"/>
      <c r="R26257" s="183"/>
      <c r="S26257" s="183"/>
    </row>
    <row r="26258" spans="1:38">
      <c r="A26258" s="182"/>
      <c r="Q26258" s="183"/>
      <c r="R26258" s="183"/>
      <c r="S26258" s="183"/>
    </row>
    <row r="26259" spans="1:38">
      <c r="A26259" s="182"/>
      <c r="Q26259" s="183"/>
      <c r="R26259" s="183"/>
      <c r="S26259" s="183"/>
    </row>
    <row r="26260" spans="1:38">
      <c r="A26260" s="182"/>
      <c r="Q26260" s="183"/>
      <c r="R26260" s="183"/>
      <c r="S26260" s="183"/>
    </row>
    <row r="26261" spans="1:38">
      <c r="A26261" s="182"/>
      <c r="Q26261" s="183"/>
      <c r="R26261" s="183"/>
      <c r="S26261" s="183"/>
    </row>
    <row r="26262" spans="1:38">
      <c r="A26262" s="182"/>
      <c r="Q26262" s="183"/>
      <c r="R26262" s="183"/>
      <c r="S26262" s="183"/>
    </row>
    <row r="26263" spans="1:38">
      <c r="A26263" s="182"/>
      <c r="Q26263" s="183"/>
      <c r="R26263" s="183"/>
      <c r="S26263" s="183"/>
    </row>
    <row r="26264" spans="1:38">
      <c r="A26264" s="182"/>
      <c r="Q26264" s="183"/>
      <c r="R26264" s="183"/>
      <c r="S26264" s="183"/>
    </row>
    <row r="26265" spans="1:38">
      <c r="A26265" s="182"/>
      <c r="Q26265" s="183"/>
      <c r="R26265" s="183"/>
      <c r="S26265" s="183"/>
    </row>
    <row r="26266" spans="1:38">
      <c r="A26266" s="182"/>
      <c r="Q26266" s="183"/>
      <c r="R26266" s="183"/>
      <c r="S26266" s="183"/>
    </row>
    <row r="26267" spans="1:38">
      <c r="A26267" s="182"/>
      <c r="Q26267" s="183"/>
      <c r="R26267" s="183"/>
      <c r="S26267" s="183"/>
    </row>
    <row r="26268" spans="1:38">
      <c r="A26268" s="182"/>
      <c r="Q26268" s="183"/>
      <c r="R26268" s="183"/>
      <c r="S26268" s="183"/>
    </row>
    <row r="26269" spans="1:38">
      <c r="A26269" s="182"/>
      <c r="Q26269" s="183"/>
      <c r="R26269" s="183"/>
      <c r="S26269" s="183"/>
    </row>
    <row r="26270" spans="1:38">
      <c r="A26270" s="182"/>
      <c r="Q26270" s="183"/>
      <c r="R26270" s="183"/>
      <c r="S26270" s="183"/>
    </row>
    <row r="26271" spans="1:38">
      <c r="A26271" s="182"/>
      <c r="Q26271" s="183"/>
      <c r="R26271" s="183"/>
      <c r="S26271" s="183"/>
      <c r="AK26271" s="183"/>
      <c r="AL26271" s="183"/>
    </row>
    <row r="26272" spans="1:38">
      <c r="A26272" s="182"/>
      <c r="Q26272" s="183"/>
      <c r="R26272" s="183"/>
      <c r="S26272" s="183"/>
      <c r="AJ26272" s="183"/>
      <c r="AK26272" s="183"/>
      <c r="AL26272" s="183"/>
    </row>
    <row r="26273" spans="1:38">
      <c r="A26273" s="182"/>
      <c r="Q26273" s="183"/>
      <c r="R26273" s="183"/>
      <c r="S26273" s="183"/>
      <c r="AJ26273" s="183"/>
      <c r="AK26273" s="183"/>
      <c r="AL26273" s="183"/>
    </row>
    <row r="26274" spans="1:38">
      <c r="A26274" s="182"/>
      <c r="Q26274" s="183"/>
      <c r="R26274" s="183"/>
      <c r="S26274" s="183"/>
      <c r="AJ26274" s="183"/>
      <c r="AK26274" s="183"/>
      <c r="AL26274" s="183"/>
    </row>
    <row r="26275" spans="1:38">
      <c r="A26275" s="182"/>
      <c r="Q26275" s="183"/>
      <c r="R26275" s="183"/>
      <c r="S26275" s="183"/>
      <c r="AJ26275" s="183"/>
      <c r="AK26275" s="183"/>
      <c r="AL26275" s="183"/>
    </row>
    <row r="26276" spans="1:38">
      <c r="A26276" s="182"/>
      <c r="Q26276" s="183"/>
      <c r="R26276" s="183"/>
      <c r="S26276" s="183"/>
      <c r="AJ26276" s="183"/>
      <c r="AK26276" s="183"/>
      <c r="AL26276" s="183"/>
    </row>
    <row r="26277" spans="1:38">
      <c r="A26277" s="182"/>
      <c r="Q26277" s="183"/>
      <c r="R26277" s="183"/>
      <c r="S26277" s="183"/>
      <c r="AJ26277" s="183"/>
      <c r="AK26277" s="183"/>
      <c r="AL26277" s="183"/>
    </row>
    <row r="26278" spans="1:38">
      <c r="A26278" s="182"/>
      <c r="Q26278" s="183"/>
      <c r="R26278" s="183"/>
      <c r="S26278" s="183"/>
      <c r="AJ26278" s="183"/>
      <c r="AK26278" s="183"/>
      <c r="AL26278" s="183"/>
    </row>
    <row r="26279" spans="1:38">
      <c r="A26279" s="182"/>
      <c r="Q26279" s="183"/>
      <c r="R26279" s="183"/>
      <c r="S26279" s="183"/>
      <c r="AJ26279" s="183"/>
    </row>
    <row r="26280" spans="1:38">
      <c r="A26280" s="182"/>
      <c r="Q26280" s="183"/>
      <c r="R26280" s="183"/>
      <c r="S26280" s="183"/>
    </row>
    <row r="26281" spans="1:38">
      <c r="A26281" s="182"/>
      <c r="Q26281" s="183"/>
      <c r="R26281" s="183"/>
      <c r="S26281" s="183"/>
    </row>
    <row r="26282" spans="1:38">
      <c r="A26282" s="182"/>
      <c r="Q26282" s="183"/>
      <c r="R26282" s="183"/>
      <c r="S26282" s="183"/>
    </row>
    <row r="26283" spans="1:38">
      <c r="A26283" s="182"/>
      <c r="Q26283" s="183"/>
      <c r="R26283" s="183"/>
      <c r="S26283" s="183"/>
      <c r="AK26283" s="183"/>
      <c r="AL26283" s="183"/>
    </row>
    <row r="26284" spans="1:38">
      <c r="A26284" s="182"/>
      <c r="Q26284" s="183"/>
      <c r="R26284" s="183"/>
      <c r="S26284" s="183"/>
      <c r="AJ26284" s="183"/>
      <c r="AK26284" s="183"/>
      <c r="AL26284" s="183"/>
    </row>
    <row r="26285" spans="1:38">
      <c r="A26285" s="182"/>
      <c r="Q26285" s="183"/>
      <c r="R26285" s="183"/>
      <c r="S26285" s="183"/>
      <c r="AJ26285" s="183"/>
      <c r="AK26285" s="183"/>
      <c r="AL26285" s="183"/>
    </row>
    <row r="26286" spans="1:38">
      <c r="A26286" s="182"/>
      <c r="Q26286" s="183"/>
      <c r="R26286" s="183"/>
      <c r="S26286" s="183"/>
      <c r="AJ26286" s="183"/>
      <c r="AK26286" s="183"/>
      <c r="AL26286" s="183"/>
    </row>
    <row r="26287" spans="1:38">
      <c r="A26287" s="182"/>
      <c r="Q26287" s="183"/>
      <c r="R26287" s="183"/>
      <c r="S26287" s="183"/>
      <c r="AJ26287" s="183"/>
      <c r="AK26287" s="183"/>
      <c r="AL26287" s="183"/>
    </row>
    <row r="26288" spans="1:38">
      <c r="A26288" s="182"/>
      <c r="Q26288" s="183"/>
      <c r="R26288" s="183"/>
      <c r="S26288" s="183"/>
      <c r="AJ26288" s="183"/>
      <c r="AK26288" s="183"/>
      <c r="AL26288" s="183"/>
    </row>
    <row r="26289" spans="1:38">
      <c r="A26289" s="182"/>
      <c r="Q26289" s="183"/>
      <c r="R26289" s="183"/>
      <c r="S26289" s="183"/>
      <c r="AJ26289" s="183"/>
      <c r="AK26289" s="183"/>
      <c r="AL26289" s="183"/>
    </row>
    <row r="26290" spans="1:38">
      <c r="A26290" s="182"/>
      <c r="Q26290" s="183"/>
      <c r="R26290" s="183"/>
      <c r="S26290" s="183"/>
      <c r="AJ26290" s="183"/>
      <c r="AK26290" s="183"/>
      <c r="AL26290" s="183"/>
    </row>
    <row r="26291" spans="1:38">
      <c r="A26291" s="182"/>
      <c r="Q26291" s="183"/>
      <c r="R26291" s="183"/>
      <c r="S26291" s="183"/>
      <c r="AJ26291" s="183"/>
      <c r="AK26291" s="183"/>
      <c r="AL26291" s="183"/>
    </row>
    <row r="26292" spans="1:38">
      <c r="A26292" s="182"/>
      <c r="Q26292" s="183"/>
      <c r="R26292" s="183"/>
      <c r="S26292" s="183"/>
      <c r="AJ26292" s="183"/>
      <c r="AK26292" s="183"/>
      <c r="AL26292" s="183"/>
    </row>
    <row r="26293" spans="1:38">
      <c r="A26293" s="182"/>
      <c r="Q26293" s="183"/>
      <c r="R26293" s="183"/>
      <c r="S26293" s="183"/>
      <c r="AJ26293" s="183"/>
      <c r="AK26293" s="183"/>
      <c r="AL26293" s="183"/>
    </row>
    <row r="26294" spans="1:38">
      <c r="A26294" s="182"/>
      <c r="Q26294" s="183"/>
      <c r="R26294" s="183"/>
      <c r="S26294" s="183"/>
      <c r="AJ26294" s="183"/>
      <c r="AK26294" s="183"/>
      <c r="AL26294" s="183"/>
    </row>
    <row r="26295" spans="1:38">
      <c r="A26295" s="182"/>
      <c r="Q26295" s="183"/>
      <c r="R26295" s="183"/>
      <c r="S26295" s="183"/>
      <c r="AJ26295" s="183"/>
      <c r="AK26295" s="183"/>
      <c r="AL26295" s="183"/>
    </row>
    <row r="26296" spans="1:38">
      <c r="A26296" s="182"/>
      <c r="Q26296" s="183"/>
      <c r="R26296" s="183"/>
      <c r="S26296" s="183"/>
      <c r="AJ26296" s="183"/>
      <c r="AK26296" s="183"/>
      <c r="AL26296" s="183"/>
    </row>
    <row r="26297" spans="1:38">
      <c r="A26297" s="182"/>
      <c r="Q26297" s="183"/>
      <c r="R26297" s="183"/>
      <c r="S26297" s="183"/>
      <c r="AJ26297" s="183"/>
      <c r="AK26297" s="183"/>
      <c r="AL26297" s="183"/>
    </row>
    <row r="26298" spans="1:38">
      <c r="A26298" s="182"/>
      <c r="Q26298" s="183"/>
      <c r="R26298" s="183"/>
      <c r="S26298" s="183"/>
      <c r="AJ26298" s="183"/>
      <c r="AK26298" s="183"/>
      <c r="AL26298" s="183"/>
    </row>
    <row r="26299" spans="1:38">
      <c r="A26299" s="182"/>
      <c r="Q26299" s="183"/>
      <c r="R26299" s="183"/>
      <c r="S26299" s="183"/>
      <c r="AJ26299" s="183"/>
    </row>
    <row r="26300" spans="1:38">
      <c r="A26300" s="182"/>
      <c r="Q26300" s="183"/>
      <c r="R26300" s="183"/>
      <c r="S26300" s="183"/>
    </row>
    <row r="26301" spans="1:38">
      <c r="A26301" s="182"/>
      <c r="Q26301" s="183"/>
      <c r="R26301" s="183"/>
      <c r="S26301" s="183"/>
    </row>
    <row r="26302" spans="1:38">
      <c r="A26302" s="182"/>
      <c r="Q26302" s="183"/>
      <c r="R26302" s="183"/>
      <c r="S26302" s="183"/>
    </row>
    <row r="26303" spans="1:38">
      <c r="A26303" s="182"/>
      <c r="Q26303" s="183"/>
      <c r="R26303" s="183"/>
      <c r="S26303" s="183"/>
    </row>
    <row r="26304" spans="1:38">
      <c r="A26304" s="182"/>
      <c r="Q26304" s="183"/>
      <c r="R26304" s="183"/>
      <c r="S26304" s="183"/>
    </row>
    <row r="26305" spans="1:38">
      <c r="A26305" s="182"/>
      <c r="Q26305" s="183"/>
      <c r="R26305" s="183"/>
      <c r="S26305" s="183"/>
    </row>
    <row r="26306" spans="1:38">
      <c r="A26306" s="182"/>
      <c r="Q26306" s="183"/>
      <c r="R26306" s="183"/>
      <c r="S26306" s="183"/>
    </row>
    <row r="26307" spans="1:38">
      <c r="A26307" s="182"/>
      <c r="Q26307" s="183"/>
      <c r="R26307" s="183"/>
      <c r="S26307" s="183"/>
    </row>
    <row r="26308" spans="1:38">
      <c r="A26308" s="182"/>
      <c r="Q26308" s="183"/>
      <c r="R26308" s="183"/>
      <c r="S26308" s="183"/>
    </row>
    <row r="26309" spans="1:38">
      <c r="A26309" s="182"/>
      <c r="Q26309" s="183"/>
      <c r="R26309" s="183"/>
      <c r="S26309" s="183"/>
    </row>
    <row r="26310" spans="1:38">
      <c r="A26310" s="182"/>
      <c r="Q26310" s="183"/>
      <c r="R26310" s="183"/>
      <c r="S26310" s="183"/>
    </row>
    <row r="26311" spans="1:38">
      <c r="A26311" s="182"/>
      <c r="Q26311" s="183"/>
      <c r="R26311" s="183"/>
      <c r="S26311" s="183"/>
    </row>
    <row r="26312" spans="1:38">
      <c r="A26312" s="182"/>
      <c r="Q26312" s="183"/>
      <c r="R26312" s="183"/>
      <c r="S26312" s="183"/>
    </row>
    <row r="26313" spans="1:38">
      <c r="A26313" s="182"/>
      <c r="Q26313" s="183"/>
      <c r="R26313" s="183"/>
      <c r="S26313" s="183"/>
    </row>
    <row r="26314" spans="1:38">
      <c r="A26314" s="182"/>
      <c r="Q26314" s="183"/>
      <c r="R26314" s="183"/>
      <c r="S26314" s="183"/>
    </row>
    <row r="26315" spans="1:38">
      <c r="A26315" s="182"/>
      <c r="Q26315" s="183"/>
      <c r="R26315" s="183"/>
      <c r="S26315" s="183"/>
      <c r="AK26315" s="183"/>
      <c r="AL26315" s="183"/>
    </row>
    <row r="26316" spans="1:38">
      <c r="A26316" s="182"/>
      <c r="Q26316" s="183"/>
      <c r="R26316" s="183"/>
      <c r="S26316" s="183"/>
      <c r="AJ26316" s="183"/>
      <c r="AK26316" s="183"/>
      <c r="AL26316" s="183"/>
    </row>
    <row r="26317" spans="1:38">
      <c r="A26317" s="182"/>
      <c r="Q26317" s="183"/>
      <c r="R26317" s="183"/>
      <c r="S26317" s="183"/>
      <c r="AJ26317" s="183"/>
      <c r="AK26317" s="183"/>
      <c r="AL26317" s="183"/>
    </row>
    <row r="26318" spans="1:38">
      <c r="A26318" s="182"/>
      <c r="Q26318" s="183"/>
      <c r="R26318" s="183"/>
      <c r="S26318" s="183"/>
      <c r="AJ26318" s="183"/>
      <c r="AK26318" s="183"/>
      <c r="AL26318" s="183"/>
    </row>
    <row r="26319" spans="1:38">
      <c r="A26319" s="182"/>
      <c r="Q26319" s="183"/>
      <c r="R26319" s="183"/>
      <c r="S26319" s="183"/>
      <c r="AJ26319" s="183"/>
    </row>
    <row r="26320" spans="1:38">
      <c r="A26320" s="182"/>
      <c r="Q26320" s="183"/>
      <c r="R26320" s="183"/>
      <c r="S26320" s="183"/>
    </row>
    <row r="26321" spans="1:38">
      <c r="A26321" s="182"/>
      <c r="Q26321" s="183"/>
      <c r="R26321" s="183"/>
      <c r="S26321" s="183"/>
    </row>
    <row r="26322" spans="1:38">
      <c r="A26322" s="182"/>
      <c r="Q26322" s="183"/>
      <c r="R26322" s="183"/>
      <c r="S26322" s="183"/>
    </row>
    <row r="26323" spans="1:38">
      <c r="A26323" s="182"/>
      <c r="Q26323" s="183"/>
      <c r="R26323" s="183"/>
      <c r="S26323" s="183"/>
    </row>
    <row r="26324" spans="1:38">
      <c r="A26324" s="182"/>
      <c r="Q26324" s="183"/>
      <c r="R26324" s="183"/>
      <c r="S26324" s="183"/>
    </row>
    <row r="26325" spans="1:38">
      <c r="A26325" s="182"/>
      <c r="Q26325" s="183"/>
      <c r="R26325" s="183"/>
      <c r="S26325" s="183"/>
    </row>
    <row r="26326" spans="1:38">
      <c r="A26326" s="182"/>
      <c r="Q26326" s="183"/>
      <c r="R26326" s="183"/>
      <c r="S26326" s="183"/>
    </row>
    <row r="26327" spans="1:38">
      <c r="A26327" s="182"/>
      <c r="Q26327" s="183"/>
      <c r="R26327" s="183"/>
      <c r="S26327" s="183"/>
    </row>
    <row r="26328" spans="1:38">
      <c r="A26328" s="182"/>
      <c r="Q26328" s="183"/>
      <c r="R26328" s="183"/>
      <c r="S26328" s="183"/>
    </row>
    <row r="26329" spans="1:38">
      <c r="A26329" s="182"/>
      <c r="Q26329" s="183"/>
      <c r="R26329" s="183"/>
      <c r="S26329" s="183"/>
    </row>
    <row r="26330" spans="1:38">
      <c r="A26330" s="182"/>
      <c r="Q26330" s="183"/>
      <c r="R26330" s="183"/>
      <c r="S26330" s="183"/>
    </row>
    <row r="26331" spans="1:38">
      <c r="A26331" s="182"/>
      <c r="Q26331" s="183"/>
      <c r="R26331" s="183"/>
      <c r="S26331" s="183"/>
      <c r="AK26331" s="183"/>
      <c r="AL26331" s="183"/>
    </row>
    <row r="26332" spans="1:38">
      <c r="A26332" s="182"/>
      <c r="Q26332" s="183"/>
      <c r="R26332" s="183"/>
      <c r="S26332" s="183"/>
      <c r="AJ26332" s="183"/>
      <c r="AK26332" s="183"/>
      <c r="AL26332" s="183"/>
    </row>
    <row r="26333" spans="1:38">
      <c r="A26333" s="182"/>
      <c r="Q26333" s="183"/>
      <c r="R26333" s="183"/>
      <c r="S26333" s="183"/>
      <c r="AJ26333" s="183"/>
      <c r="AK26333" s="183"/>
      <c r="AL26333" s="183"/>
    </row>
    <row r="26334" spans="1:38">
      <c r="A26334" s="182"/>
      <c r="Q26334" s="183"/>
      <c r="R26334" s="183"/>
      <c r="S26334" s="183"/>
      <c r="AJ26334" s="183"/>
      <c r="AK26334" s="183"/>
      <c r="AL26334" s="183"/>
    </row>
    <row r="26335" spans="1:38">
      <c r="A26335" s="182"/>
      <c r="Q26335" s="183"/>
      <c r="R26335" s="183"/>
      <c r="S26335" s="183"/>
      <c r="AJ26335" s="183"/>
    </row>
    <row r="26336" spans="1:38">
      <c r="A26336" s="182"/>
      <c r="Q26336" s="183"/>
      <c r="R26336" s="183"/>
      <c r="S26336" s="183"/>
    </row>
    <row r="26337" spans="1:38">
      <c r="A26337" s="182"/>
      <c r="Q26337" s="183"/>
      <c r="R26337" s="183"/>
      <c r="S26337" s="183"/>
    </row>
    <row r="26338" spans="1:38">
      <c r="A26338" s="182"/>
      <c r="Q26338" s="183"/>
      <c r="R26338" s="183"/>
      <c r="S26338" s="183"/>
    </row>
    <row r="26339" spans="1:38">
      <c r="A26339" s="182"/>
      <c r="Q26339" s="183"/>
      <c r="R26339" s="183"/>
      <c r="S26339" s="183"/>
    </row>
    <row r="26340" spans="1:38">
      <c r="A26340" s="182"/>
      <c r="Q26340" s="183"/>
      <c r="R26340" s="183"/>
      <c r="S26340" s="183"/>
    </row>
    <row r="26341" spans="1:38">
      <c r="A26341" s="182"/>
      <c r="Q26341" s="183"/>
      <c r="R26341" s="183"/>
      <c r="S26341" s="183"/>
    </row>
    <row r="26342" spans="1:38">
      <c r="A26342" s="182"/>
      <c r="Q26342" s="183"/>
      <c r="R26342" s="183"/>
      <c r="S26342" s="183"/>
    </row>
    <row r="26343" spans="1:38">
      <c r="A26343" s="182"/>
      <c r="Q26343" s="183"/>
      <c r="R26343" s="183"/>
      <c r="S26343" s="183"/>
      <c r="AK26343" s="183"/>
      <c r="AL26343" s="183"/>
    </row>
    <row r="26344" spans="1:38">
      <c r="A26344" s="182"/>
      <c r="Q26344" s="183"/>
      <c r="R26344" s="183"/>
      <c r="S26344" s="183"/>
      <c r="AJ26344" s="183"/>
      <c r="AK26344" s="183"/>
      <c r="AL26344" s="183"/>
    </row>
    <row r="26345" spans="1:38">
      <c r="A26345" s="182"/>
      <c r="Q26345" s="183"/>
      <c r="R26345" s="183"/>
      <c r="S26345" s="183"/>
      <c r="AJ26345" s="183"/>
      <c r="AK26345" s="183"/>
      <c r="AL26345" s="183"/>
    </row>
    <row r="26346" spans="1:38">
      <c r="A26346" s="182"/>
      <c r="Q26346" s="183"/>
      <c r="R26346" s="183"/>
      <c r="S26346" s="183"/>
      <c r="AJ26346" s="183"/>
      <c r="AK26346" s="183"/>
      <c r="AL26346" s="183"/>
    </row>
    <row r="26347" spans="1:38">
      <c r="A26347" s="182"/>
      <c r="Q26347" s="183"/>
      <c r="R26347" s="183"/>
      <c r="S26347" s="183"/>
      <c r="AJ26347" s="183"/>
    </row>
    <row r="26348" spans="1:38">
      <c r="A26348" s="182"/>
      <c r="Q26348" s="183"/>
      <c r="R26348" s="183"/>
      <c r="S26348" s="183"/>
    </row>
    <row r="26349" spans="1:38">
      <c r="A26349" s="182"/>
      <c r="Q26349" s="183"/>
      <c r="R26349" s="183"/>
      <c r="S26349" s="183"/>
    </row>
    <row r="26350" spans="1:38">
      <c r="A26350" s="182"/>
      <c r="Q26350" s="183"/>
      <c r="R26350" s="183"/>
      <c r="S26350" s="183"/>
    </row>
    <row r="26351" spans="1:38">
      <c r="A26351" s="182"/>
      <c r="Q26351" s="183"/>
      <c r="R26351" s="183"/>
      <c r="S26351" s="183"/>
    </row>
    <row r="26352" spans="1:38">
      <c r="A26352" s="182"/>
      <c r="Q26352" s="183"/>
      <c r="R26352" s="183"/>
      <c r="S26352" s="183"/>
    </row>
    <row r="26353" spans="1:38">
      <c r="A26353" s="182"/>
      <c r="Q26353" s="183"/>
      <c r="R26353" s="183"/>
      <c r="S26353" s="183"/>
    </row>
    <row r="26354" spans="1:38">
      <c r="A26354" s="182"/>
      <c r="Q26354" s="183"/>
      <c r="R26354" s="183"/>
      <c r="S26354" s="183"/>
    </row>
    <row r="26355" spans="1:38">
      <c r="A26355" s="182"/>
      <c r="Q26355" s="183"/>
      <c r="R26355" s="183"/>
      <c r="S26355" s="183"/>
    </row>
    <row r="26356" spans="1:38">
      <c r="A26356" s="182"/>
      <c r="Q26356" s="183"/>
      <c r="R26356" s="183"/>
      <c r="S26356" s="183"/>
    </row>
    <row r="26357" spans="1:38">
      <c r="A26357" s="182"/>
      <c r="Q26357" s="183"/>
      <c r="R26357" s="183"/>
      <c r="S26357" s="183"/>
    </row>
    <row r="26358" spans="1:38">
      <c r="A26358" s="182"/>
      <c r="Q26358" s="183"/>
      <c r="R26358" s="183"/>
      <c r="S26358" s="183"/>
    </row>
    <row r="26359" spans="1:38">
      <c r="A26359" s="182"/>
      <c r="Q26359" s="183"/>
      <c r="R26359" s="183"/>
      <c r="S26359" s="183"/>
    </row>
    <row r="26360" spans="1:38">
      <c r="A26360" s="182"/>
      <c r="Q26360" s="183"/>
      <c r="R26360" s="183"/>
      <c r="S26360" s="183"/>
    </row>
    <row r="26361" spans="1:38">
      <c r="A26361" s="182"/>
      <c r="Q26361" s="183"/>
      <c r="R26361" s="183"/>
      <c r="S26361" s="183"/>
    </row>
    <row r="26362" spans="1:38">
      <c r="A26362" s="182"/>
      <c r="Q26362" s="183"/>
      <c r="R26362" s="183"/>
      <c r="S26362" s="183"/>
    </row>
    <row r="26363" spans="1:38">
      <c r="A26363" s="182"/>
      <c r="Q26363" s="183"/>
      <c r="R26363" s="183"/>
      <c r="S26363" s="183"/>
      <c r="AK26363" s="183"/>
      <c r="AL26363" s="183"/>
    </row>
    <row r="26364" spans="1:38">
      <c r="A26364" s="182"/>
      <c r="Q26364" s="183"/>
      <c r="R26364" s="183"/>
      <c r="S26364" s="183"/>
      <c r="AJ26364" s="183"/>
      <c r="AK26364" s="183"/>
      <c r="AL26364" s="183"/>
    </row>
    <row r="26365" spans="1:38">
      <c r="A26365" s="182"/>
      <c r="Q26365" s="183"/>
      <c r="R26365" s="183"/>
      <c r="S26365" s="183"/>
      <c r="AJ26365" s="183"/>
      <c r="AK26365" s="183"/>
      <c r="AL26365" s="183"/>
    </row>
    <row r="26366" spans="1:38">
      <c r="A26366" s="182"/>
      <c r="Q26366" s="183"/>
      <c r="R26366" s="183"/>
      <c r="S26366" s="183"/>
      <c r="AJ26366" s="183"/>
      <c r="AK26366" s="183"/>
      <c r="AL26366" s="183"/>
    </row>
    <row r="26367" spans="1:38">
      <c r="A26367" s="182"/>
      <c r="Q26367" s="183"/>
      <c r="R26367" s="183"/>
      <c r="S26367" s="183"/>
      <c r="AJ26367" s="183"/>
      <c r="AK26367" s="183"/>
      <c r="AL26367" s="183"/>
    </row>
    <row r="26368" spans="1:38">
      <c r="A26368" s="182"/>
      <c r="Q26368" s="183"/>
      <c r="R26368" s="183"/>
      <c r="S26368" s="183"/>
      <c r="AJ26368" s="183"/>
      <c r="AK26368" s="183"/>
      <c r="AL26368" s="183"/>
    </row>
    <row r="26369" spans="1:38">
      <c r="A26369" s="182"/>
      <c r="Q26369" s="183"/>
      <c r="R26369" s="183"/>
      <c r="S26369" s="183"/>
      <c r="AJ26369" s="183"/>
      <c r="AK26369" s="183"/>
      <c r="AL26369" s="183"/>
    </row>
    <row r="26370" spans="1:38">
      <c r="A26370" s="182"/>
      <c r="Q26370" s="183"/>
      <c r="R26370" s="183"/>
      <c r="S26370" s="183"/>
      <c r="AJ26370" s="183"/>
      <c r="AK26370" s="183"/>
      <c r="AL26370" s="183"/>
    </row>
    <row r="26371" spans="1:38">
      <c r="A26371" s="182"/>
      <c r="Q26371" s="183"/>
      <c r="R26371" s="183"/>
      <c r="S26371" s="183"/>
      <c r="AJ26371" s="183"/>
      <c r="AK26371" s="183"/>
      <c r="AL26371" s="183"/>
    </row>
    <row r="26372" spans="1:38">
      <c r="A26372" s="182"/>
      <c r="Q26372" s="183"/>
      <c r="R26372" s="183"/>
      <c r="S26372" s="183"/>
      <c r="AJ26372" s="183"/>
      <c r="AK26372" s="183"/>
      <c r="AL26372" s="183"/>
    </row>
    <row r="26373" spans="1:38">
      <c r="A26373" s="182"/>
      <c r="Q26373" s="183"/>
      <c r="R26373" s="183"/>
      <c r="S26373" s="183"/>
      <c r="AJ26373" s="183"/>
      <c r="AK26373" s="183"/>
      <c r="AL26373" s="183"/>
    </row>
    <row r="26374" spans="1:38">
      <c r="A26374" s="182"/>
      <c r="Q26374" s="183"/>
      <c r="R26374" s="183"/>
      <c r="S26374" s="183"/>
      <c r="AJ26374" s="183"/>
      <c r="AK26374" s="183"/>
      <c r="AL26374" s="183"/>
    </row>
    <row r="26375" spans="1:38">
      <c r="A26375" s="182"/>
      <c r="Q26375" s="183"/>
      <c r="R26375" s="183"/>
      <c r="S26375" s="183"/>
      <c r="AJ26375" s="183"/>
    </row>
    <row r="26376" spans="1:38">
      <c r="A26376" s="182"/>
      <c r="Q26376" s="183"/>
      <c r="R26376" s="183"/>
      <c r="S26376" s="183"/>
    </row>
    <row r="26377" spans="1:38">
      <c r="A26377" s="182"/>
      <c r="Q26377" s="183"/>
      <c r="R26377" s="183"/>
      <c r="S26377" s="183"/>
    </row>
    <row r="26378" spans="1:38">
      <c r="A26378" s="182"/>
      <c r="Q26378" s="183"/>
      <c r="R26378" s="183"/>
      <c r="S26378" s="183"/>
    </row>
    <row r="26379" spans="1:38">
      <c r="A26379" s="182"/>
      <c r="Q26379" s="183"/>
      <c r="R26379" s="183"/>
      <c r="S26379" s="183"/>
    </row>
    <row r="26380" spans="1:38">
      <c r="A26380" s="182"/>
      <c r="Q26380" s="183"/>
      <c r="R26380" s="183"/>
      <c r="S26380" s="183"/>
    </row>
    <row r="26381" spans="1:38">
      <c r="A26381" s="182"/>
      <c r="Q26381" s="183"/>
      <c r="R26381" s="183"/>
      <c r="S26381" s="183"/>
    </row>
    <row r="26382" spans="1:38">
      <c r="A26382" s="182"/>
      <c r="Q26382" s="183"/>
      <c r="R26382" s="183"/>
      <c r="S26382" s="183"/>
    </row>
    <row r="26383" spans="1:38">
      <c r="A26383" s="182"/>
      <c r="Q26383" s="183"/>
      <c r="R26383" s="183"/>
      <c r="S26383" s="183"/>
      <c r="AK26383" s="183"/>
      <c r="AL26383" s="183"/>
    </row>
    <row r="26384" spans="1:38">
      <c r="A26384" s="182"/>
      <c r="Q26384" s="183"/>
      <c r="R26384" s="183"/>
      <c r="S26384" s="183"/>
      <c r="AJ26384" s="183"/>
      <c r="AK26384" s="183"/>
      <c r="AL26384" s="183"/>
    </row>
    <row r="26385" spans="1:38">
      <c r="A26385" s="182"/>
      <c r="Q26385" s="183"/>
      <c r="R26385" s="183"/>
      <c r="S26385" s="183"/>
      <c r="AJ26385" s="183"/>
      <c r="AK26385" s="183"/>
      <c r="AL26385" s="183"/>
    </row>
    <row r="26386" spans="1:38">
      <c r="A26386" s="182"/>
      <c r="Q26386" s="183"/>
      <c r="R26386" s="183"/>
      <c r="S26386" s="183"/>
      <c r="AJ26386" s="183"/>
      <c r="AK26386" s="183"/>
      <c r="AL26386" s="183"/>
    </row>
    <row r="26387" spans="1:38">
      <c r="A26387" s="182"/>
      <c r="Q26387" s="183"/>
      <c r="R26387" s="183"/>
      <c r="S26387" s="183"/>
      <c r="AJ26387" s="183"/>
      <c r="AK26387" s="183"/>
      <c r="AL26387" s="183"/>
    </row>
    <row r="26388" spans="1:38">
      <c r="A26388" s="182"/>
      <c r="Q26388" s="183"/>
      <c r="R26388" s="183"/>
      <c r="S26388" s="183"/>
      <c r="AJ26388" s="183"/>
      <c r="AK26388" s="183"/>
      <c r="AL26388" s="183"/>
    </row>
    <row r="26389" spans="1:38">
      <c r="A26389" s="182"/>
      <c r="Q26389" s="183"/>
      <c r="R26389" s="183"/>
      <c r="S26389" s="183"/>
      <c r="AJ26389" s="183"/>
      <c r="AK26389" s="183"/>
      <c r="AL26389" s="183"/>
    </row>
    <row r="26390" spans="1:38">
      <c r="A26390" s="182"/>
      <c r="Q26390" s="183"/>
      <c r="R26390" s="183"/>
      <c r="S26390" s="183"/>
      <c r="AJ26390" s="183"/>
      <c r="AK26390" s="183"/>
      <c r="AL26390" s="183"/>
    </row>
    <row r="26391" spans="1:38">
      <c r="A26391" s="182"/>
      <c r="Q26391" s="183"/>
      <c r="R26391" s="183"/>
      <c r="S26391" s="183"/>
      <c r="AJ26391" s="183"/>
    </row>
    <row r="26392" spans="1:38">
      <c r="A26392" s="182"/>
      <c r="Q26392" s="183"/>
      <c r="R26392" s="183"/>
      <c r="S26392" s="183"/>
    </row>
    <row r="26393" spans="1:38">
      <c r="A26393" s="182"/>
      <c r="Q26393" s="183"/>
      <c r="R26393" s="183"/>
      <c r="S26393" s="183"/>
    </row>
    <row r="26394" spans="1:38">
      <c r="A26394" s="182"/>
      <c r="Q26394" s="183"/>
      <c r="R26394" s="183"/>
      <c r="S26394" s="183"/>
    </row>
    <row r="26395" spans="1:38">
      <c r="A26395" s="182"/>
      <c r="Q26395" s="183"/>
      <c r="R26395" s="183"/>
      <c r="S26395" s="183"/>
      <c r="AK26395" s="183"/>
      <c r="AL26395" s="183"/>
    </row>
    <row r="26396" spans="1:38">
      <c r="A26396" s="182"/>
      <c r="Q26396" s="183"/>
      <c r="R26396" s="183"/>
      <c r="S26396" s="183"/>
      <c r="AJ26396" s="183"/>
      <c r="AK26396" s="183"/>
      <c r="AL26396" s="183"/>
    </row>
    <row r="26397" spans="1:38">
      <c r="A26397" s="182"/>
      <c r="Q26397" s="183"/>
      <c r="R26397" s="183"/>
      <c r="S26397" s="183"/>
      <c r="AJ26397" s="183"/>
      <c r="AK26397" s="183"/>
      <c r="AL26397" s="183"/>
    </row>
    <row r="26398" spans="1:38">
      <c r="A26398" s="182"/>
      <c r="Q26398" s="183"/>
      <c r="R26398" s="183"/>
      <c r="S26398" s="183"/>
      <c r="AJ26398" s="183"/>
      <c r="AK26398" s="183"/>
      <c r="AL26398" s="183"/>
    </row>
    <row r="26399" spans="1:38">
      <c r="A26399" s="182"/>
      <c r="Q26399" s="183"/>
      <c r="R26399" s="183"/>
      <c r="S26399" s="183"/>
      <c r="AJ26399" s="183"/>
    </row>
    <row r="26400" spans="1:38">
      <c r="A26400" s="182"/>
      <c r="Q26400" s="183"/>
      <c r="R26400" s="183"/>
      <c r="S26400" s="183"/>
    </row>
    <row r="26401" spans="1:19">
      <c r="A26401" s="182"/>
      <c r="Q26401" s="183"/>
      <c r="R26401" s="183"/>
      <c r="S26401" s="183"/>
    </row>
    <row r="26402" spans="1:19">
      <c r="A26402" s="182"/>
      <c r="Q26402" s="183"/>
      <c r="R26402" s="183"/>
      <c r="S26402" s="183"/>
    </row>
    <row r="26403" spans="1:19">
      <c r="A26403" s="182"/>
      <c r="M26403" s="183"/>
      <c r="N26403" s="183"/>
      <c r="O26403" s="183"/>
      <c r="Q26403" s="183"/>
      <c r="R26403" s="183"/>
      <c r="S26403" s="183"/>
    </row>
    <row r="26404" spans="1:19">
      <c r="A26404" s="182"/>
      <c r="L26404" s="183"/>
      <c r="M26404" s="183"/>
      <c r="Q26404" s="183"/>
      <c r="R26404" s="183"/>
      <c r="S26404" s="183"/>
    </row>
    <row r="26405" spans="1:19">
      <c r="A26405" s="182"/>
      <c r="Q26405" s="183"/>
      <c r="R26405" s="183"/>
      <c r="S26405" s="183"/>
    </row>
    <row r="26406" spans="1:19">
      <c r="A26406" s="182"/>
      <c r="Q26406" s="183"/>
      <c r="R26406" s="183"/>
      <c r="S26406" s="183"/>
    </row>
    <row r="26407" spans="1:19">
      <c r="A26407" s="182"/>
      <c r="Q26407" s="183"/>
      <c r="R26407" s="183"/>
      <c r="S26407" s="183"/>
    </row>
    <row r="26408" spans="1:19">
      <c r="A26408" s="182"/>
      <c r="Q26408" s="183"/>
      <c r="R26408" s="183"/>
      <c r="S26408" s="183"/>
    </row>
    <row r="26409" spans="1:19">
      <c r="A26409" s="182"/>
      <c r="Q26409" s="183"/>
      <c r="R26409" s="183"/>
      <c r="S26409" s="183"/>
    </row>
    <row r="26410" spans="1:19">
      <c r="A26410" s="182"/>
      <c r="Q26410" s="183"/>
      <c r="R26410" s="183"/>
      <c r="S26410" s="183"/>
    </row>
    <row r="26411" spans="1:19">
      <c r="A26411" s="182"/>
      <c r="Q26411" s="183"/>
      <c r="R26411" s="183"/>
      <c r="S26411" s="183"/>
    </row>
    <row r="26412" spans="1:19">
      <c r="A26412" s="182"/>
      <c r="Q26412" s="183"/>
      <c r="R26412" s="183"/>
      <c r="S26412" s="183"/>
    </row>
    <row r="26413" spans="1:19">
      <c r="A26413" s="182"/>
      <c r="Q26413" s="183"/>
      <c r="R26413" s="183"/>
      <c r="S26413" s="183"/>
    </row>
    <row r="26414" spans="1:19">
      <c r="A26414" s="182"/>
      <c r="Q26414" s="183"/>
      <c r="R26414" s="183"/>
      <c r="S26414" s="183"/>
    </row>
    <row r="26415" spans="1:19">
      <c r="A26415" s="182"/>
      <c r="Q26415" s="183"/>
      <c r="R26415" s="183"/>
      <c r="S26415" s="183"/>
    </row>
    <row r="26416" spans="1:19">
      <c r="A26416" s="182"/>
      <c r="Q26416" s="183"/>
      <c r="R26416" s="183"/>
      <c r="S26416" s="183"/>
    </row>
    <row r="26417" spans="1:38">
      <c r="A26417" s="182"/>
      <c r="Q26417" s="183"/>
      <c r="R26417" s="183"/>
      <c r="S26417" s="183"/>
    </row>
    <row r="26418" spans="1:38">
      <c r="A26418" s="182"/>
      <c r="Q26418" s="183"/>
      <c r="R26418" s="183"/>
      <c r="S26418" s="183"/>
    </row>
    <row r="26419" spans="1:38">
      <c r="A26419" s="182"/>
      <c r="Q26419" s="183"/>
      <c r="R26419" s="183"/>
      <c r="S26419" s="183"/>
    </row>
    <row r="26420" spans="1:38">
      <c r="A26420" s="182"/>
      <c r="Q26420" s="183"/>
      <c r="R26420" s="183"/>
      <c r="S26420" s="183"/>
    </row>
    <row r="26421" spans="1:38">
      <c r="A26421" s="182"/>
      <c r="Q26421" s="183"/>
      <c r="R26421" s="183"/>
      <c r="S26421" s="183"/>
    </row>
    <row r="26422" spans="1:38">
      <c r="A26422" s="182"/>
      <c r="Q26422" s="183"/>
      <c r="R26422" s="183"/>
      <c r="S26422" s="183"/>
    </row>
    <row r="26423" spans="1:38">
      <c r="A26423" s="182"/>
      <c r="Q26423" s="183"/>
      <c r="R26423" s="183"/>
      <c r="S26423" s="183"/>
    </row>
    <row r="26424" spans="1:38">
      <c r="A26424" s="182"/>
      <c r="Q26424" s="183"/>
      <c r="R26424" s="183"/>
      <c r="S26424" s="183"/>
    </row>
    <row r="26425" spans="1:38">
      <c r="A26425" s="182"/>
      <c r="Q26425" s="183"/>
      <c r="R26425" s="183"/>
      <c r="S26425" s="183"/>
    </row>
    <row r="26426" spans="1:38">
      <c r="A26426" s="182"/>
      <c r="Q26426" s="183"/>
      <c r="R26426" s="183"/>
      <c r="S26426" s="183"/>
    </row>
    <row r="26427" spans="1:38">
      <c r="A26427" s="182"/>
      <c r="Q26427" s="183"/>
      <c r="R26427" s="183"/>
      <c r="S26427" s="183"/>
      <c r="AK26427" s="183"/>
      <c r="AL26427" s="183"/>
    </row>
    <row r="26428" spans="1:38">
      <c r="A26428" s="182"/>
      <c r="Q26428" s="183"/>
      <c r="R26428" s="183"/>
      <c r="S26428" s="183"/>
      <c r="AJ26428" s="183"/>
      <c r="AK26428" s="183"/>
      <c r="AL26428" s="183"/>
    </row>
    <row r="26429" spans="1:38">
      <c r="A26429" s="182"/>
      <c r="Q26429" s="183"/>
      <c r="R26429" s="183"/>
      <c r="S26429" s="183"/>
      <c r="AJ26429" s="183"/>
      <c r="AK26429" s="183"/>
      <c r="AL26429" s="183"/>
    </row>
    <row r="26430" spans="1:38">
      <c r="A26430" s="182"/>
      <c r="Q26430" s="183"/>
      <c r="R26430" s="183"/>
      <c r="S26430" s="183"/>
      <c r="AJ26430" s="183"/>
      <c r="AK26430" s="183"/>
      <c r="AL26430" s="183"/>
    </row>
    <row r="26431" spans="1:38">
      <c r="A26431" s="182"/>
      <c r="Q26431" s="183"/>
      <c r="R26431" s="183"/>
      <c r="S26431" s="183"/>
      <c r="AJ26431" s="183"/>
      <c r="AK26431" s="183"/>
      <c r="AL26431" s="183"/>
    </row>
    <row r="26432" spans="1:38">
      <c r="A26432" s="182"/>
      <c r="Q26432" s="183"/>
      <c r="R26432" s="183"/>
      <c r="S26432" s="183"/>
      <c r="AJ26432" s="183"/>
      <c r="AK26432" s="183"/>
      <c r="AL26432" s="183"/>
    </row>
    <row r="26433" spans="1:38">
      <c r="A26433" s="182"/>
      <c r="Q26433" s="183"/>
      <c r="R26433" s="183"/>
      <c r="S26433" s="183"/>
      <c r="AJ26433" s="183"/>
      <c r="AK26433" s="183"/>
      <c r="AL26433" s="183"/>
    </row>
    <row r="26434" spans="1:38">
      <c r="A26434" s="182"/>
      <c r="Q26434" s="183"/>
      <c r="R26434" s="183"/>
      <c r="S26434" s="183"/>
      <c r="AJ26434" s="183"/>
      <c r="AK26434" s="183"/>
      <c r="AL26434" s="183"/>
    </row>
    <row r="26435" spans="1:38">
      <c r="A26435" s="182"/>
      <c r="Q26435" s="183"/>
      <c r="R26435" s="183"/>
      <c r="S26435" s="183"/>
      <c r="AJ26435" s="183"/>
    </row>
    <row r="26436" spans="1:38">
      <c r="A26436" s="182"/>
      <c r="Q26436" s="183"/>
      <c r="R26436" s="183"/>
      <c r="S26436" s="183"/>
    </row>
    <row r="26437" spans="1:38">
      <c r="A26437" s="182"/>
      <c r="Q26437" s="183"/>
      <c r="R26437" s="183"/>
      <c r="S26437" s="183"/>
    </row>
    <row r="26438" spans="1:38">
      <c r="A26438" s="182"/>
      <c r="Q26438" s="183"/>
      <c r="R26438" s="183"/>
      <c r="S26438" s="183"/>
    </row>
    <row r="26439" spans="1:38">
      <c r="A26439" s="182"/>
      <c r="Q26439" s="183"/>
      <c r="R26439" s="183"/>
      <c r="S26439" s="183"/>
    </row>
    <row r="26440" spans="1:38">
      <c r="A26440" s="182"/>
      <c r="Q26440" s="183"/>
      <c r="R26440" s="183"/>
      <c r="S26440" s="183"/>
    </row>
    <row r="26441" spans="1:38">
      <c r="A26441" s="182"/>
      <c r="Q26441" s="183"/>
      <c r="R26441" s="183"/>
      <c r="S26441" s="183"/>
    </row>
    <row r="26442" spans="1:38">
      <c r="A26442" s="182"/>
      <c r="Q26442" s="183"/>
      <c r="R26442" s="183"/>
      <c r="S26442" s="183"/>
    </row>
    <row r="26443" spans="1:38">
      <c r="A26443" s="182"/>
      <c r="Q26443" s="183"/>
      <c r="R26443" s="183"/>
      <c r="S26443" s="183"/>
    </row>
    <row r="26444" spans="1:38">
      <c r="A26444" s="182"/>
      <c r="Q26444" s="183"/>
      <c r="R26444" s="183"/>
      <c r="S26444" s="183"/>
    </row>
    <row r="26445" spans="1:38">
      <c r="A26445" s="182"/>
      <c r="Q26445" s="183"/>
      <c r="R26445" s="183"/>
      <c r="S26445" s="183"/>
    </row>
    <row r="26446" spans="1:38">
      <c r="A26446" s="182"/>
      <c r="Q26446" s="183"/>
      <c r="R26446" s="183"/>
      <c r="S26446" s="183"/>
    </row>
    <row r="26447" spans="1:38">
      <c r="A26447" s="182"/>
      <c r="Q26447" s="183"/>
      <c r="R26447" s="183"/>
      <c r="S26447" s="183"/>
    </row>
    <row r="26448" spans="1:38">
      <c r="A26448" s="182"/>
      <c r="Q26448" s="183"/>
      <c r="R26448" s="183"/>
      <c r="S26448" s="183"/>
    </row>
    <row r="26449" spans="1:19">
      <c r="A26449" s="182"/>
      <c r="Q26449" s="183"/>
      <c r="R26449" s="183"/>
      <c r="S26449" s="183"/>
    </row>
    <row r="26450" spans="1:19">
      <c r="A26450" s="182"/>
      <c r="Q26450" s="183"/>
      <c r="R26450" s="183"/>
      <c r="S26450" s="183"/>
    </row>
    <row r="26451" spans="1:19">
      <c r="A26451" s="182"/>
      <c r="Q26451" s="183"/>
      <c r="R26451" s="183"/>
      <c r="S26451" s="183"/>
    </row>
    <row r="26452" spans="1:19">
      <c r="A26452" s="182"/>
      <c r="Q26452" s="183"/>
      <c r="R26452" s="183"/>
      <c r="S26452" s="183"/>
    </row>
    <row r="26453" spans="1:19">
      <c r="A26453" s="182"/>
      <c r="Q26453" s="183"/>
      <c r="R26453" s="183"/>
      <c r="S26453" s="183"/>
    </row>
    <row r="26454" spans="1:19">
      <c r="A26454" s="182"/>
      <c r="Q26454" s="183"/>
      <c r="R26454" s="183"/>
      <c r="S26454" s="183"/>
    </row>
    <row r="26455" spans="1:19">
      <c r="A26455" s="182"/>
      <c r="Q26455" s="183"/>
      <c r="R26455" s="183"/>
      <c r="S26455" s="183"/>
    </row>
    <row r="26456" spans="1:19">
      <c r="A26456" s="182"/>
      <c r="Q26456" s="183"/>
      <c r="R26456" s="183"/>
      <c r="S26456" s="183"/>
    </row>
    <row r="26457" spans="1:19">
      <c r="A26457" s="182"/>
      <c r="Q26457" s="183"/>
      <c r="R26457" s="183"/>
      <c r="S26457" s="183"/>
    </row>
    <row r="26458" spans="1:19">
      <c r="A26458" s="182"/>
      <c r="Q26458" s="183"/>
      <c r="R26458" s="183"/>
      <c r="S26458" s="183"/>
    </row>
    <row r="26459" spans="1:19">
      <c r="A26459" s="182"/>
      <c r="Q26459" s="183"/>
      <c r="R26459" s="183"/>
      <c r="S26459" s="183"/>
    </row>
    <row r="26460" spans="1:19">
      <c r="A26460" s="182"/>
      <c r="Q26460" s="183"/>
      <c r="R26460" s="183"/>
      <c r="S26460" s="183"/>
    </row>
    <row r="26461" spans="1:19">
      <c r="A26461" s="182"/>
      <c r="Q26461" s="183"/>
      <c r="R26461" s="183"/>
      <c r="S26461" s="183"/>
    </row>
    <row r="26462" spans="1:19">
      <c r="A26462" s="182"/>
      <c r="Q26462" s="183"/>
      <c r="R26462" s="183"/>
      <c r="S26462" s="183"/>
    </row>
    <row r="26463" spans="1:19">
      <c r="A26463" s="182"/>
      <c r="Q26463" s="183"/>
      <c r="R26463" s="183"/>
      <c r="S26463" s="183"/>
    </row>
    <row r="26464" spans="1:19">
      <c r="A26464" s="182"/>
      <c r="Q26464" s="183"/>
      <c r="R26464" s="183"/>
      <c r="S26464" s="183"/>
    </row>
    <row r="26465" spans="1:38">
      <c r="A26465" s="182"/>
      <c r="Q26465" s="183"/>
      <c r="R26465" s="183"/>
      <c r="S26465" s="183"/>
    </row>
    <row r="26466" spans="1:38">
      <c r="A26466" s="182"/>
      <c r="Q26466" s="183"/>
      <c r="R26466" s="183"/>
      <c r="S26466" s="183"/>
    </row>
    <row r="26467" spans="1:38">
      <c r="A26467" s="182"/>
      <c r="Q26467" s="183"/>
      <c r="R26467" s="183"/>
      <c r="S26467" s="183"/>
    </row>
    <row r="26468" spans="1:38">
      <c r="A26468" s="182"/>
      <c r="Q26468" s="183"/>
      <c r="R26468" s="183"/>
      <c r="S26468" s="183"/>
    </row>
    <row r="26469" spans="1:38">
      <c r="A26469" s="182"/>
      <c r="Q26469" s="183"/>
      <c r="R26469" s="183"/>
      <c r="S26469" s="183"/>
    </row>
    <row r="26470" spans="1:38">
      <c r="A26470" s="182"/>
      <c r="Q26470" s="183"/>
      <c r="R26470" s="183"/>
      <c r="S26470" s="183"/>
    </row>
    <row r="26471" spans="1:38">
      <c r="A26471" s="182"/>
      <c r="Q26471" s="183"/>
      <c r="R26471" s="183"/>
      <c r="S26471" s="183"/>
      <c r="AK26471" s="183"/>
      <c r="AL26471" s="183"/>
    </row>
    <row r="26472" spans="1:38">
      <c r="A26472" s="182"/>
      <c r="Q26472" s="183"/>
      <c r="R26472" s="183"/>
      <c r="S26472" s="183"/>
      <c r="AJ26472" s="183"/>
      <c r="AK26472" s="183"/>
      <c r="AL26472" s="183"/>
    </row>
    <row r="26473" spans="1:38">
      <c r="A26473" s="182"/>
      <c r="Q26473" s="183"/>
      <c r="R26473" s="183"/>
      <c r="S26473" s="183"/>
      <c r="AJ26473" s="183"/>
      <c r="AK26473" s="183"/>
      <c r="AL26473" s="183"/>
    </row>
    <row r="26474" spans="1:38">
      <c r="A26474" s="182"/>
      <c r="Q26474" s="183"/>
      <c r="R26474" s="183"/>
      <c r="S26474" s="183"/>
      <c r="AJ26474" s="183"/>
      <c r="AK26474" s="183"/>
      <c r="AL26474" s="183"/>
    </row>
    <row r="26475" spans="1:38">
      <c r="A26475" s="182"/>
      <c r="Q26475" s="183"/>
      <c r="R26475" s="183"/>
      <c r="S26475" s="183"/>
      <c r="AJ26475" s="183"/>
      <c r="AK26475" s="183"/>
      <c r="AL26475" s="183"/>
    </row>
    <row r="26476" spans="1:38">
      <c r="A26476" s="182"/>
      <c r="Q26476" s="183"/>
      <c r="R26476" s="183"/>
      <c r="S26476" s="183"/>
      <c r="AJ26476" s="183"/>
      <c r="AK26476" s="183"/>
      <c r="AL26476" s="183"/>
    </row>
    <row r="26477" spans="1:38">
      <c r="A26477" s="182"/>
      <c r="Q26477" s="183"/>
      <c r="R26477" s="183"/>
      <c r="S26477" s="183"/>
      <c r="AJ26477" s="183"/>
      <c r="AK26477" s="183"/>
      <c r="AL26477" s="183"/>
    </row>
    <row r="26478" spans="1:38">
      <c r="A26478" s="182"/>
      <c r="Q26478" s="183"/>
      <c r="R26478" s="183"/>
      <c r="S26478" s="183"/>
      <c r="AJ26478" s="183"/>
      <c r="AK26478" s="183"/>
      <c r="AL26478" s="183"/>
    </row>
    <row r="26479" spans="1:38">
      <c r="A26479" s="182"/>
      <c r="Q26479" s="183"/>
      <c r="R26479" s="183"/>
      <c r="S26479" s="183"/>
      <c r="AJ26479" s="183"/>
      <c r="AK26479" s="183"/>
      <c r="AL26479" s="183"/>
    </row>
    <row r="26480" spans="1:38">
      <c r="A26480" s="182"/>
      <c r="Q26480" s="183"/>
      <c r="R26480" s="183"/>
      <c r="S26480" s="183"/>
      <c r="AJ26480" s="183"/>
      <c r="AK26480" s="183"/>
      <c r="AL26480" s="183"/>
    </row>
    <row r="26481" spans="1:38">
      <c r="A26481" s="182"/>
      <c r="Q26481" s="183"/>
      <c r="R26481" s="183"/>
      <c r="S26481" s="183"/>
      <c r="AJ26481" s="183"/>
      <c r="AK26481" s="183"/>
      <c r="AL26481" s="183"/>
    </row>
    <row r="26482" spans="1:38">
      <c r="A26482" s="182"/>
      <c r="Q26482" s="183"/>
      <c r="R26482" s="183"/>
      <c r="S26482" s="183"/>
      <c r="AJ26482" s="183"/>
      <c r="AK26482" s="183"/>
      <c r="AL26482" s="183"/>
    </row>
    <row r="26483" spans="1:38">
      <c r="A26483" s="182"/>
      <c r="Q26483" s="183"/>
      <c r="R26483" s="183"/>
      <c r="S26483" s="183"/>
      <c r="AJ26483" s="183"/>
    </row>
    <row r="26484" spans="1:38">
      <c r="A26484" s="182"/>
      <c r="Q26484" s="183"/>
      <c r="R26484" s="183"/>
      <c r="S26484" s="183"/>
    </row>
    <row r="26485" spans="1:38">
      <c r="A26485" s="182"/>
      <c r="Q26485" s="183"/>
      <c r="R26485" s="183"/>
      <c r="S26485" s="183"/>
    </row>
    <row r="26486" spans="1:38">
      <c r="A26486" s="182"/>
      <c r="Q26486" s="183"/>
      <c r="R26486" s="183"/>
      <c r="S26486" s="183"/>
    </row>
    <row r="26487" spans="1:38">
      <c r="A26487" s="182"/>
      <c r="Q26487" s="183"/>
      <c r="R26487" s="183"/>
      <c r="S26487" s="183"/>
      <c r="AK26487" s="183"/>
      <c r="AL26487" s="183"/>
    </row>
    <row r="26488" spans="1:38">
      <c r="A26488" s="182"/>
      <c r="Q26488" s="183"/>
      <c r="R26488" s="183"/>
      <c r="S26488" s="183"/>
      <c r="AJ26488" s="183"/>
      <c r="AK26488" s="183"/>
      <c r="AL26488" s="183"/>
    </row>
    <row r="26489" spans="1:38">
      <c r="A26489" s="182"/>
      <c r="Q26489" s="183"/>
      <c r="R26489" s="183"/>
      <c r="S26489" s="183"/>
      <c r="AJ26489" s="183"/>
      <c r="AK26489" s="183"/>
      <c r="AL26489" s="183"/>
    </row>
    <row r="26490" spans="1:38">
      <c r="A26490" s="182"/>
      <c r="Q26490" s="183"/>
      <c r="R26490" s="183"/>
      <c r="S26490" s="183"/>
      <c r="AJ26490" s="183"/>
      <c r="AK26490" s="183"/>
      <c r="AL26490" s="183"/>
    </row>
    <row r="26491" spans="1:38">
      <c r="A26491" s="182"/>
      <c r="Q26491" s="183"/>
      <c r="R26491" s="183"/>
      <c r="S26491" s="183"/>
      <c r="AJ26491" s="183"/>
    </row>
    <row r="26492" spans="1:38">
      <c r="A26492" s="182"/>
      <c r="Q26492" s="183"/>
      <c r="R26492" s="183"/>
      <c r="S26492" s="183"/>
    </row>
    <row r="26493" spans="1:38">
      <c r="A26493" s="182"/>
      <c r="Q26493" s="183"/>
      <c r="R26493" s="183"/>
      <c r="S26493" s="183"/>
    </row>
    <row r="26494" spans="1:38">
      <c r="A26494" s="182"/>
      <c r="Q26494" s="183"/>
      <c r="R26494" s="183"/>
      <c r="S26494" s="183"/>
    </row>
    <row r="26495" spans="1:38">
      <c r="A26495" s="182"/>
      <c r="Q26495" s="183"/>
      <c r="R26495" s="183"/>
      <c r="S26495" s="183"/>
    </row>
    <row r="26496" spans="1:38">
      <c r="A26496" s="182"/>
      <c r="Q26496" s="183"/>
      <c r="R26496" s="183"/>
      <c r="S26496" s="183"/>
    </row>
    <row r="26497" spans="1:19">
      <c r="A26497" s="182"/>
      <c r="Q26497" s="183"/>
      <c r="R26497" s="183"/>
      <c r="S26497" s="183"/>
    </row>
    <row r="26498" spans="1:19">
      <c r="A26498" s="182"/>
      <c r="Q26498" s="183"/>
      <c r="R26498" s="183"/>
      <c r="S26498" s="183"/>
    </row>
    <row r="26499" spans="1:19">
      <c r="A26499" s="182"/>
      <c r="Q26499" s="183"/>
      <c r="R26499" s="183"/>
      <c r="S26499" s="183"/>
    </row>
    <row r="26500" spans="1:19">
      <c r="A26500" s="182"/>
      <c r="Q26500" s="183"/>
      <c r="R26500" s="183"/>
      <c r="S26500" s="183"/>
    </row>
    <row r="26501" spans="1:19">
      <c r="A26501" s="182"/>
      <c r="Q26501" s="183"/>
      <c r="R26501" s="183"/>
      <c r="S26501" s="183"/>
    </row>
    <row r="26502" spans="1:19">
      <c r="A26502" s="182"/>
      <c r="Q26502" s="183"/>
      <c r="R26502" s="183"/>
      <c r="S26502" s="183"/>
    </row>
    <row r="26503" spans="1:19">
      <c r="A26503" s="182"/>
      <c r="Q26503" s="183"/>
      <c r="R26503" s="183"/>
      <c r="S26503" s="183"/>
    </row>
    <row r="26504" spans="1:19">
      <c r="A26504" s="182"/>
      <c r="Q26504" s="183"/>
      <c r="R26504" s="183"/>
      <c r="S26504" s="183"/>
    </row>
    <row r="26505" spans="1:19">
      <c r="A26505" s="182"/>
      <c r="Q26505" s="183"/>
      <c r="R26505" s="183"/>
      <c r="S26505" s="183"/>
    </row>
    <row r="26506" spans="1:19">
      <c r="A26506" s="182"/>
      <c r="Q26506" s="183"/>
      <c r="R26506" s="183"/>
      <c r="S26506" s="183"/>
    </row>
    <row r="26507" spans="1:19">
      <c r="A26507" s="182"/>
      <c r="Q26507" s="183"/>
      <c r="R26507" s="183"/>
      <c r="S26507" s="183"/>
    </row>
    <row r="26508" spans="1:19">
      <c r="A26508" s="182"/>
      <c r="Q26508" s="183"/>
      <c r="R26508" s="183"/>
      <c r="S26508" s="183"/>
    </row>
    <row r="26509" spans="1:19">
      <c r="A26509" s="182"/>
      <c r="Q26509" s="183"/>
      <c r="R26509" s="183"/>
      <c r="S26509" s="183"/>
    </row>
    <row r="26510" spans="1:19">
      <c r="A26510" s="182"/>
      <c r="Q26510" s="183"/>
      <c r="R26510" s="183"/>
      <c r="S26510" s="183"/>
    </row>
    <row r="26511" spans="1:19">
      <c r="A26511" s="182"/>
      <c r="Q26511" s="183"/>
      <c r="R26511" s="183"/>
      <c r="S26511" s="183"/>
    </row>
    <row r="26512" spans="1:19">
      <c r="A26512" s="182"/>
      <c r="Q26512" s="183"/>
      <c r="R26512" s="183"/>
      <c r="S26512" s="183"/>
    </row>
    <row r="26513" spans="1:38">
      <c r="A26513" s="182"/>
      <c r="Q26513" s="183"/>
      <c r="R26513" s="183"/>
      <c r="S26513" s="183"/>
    </row>
    <row r="26514" spans="1:38">
      <c r="A26514" s="182"/>
      <c r="Q26514" s="183"/>
      <c r="R26514" s="183"/>
      <c r="S26514" s="183"/>
    </row>
    <row r="26515" spans="1:38">
      <c r="A26515" s="182"/>
      <c r="Q26515" s="183"/>
      <c r="R26515" s="183"/>
      <c r="S26515" s="183"/>
    </row>
    <row r="26516" spans="1:38">
      <c r="A26516" s="182"/>
      <c r="Q26516" s="183"/>
      <c r="R26516" s="183"/>
      <c r="S26516" s="183"/>
    </row>
    <row r="26517" spans="1:38">
      <c r="A26517" s="182"/>
      <c r="Q26517" s="183"/>
      <c r="R26517" s="183"/>
      <c r="S26517" s="183"/>
    </row>
    <row r="26518" spans="1:38">
      <c r="A26518" s="182"/>
      <c r="Q26518" s="183"/>
      <c r="R26518" s="183"/>
      <c r="S26518" s="183"/>
    </row>
    <row r="26519" spans="1:38">
      <c r="A26519" s="182"/>
      <c r="Q26519" s="183"/>
      <c r="R26519" s="183"/>
      <c r="S26519" s="183"/>
    </row>
    <row r="26520" spans="1:38">
      <c r="A26520" s="182"/>
      <c r="Q26520" s="183"/>
      <c r="R26520" s="183"/>
      <c r="S26520" s="183"/>
    </row>
    <row r="26521" spans="1:38">
      <c r="A26521" s="182"/>
      <c r="Q26521" s="183"/>
      <c r="R26521" s="183"/>
      <c r="S26521" s="183"/>
    </row>
    <row r="26522" spans="1:38">
      <c r="A26522" s="182"/>
      <c r="Q26522" s="183"/>
      <c r="R26522" s="183"/>
      <c r="S26522" s="183"/>
    </row>
    <row r="26523" spans="1:38">
      <c r="A26523" s="182"/>
      <c r="Q26523" s="183"/>
      <c r="R26523" s="183"/>
      <c r="S26523" s="183"/>
    </row>
    <row r="26524" spans="1:38">
      <c r="A26524" s="182"/>
      <c r="Q26524" s="183"/>
      <c r="R26524" s="183"/>
      <c r="S26524" s="183"/>
    </row>
    <row r="26525" spans="1:38">
      <c r="A26525" s="182"/>
      <c r="Q26525" s="183"/>
      <c r="R26525" s="183"/>
      <c r="S26525" s="183"/>
    </row>
    <row r="26526" spans="1:38">
      <c r="A26526" s="182"/>
      <c r="Q26526" s="183"/>
      <c r="R26526" s="183"/>
      <c r="S26526" s="183"/>
    </row>
    <row r="26527" spans="1:38">
      <c r="A26527" s="182"/>
      <c r="Q26527" s="183"/>
      <c r="R26527" s="183"/>
      <c r="S26527" s="183"/>
      <c r="AK26527" s="183"/>
      <c r="AL26527" s="183"/>
    </row>
    <row r="26528" spans="1:38">
      <c r="A26528" s="182"/>
      <c r="Q26528" s="183"/>
      <c r="R26528" s="183"/>
      <c r="S26528" s="183"/>
      <c r="AJ26528" s="183"/>
      <c r="AK26528" s="183"/>
      <c r="AL26528" s="183"/>
    </row>
    <row r="26529" spans="1:38">
      <c r="A26529" s="182"/>
      <c r="Q26529" s="183"/>
      <c r="R26529" s="183"/>
      <c r="S26529" s="183"/>
      <c r="AJ26529" s="183"/>
      <c r="AK26529" s="183"/>
      <c r="AL26529" s="183"/>
    </row>
    <row r="26530" spans="1:38">
      <c r="A26530" s="182"/>
      <c r="Q26530" s="183"/>
      <c r="R26530" s="183"/>
      <c r="S26530" s="183"/>
      <c r="AJ26530" s="183"/>
      <c r="AK26530" s="183"/>
      <c r="AL26530" s="183"/>
    </row>
    <row r="26531" spans="1:38">
      <c r="A26531" s="182"/>
      <c r="Q26531" s="183"/>
      <c r="R26531" s="183"/>
      <c r="S26531" s="183"/>
      <c r="AJ26531" s="183"/>
    </row>
    <row r="26532" spans="1:38">
      <c r="A26532" s="182"/>
      <c r="Q26532" s="183"/>
      <c r="R26532" s="183"/>
      <c r="S26532" s="183"/>
    </row>
    <row r="26533" spans="1:38">
      <c r="A26533" s="182"/>
      <c r="Q26533" s="183"/>
      <c r="R26533" s="183"/>
      <c r="S26533" s="183"/>
    </row>
    <row r="26534" spans="1:38">
      <c r="A26534" s="182"/>
      <c r="Q26534" s="183"/>
      <c r="R26534" s="183"/>
      <c r="S26534" s="183"/>
    </row>
    <row r="26535" spans="1:38">
      <c r="A26535" s="182"/>
      <c r="Q26535" s="183"/>
      <c r="R26535" s="183"/>
      <c r="S26535" s="183"/>
    </row>
    <row r="26536" spans="1:38">
      <c r="A26536" s="182"/>
      <c r="Q26536" s="183"/>
      <c r="R26536" s="183"/>
      <c r="S26536" s="183"/>
    </row>
    <row r="26537" spans="1:38">
      <c r="A26537" s="182"/>
      <c r="Q26537" s="183"/>
      <c r="R26537" s="183"/>
      <c r="S26537" s="183"/>
    </row>
    <row r="26538" spans="1:38">
      <c r="A26538" s="182"/>
      <c r="Q26538" s="183"/>
      <c r="R26538" s="183"/>
      <c r="S26538" s="183"/>
    </row>
    <row r="26539" spans="1:38">
      <c r="A26539" s="182"/>
      <c r="Q26539" s="183"/>
      <c r="R26539" s="183"/>
      <c r="S26539" s="183"/>
    </row>
    <row r="26540" spans="1:38">
      <c r="A26540" s="182"/>
      <c r="Q26540" s="183"/>
      <c r="R26540" s="183"/>
      <c r="S26540" s="183"/>
    </row>
    <row r="26541" spans="1:38">
      <c r="A26541" s="182"/>
      <c r="Q26541" s="183"/>
      <c r="R26541" s="183"/>
      <c r="S26541" s="183"/>
    </row>
    <row r="26542" spans="1:38">
      <c r="A26542" s="182"/>
      <c r="Q26542" s="183"/>
      <c r="R26542" s="183"/>
      <c r="S26542" s="183"/>
    </row>
    <row r="26543" spans="1:38">
      <c r="A26543" s="182"/>
      <c r="Q26543" s="183"/>
      <c r="R26543" s="183"/>
      <c r="S26543" s="183"/>
    </row>
    <row r="26544" spans="1:38">
      <c r="A26544" s="182"/>
      <c r="Q26544" s="183"/>
      <c r="R26544" s="183"/>
      <c r="S26544" s="183"/>
    </row>
    <row r="26545" spans="1:38">
      <c r="A26545" s="182"/>
      <c r="Q26545" s="183"/>
      <c r="R26545" s="183"/>
      <c r="S26545" s="183"/>
    </row>
    <row r="26546" spans="1:38">
      <c r="A26546" s="182"/>
      <c r="Q26546" s="183"/>
      <c r="R26546" s="183"/>
      <c r="S26546" s="183"/>
    </row>
    <row r="26547" spans="1:38">
      <c r="A26547" s="182"/>
      <c r="Q26547" s="183"/>
      <c r="R26547" s="183"/>
      <c r="S26547" s="183"/>
    </row>
    <row r="26548" spans="1:38">
      <c r="A26548" s="182"/>
      <c r="Q26548" s="183"/>
      <c r="R26548" s="183"/>
      <c r="S26548" s="183"/>
    </row>
    <row r="26549" spans="1:38">
      <c r="A26549" s="182"/>
      <c r="Q26549" s="183"/>
      <c r="R26549" s="183"/>
      <c r="S26549" s="183"/>
    </row>
    <row r="26550" spans="1:38">
      <c r="A26550" s="182"/>
      <c r="Q26550" s="183"/>
      <c r="R26550" s="183"/>
      <c r="S26550" s="183"/>
    </row>
    <row r="26551" spans="1:38">
      <c r="A26551" s="182"/>
      <c r="Q26551" s="183"/>
      <c r="R26551" s="183"/>
      <c r="S26551" s="183"/>
    </row>
    <row r="26552" spans="1:38">
      <c r="A26552" s="182"/>
      <c r="Q26552" s="183"/>
      <c r="R26552" s="183"/>
      <c r="S26552" s="183"/>
    </row>
    <row r="26553" spans="1:38">
      <c r="A26553" s="182"/>
      <c r="Q26553" s="183"/>
      <c r="R26553" s="183"/>
      <c r="S26553" s="183"/>
    </row>
    <row r="26554" spans="1:38">
      <c r="A26554" s="182"/>
      <c r="Q26554" s="183"/>
      <c r="R26554" s="183"/>
      <c r="S26554" s="183"/>
    </row>
    <row r="26555" spans="1:38">
      <c r="A26555" s="182"/>
      <c r="Q26555" s="183"/>
      <c r="R26555" s="183"/>
      <c r="S26555" s="183"/>
    </row>
    <row r="26556" spans="1:38">
      <c r="A26556" s="182"/>
      <c r="Q26556" s="183"/>
      <c r="R26556" s="183"/>
      <c r="S26556" s="183"/>
    </row>
    <row r="26557" spans="1:38">
      <c r="A26557" s="182"/>
      <c r="Q26557" s="183"/>
      <c r="R26557" s="183"/>
      <c r="S26557" s="183"/>
    </row>
    <row r="26558" spans="1:38">
      <c r="A26558" s="182"/>
      <c r="Q26558" s="183"/>
      <c r="R26558" s="183"/>
      <c r="S26558" s="183"/>
    </row>
    <row r="26559" spans="1:38">
      <c r="A26559" s="182"/>
      <c r="Q26559" s="183"/>
      <c r="R26559" s="183"/>
      <c r="S26559" s="183"/>
      <c r="AK26559" s="183"/>
      <c r="AL26559" s="183"/>
    </row>
    <row r="26560" spans="1:38">
      <c r="A26560" s="182"/>
      <c r="Q26560" s="183"/>
      <c r="R26560" s="183"/>
      <c r="S26560" s="183"/>
      <c r="AJ26560" s="183"/>
      <c r="AK26560" s="183"/>
      <c r="AL26560" s="183"/>
    </row>
    <row r="26561" spans="1:38">
      <c r="A26561" s="182"/>
      <c r="Q26561" s="183"/>
      <c r="R26561" s="183"/>
      <c r="S26561" s="183"/>
      <c r="AJ26561" s="183"/>
      <c r="AK26561" s="183"/>
      <c r="AL26561" s="183"/>
    </row>
    <row r="26562" spans="1:38">
      <c r="A26562" s="182"/>
      <c r="Q26562" s="183"/>
      <c r="R26562" s="183"/>
      <c r="S26562" s="183"/>
      <c r="AJ26562" s="183"/>
      <c r="AK26562" s="183"/>
      <c r="AL26562" s="183"/>
    </row>
    <row r="26563" spans="1:38">
      <c r="A26563" s="182"/>
      <c r="Q26563" s="183"/>
      <c r="R26563" s="183"/>
      <c r="S26563" s="183"/>
      <c r="AJ26563" s="183"/>
      <c r="AK26563" s="183"/>
      <c r="AL26563" s="183"/>
    </row>
    <row r="26564" spans="1:38">
      <c r="A26564" s="182"/>
      <c r="Q26564" s="183"/>
      <c r="R26564" s="183"/>
      <c r="S26564" s="183"/>
      <c r="AJ26564" s="183"/>
      <c r="AK26564" s="183"/>
      <c r="AL26564" s="183"/>
    </row>
    <row r="26565" spans="1:38">
      <c r="A26565" s="182"/>
      <c r="Q26565" s="183"/>
      <c r="R26565" s="183"/>
      <c r="S26565" s="183"/>
      <c r="AJ26565" s="183"/>
      <c r="AK26565" s="183"/>
      <c r="AL26565" s="183"/>
    </row>
    <row r="26566" spans="1:38">
      <c r="A26566" s="182"/>
      <c r="Q26566" s="183"/>
      <c r="R26566" s="183"/>
      <c r="S26566" s="183"/>
      <c r="AJ26566" s="183"/>
      <c r="AK26566" s="183"/>
      <c r="AL26566" s="183"/>
    </row>
    <row r="26567" spans="1:38">
      <c r="A26567" s="182"/>
      <c r="Q26567" s="183"/>
      <c r="R26567" s="183"/>
      <c r="S26567" s="183"/>
      <c r="AJ26567" s="183"/>
    </row>
    <row r="26568" spans="1:38">
      <c r="A26568" s="182"/>
      <c r="Q26568" s="183"/>
      <c r="R26568" s="183"/>
      <c r="S26568" s="183"/>
    </row>
    <row r="26569" spans="1:38">
      <c r="A26569" s="182"/>
      <c r="Q26569" s="183"/>
      <c r="R26569" s="183"/>
      <c r="S26569" s="183"/>
    </row>
    <row r="26570" spans="1:38">
      <c r="A26570" s="182"/>
      <c r="Q26570" s="183"/>
      <c r="R26570" s="183"/>
      <c r="S26570" s="183"/>
    </row>
    <row r="26571" spans="1:38">
      <c r="A26571" s="182"/>
      <c r="Q26571" s="183"/>
      <c r="R26571" s="183"/>
      <c r="S26571" s="183"/>
      <c r="AK26571" s="183"/>
      <c r="AL26571" s="183"/>
    </row>
    <row r="26572" spans="1:38">
      <c r="A26572" s="182"/>
      <c r="Q26572" s="183"/>
      <c r="R26572" s="183"/>
      <c r="S26572" s="183"/>
      <c r="AJ26572" s="183"/>
      <c r="AK26572" s="183"/>
      <c r="AL26572" s="183"/>
    </row>
    <row r="26573" spans="1:38">
      <c r="A26573" s="182"/>
      <c r="Q26573" s="183"/>
      <c r="R26573" s="183"/>
      <c r="S26573" s="183"/>
      <c r="AJ26573" s="183"/>
      <c r="AK26573" s="183"/>
      <c r="AL26573" s="183"/>
    </row>
    <row r="26574" spans="1:38">
      <c r="A26574" s="182"/>
      <c r="Q26574" s="183"/>
      <c r="R26574" s="183"/>
      <c r="S26574" s="183"/>
      <c r="AJ26574" s="183"/>
      <c r="AK26574" s="183"/>
      <c r="AL26574" s="183"/>
    </row>
    <row r="26575" spans="1:38">
      <c r="A26575" s="182"/>
      <c r="Q26575" s="183"/>
      <c r="R26575" s="183"/>
      <c r="S26575" s="183"/>
      <c r="AJ26575" s="183"/>
    </row>
    <row r="26576" spans="1:38">
      <c r="A26576" s="182"/>
      <c r="Q26576" s="183"/>
      <c r="R26576" s="183"/>
      <c r="S26576" s="183"/>
    </row>
    <row r="26577" spans="1:38">
      <c r="A26577" s="182"/>
      <c r="Q26577" s="183"/>
      <c r="R26577" s="183"/>
      <c r="S26577" s="183"/>
    </row>
    <row r="26578" spans="1:38">
      <c r="A26578" s="182"/>
      <c r="Q26578" s="183"/>
      <c r="R26578" s="183"/>
      <c r="S26578" s="183"/>
    </row>
    <row r="26579" spans="1:38">
      <c r="A26579" s="182"/>
      <c r="Q26579" s="183"/>
      <c r="R26579" s="183"/>
      <c r="S26579" s="183"/>
    </row>
    <row r="26580" spans="1:38">
      <c r="A26580" s="182"/>
      <c r="Q26580" s="183"/>
      <c r="R26580" s="183"/>
      <c r="S26580" s="183"/>
    </row>
    <row r="26581" spans="1:38">
      <c r="A26581" s="182"/>
      <c r="Q26581" s="183"/>
      <c r="R26581" s="183"/>
      <c r="S26581" s="183"/>
    </row>
    <row r="26582" spans="1:38">
      <c r="A26582" s="182"/>
      <c r="Q26582" s="183"/>
      <c r="R26582" s="183"/>
      <c r="S26582" s="183"/>
    </row>
    <row r="26583" spans="1:38">
      <c r="A26583" s="182"/>
      <c r="Q26583" s="183"/>
      <c r="R26583" s="183"/>
      <c r="S26583" s="183"/>
      <c r="AK26583" s="183"/>
      <c r="AL26583" s="183"/>
    </row>
    <row r="26584" spans="1:38">
      <c r="A26584" s="182"/>
      <c r="Q26584" s="183"/>
      <c r="R26584" s="183"/>
      <c r="S26584" s="183"/>
      <c r="AJ26584" s="183"/>
      <c r="AK26584" s="183"/>
      <c r="AL26584" s="183"/>
    </row>
    <row r="26585" spans="1:38">
      <c r="A26585" s="182"/>
      <c r="Q26585" s="183"/>
      <c r="R26585" s="183"/>
      <c r="S26585" s="183"/>
      <c r="AJ26585" s="183"/>
      <c r="AK26585" s="183"/>
      <c r="AL26585" s="183"/>
    </row>
    <row r="26586" spans="1:38">
      <c r="A26586" s="182"/>
      <c r="Q26586" s="183"/>
      <c r="R26586" s="183"/>
      <c r="S26586" s="183"/>
      <c r="AJ26586" s="183"/>
      <c r="AK26586" s="183"/>
      <c r="AL26586" s="183"/>
    </row>
    <row r="26587" spans="1:38">
      <c r="A26587" s="182"/>
      <c r="Q26587" s="183"/>
      <c r="R26587" s="183"/>
      <c r="S26587" s="183"/>
      <c r="AJ26587" s="183"/>
    </row>
    <row r="26588" spans="1:38">
      <c r="A26588" s="182"/>
      <c r="Q26588" s="183"/>
      <c r="R26588" s="183"/>
      <c r="S26588" s="183"/>
    </row>
    <row r="26589" spans="1:38">
      <c r="A26589" s="182"/>
      <c r="Q26589" s="183"/>
      <c r="R26589" s="183"/>
      <c r="S26589" s="183"/>
    </row>
    <row r="26590" spans="1:38">
      <c r="A26590" s="182"/>
      <c r="Q26590" s="183"/>
      <c r="R26590" s="183"/>
      <c r="S26590" s="183"/>
    </row>
    <row r="26591" spans="1:38">
      <c r="A26591" s="182"/>
      <c r="Q26591" s="183"/>
      <c r="R26591" s="183"/>
      <c r="S26591" s="183"/>
    </row>
    <row r="26592" spans="1:38">
      <c r="A26592" s="182"/>
      <c r="Q26592" s="183"/>
      <c r="R26592" s="183"/>
      <c r="S26592" s="183"/>
    </row>
    <row r="26593" spans="1:38">
      <c r="A26593" s="182"/>
      <c r="Q26593" s="183"/>
      <c r="R26593" s="183"/>
      <c r="S26593" s="183"/>
    </row>
    <row r="26594" spans="1:38">
      <c r="A26594" s="182"/>
      <c r="Q26594" s="183"/>
      <c r="R26594" s="183"/>
      <c r="S26594" s="183"/>
    </row>
    <row r="26595" spans="1:38">
      <c r="A26595" s="182"/>
      <c r="Q26595" s="183"/>
      <c r="R26595" s="183"/>
      <c r="S26595" s="183"/>
      <c r="AK26595" s="183"/>
      <c r="AL26595" s="183"/>
    </row>
    <row r="26596" spans="1:38">
      <c r="A26596" s="182"/>
      <c r="Q26596" s="183"/>
      <c r="R26596" s="183"/>
      <c r="S26596" s="183"/>
      <c r="AJ26596" s="183"/>
      <c r="AK26596" s="183"/>
      <c r="AL26596" s="183"/>
    </row>
    <row r="26597" spans="1:38">
      <c r="A26597" s="182"/>
      <c r="Q26597" s="183"/>
      <c r="R26597" s="183"/>
      <c r="S26597" s="183"/>
      <c r="AJ26597" s="183"/>
      <c r="AK26597" s="183"/>
      <c r="AL26597" s="183"/>
    </row>
    <row r="26598" spans="1:38">
      <c r="A26598" s="182"/>
      <c r="Q26598" s="183"/>
      <c r="R26598" s="183"/>
      <c r="S26598" s="183"/>
      <c r="AJ26598" s="183"/>
      <c r="AK26598" s="183"/>
      <c r="AL26598" s="183"/>
    </row>
    <row r="26599" spans="1:38">
      <c r="A26599" s="182"/>
      <c r="Q26599" s="183"/>
      <c r="R26599" s="183"/>
      <c r="S26599" s="183"/>
      <c r="AJ26599" s="183"/>
    </row>
    <row r="26600" spans="1:38">
      <c r="A26600" s="182"/>
      <c r="Q26600" s="183"/>
      <c r="R26600" s="183"/>
      <c r="S26600" s="183"/>
    </row>
    <row r="26601" spans="1:38">
      <c r="A26601" s="182"/>
      <c r="Q26601" s="183"/>
      <c r="R26601" s="183"/>
      <c r="S26601" s="183"/>
    </row>
    <row r="26602" spans="1:38">
      <c r="A26602" s="182"/>
      <c r="Q26602" s="183"/>
      <c r="R26602" s="183"/>
      <c r="S26602" s="183"/>
    </row>
    <row r="26603" spans="1:38">
      <c r="A26603" s="182"/>
      <c r="Q26603" s="183"/>
      <c r="R26603" s="183"/>
      <c r="S26603" s="183"/>
    </row>
    <row r="26604" spans="1:38">
      <c r="A26604" s="182"/>
      <c r="Q26604" s="183"/>
      <c r="R26604" s="183"/>
      <c r="S26604" s="183"/>
    </row>
    <row r="26605" spans="1:38">
      <c r="A26605" s="182"/>
      <c r="Q26605" s="183"/>
      <c r="R26605" s="183"/>
      <c r="S26605" s="183"/>
    </row>
    <row r="26606" spans="1:38">
      <c r="A26606" s="182"/>
      <c r="Q26606" s="183"/>
      <c r="R26606" s="183"/>
      <c r="S26606" s="183"/>
    </row>
    <row r="26607" spans="1:38">
      <c r="A26607" s="182"/>
      <c r="Q26607" s="183"/>
      <c r="R26607" s="183"/>
      <c r="S26607" s="183"/>
    </row>
    <row r="26608" spans="1:38">
      <c r="A26608" s="182"/>
      <c r="Q26608" s="183"/>
      <c r="R26608" s="183"/>
      <c r="S26608" s="183"/>
    </row>
    <row r="26609" spans="1:38">
      <c r="A26609" s="182"/>
      <c r="Q26609" s="183"/>
      <c r="R26609" s="183"/>
      <c r="S26609" s="183"/>
    </row>
    <row r="26610" spans="1:38">
      <c r="A26610" s="182"/>
      <c r="Q26610" s="183"/>
      <c r="R26610" s="183"/>
      <c r="S26610" s="183"/>
    </row>
    <row r="26611" spans="1:38">
      <c r="A26611" s="182"/>
      <c r="Q26611" s="183"/>
      <c r="R26611" s="183"/>
      <c r="S26611" s="183"/>
    </row>
    <row r="26612" spans="1:38">
      <c r="A26612" s="182"/>
      <c r="Q26612" s="183"/>
      <c r="R26612" s="183"/>
      <c r="S26612" s="183"/>
    </row>
    <row r="26613" spans="1:38">
      <c r="A26613" s="182"/>
      <c r="Q26613" s="183"/>
      <c r="R26613" s="183"/>
      <c r="S26613" s="183"/>
    </row>
    <row r="26614" spans="1:38">
      <c r="A26614" s="182"/>
      <c r="Q26614" s="183"/>
      <c r="R26614" s="183"/>
      <c r="S26614" s="183"/>
    </row>
    <row r="26615" spans="1:38">
      <c r="A26615" s="182"/>
      <c r="Q26615" s="183"/>
      <c r="R26615" s="183"/>
      <c r="S26615" s="183"/>
    </row>
    <row r="26616" spans="1:38">
      <c r="A26616" s="182"/>
      <c r="Q26616" s="183"/>
      <c r="R26616" s="183"/>
      <c r="S26616" s="183"/>
    </row>
    <row r="26617" spans="1:38">
      <c r="A26617" s="182"/>
      <c r="Q26617" s="183"/>
      <c r="R26617" s="183"/>
      <c r="S26617" s="183"/>
    </row>
    <row r="26618" spans="1:38">
      <c r="A26618" s="182"/>
      <c r="Q26618" s="183"/>
      <c r="R26618" s="183"/>
      <c r="S26618" s="183"/>
    </row>
    <row r="26619" spans="1:38">
      <c r="A26619" s="182"/>
      <c r="Q26619" s="183"/>
      <c r="R26619" s="183"/>
      <c r="S26619" s="183"/>
    </row>
    <row r="26620" spans="1:38">
      <c r="A26620" s="182"/>
      <c r="Q26620" s="183"/>
      <c r="R26620" s="183"/>
      <c r="S26620" s="183"/>
    </row>
    <row r="26621" spans="1:38">
      <c r="A26621" s="182"/>
      <c r="Q26621" s="183"/>
      <c r="R26621" s="183"/>
      <c r="S26621" s="183"/>
    </row>
    <row r="26622" spans="1:38">
      <c r="A26622" s="182"/>
      <c r="Q26622" s="183"/>
      <c r="R26622" s="183"/>
      <c r="S26622" s="183"/>
    </row>
    <row r="26623" spans="1:38">
      <c r="A26623" s="182"/>
      <c r="Q26623" s="183"/>
      <c r="R26623" s="183"/>
      <c r="S26623" s="183"/>
      <c r="AK26623" s="183"/>
      <c r="AL26623" s="183"/>
    </row>
    <row r="26624" spans="1:38">
      <c r="A26624" s="182"/>
      <c r="Q26624" s="183"/>
      <c r="R26624" s="183"/>
      <c r="S26624" s="183"/>
      <c r="AJ26624" s="183"/>
      <c r="AK26624" s="183"/>
      <c r="AL26624" s="183"/>
    </row>
    <row r="26625" spans="1:38">
      <c r="A26625" s="182"/>
      <c r="Q26625" s="183"/>
      <c r="R26625" s="183"/>
      <c r="S26625" s="183"/>
      <c r="AJ26625" s="183"/>
      <c r="AK26625" s="183"/>
      <c r="AL26625" s="183"/>
    </row>
    <row r="26626" spans="1:38">
      <c r="A26626" s="182"/>
      <c r="Q26626" s="183"/>
      <c r="R26626" s="183"/>
      <c r="S26626" s="183"/>
      <c r="AJ26626" s="183"/>
      <c r="AK26626" s="183"/>
      <c r="AL26626" s="183"/>
    </row>
    <row r="26627" spans="1:38">
      <c r="A26627" s="182"/>
      <c r="Q26627" s="183"/>
      <c r="R26627" s="183"/>
      <c r="S26627" s="183"/>
      <c r="AJ26627" s="183"/>
      <c r="AK26627" s="183"/>
      <c r="AL26627" s="183"/>
    </row>
    <row r="26628" spans="1:38">
      <c r="A26628" s="182"/>
      <c r="Q26628" s="183"/>
      <c r="R26628" s="183"/>
      <c r="S26628" s="183"/>
      <c r="AJ26628" s="183"/>
      <c r="AK26628" s="183"/>
      <c r="AL26628" s="183"/>
    </row>
    <row r="26629" spans="1:38">
      <c r="A26629" s="182"/>
      <c r="Q26629" s="183"/>
      <c r="R26629" s="183"/>
      <c r="S26629" s="183"/>
      <c r="AJ26629" s="183"/>
      <c r="AK26629" s="183"/>
      <c r="AL26629" s="183"/>
    </row>
    <row r="26630" spans="1:38">
      <c r="A26630" s="182"/>
      <c r="Q26630" s="183"/>
      <c r="R26630" s="183"/>
      <c r="S26630" s="183"/>
      <c r="AJ26630" s="183"/>
      <c r="AK26630" s="183"/>
      <c r="AL26630" s="183"/>
    </row>
    <row r="26631" spans="1:38">
      <c r="A26631" s="182"/>
      <c r="Q26631" s="183"/>
      <c r="R26631" s="183"/>
      <c r="S26631" s="183"/>
      <c r="AJ26631" s="183"/>
    </row>
    <row r="26632" spans="1:38">
      <c r="A26632" s="182"/>
      <c r="Q26632" s="183"/>
      <c r="R26632" s="183"/>
      <c r="S26632" s="183"/>
    </row>
    <row r="26633" spans="1:38">
      <c r="A26633" s="182"/>
      <c r="Q26633" s="183"/>
      <c r="R26633" s="183"/>
      <c r="S26633" s="183"/>
    </row>
    <row r="26634" spans="1:38">
      <c r="A26634" s="182"/>
      <c r="Q26634" s="183"/>
      <c r="R26634" s="183"/>
      <c r="S26634" s="183"/>
    </row>
    <row r="26635" spans="1:38">
      <c r="A26635" s="182"/>
      <c r="Q26635" s="183"/>
      <c r="R26635" s="183"/>
      <c r="S26635" s="183"/>
    </row>
    <row r="26636" spans="1:38">
      <c r="A26636" s="182"/>
      <c r="Q26636" s="183"/>
      <c r="R26636" s="183"/>
      <c r="S26636" s="183"/>
    </row>
    <row r="26637" spans="1:38">
      <c r="A26637" s="182"/>
      <c r="Q26637" s="183"/>
      <c r="R26637" s="183"/>
      <c r="S26637" s="183"/>
    </row>
    <row r="26638" spans="1:38">
      <c r="A26638" s="182"/>
      <c r="Q26638" s="183"/>
      <c r="R26638" s="183"/>
      <c r="S26638" s="183"/>
    </row>
    <row r="26639" spans="1:38">
      <c r="A26639" s="182"/>
      <c r="Q26639" s="183"/>
      <c r="R26639" s="183"/>
      <c r="S26639" s="183"/>
    </row>
    <row r="26640" spans="1:38">
      <c r="A26640" s="182"/>
      <c r="Q26640" s="183"/>
      <c r="R26640" s="183"/>
      <c r="S26640" s="183"/>
    </row>
    <row r="26641" spans="1:38">
      <c r="A26641" s="182"/>
      <c r="Q26641" s="183"/>
      <c r="R26641" s="183"/>
      <c r="S26641" s="183"/>
    </row>
    <row r="26642" spans="1:38">
      <c r="A26642" s="182"/>
      <c r="Q26642" s="183"/>
      <c r="R26642" s="183"/>
      <c r="S26642" s="183"/>
    </row>
    <row r="26643" spans="1:38">
      <c r="A26643" s="182"/>
      <c r="Q26643" s="183"/>
      <c r="R26643" s="183"/>
      <c r="S26643" s="183"/>
    </row>
    <row r="26644" spans="1:38">
      <c r="A26644" s="182"/>
      <c r="Q26644" s="183"/>
      <c r="R26644" s="183"/>
      <c r="S26644" s="183"/>
    </row>
    <row r="26645" spans="1:38">
      <c r="A26645" s="182"/>
      <c r="Q26645" s="183"/>
      <c r="R26645" s="183"/>
      <c r="S26645" s="183"/>
    </row>
    <row r="26646" spans="1:38">
      <c r="A26646" s="182"/>
      <c r="Q26646" s="183"/>
      <c r="R26646" s="183"/>
      <c r="S26646" s="183"/>
    </row>
    <row r="26647" spans="1:38">
      <c r="A26647" s="182"/>
      <c r="Q26647" s="183"/>
      <c r="R26647" s="183"/>
      <c r="S26647" s="183"/>
    </row>
    <row r="26648" spans="1:38">
      <c r="A26648" s="182"/>
      <c r="Q26648" s="183"/>
      <c r="R26648" s="183"/>
      <c r="S26648" s="183"/>
    </row>
    <row r="26649" spans="1:38">
      <c r="A26649" s="182"/>
      <c r="Q26649" s="183"/>
      <c r="R26649" s="183"/>
      <c r="S26649" s="183"/>
    </row>
    <row r="26650" spans="1:38">
      <c r="A26650" s="182"/>
      <c r="Q26650" s="183"/>
      <c r="R26650" s="183"/>
      <c r="S26650" s="183"/>
    </row>
    <row r="26651" spans="1:38">
      <c r="A26651" s="182"/>
      <c r="Q26651" s="183"/>
      <c r="R26651" s="183"/>
      <c r="S26651" s="183"/>
    </row>
    <row r="26652" spans="1:38">
      <c r="A26652" s="182"/>
      <c r="Q26652" s="183"/>
      <c r="R26652" s="183"/>
      <c r="S26652" s="183"/>
    </row>
    <row r="26653" spans="1:38">
      <c r="A26653" s="182"/>
      <c r="Q26653" s="183"/>
      <c r="R26653" s="183"/>
      <c r="S26653" s="183"/>
    </row>
    <row r="26654" spans="1:38">
      <c r="A26654" s="182"/>
      <c r="Q26654" s="183"/>
      <c r="R26654" s="183"/>
      <c r="S26654" s="183"/>
    </row>
    <row r="26655" spans="1:38">
      <c r="A26655" s="182"/>
      <c r="Q26655" s="183"/>
      <c r="R26655" s="183"/>
      <c r="S26655" s="183"/>
      <c r="AK26655" s="183"/>
      <c r="AL26655" s="183"/>
    </row>
    <row r="26656" spans="1:38">
      <c r="A26656" s="182"/>
      <c r="Q26656" s="183"/>
      <c r="R26656" s="183"/>
      <c r="S26656" s="183"/>
      <c r="AJ26656" s="183"/>
      <c r="AK26656" s="183"/>
      <c r="AL26656" s="183"/>
    </row>
    <row r="26657" spans="1:38">
      <c r="A26657" s="182"/>
      <c r="Q26657" s="183"/>
      <c r="R26657" s="183"/>
      <c r="S26657" s="183"/>
      <c r="AJ26657" s="183"/>
      <c r="AK26657" s="183"/>
      <c r="AL26657" s="183"/>
    </row>
    <row r="26658" spans="1:38">
      <c r="A26658" s="182"/>
      <c r="Q26658" s="183"/>
      <c r="R26658" s="183"/>
      <c r="S26658" s="183"/>
      <c r="AJ26658" s="183"/>
      <c r="AK26658" s="183"/>
      <c r="AL26658" s="183"/>
    </row>
    <row r="26659" spans="1:38">
      <c r="A26659" s="182"/>
      <c r="Q26659" s="183"/>
      <c r="R26659" s="183"/>
      <c r="S26659" s="183"/>
      <c r="AJ26659" s="183"/>
      <c r="AK26659" s="183"/>
      <c r="AL26659" s="183"/>
    </row>
    <row r="26660" spans="1:38">
      <c r="A26660" s="182"/>
      <c r="Q26660" s="183"/>
      <c r="R26660" s="183"/>
      <c r="S26660" s="183"/>
      <c r="AJ26660" s="183"/>
      <c r="AK26660" s="183"/>
      <c r="AL26660" s="183"/>
    </row>
    <row r="26661" spans="1:38">
      <c r="A26661" s="182"/>
      <c r="Q26661" s="183"/>
      <c r="R26661" s="183"/>
      <c r="S26661" s="183"/>
      <c r="AJ26661" s="183"/>
      <c r="AK26661" s="183"/>
      <c r="AL26661" s="183"/>
    </row>
    <row r="26662" spans="1:38">
      <c r="A26662" s="182"/>
      <c r="Q26662" s="183"/>
      <c r="R26662" s="183"/>
      <c r="S26662" s="183"/>
      <c r="AJ26662" s="183"/>
      <c r="AK26662" s="183"/>
      <c r="AL26662" s="183"/>
    </row>
    <row r="26663" spans="1:38">
      <c r="A26663" s="182"/>
      <c r="Q26663" s="183"/>
      <c r="R26663" s="183"/>
      <c r="S26663" s="183"/>
      <c r="AJ26663" s="183"/>
    </row>
    <row r="26664" spans="1:38">
      <c r="A26664" s="182"/>
      <c r="Q26664" s="183"/>
      <c r="R26664" s="183"/>
      <c r="S26664" s="183"/>
    </row>
    <row r="26665" spans="1:38">
      <c r="A26665" s="182"/>
      <c r="Q26665" s="183"/>
      <c r="R26665" s="183"/>
      <c r="S26665" s="183"/>
    </row>
    <row r="26666" spans="1:38">
      <c r="A26666" s="182"/>
      <c r="Q26666" s="183"/>
      <c r="R26666" s="183"/>
      <c r="S26666" s="183"/>
    </row>
    <row r="26667" spans="1:38">
      <c r="A26667" s="182"/>
      <c r="Q26667" s="183"/>
      <c r="R26667" s="183"/>
      <c r="S26667" s="183"/>
      <c r="AK26667" s="183"/>
      <c r="AL26667" s="183"/>
    </row>
    <row r="26668" spans="1:38">
      <c r="A26668" s="182"/>
      <c r="Q26668" s="183"/>
      <c r="R26668" s="183"/>
      <c r="S26668" s="183"/>
      <c r="AJ26668" s="183"/>
      <c r="AK26668" s="183"/>
      <c r="AL26668" s="183"/>
    </row>
    <row r="26669" spans="1:38">
      <c r="A26669" s="182"/>
      <c r="Q26669" s="183"/>
      <c r="R26669" s="183"/>
      <c r="S26669" s="183"/>
      <c r="AJ26669" s="183"/>
      <c r="AK26669" s="183"/>
      <c r="AL26669" s="183"/>
    </row>
    <row r="26670" spans="1:38">
      <c r="A26670" s="182"/>
      <c r="Q26670" s="183"/>
      <c r="R26670" s="183"/>
      <c r="S26670" s="183"/>
      <c r="AJ26670" s="183"/>
      <c r="AK26670" s="183"/>
      <c r="AL26670" s="183"/>
    </row>
    <row r="26671" spans="1:38">
      <c r="A26671" s="182"/>
      <c r="Q26671" s="183"/>
      <c r="R26671" s="183"/>
      <c r="S26671" s="183"/>
      <c r="AJ26671" s="183"/>
      <c r="AK26671" s="183"/>
      <c r="AL26671" s="183"/>
    </row>
    <row r="26672" spans="1:38">
      <c r="A26672" s="182"/>
      <c r="Q26672" s="183"/>
      <c r="R26672" s="183"/>
      <c r="S26672" s="183"/>
      <c r="AJ26672" s="183"/>
      <c r="AK26672" s="183"/>
      <c r="AL26672" s="183"/>
    </row>
    <row r="26673" spans="1:38">
      <c r="A26673" s="182"/>
      <c r="Q26673" s="183"/>
      <c r="R26673" s="183"/>
      <c r="S26673" s="183"/>
      <c r="AJ26673" s="183"/>
      <c r="AK26673" s="183"/>
      <c r="AL26673" s="183"/>
    </row>
    <row r="26674" spans="1:38">
      <c r="A26674" s="182"/>
      <c r="Q26674" s="183"/>
      <c r="R26674" s="183"/>
      <c r="S26674" s="183"/>
      <c r="AJ26674" s="183"/>
      <c r="AK26674" s="183"/>
      <c r="AL26674" s="183"/>
    </row>
    <row r="26675" spans="1:38">
      <c r="A26675" s="182"/>
      <c r="Q26675" s="183"/>
      <c r="R26675" s="183"/>
      <c r="S26675" s="183"/>
      <c r="AJ26675" s="183"/>
      <c r="AK26675" s="183"/>
      <c r="AL26675" s="183"/>
    </row>
    <row r="26676" spans="1:38">
      <c r="A26676" s="182"/>
      <c r="Q26676" s="183"/>
      <c r="R26676" s="183"/>
      <c r="S26676" s="183"/>
      <c r="AJ26676" s="183"/>
      <c r="AK26676" s="183"/>
      <c r="AL26676" s="183"/>
    </row>
    <row r="26677" spans="1:38">
      <c r="A26677" s="182"/>
      <c r="Q26677" s="183"/>
      <c r="R26677" s="183"/>
      <c r="S26677" s="183"/>
      <c r="AJ26677" s="183"/>
      <c r="AK26677" s="183"/>
      <c r="AL26677" s="183"/>
    </row>
    <row r="26678" spans="1:38">
      <c r="A26678" s="182"/>
      <c r="Q26678" s="183"/>
      <c r="R26678" s="183"/>
      <c r="S26678" s="183"/>
      <c r="AJ26678" s="183"/>
      <c r="AK26678" s="183"/>
      <c r="AL26678" s="183"/>
    </row>
    <row r="26679" spans="1:38">
      <c r="A26679" s="182"/>
      <c r="Q26679" s="183"/>
      <c r="R26679" s="183"/>
      <c r="S26679" s="183"/>
      <c r="AJ26679" s="183"/>
    </row>
    <row r="26680" spans="1:38">
      <c r="A26680" s="182"/>
      <c r="Q26680" s="183"/>
      <c r="R26680" s="183"/>
      <c r="S26680" s="183"/>
    </row>
    <row r="26681" spans="1:38">
      <c r="A26681" s="182"/>
      <c r="Q26681" s="183"/>
      <c r="R26681" s="183"/>
      <c r="S26681" s="183"/>
    </row>
    <row r="26682" spans="1:38">
      <c r="A26682" s="182"/>
      <c r="Q26682" s="183"/>
      <c r="R26682" s="183"/>
      <c r="S26682" s="183"/>
    </row>
    <row r="26683" spans="1:38">
      <c r="A26683" s="182"/>
      <c r="Q26683" s="183"/>
      <c r="R26683" s="183"/>
      <c r="S26683" s="183"/>
    </row>
    <row r="26684" spans="1:38">
      <c r="A26684" s="182"/>
      <c r="Q26684" s="183"/>
      <c r="R26684" s="183"/>
      <c r="S26684" s="183"/>
    </row>
    <row r="26685" spans="1:38">
      <c r="A26685" s="182"/>
      <c r="Q26685" s="183"/>
      <c r="R26685" s="183"/>
      <c r="S26685" s="183"/>
    </row>
    <row r="26686" spans="1:38">
      <c r="A26686" s="182"/>
      <c r="Q26686" s="183"/>
      <c r="R26686" s="183"/>
      <c r="S26686" s="183"/>
    </row>
    <row r="26687" spans="1:38">
      <c r="A26687" s="182"/>
      <c r="Q26687" s="183"/>
      <c r="R26687" s="183"/>
      <c r="S26687" s="183"/>
      <c r="AK26687" s="183"/>
      <c r="AL26687" s="183"/>
    </row>
    <row r="26688" spans="1:38">
      <c r="A26688" s="182"/>
      <c r="Q26688" s="183"/>
      <c r="R26688" s="183"/>
      <c r="S26688" s="183"/>
      <c r="AJ26688" s="183"/>
      <c r="AK26688" s="183"/>
      <c r="AL26688" s="183"/>
    </row>
    <row r="26689" spans="1:38">
      <c r="A26689" s="182"/>
      <c r="Q26689" s="183"/>
      <c r="R26689" s="183"/>
      <c r="S26689" s="183"/>
      <c r="AJ26689" s="183"/>
      <c r="AK26689" s="183"/>
      <c r="AL26689" s="183"/>
    </row>
    <row r="26690" spans="1:38">
      <c r="A26690" s="182"/>
      <c r="Q26690" s="183"/>
      <c r="R26690" s="183"/>
      <c r="S26690" s="183"/>
      <c r="AJ26690" s="183"/>
      <c r="AK26690" s="183"/>
      <c r="AL26690" s="183"/>
    </row>
    <row r="26691" spans="1:38">
      <c r="A26691" s="182"/>
      <c r="Q26691" s="183"/>
      <c r="R26691" s="183"/>
      <c r="S26691" s="183"/>
      <c r="AJ26691" s="183"/>
      <c r="AK26691" s="183"/>
      <c r="AL26691" s="183"/>
    </row>
    <row r="26692" spans="1:38">
      <c r="A26692" s="182"/>
      <c r="Q26692" s="183"/>
      <c r="R26692" s="183"/>
      <c r="S26692" s="183"/>
      <c r="AJ26692" s="183"/>
      <c r="AK26692" s="183"/>
      <c r="AL26692" s="183"/>
    </row>
    <row r="26693" spans="1:38">
      <c r="A26693" s="182"/>
      <c r="Q26693" s="183"/>
      <c r="R26693" s="183"/>
      <c r="S26693" s="183"/>
      <c r="AJ26693" s="183"/>
      <c r="AK26693" s="183"/>
      <c r="AL26693" s="183"/>
    </row>
    <row r="26694" spans="1:38">
      <c r="A26694" s="182"/>
      <c r="Q26694" s="183"/>
      <c r="R26694" s="183"/>
      <c r="S26694" s="183"/>
      <c r="AJ26694" s="183"/>
      <c r="AK26694" s="183"/>
      <c r="AL26694" s="183"/>
    </row>
    <row r="26695" spans="1:38">
      <c r="A26695" s="182"/>
      <c r="Q26695" s="183"/>
      <c r="R26695" s="183"/>
      <c r="S26695" s="183"/>
      <c r="AJ26695" s="183"/>
    </row>
    <row r="26696" spans="1:38">
      <c r="A26696" s="182"/>
      <c r="Q26696" s="183"/>
      <c r="R26696" s="183"/>
      <c r="S26696" s="183"/>
    </row>
    <row r="26697" spans="1:38">
      <c r="A26697" s="182"/>
      <c r="Q26697" s="183"/>
      <c r="R26697" s="183"/>
      <c r="S26697" s="183"/>
    </row>
    <row r="26698" spans="1:38">
      <c r="A26698" s="182"/>
      <c r="Q26698" s="183"/>
      <c r="R26698" s="183"/>
      <c r="S26698" s="183"/>
    </row>
    <row r="26699" spans="1:38">
      <c r="A26699" s="182"/>
      <c r="Q26699" s="183"/>
      <c r="R26699" s="183"/>
      <c r="S26699" s="183"/>
    </row>
    <row r="26700" spans="1:38">
      <c r="A26700" s="182"/>
      <c r="Q26700" s="183"/>
      <c r="R26700" s="183"/>
      <c r="S26700" s="183"/>
    </row>
    <row r="26701" spans="1:38">
      <c r="A26701" s="182"/>
      <c r="Q26701" s="183"/>
      <c r="R26701" s="183"/>
      <c r="S26701" s="183"/>
    </row>
    <row r="26702" spans="1:38">
      <c r="A26702" s="182"/>
      <c r="Q26702" s="183"/>
      <c r="R26702" s="183"/>
      <c r="S26702" s="183"/>
    </row>
    <row r="26703" spans="1:38">
      <c r="A26703" s="182"/>
      <c r="Q26703" s="183"/>
      <c r="R26703" s="183"/>
      <c r="S26703" s="183"/>
    </row>
    <row r="26704" spans="1:38">
      <c r="A26704" s="182"/>
      <c r="Q26704" s="183"/>
      <c r="R26704" s="183"/>
      <c r="S26704" s="183"/>
    </row>
    <row r="26705" spans="1:38">
      <c r="A26705" s="182"/>
      <c r="Q26705" s="183"/>
      <c r="R26705" s="183"/>
      <c r="S26705" s="183"/>
    </row>
    <row r="26706" spans="1:38">
      <c r="A26706" s="182"/>
      <c r="Q26706" s="183"/>
      <c r="R26706" s="183"/>
      <c r="S26706" s="183"/>
    </row>
    <row r="26707" spans="1:38">
      <c r="A26707" s="182"/>
      <c r="Q26707" s="183"/>
      <c r="R26707" s="183"/>
      <c r="S26707" s="183"/>
    </row>
    <row r="26708" spans="1:38">
      <c r="A26708" s="182"/>
      <c r="Q26708" s="183"/>
      <c r="R26708" s="183"/>
      <c r="S26708" s="183"/>
    </row>
    <row r="26709" spans="1:38">
      <c r="A26709" s="182"/>
      <c r="Q26709" s="183"/>
      <c r="R26709" s="183"/>
      <c r="S26709" s="183"/>
    </row>
    <row r="26710" spans="1:38">
      <c r="A26710" s="182"/>
      <c r="Q26710" s="183"/>
      <c r="R26710" s="183"/>
      <c r="S26710" s="183"/>
    </row>
    <row r="26711" spans="1:38">
      <c r="A26711" s="182"/>
      <c r="Q26711" s="183"/>
      <c r="R26711" s="183"/>
      <c r="S26711" s="183"/>
    </row>
    <row r="26712" spans="1:38">
      <c r="A26712" s="182"/>
      <c r="Q26712" s="183"/>
      <c r="R26712" s="183"/>
      <c r="S26712" s="183"/>
    </row>
    <row r="26713" spans="1:38">
      <c r="A26713" s="182"/>
      <c r="Q26713" s="183"/>
      <c r="R26713" s="183"/>
      <c r="S26713" s="183"/>
    </row>
    <row r="26714" spans="1:38">
      <c r="A26714" s="182"/>
      <c r="Q26714" s="183"/>
      <c r="R26714" s="183"/>
      <c r="S26714" s="183"/>
    </row>
    <row r="26715" spans="1:38">
      <c r="A26715" s="182"/>
      <c r="Q26715" s="183"/>
      <c r="R26715" s="183"/>
      <c r="S26715" s="183"/>
    </row>
    <row r="26716" spans="1:38">
      <c r="A26716" s="182"/>
      <c r="Q26716" s="183"/>
      <c r="R26716" s="183"/>
      <c r="S26716" s="183"/>
    </row>
    <row r="26717" spans="1:38">
      <c r="A26717" s="182"/>
      <c r="Q26717" s="183"/>
      <c r="R26717" s="183"/>
      <c r="S26717" s="183"/>
    </row>
    <row r="26718" spans="1:38">
      <c r="A26718" s="182"/>
      <c r="Q26718" s="183"/>
      <c r="R26718" s="183"/>
      <c r="S26718" s="183"/>
    </row>
    <row r="26719" spans="1:38">
      <c r="A26719" s="182"/>
      <c r="Q26719" s="183"/>
      <c r="R26719" s="183"/>
      <c r="S26719" s="183"/>
      <c r="AK26719" s="183"/>
      <c r="AL26719" s="183"/>
    </row>
    <row r="26720" spans="1:38">
      <c r="A26720" s="182"/>
      <c r="Q26720" s="183"/>
      <c r="R26720" s="183"/>
      <c r="S26720" s="183"/>
      <c r="AJ26720" s="183"/>
      <c r="AK26720" s="183"/>
      <c r="AL26720" s="183"/>
    </row>
    <row r="26721" spans="1:38">
      <c r="A26721" s="182"/>
      <c r="Q26721" s="183"/>
      <c r="R26721" s="183"/>
      <c r="S26721" s="183"/>
      <c r="AJ26721" s="183"/>
      <c r="AK26721" s="183"/>
      <c r="AL26721" s="183"/>
    </row>
    <row r="26722" spans="1:38">
      <c r="A26722" s="182"/>
      <c r="Q26722" s="183"/>
      <c r="R26722" s="183"/>
      <c r="S26722" s="183"/>
      <c r="AJ26722" s="183"/>
      <c r="AK26722" s="183"/>
      <c r="AL26722" s="183"/>
    </row>
    <row r="26723" spans="1:38">
      <c r="A26723" s="182"/>
      <c r="Q26723" s="183"/>
      <c r="R26723" s="183"/>
      <c r="S26723" s="183"/>
      <c r="AJ26723" s="183"/>
      <c r="AK26723" s="183"/>
      <c r="AL26723" s="183"/>
    </row>
    <row r="26724" spans="1:38">
      <c r="A26724" s="182"/>
      <c r="Q26724" s="183"/>
      <c r="R26724" s="183"/>
      <c r="S26724" s="183"/>
      <c r="AJ26724" s="183"/>
      <c r="AK26724" s="183"/>
      <c r="AL26724" s="183"/>
    </row>
    <row r="26725" spans="1:38">
      <c r="A26725" s="182"/>
      <c r="Q26725" s="183"/>
      <c r="R26725" s="183"/>
      <c r="S26725" s="183"/>
      <c r="AJ26725" s="183"/>
      <c r="AK26725" s="183"/>
      <c r="AL26725" s="183"/>
    </row>
    <row r="26726" spans="1:38">
      <c r="A26726" s="182"/>
      <c r="Q26726" s="183"/>
      <c r="R26726" s="183"/>
      <c r="S26726" s="183"/>
      <c r="AJ26726" s="183"/>
      <c r="AK26726" s="183"/>
      <c r="AL26726" s="183"/>
    </row>
    <row r="26727" spans="1:38">
      <c r="A26727" s="182"/>
      <c r="Q26727" s="183"/>
      <c r="R26727" s="183"/>
      <c r="S26727" s="183"/>
      <c r="AJ26727" s="183"/>
    </row>
    <row r="26728" spans="1:38">
      <c r="A26728" s="182"/>
      <c r="Q26728" s="183"/>
      <c r="R26728" s="183"/>
      <c r="S26728" s="183"/>
    </row>
    <row r="26729" spans="1:38">
      <c r="A26729" s="182"/>
      <c r="Q26729" s="183"/>
      <c r="R26729" s="183"/>
      <c r="S26729" s="183"/>
    </row>
    <row r="26730" spans="1:38">
      <c r="A26730" s="182"/>
      <c r="Q26730" s="183"/>
      <c r="R26730" s="183"/>
      <c r="S26730" s="183"/>
    </row>
    <row r="26731" spans="1:38">
      <c r="A26731" s="182"/>
      <c r="Q26731" s="183"/>
      <c r="R26731" s="183"/>
      <c r="S26731" s="183"/>
    </row>
    <row r="26732" spans="1:38">
      <c r="A26732" s="182"/>
      <c r="Q26732" s="183"/>
      <c r="R26732" s="183"/>
      <c r="S26732" s="183"/>
    </row>
    <row r="26733" spans="1:38">
      <c r="A26733" s="182"/>
      <c r="Q26733" s="183"/>
      <c r="R26733" s="183"/>
      <c r="S26733" s="183"/>
    </row>
    <row r="26734" spans="1:38">
      <c r="A26734" s="182"/>
      <c r="Q26734" s="183"/>
      <c r="R26734" s="183"/>
      <c r="S26734" s="183"/>
    </row>
    <row r="26735" spans="1:38">
      <c r="A26735" s="182"/>
      <c r="Q26735" s="183"/>
      <c r="R26735" s="183"/>
      <c r="S26735" s="183"/>
    </row>
    <row r="26736" spans="1:38">
      <c r="A26736" s="182"/>
      <c r="Q26736" s="183"/>
      <c r="R26736" s="183"/>
      <c r="S26736" s="183"/>
    </row>
    <row r="26737" spans="1:19">
      <c r="A26737" s="182"/>
      <c r="Q26737" s="183"/>
      <c r="R26737" s="183"/>
      <c r="S26737" s="183"/>
    </row>
    <row r="26738" spans="1:19">
      <c r="A26738" s="182"/>
      <c r="Q26738" s="183"/>
      <c r="R26738" s="183"/>
      <c r="S26738" s="183"/>
    </row>
    <row r="26739" spans="1:19">
      <c r="A26739" s="182"/>
      <c r="Q26739" s="183"/>
      <c r="R26739" s="183"/>
      <c r="S26739" s="183"/>
    </row>
    <row r="26740" spans="1:19">
      <c r="A26740" s="182"/>
      <c r="Q26740" s="183"/>
      <c r="R26740" s="183"/>
      <c r="S26740" s="183"/>
    </row>
    <row r="26741" spans="1:19">
      <c r="A26741" s="182"/>
      <c r="Q26741" s="183"/>
      <c r="R26741" s="183"/>
      <c r="S26741" s="183"/>
    </row>
    <row r="26742" spans="1:19">
      <c r="A26742" s="182"/>
      <c r="Q26742" s="183"/>
      <c r="R26742" s="183"/>
      <c r="S26742" s="183"/>
    </row>
    <row r="26743" spans="1:19">
      <c r="A26743" s="182"/>
      <c r="Q26743" s="183"/>
      <c r="R26743" s="183"/>
      <c r="S26743" s="183"/>
    </row>
    <row r="26744" spans="1:19">
      <c r="A26744" s="182"/>
      <c r="Q26744" s="183"/>
      <c r="R26744" s="183"/>
      <c r="S26744" s="183"/>
    </row>
    <row r="26745" spans="1:19">
      <c r="A26745" s="182"/>
      <c r="Q26745" s="183"/>
      <c r="R26745" s="183"/>
      <c r="S26745" s="183"/>
    </row>
    <row r="26746" spans="1:19">
      <c r="A26746" s="182"/>
      <c r="Q26746" s="183"/>
      <c r="R26746" s="183"/>
      <c r="S26746" s="183"/>
    </row>
    <row r="26747" spans="1:19">
      <c r="A26747" s="182"/>
      <c r="Q26747" s="183"/>
      <c r="R26747" s="183"/>
      <c r="S26747" s="183"/>
    </row>
    <row r="26748" spans="1:19">
      <c r="A26748" s="182"/>
      <c r="Q26748" s="183"/>
      <c r="R26748" s="183"/>
      <c r="S26748" s="183"/>
    </row>
    <row r="26749" spans="1:19">
      <c r="A26749" s="182"/>
      <c r="Q26749" s="183"/>
      <c r="R26749" s="183"/>
      <c r="S26749" s="183"/>
    </row>
    <row r="26750" spans="1:19">
      <c r="A26750" s="182"/>
      <c r="Q26750" s="183"/>
      <c r="R26750" s="183"/>
      <c r="S26750" s="183"/>
    </row>
    <row r="26751" spans="1:19">
      <c r="A26751" s="182"/>
      <c r="Q26751" s="183"/>
      <c r="R26751" s="183"/>
      <c r="S26751" s="183"/>
    </row>
    <row r="26752" spans="1:19">
      <c r="A26752" s="182"/>
      <c r="Q26752" s="183"/>
      <c r="R26752" s="183"/>
      <c r="S26752" s="183"/>
    </row>
    <row r="26753" spans="1:38">
      <c r="A26753" s="182"/>
      <c r="Q26753" s="183"/>
      <c r="R26753" s="183"/>
      <c r="S26753" s="183"/>
    </row>
    <row r="26754" spans="1:38">
      <c r="A26754" s="182"/>
      <c r="Q26754" s="183"/>
      <c r="R26754" s="183"/>
      <c r="S26754" s="183"/>
    </row>
    <row r="26755" spans="1:38">
      <c r="A26755" s="182"/>
      <c r="Q26755" s="183"/>
      <c r="R26755" s="183"/>
      <c r="S26755" s="183"/>
    </row>
    <row r="26756" spans="1:38">
      <c r="A26756" s="182"/>
      <c r="Q26756" s="183"/>
      <c r="R26756" s="183"/>
      <c r="S26756" s="183"/>
    </row>
    <row r="26757" spans="1:38">
      <c r="A26757" s="182"/>
      <c r="Q26757" s="183"/>
      <c r="R26757" s="183"/>
      <c r="S26757" s="183"/>
    </row>
    <row r="26758" spans="1:38">
      <c r="A26758" s="182"/>
      <c r="Q26758" s="183"/>
      <c r="R26758" s="183"/>
      <c r="S26758" s="183"/>
    </row>
    <row r="26759" spans="1:38">
      <c r="A26759" s="182"/>
      <c r="Q26759" s="183"/>
      <c r="R26759" s="183"/>
      <c r="S26759" s="183"/>
    </row>
    <row r="26760" spans="1:38">
      <c r="A26760" s="182"/>
      <c r="Q26760" s="183"/>
      <c r="R26760" s="183"/>
      <c r="S26760" s="183"/>
    </row>
    <row r="26761" spans="1:38">
      <c r="A26761" s="182"/>
      <c r="Q26761" s="183"/>
      <c r="R26761" s="183"/>
      <c r="S26761" s="183"/>
    </row>
    <row r="26762" spans="1:38">
      <c r="A26762" s="182"/>
      <c r="Q26762" s="183"/>
      <c r="R26762" s="183"/>
      <c r="S26762" s="183"/>
    </row>
    <row r="26763" spans="1:38">
      <c r="A26763" s="182"/>
      <c r="Q26763" s="183"/>
      <c r="R26763" s="183"/>
      <c r="S26763" s="183"/>
    </row>
    <row r="26764" spans="1:38">
      <c r="A26764" s="182"/>
      <c r="Q26764" s="183"/>
      <c r="R26764" s="183"/>
      <c r="S26764" s="183"/>
    </row>
    <row r="26765" spans="1:38">
      <c r="A26765" s="182"/>
      <c r="Q26765" s="183"/>
      <c r="R26765" s="183"/>
      <c r="S26765" s="183"/>
    </row>
    <row r="26766" spans="1:38">
      <c r="A26766" s="182"/>
      <c r="Q26766" s="183"/>
      <c r="R26766" s="183"/>
      <c r="S26766" s="183"/>
    </row>
    <row r="26767" spans="1:38">
      <c r="A26767" s="182"/>
      <c r="Q26767" s="183"/>
      <c r="R26767" s="183"/>
      <c r="S26767" s="183"/>
      <c r="AK26767" s="183"/>
      <c r="AL26767" s="183"/>
    </row>
    <row r="26768" spans="1:38">
      <c r="A26768" s="182"/>
      <c r="Q26768" s="183"/>
      <c r="R26768" s="183"/>
      <c r="S26768" s="183"/>
      <c r="AJ26768" s="183"/>
      <c r="AK26768" s="183"/>
      <c r="AL26768" s="183"/>
    </row>
    <row r="26769" spans="1:38">
      <c r="A26769" s="182"/>
      <c r="Q26769" s="183"/>
      <c r="R26769" s="183"/>
      <c r="S26769" s="183"/>
      <c r="AJ26769" s="183"/>
      <c r="AK26769" s="183"/>
      <c r="AL26769" s="183"/>
    </row>
    <row r="26770" spans="1:38">
      <c r="A26770" s="182"/>
      <c r="Q26770" s="183"/>
      <c r="R26770" s="183"/>
      <c r="S26770" s="183"/>
      <c r="AJ26770" s="183"/>
      <c r="AK26770" s="183"/>
      <c r="AL26770" s="183"/>
    </row>
    <row r="26771" spans="1:38">
      <c r="A26771" s="182"/>
      <c r="Q26771" s="183"/>
      <c r="R26771" s="183"/>
      <c r="S26771" s="183"/>
      <c r="AJ26771" s="183"/>
      <c r="AK26771" s="183"/>
      <c r="AL26771" s="183"/>
    </row>
    <row r="26772" spans="1:38">
      <c r="A26772" s="182"/>
      <c r="Q26772" s="183"/>
      <c r="R26772" s="183"/>
      <c r="S26772" s="183"/>
      <c r="AJ26772" s="183"/>
      <c r="AK26772" s="183"/>
      <c r="AL26772" s="183"/>
    </row>
    <row r="26773" spans="1:38">
      <c r="A26773" s="182"/>
      <c r="Q26773" s="183"/>
      <c r="R26773" s="183"/>
      <c r="S26773" s="183"/>
      <c r="AJ26773" s="183"/>
      <c r="AK26773" s="183"/>
      <c r="AL26773" s="183"/>
    </row>
    <row r="26774" spans="1:38">
      <c r="A26774" s="182"/>
      <c r="Q26774" s="183"/>
      <c r="R26774" s="183"/>
      <c r="S26774" s="183"/>
      <c r="AJ26774" s="183"/>
      <c r="AK26774" s="183"/>
      <c r="AL26774" s="183"/>
    </row>
    <row r="26775" spans="1:38">
      <c r="A26775" s="182"/>
      <c r="Q26775" s="183"/>
      <c r="R26775" s="183"/>
      <c r="S26775" s="183"/>
      <c r="AJ26775" s="183"/>
    </row>
    <row r="26776" spans="1:38">
      <c r="A26776" s="182"/>
      <c r="Q26776" s="183"/>
      <c r="R26776" s="183"/>
      <c r="S26776" s="183"/>
    </row>
    <row r="26777" spans="1:38">
      <c r="A26777" s="182"/>
      <c r="Q26777" s="183"/>
      <c r="R26777" s="183"/>
      <c r="S26777" s="183"/>
    </row>
    <row r="26778" spans="1:38">
      <c r="A26778" s="182"/>
      <c r="Q26778" s="183"/>
      <c r="R26778" s="183"/>
      <c r="S26778" s="183"/>
    </row>
    <row r="26779" spans="1:38">
      <c r="A26779" s="182"/>
      <c r="Q26779" s="183"/>
      <c r="R26779" s="183"/>
      <c r="S26779" s="183"/>
      <c r="AK26779" s="183"/>
      <c r="AL26779" s="183"/>
    </row>
    <row r="26780" spans="1:38">
      <c r="A26780" s="182"/>
      <c r="Q26780" s="183"/>
      <c r="R26780" s="183"/>
      <c r="S26780" s="183"/>
      <c r="AJ26780" s="183"/>
      <c r="AK26780" s="183"/>
      <c r="AL26780" s="183"/>
    </row>
    <row r="26781" spans="1:38">
      <c r="A26781" s="182"/>
      <c r="Q26781" s="183"/>
      <c r="R26781" s="183"/>
      <c r="S26781" s="183"/>
      <c r="AJ26781" s="183"/>
      <c r="AK26781" s="183"/>
      <c r="AL26781" s="183"/>
    </row>
    <row r="26782" spans="1:38">
      <c r="A26782" s="182"/>
      <c r="Q26782" s="183"/>
      <c r="R26782" s="183"/>
      <c r="S26782" s="183"/>
      <c r="AJ26782" s="183"/>
      <c r="AK26782" s="183"/>
      <c r="AL26782" s="183"/>
    </row>
    <row r="26783" spans="1:38">
      <c r="A26783" s="182"/>
      <c r="Q26783" s="183"/>
      <c r="R26783" s="183"/>
      <c r="S26783" s="183"/>
      <c r="AJ26783" s="183"/>
      <c r="AK26783" s="183"/>
      <c r="AL26783" s="183"/>
    </row>
    <row r="26784" spans="1:38">
      <c r="A26784" s="182"/>
      <c r="Q26784" s="183"/>
      <c r="R26784" s="183"/>
      <c r="S26784" s="183"/>
      <c r="AJ26784" s="183"/>
      <c r="AK26784" s="183"/>
      <c r="AL26784" s="183"/>
    </row>
    <row r="26785" spans="1:38">
      <c r="A26785" s="182"/>
      <c r="Q26785" s="183"/>
      <c r="R26785" s="183"/>
      <c r="S26785" s="183"/>
      <c r="AJ26785" s="183"/>
      <c r="AK26785" s="183"/>
      <c r="AL26785" s="183"/>
    </row>
    <row r="26786" spans="1:38">
      <c r="A26786" s="182"/>
      <c r="Q26786" s="183"/>
      <c r="R26786" s="183"/>
      <c r="S26786" s="183"/>
      <c r="AJ26786" s="183"/>
      <c r="AK26786" s="183"/>
      <c r="AL26786" s="183"/>
    </row>
    <row r="26787" spans="1:38">
      <c r="A26787" s="182"/>
      <c r="Q26787" s="183"/>
      <c r="R26787" s="183"/>
      <c r="S26787" s="183"/>
      <c r="AJ26787" s="183"/>
    </row>
    <row r="26788" spans="1:38">
      <c r="A26788" s="182"/>
      <c r="Q26788" s="183"/>
      <c r="R26788" s="183"/>
      <c r="S26788" s="183"/>
    </row>
    <row r="26789" spans="1:38">
      <c r="A26789" s="182"/>
      <c r="Q26789" s="183"/>
      <c r="R26789" s="183"/>
      <c r="S26789" s="183"/>
    </row>
    <row r="26790" spans="1:38">
      <c r="A26790" s="182"/>
      <c r="Q26790" s="183"/>
      <c r="R26790" s="183"/>
      <c r="S26790" s="183"/>
    </row>
    <row r="26791" spans="1:38">
      <c r="A26791" s="182"/>
      <c r="Q26791" s="183"/>
      <c r="R26791" s="183"/>
      <c r="S26791" s="183"/>
    </row>
    <row r="26792" spans="1:38">
      <c r="A26792" s="182"/>
      <c r="Q26792" s="183"/>
      <c r="R26792" s="183"/>
      <c r="S26792" s="183"/>
    </row>
    <row r="26793" spans="1:38">
      <c r="A26793" s="182"/>
      <c r="Q26793" s="183"/>
      <c r="R26793" s="183"/>
      <c r="S26793" s="183"/>
    </row>
    <row r="26794" spans="1:38">
      <c r="A26794" s="182"/>
      <c r="Q26794" s="183"/>
      <c r="R26794" s="183"/>
      <c r="S26794" s="183"/>
    </row>
    <row r="26795" spans="1:38">
      <c r="A26795" s="182"/>
      <c r="Q26795" s="183"/>
      <c r="R26795" s="183"/>
      <c r="S26795" s="183"/>
    </row>
    <row r="26796" spans="1:38">
      <c r="A26796" s="182"/>
      <c r="Q26796" s="183"/>
      <c r="R26796" s="183"/>
      <c r="S26796" s="183"/>
    </row>
    <row r="26797" spans="1:38">
      <c r="A26797" s="182"/>
      <c r="Q26797" s="183"/>
      <c r="R26797" s="183"/>
      <c r="S26797" s="183"/>
    </row>
    <row r="26798" spans="1:38">
      <c r="A26798" s="182"/>
      <c r="Q26798" s="183"/>
      <c r="R26798" s="183"/>
      <c r="S26798" s="183"/>
    </row>
    <row r="26799" spans="1:38">
      <c r="A26799" s="182"/>
      <c r="Q26799" s="183"/>
      <c r="R26799" s="183"/>
      <c r="S26799" s="183"/>
    </row>
    <row r="26800" spans="1:38">
      <c r="A26800" s="182"/>
      <c r="Q26800" s="183"/>
      <c r="R26800" s="183"/>
      <c r="S26800" s="183"/>
    </row>
    <row r="26801" spans="1:19">
      <c r="A26801" s="182"/>
      <c r="Q26801" s="183"/>
      <c r="R26801" s="183"/>
      <c r="S26801" s="183"/>
    </row>
    <row r="26802" spans="1:19">
      <c r="A26802" s="182"/>
      <c r="Q26802" s="183"/>
      <c r="R26802" s="183"/>
      <c r="S26802" s="183"/>
    </row>
    <row r="26803" spans="1:19">
      <c r="A26803" s="182"/>
      <c r="Q26803" s="183"/>
      <c r="R26803" s="183"/>
      <c r="S26803" s="183"/>
    </row>
    <row r="26804" spans="1:19">
      <c r="A26804" s="182"/>
      <c r="Q26804" s="183"/>
      <c r="R26804" s="183"/>
      <c r="S26804" s="183"/>
    </row>
    <row r="26805" spans="1:19">
      <c r="A26805" s="182"/>
      <c r="Q26805" s="183"/>
      <c r="R26805" s="183"/>
      <c r="S26805" s="183"/>
    </row>
    <row r="26806" spans="1:19">
      <c r="A26806" s="182"/>
      <c r="Q26806" s="183"/>
      <c r="R26806" s="183"/>
      <c r="S26806" s="183"/>
    </row>
    <row r="26807" spans="1:19">
      <c r="A26807" s="182"/>
      <c r="Q26807" s="183"/>
      <c r="R26807" s="183"/>
      <c r="S26807" s="183"/>
    </row>
    <row r="26808" spans="1:19">
      <c r="A26808" s="182"/>
      <c r="Q26808" s="183"/>
      <c r="R26808" s="183"/>
      <c r="S26808" s="183"/>
    </row>
    <row r="26809" spans="1:19">
      <c r="A26809" s="182"/>
      <c r="Q26809" s="183"/>
      <c r="R26809" s="183"/>
      <c r="S26809" s="183"/>
    </row>
    <row r="26810" spans="1:19">
      <c r="A26810" s="182"/>
      <c r="Q26810" s="183"/>
      <c r="R26810" s="183"/>
      <c r="S26810" s="183"/>
    </row>
    <row r="26811" spans="1:19">
      <c r="A26811" s="182"/>
      <c r="Q26811" s="183"/>
      <c r="R26811" s="183"/>
      <c r="S26811" s="183"/>
    </row>
    <row r="26812" spans="1:19">
      <c r="A26812" s="182"/>
      <c r="Q26812" s="183"/>
      <c r="R26812" s="183"/>
      <c r="S26812" s="183"/>
    </row>
    <row r="26813" spans="1:19">
      <c r="A26813" s="182"/>
      <c r="Q26813" s="183"/>
      <c r="R26813" s="183"/>
      <c r="S26813" s="183"/>
    </row>
    <row r="26814" spans="1:19">
      <c r="A26814" s="182"/>
      <c r="Q26814" s="183"/>
      <c r="R26814" s="183"/>
      <c r="S26814" s="183"/>
    </row>
    <row r="26815" spans="1:19">
      <c r="A26815" s="182"/>
      <c r="Q26815" s="183"/>
      <c r="R26815" s="183"/>
      <c r="S26815" s="183"/>
    </row>
    <row r="26816" spans="1:19">
      <c r="A26816" s="182"/>
      <c r="Q26816" s="183"/>
      <c r="R26816" s="183"/>
      <c r="S26816" s="183"/>
    </row>
    <row r="26817" spans="1:19">
      <c r="A26817" s="182"/>
      <c r="Q26817" s="183"/>
      <c r="R26817" s="183"/>
      <c r="S26817" s="183"/>
    </row>
    <row r="26818" spans="1:19">
      <c r="A26818" s="182"/>
      <c r="Q26818" s="183"/>
      <c r="R26818" s="183"/>
      <c r="S26818" s="183"/>
    </row>
    <row r="26819" spans="1:19">
      <c r="A26819" s="182"/>
      <c r="Q26819" s="183"/>
      <c r="R26819" s="183"/>
      <c r="S26819" s="183"/>
    </row>
    <row r="26820" spans="1:19">
      <c r="A26820" s="182"/>
      <c r="Q26820" s="183"/>
      <c r="R26820" s="183"/>
      <c r="S26820" s="183"/>
    </row>
    <row r="26821" spans="1:19">
      <c r="A26821" s="182"/>
      <c r="Q26821" s="183"/>
      <c r="R26821" s="183"/>
      <c r="S26821" s="183"/>
    </row>
    <row r="26822" spans="1:19">
      <c r="A26822" s="182"/>
      <c r="Q26822" s="183"/>
      <c r="R26822" s="183"/>
      <c r="S26822" s="183"/>
    </row>
    <row r="26823" spans="1:19">
      <c r="A26823" s="182"/>
      <c r="Q26823" s="183"/>
      <c r="R26823" s="183"/>
      <c r="S26823" s="183"/>
    </row>
    <row r="26824" spans="1:19">
      <c r="A26824" s="182"/>
      <c r="Q26824" s="183"/>
      <c r="R26824" s="183"/>
      <c r="S26824" s="183"/>
    </row>
    <row r="26825" spans="1:19">
      <c r="A26825" s="182"/>
      <c r="Q26825" s="183"/>
      <c r="R26825" s="183"/>
      <c r="S26825" s="183"/>
    </row>
    <row r="26826" spans="1:19">
      <c r="A26826" s="182"/>
      <c r="Q26826" s="183"/>
      <c r="R26826" s="183"/>
      <c r="S26826" s="183"/>
    </row>
    <row r="26827" spans="1:19">
      <c r="A26827" s="182"/>
      <c r="Q26827" s="183"/>
      <c r="R26827" s="183"/>
      <c r="S26827" s="183"/>
    </row>
    <row r="26828" spans="1:19">
      <c r="A26828" s="182"/>
      <c r="Q26828" s="183"/>
      <c r="R26828" s="183"/>
      <c r="S26828" s="183"/>
    </row>
    <row r="26829" spans="1:19">
      <c r="A26829" s="182"/>
      <c r="Q26829" s="183"/>
      <c r="R26829" s="183"/>
      <c r="S26829" s="183"/>
    </row>
    <row r="26830" spans="1:19">
      <c r="A26830" s="182"/>
      <c r="Q26830" s="183"/>
      <c r="R26830" s="183"/>
      <c r="S26830" s="183"/>
    </row>
    <row r="26831" spans="1:19">
      <c r="A26831" s="182"/>
      <c r="Q26831" s="183"/>
      <c r="R26831" s="183"/>
      <c r="S26831" s="183"/>
    </row>
    <row r="26832" spans="1:19">
      <c r="A26832" s="182"/>
      <c r="Q26832" s="183"/>
      <c r="R26832" s="183"/>
      <c r="S26832" s="183"/>
    </row>
    <row r="26833" spans="1:19">
      <c r="A26833" s="182"/>
      <c r="Q26833" s="183"/>
      <c r="R26833" s="183"/>
      <c r="S26833" s="183"/>
    </row>
    <row r="26834" spans="1:19">
      <c r="A26834" s="182"/>
      <c r="Q26834" s="183"/>
      <c r="R26834" s="183"/>
      <c r="S26834" s="183"/>
    </row>
    <row r="26835" spans="1:19">
      <c r="A26835" s="182"/>
      <c r="Q26835" s="183"/>
      <c r="R26835" s="183"/>
      <c r="S26835" s="183"/>
    </row>
    <row r="26836" spans="1:19">
      <c r="A26836" s="182"/>
      <c r="Q26836" s="183"/>
      <c r="R26836" s="183"/>
      <c r="S26836" s="183"/>
    </row>
    <row r="26837" spans="1:19">
      <c r="A26837" s="182"/>
      <c r="Q26837" s="183"/>
      <c r="R26837" s="183"/>
      <c r="S26837" s="183"/>
    </row>
    <row r="26838" spans="1:19">
      <c r="A26838" s="182"/>
      <c r="Q26838" s="183"/>
      <c r="R26838" s="183"/>
      <c r="S26838" s="183"/>
    </row>
    <row r="26839" spans="1:19">
      <c r="A26839" s="182"/>
      <c r="Q26839" s="183"/>
      <c r="R26839" s="183"/>
      <c r="S26839" s="183"/>
    </row>
    <row r="26840" spans="1:19">
      <c r="A26840" s="182"/>
      <c r="Q26840" s="183"/>
      <c r="R26840" s="183"/>
      <c r="S26840" s="183"/>
    </row>
    <row r="26841" spans="1:19">
      <c r="A26841" s="182"/>
      <c r="Q26841" s="183"/>
      <c r="R26841" s="183"/>
      <c r="S26841" s="183"/>
    </row>
    <row r="26842" spans="1:19">
      <c r="A26842" s="182"/>
      <c r="Q26842" s="183"/>
      <c r="R26842" s="183"/>
      <c r="S26842" s="183"/>
    </row>
    <row r="26843" spans="1:19">
      <c r="A26843" s="182"/>
      <c r="Q26843" s="183"/>
      <c r="R26843" s="183"/>
      <c r="S26843" s="183"/>
    </row>
    <row r="26844" spans="1:19">
      <c r="A26844" s="182"/>
      <c r="Q26844" s="183"/>
      <c r="R26844" s="183"/>
      <c r="S26844" s="183"/>
    </row>
    <row r="26845" spans="1:19">
      <c r="A26845" s="182"/>
      <c r="Q26845" s="183"/>
      <c r="R26845" s="183"/>
      <c r="S26845" s="183"/>
    </row>
    <row r="26846" spans="1:19">
      <c r="A26846" s="182"/>
      <c r="Q26846" s="183"/>
      <c r="R26846" s="183"/>
      <c r="S26846" s="183"/>
    </row>
    <row r="26847" spans="1:19">
      <c r="A26847" s="182"/>
      <c r="Q26847" s="183"/>
      <c r="R26847" s="183"/>
      <c r="S26847" s="183"/>
    </row>
    <row r="26848" spans="1:19">
      <c r="A26848" s="182"/>
      <c r="Q26848" s="183"/>
      <c r="R26848" s="183"/>
      <c r="S26848" s="183"/>
    </row>
    <row r="26849" spans="1:38">
      <c r="A26849" s="182"/>
      <c r="Q26849" s="183"/>
      <c r="R26849" s="183"/>
      <c r="S26849" s="183"/>
    </row>
    <row r="26850" spans="1:38">
      <c r="A26850" s="182"/>
      <c r="Q26850" s="183"/>
      <c r="R26850" s="183"/>
      <c r="S26850" s="183"/>
    </row>
    <row r="26851" spans="1:38">
      <c r="A26851" s="182"/>
      <c r="Q26851" s="183"/>
      <c r="R26851" s="183"/>
      <c r="S26851" s="183"/>
      <c r="AK26851" s="183"/>
      <c r="AL26851" s="183"/>
    </row>
    <row r="26852" spans="1:38">
      <c r="A26852" s="182"/>
      <c r="Q26852" s="183"/>
      <c r="R26852" s="183"/>
      <c r="S26852" s="183"/>
      <c r="AJ26852" s="183"/>
      <c r="AK26852" s="183"/>
      <c r="AL26852" s="183"/>
    </row>
    <row r="26853" spans="1:38">
      <c r="A26853" s="182"/>
      <c r="Q26853" s="183"/>
      <c r="R26853" s="183"/>
      <c r="S26853" s="183"/>
      <c r="AJ26853" s="183"/>
      <c r="AK26853" s="183"/>
      <c r="AL26853" s="183"/>
    </row>
    <row r="26854" spans="1:38">
      <c r="A26854" s="182"/>
      <c r="Q26854" s="183"/>
      <c r="R26854" s="183"/>
      <c r="S26854" s="183"/>
      <c r="AJ26854" s="183"/>
      <c r="AK26854" s="183"/>
      <c r="AL26854" s="183"/>
    </row>
    <row r="26855" spans="1:38">
      <c r="A26855" s="182"/>
      <c r="Q26855" s="183"/>
      <c r="R26855" s="183"/>
      <c r="S26855" s="183"/>
      <c r="AJ26855" s="183"/>
    </row>
    <row r="26856" spans="1:38">
      <c r="A26856" s="182"/>
      <c r="Q26856" s="183"/>
      <c r="R26856" s="183"/>
      <c r="S26856" s="183"/>
    </row>
    <row r="26857" spans="1:38">
      <c r="A26857" s="182"/>
      <c r="Q26857" s="183"/>
      <c r="R26857" s="183"/>
      <c r="S26857" s="183"/>
    </row>
    <row r="26858" spans="1:38">
      <c r="A26858" s="182"/>
      <c r="Q26858" s="183"/>
      <c r="R26858" s="183"/>
      <c r="S26858" s="183"/>
    </row>
    <row r="26859" spans="1:38">
      <c r="A26859" s="182"/>
      <c r="Q26859" s="183"/>
      <c r="R26859" s="183"/>
      <c r="S26859" s="183"/>
      <c r="AK26859" s="183"/>
      <c r="AL26859" s="183"/>
    </row>
    <row r="26860" spans="1:38">
      <c r="A26860" s="182"/>
      <c r="Q26860" s="183"/>
      <c r="R26860" s="183"/>
      <c r="S26860" s="183"/>
      <c r="AJ26860" s="183"/>
      <c r="AK26860" s="183"/>
      <c r="AL26860" s="183"/>
    </row>
    <row r="26861" spans="1:38">
      <c r="A26861" s="182"/>
      <c r="Q26861" s="183"/>
      <c r="R26861" s="183"/>
      <c r="S26861" s="183"/>
      <c r="AJ26861" s="183"/>
      <c r="AK26861" s="183"/>
      <c r="AL26861" s="183"/>
    </row>
    <row r="26862" spans="1:38">
      <c r="A26862" s="182"/>
      <c r="Q26862" s="183"/>
      <c r="R26862" s="183"/>
      <c r="S26862" s="183"/>
      <c r="AJ26862" s="183"/>
      <c r="AK26862" s="183"/>
      <c r="AL26862" s="183"/>
    </row>
    <row r="26863" spans="1:38">
      <c r="A26863" s="182"/>
      <c r="Q26863" s="183"/>
      <c r="R26863" s="183"/>
      <c r="S26863" s="183"/>
      <c r="AJ26863" s="183"/>
    </row>
    <row r="26864" spans="1:38">
      <c r="A26864" s="182"/>
      <c r="Q26864" s="183"/>
      <c r="R26864" s="183"/>
      <c r="S26864" s="183"/>
    </row>
    <row r="26865" spans="1:19">
      <c r="A26865" s="182"/>
      <c r="Q26865" s="183"/>
      <c r="R26865" s="183"/>
      <c r="S26865" s="183"/>
    </row>
    <row r="26866" spans="1:19">
      <c r="A26866" s="182"/>
      <c r="Q26866" s="183"/>
      <c r="R26866" s="183"/>
      <c r="S26866" s="183"/>
    </row>
    <row r="26867" spans="1:19">
      <c r="A26867" s="182"/>
      <c r="Q26867" s="183"/>
      <c r="R26867" s="183"/>
      <c r="S26867" s="183"/>
    </row>
    <row r="26868" spans="1:19">
      <c r="A26868" s="182"/>
      <c r="Q26868" s="183"/>
      <c r="R26868" s="183"/>
      <c r="S26868" s="183"/>
    </row>
    <row r="26869" spans="1:19">
      <c r="A26869" s="182"/>
      <c r="Q26869" s="183"/>
      <c r="R26869" s="183"/>
      <c r="S26869" s="183"/>
    </row>
    <row r="26870" spans="1:19">
      <c r="A26870" s="182"/>
      <c r="Q26870" s="183"/>
      <c r="R26870" s="183"/>
      <c r="S26870" s="183"/>
    </row>
    <row r="26871" spans="1:19">
      <c r="A26871" s="182"/>
      <c r="Q26871" s="183"/>
      <c r="R26871" s="183"/>
      <c r="S26871" s="183"/>
    </row>
    <row r="26872" spans="1:19">
      <c r="A26872" s="182"/>
      <c r="Q26872" s="183"/>
      <c r="R26872" s="183"/>
      <c r="S26872" s="183"/>
    </row>
    <row r="26873" spans="1:19">
      <c r="A26873" s="182"/>
      <c r="Q26873" s="183"/>
      <c r="R26873" s="183"/>
      <c r="S26873" s="183"/>
    </row>
    <row r="26874" spans="1:19">
      <c r="A26874" s="182"/>
      <c r="Q26874" s="183"/>
      <c r="R26874" s="183"/>
      <c r="S26874" s="183"/>
    </row>
    <row r="26875" spans="1:19">
      <c r="A26875" s="182"/>
      <c r="Q26875" s="183"/>
      <c r="R26875" s="183"/>
      <c r="S26875" s="183"/>
    </row>
    <row r="26876" spans="1:19">
      <c r="A26876" s="182"/>
      <c r="Q26876" s="183"/>
      <c r="R26876" s="183"/>
      <c r="S26876" s="183"/>
    </row>
    <row r="26877" spans="1:19">
      <c r="A26877" s="182"/>
      <c r="Q26877" s="183"/>
      <c r="R26877" s="183"/>
      <c r="S26877" s="183"/>
    </row>
    <row r="26878" spans="1:19">
      <c r="A26878" s="182"/>
      <c r="Q26878" s="183"/>
      <c r="R26878" s="183"/>
      <c r="S26878" s="183"/>
    </row>
    <row r="26879" spans="1:19">
      <c r="A26879" s="182"/>
      <c r="Q26879" s="183"/>
      <c r="R26879" s="183"/>
      <c r="S26879" s="183"/>
    </row>
    <row r="26880" spans="1:19">
      <c r="A26880" s="182"/>
      <c r="Q26880" s="183"/>
      <c r="R26880" s="183"/>
      <c r="S26880" s="183"/>
    </row>
    <row r="26881" spans="1:19">
      <c r="A26881" s="182"/>
      <c r="Q26881" s="183"/>
      <c r="R26881" s="183"/>
      <c r="S26881" s="183"/>
    </row>
    <row r="26882" spans="1:19">
      <c r="A26882" s="182"/>
      <c r="Q26882" s="183"/>
      <c r="R26882" s="183"/>
      <c r="S26882" s="183"/>
    </row>
    <row r="26883" spans="1:19">
      <c r="A26883" s="182"/>
      <c r="Q26883" s="183"/>
      <c r="R26883" s="183"/>
      <c r="S26883" s="183"/>
    </row>
    <row r="26884" spans="1:19">
      <c r="A26884" s="182"/>
      <c r="Q26884" s="183"/>
      <c r="R26884" s="183"/>
      <c r="S26884" s="183"/>
    </row>
    <row r="26885" spans="1:19">
      <c r="A26885" s="182"/>
      <c r="Q26885" s="183"/>
      <c r="R26885" s="183"/>
      <c r="S26885" s="183"/>
    </row>
    <row r="26886" spans="1:19">
      <c r="A26886" s="182"/>
      <c r="Q26886" s="183"/>
      <c r="R26886" s="183"/>
      <c r="S26886" s="183"/>
    </row>
    <row r="26887" spans="1:19">
      <c r="A26887" s="182"/>
      <c r="Q26887" s="183"/>
      <c r="R26887" s="183"/>
      <c r="S26887" s="183"/>
    </row>
    <row r="26888" spans="1:19">
      <c r="A26888" s="182"/>
      <c r="Q26888" s="183"/>
      <c r="R26888" s="183"/>
      <c r="S26888" s="183"/>
    </row>
    <row r="26889" spans="1:19">
      <c r="A26889" s="182"/>
      <c r="Q26889" s="183"/>
      <c r="R26889" s="183"/>
      <c r="S26889" s="183"/>
    </row>
    <row r="26890" spans="1:19">
      <c r="A26890" s="182"/>
      <c r="Q26890" s="183"/>
      <c r="R26890" s="183"/>
      <c r="S26890" s="183"/>
    </row>
    <row r="26891" spans="1:19">
      <c r="A26891" s="182"/>
      <c r="Q26891" s="183"/>
      <c r="R26891" s="183"/>
      <c r="S26891" s="183"/>
    </row>
    <row r="26892" spans="1:19">
      <c r="A26892" s="182"/>
      <c r="Q26892" s="183"/>
      <c r="R26892" s="183"/>
      <c r="S26892" s="183"/>
    </row>
    <row r="26893" spans="1:19">
      <c r="A26893" s="182"/>
      <c r="Q26893" s="183"/>
      <c r="R26893" s="183"/>
      <c r="S26893" s="183"/>
    </row>
    <row r="26894" spans="1:19">
      <c r="A26894" s="182"/>
      <c r="Q26894" s="183"/>
      <c r="R26894" s="183"/>
      <c r="S26894" s="183"/>
    </row>
    <row r="26895" spans="1:19">
      <c r="A26895" s="182"/>
      <c r="Q26895" s="183"/>
      <c r="R26895" s="183"/>
      <c r="S26895" s="183"/>
    </row>
    <row r="26896" spans="1:19">
      <c r="A26896" s="182"/>
      <c r="Q26896" s="183"/>
      <c r="R26896" s="183"/>
      <c r="S26896" s="183"/>
    </row>
    <row r="26897" spans="1:19">
      <c r="A26897" s="182"/>
      <c r="Q26897" s="183"/>
      <c r="R26897" s="183"/>
      <c r="S26897" s="183"/>
    </row>
    <row r="26898" spans="1:19">
      <c r="A26898" s="182"/>
      <c r="Q26898" s="183"/>
      <c r="R26898" s="183"/>
      <c r="S26898" s="183"/>
    </row>
    <row r="26899" spans="1:19">
      <c r="A26899" s="182"/>
      <c r="Q26899" s="183"/>
      <c r="R26899" s="183"/>
      <c r="S26899" s="183"/>
    </row>
    <row r="26900" spans="1:19">
      <c r="A26900" s="182"/>
      <c r="Q26900" s="183"/>
      <c r="R26900" s="183"/>
      <c r="S26900" s="183"/>
    </row>
    <row r="26901" spans="1:19">
      <c r="A26901" s="182"/>
      <c r="Q26901" s="183"/>
      <c r="R26901" s="183"/>
      <c r="S26901" s="183"/>
    </row>
    <row r="26902" spans="1:19">
      <c r="A26902" s="182"/>
      <c r="Q26902" s="183"/>
      <c r="R26902" s="183"/>
      <c r="S26902" s="183"/>
    </row>
    <row r="26903" spans="1:19">
      <c r="A26903" s="182"/>
      <c r="Q26903" s="183"/>
      <c r="R26903" s="183"/>
      <c r="S26903" s="183"/>
    </row>
    <row r="26904" spans="1:19">
      <c r="A26904" s="182"/>
      <c r="Q26904" s="183"/>
      <c r="R26904" s="183"/>
      <c r="S26904" s="183"/>
    </row>
    <row r="26905" spans="1:19">
      <c r="A26905" s="182"/>
      <c r="Q26905" s="183"/>
      <c r="R26905" s="183"/>
      <c r="S26905" s="183"/>
    </row>
    <row r="26906" spans="1:19">
      <c r="A26906" s="182"/>
      <c r="Q26906" s="183"/>
      <c r="R26906" s="183"/>
      <c r="S26906" s="183"/>
    </row>
    <row r="26907" spans="1:19">
      <c r="A26907" s="182"/>
      <c r="Q26907" s="183"/>
      <c r="R26907" s="183"/>
      <c r="S26907" s="183"/>
    </row>
    <row r="26908" spans="1:19">
      <c r="A26908" s="182"/>
      <c r="Q26908" s="183"/>
      <c r="R26908" s="183"/>
      <c r="S26908" s="183"/>
    </row>
    <row r="26909" spans="1:19">
      <c r="A26909" s="182"/>
      <c r="Q26909" s="183"/>
      <c r="R26909" s="183"/>
      <c r="S26909" s="183"/>
    </row>
    <row r="26910" spans="1:19">
      <c r="A26910" s="182"/>
      <c r="Q26910" s="183"/>
      <c r="R26910" s="183"/>
      <c r="S26910" s="183"/>
    </row>
    <row r="26911" spans="1:19">
      <c r="A26911" s="182"/>
      <c r="Q26911" s="183"/>
      <c r="R26911" s="183"/>
      <c r="S26911" s="183"/>
    </row>
    <row r="26912" spans="1:19">
      <c r="A26912" s="182"/>
      <c r="Q26912" s="183"/>
      <c r="R26912" s="183"/>
      <c r="S26912" s="183"/>
    </row>
    <row r="26913" spans="1:19">
      <c r="A26913" s="182"/>
      <c r="Q26913" s="183"/>
      <c r="R26913" s="183"/>
      <c r="S26913" s="183"/>
    </row>
    <row r="26914" spans="1:19">
      <c r="A26914" s="182"/>
      <c r="Q26914" s="183"/>
      <c r="R26914" s="183"/>
      <c r="S26914" s="183"/>
    </row>
    <row r="26915" spans="1:19">
      <c r="A26915" s="182"/>
      <c r="Q26915" s="183"/>
      <c r="R26915" s="183"/>
      <c r="S26915" s="183"/>
    </row>
    <row r="26916" spans="1:19">
      <c r="A26916" s="182"/>
      <c r="Q26916" s="183"/>
      <c r="R26916" s="183"/>
      <c r="S26916" s="183"/>
    </row>
    <row r="26917" spans="1:19">
      <c r="A26917" s="182"/>
      <c r="Q26917" s="183"/>
      <c r="R26917" s="183"/>
      <c r="S26917" s="183"/>
    </row>
    <row r="26918" spans="1:19">
      <c r="A26918" s="182"/>
      <c r="Q26918" s="183"/>
      <c r="R26918" s="183"/>
      <c r="S26918" s="183"/>
    </row>
    <row r="26919" spans="1:19">
      <c r="A26919" s="182"/>
      <c r="Q26919" s="183"/>
      <c r="R26919" s="183"/>
      <c r="S26919" s="183"/>
    </row>
    <row r="26920" spans="1:19">
      <c r="A26920" s="182"/>
      <c r="Q26920" s="183"/>
      <c r="R26920" s="183"/>
      <c r="S26920" s="183"/>
    </row>
    <row r="26921" spans="1:19">
      <c r="A26921" s="182"/>
      <c r="Q26921" s="183"/>
      <c r="R26921" s="183"/>
      <c r="S26921" s="183"/>
    </row>
    <row r="26922" spans="1:19">
      <c r="A26922" s="182"/>
      <c r="Q26922" s="183"/>
      <c r="R26922" s="183"/>
      <c r="S26922" s="183"/>
    </row>
    <row r="26923" spans="1:19">
      <c r="A26923" s="182"/>
      <c r="Q26923" s="183"/>
      <c r="R26923" s="183"/>
      <c r="S26923" s="183"/>
    </row>
    <row r="26924" spans="1:19">
      <c r="A26924" s="182"/>
      <c r="Q26924" s="183"/>
      <c r="R26924" s="183"/>
      <c r="S26924" s="183"/>
    </row>
    <row r="26925" spans="1:19">
      <c r="A26925" s="182"/>
      <c r="Q26925" s="183"/>
      <c r="R26925" s="183"/>
      <c r="S26925" s="183"/>
    </row>
    <row r="26926" spans="1:19">
      <c r="A26926" s="182"/>
      <c r="Q26926" s="183"/>
      <c r="R26926" s="183"/>
      <c r="S26926" s="183"/>
    </row>
    <row r="26927" spans="1:19">
      <c r="A26927" s="182"/>
      <c r="Q26927" s="183"/>
      <c r="R26927" s="183"/>
      <c r="S26927" s="183"/>
    </row>
    <row r="26928" spans="1:19">
      <c r="A26928" s="182"/>
      <c r="Q26928" s="183"/>
      <c r="R26928" s="183"/>
      <c r="S26928" s="183"/>
    </row>
    <row r="26929" spans="1:38">
      <c r="A26929" s="182"/>
      <c r="Q26929" s="183"/>
      <c r="R26929" s="183"/>
      <c r="S26929" s="183"/>
    </row>
    <row r="26930" spans="1:38">
      <c r="A26930" s="182"/>
      <c r="Q26930" s="183"/>
      <c r="R26930" s="183"/>
      <c r="S26930" s="183"/>
    </row>
    <row r="26931" spans="1:38">
      <c r="A26931" s="182"/>
      <c r="Q26931" s="183"/>
      <c r="R26931" s="183"/>
      <c r="S26931" s="183"/>
    </row>
    <row r="26932" spans="1:38">
      <c r="A26932" s="182"/>
      <c r="Q26932" s="183"/>
      <c r="R26932" s="183"/>
      <c r="S26932" s="183"/>
    </row>
    <row r="26933" spans="1:38">
      <c r="A26933" s="182"/>
      <c r="Q26933" s="183"/>
      <c r="R26933" s="183"/>
      <c r="S26933" s="183"/>
    </row>
    <row r="26934" spans="1:38">
      <c r="A26934" s="182"/>
      <c r="Q26934" s="183"/>
      <c r="R26934" s="183"/>
      <c r="S26934" s="183"/>
    </row>
    <row r="26935" spans="1:38">
      <c r="A26935" s="182"/>
      <c r="Q26935" s="183"/>
      <c r="R26935" s="183"/>
      <c r="S26935" s="183"/>
    </row>
    <row r="26936" spans="1:38">
      <c r="A26936" s="182"/>
      <c r="Q26936" s="183"/>
      <c r="R26936" s="183"/>
      <c r="S26936" s="183"/>
    </row>
    <row r="26937" spans="1:38">
      <c r="A26937" s="182"/>
      <c r="Q26937" s="183"/>
      <c r="R26937" s="183"/>
      <c r="S26937" s="183"/>
    </row>
    <row r="26938" spans="1:38">
      <c r="A26938" s="182"/>
      <c r="Q26938" s="183"/>
      <c r="R26938" s="183"/>
      <c r="S26938" s="183"/>
    </row>
    <row r="26939" spans="1:38">
      <c r="A26939" s="182"/>
      <c r="Q26939" s="183"/>
      <c r="R26939" s="183"/>
      <c r="S26939" s="183"/>
      <c r="AK26939" s="183"/>
      <c r="AL26939" s="183"/>
    </row>
    <row r="26940" spans="1:38">
      <c r="A26940" s="182"/>
      <c r="Q26940" s="183"/>
      <c r="R26940" s="183"/>
      <c r="S26940" s="183"/>
      <c r="AJ26940" s="183"/>
      <c r="AK26940" s="183"/>
      <c r="AL26940" s="183"/>
    </row>
    <row r="26941" spans="1:38">
      <c r="A26941" s="182"/>
      <c r="Q26941" s="183"/>
      <c r="R26941" s="183"/>
      <c r="S26941" s="183"/>
      <c r="AJ26941" s="183"/>
      <c r="AK26941" s="183"/>
      <c r="AL26941" s="183"/>
    </row>
    <row r="26942" spans="1:38">
      <c r="A26942" s="182"/>
      <c r="Q26942" s="183"/>
      <c r="R26942" s="183"/>
      <c r="S26942" s="183"/>
      <c r="AJ26942" s="183"/>
      <c r="AK26942" s="183"/>
      <c r="AL26942" s="183"/>
    </row>
    <row r="26943" spans="1:38">
      <c r="A26943" s="182"/>
      <c r="Q26943" s="183"/>
      <c r="R26943" s="183"/>
      <c r="S26943" s="183"/>
      <c r="AJ26943" s="183"/>
    </row>
    <row r="26944" spans="1:38">
      <c r="A26944" s="182"/>
      <c r="Q26944" s="183"/>
      <c r="R26944" s="183"/>
      <c r="S26944" s="183"/>
    </row>
    <row r="26945" spans="1:38">
      <c r="A26945" s="182"/>
      <c r="Q26945" s="183"/>
      <c r="R26945" s="183"/>
      <c r="S26945" s="183"/>
    </row>
    <row r="26946" spans="1:38">
      <c r="A26946" s="182"/>
      <c r="Q26946" s="183"/>
      <c r="R26946" s="183"/>
      <c r="S26946" s="183"/>
    </row>
    <row r="26947" spans="1:38">
      <c r="A26947" s="182"/>
      <c r="Q26947" s="183"/>
      <c r="R26947" s="183"/>
      <c r="S26947" s="183"/>
      <c r="AK26947" s="183"/>
      <c r="AL26947" s="183"/>
    </row>
    <row r="26948" spans="1:38">
      <c r="A26948" s="182"/>
      <c r="Q26948" s="183"/>
      <c r="R26948" s="183"/>
      <c r="S26948" s="183"/>
      <c r="AJ26948" s="183"/>
      <c r="AK26948" s="183"/>
      <c r="AL26948" s="183"/>
    </row>
    <row r="26949" spans="1:38">
      <c r="A26949" s="182"/>
      <c r="Q26949" s="183"/>
      <c r="R26949" s="183"/>
      <c r="S26949" s="183"/>
      <c r="AJ26949" s="183"/>
      <c r="AK26949" s="183"/>
      <c r="AL26949" s="183"/>
    </row>
    <row r="26950" spans="1:38">
      <c r="A26950" s="182"/>
      <c r="Q26950" s="183"/>
      <c r="R26950" s="183"/>
      <c r="S26950" s="183"/>
      <c r="AJ26950" s="183"/>
      <c r="AK26950" s="183"/>
      <c r="AL26950" s="183"/>
    </row>
    <row r="26951" spans="1:38">
      <c r="A26951" s="182"/>
      <c r="Q26951" s="183"/>
      <c r="R26951" s="183"/>
      <c r="S26951" s="183"/>
      <c r="AJ26951" s="183"/>
    </row>
    <row r="26952" spans="1:38">
      <c r="A26952" s="182"/>
      <c r="Q26952" s="183"/>
      <c r="R26952" s="183"/>
      <c r="S26952" s="183"/>
    </row>
    <row r="26953" spans="1:38">
      <c r="A26953" s="182"/>
      <c r="Q26953" s="183"/>
      <c r="R26953" s="183"/>
      <c r="S26953" s="183"/>
    </row>
    <row r="26954" spans="1:38">
      <c r="A26954" s="182"/>
      <c r="Q26954" s="183"/>
      <c r="R26954" s="183"/>
      <c r="S26954" s="183"/>
    </row>
    <row r="26955" spans="1:38">
      <c r="A26955" s="182"/>
      <c r="Q26955" s="183"/>
      <c r="R26955" s="183"/>
      <c r="S26955" s="183"/>
    </row>
    <row r="26956" spans="1:38">
      <c r="A26956" s="182"/>
      <c r="Q26956" s="183"/>
      <c r="R26956" s="183"/>
      <c r="S26956" s="183"/>
    </row>
    <row r="26957" spans="1:38">
      <c r="A26957" s="182"/>
      <c r="Q26957" s="183"/>
      <c r="R26957" s="183"/>
      <c r="S26957" s="183"/>
    </row>
    <row r="26958" spans="1:38">
      <c r="A26958" s="182"/>
      <c r="Q26958" s="183"/>
      <c r="R26958" s="183"/>
      <c r="S26958" s="183"/>
    </row>
    <row r="26959" spans="1:38">
      <c r="A26959" s="182"/>
      <c r="Q26959" s="183"/>
      <c r="R26959" s="183"/>
      <c r="S26959" s="183"/>
    </row>
    <row r="26960" spans="1:38">
      <c r="A26960" s="182"/>
      <c r="Q26960" s="183"/>
      <c r="R26960" s="183"/>
      <c r="S26960" s="183"/>
    </row>
    <row r="26961" spans="1:38">
      <c r="A26961" s="182"/>
      <c r="Q26961" s="183"/>
      <c r="R26961" s="183"/>
      <c r="S26961" s="183"/>
    </row>
    <row r="26962" spans="1:38">
      <c r="A26962" s="182"/>
      <c r="Q26962" s="183"/>
      <c r="R26962" s="183"/>
      <c r="S26962" s="183"/>
    </row>
    <row r="26963" spans="1:38">
      <c r="A26963" s="182"/>
      <c r="Q26963" s="183"/>
      <c r="R26963" s="183"/>
      <c r="S26963" s="183"/>
    </row>
    <row r="26964" spans="1:38">
      <c r="A26964" s="182"/>
      <c r="Q26964" s="183"/>
      <c r="R26964" s="183"/>
      <c r="S26964" s="183"/>
    </row>
    <row r="26965" spans="1:38">
      <c r="A26965" s="182"/>
      <c r="Q26965" s="183"/>
      <c r="R26965" s="183"/>
      <c r="S26965" s="183"/>
    </row>
    <row r="26966" spans="1:38">
      <c r="A26966" s="182"/>
      <c r="Q26966" s="183"/>
      <c r="R26966" s="183"/>
      <c r="S26966" s="183"/>
    </row>
    <row r="26967" spans="1:38">
      <c r="A26967" s="182"/>
      <c r="Q26967" s="183"/>
      <c r="R26967" s="183"/>
      <c r="S26967" s="183"/>
    </row>
    <row r="26968" spans="1:38">
      <c r="A26968" s="182"/>
      <c r="Q26968" s="183"/>
      <c r="R26968" s="183"/>
      <c r="S26968" s="183"/>
    </row>
    <row r="26969" spans="1:38">
      <c r="A26969" s="182"/>
      <c r="Q26969" s="183"/>
      <c r="R26969" s="183"/>
      <c r="S26969" s="183"/>
    </row>
    <row r="26970" spans="1:38">
      <c r="A26970" s="182"/>
      <c r="Q26970" s="183"/>
      <c r="R26970" s="183"/>
      <c r="S26970" s="183"/>
    </row>
    <row r="26971" spans="1:38">
      <c r="A26971" s="182"/>
      <c r="Q26971" s="183"/>
      <c r="R26971" s="183"/>
      <c r="S26971" s="183"/>
    </row>
    <row r="26972" spans="1:38">
      <c r="A26972" s="182"/>
      <c r="Q26972" s="183"/>
      <c r="R26972" s="183"/>
      <c r="S26972" s="183"/>
    </row>
    <row r="26973" spans="1:38">
      <c r="A26973" s="182"/>
      <c r="Q26973" s="183"/>
      <c r="R26973" s="183"/>
      <c r="S26973" s="183"/>
    </row>
    <row r="26974" spans="1:38">
      <c r="A26974" s="182"/>
      <c r="Q26974" s="183"/>
      <c r="R26974" s="183"/>
      <c r="S26974" s="183"/>
    </row>
    <row r="26975" spans="1:38">
      <c r="A26975" s="182"/>
      <c r="Q26975" s="183"/>
      <c r="R26975" s="183"/>
      <c r="S26975" s="183"/>
      <c r="AK26975" s="183"/>
      <c r="AL26975" s="183"/>
    </row>
    <row r="26976" spans="1:38">
      <c r="A26976" s="182"/>
      <c r="Q26976" s="183"/>
      <c r="R26976" s="183"/>
      <c r="S26976" s="183"/>
      <c r="AJ26976" s="183"/>
      <c r="AK26976" s="183"/>
      <c r="AL26976" s="183"/>
    </row>
    <row r="26977" spans="1:38">
      <c r="A26977" s="182"/>
      <c r="Q26977" s="183"/>
      <c r="R26977" s="183"/>
      <c r="S26977" s="183"/>
      <c r="AJ26977" s="183"/>
      <c r="AK26977" s="183"/>
      <c r="AL26977" s="183"/>
    </row>
    <row r="26978" spans="1:38">
      <c r="A26978" s="182"/>
      <c r="Q26978" s="183"/>
      <c r="R26978" s="183"/>
      <c r="S26978" s="183"/>
      <c r="AJ26978" s="183"/>
      <c r="AK26978" s="183"/>
      <c r="AL26978" s="183"/>
    </row>
    <row r="26979" spans="1:38">
      <c r="A26979" s="182"/>
      <c r="Q26979" s="183"/>
      <c r="R26979" s="183"/>
      <c r="S26979" s="183"/>
      <c r="AJ26979" s="183"/>
      <c r="AK26979" s="183"/>
      <c r="AL26979" s="183"/>
    </row>
    <row r="26980" spans="1:38">
      <c r="A26980" s="182"/>
      <c r="Q26980" s="183"/>
      <c r="R26980" s="183"/>
      <c r="S26980" s="183"/>
      <c r="AJ26980" s="183"/>
      <c r="AK26980" s="183"/>
      <c r="AL26980" s="183"/>
    </row>
    <row r="26981" spans="1:38">
      <c r="A26981" s="182"/>
      <c r="Q26981" s="183"/>
      <c r="R26981" s="183"/>
      <c r="S26981" s="183"/>
      <c r="AJ26981" s="183"/>
      <c r="AK26981" s="183"/>
      <c r="AL26981" s="183"/>
    </row>
    <row r="26982" spans="1:38">
      <c r="A26982" s="182"/>
      <c r="Q26982" s="183"/>
      <c r="R26982" s="183"/>
      <c r="S26982" s="183"/>
      <c r="AJ26982" s="183"/>
      <c r="AK26982" s="183"/>
      <c r="AL26982" s="183"/>
    </row>
    <row r="26983" spans="1:38">
      <c r="A26983" s="182"/>
      <c r="Q26983" s="183"/>
      <c r="R26983" s="183"/>
      <c r="S26983" s="183"/>
      <c r="AJ26983" s="183"/>
    </row>
    <row r="26984" spans="1:38">
      <c r="A26984" s="182"/>
      <c r="Q26984" s="183"/>
      <c r="R26984" s="183"/>
      <c r="S26984" s="183"/>
    </row>
    <row r="26985" spans="1:38">
      <c r="A26985" s="182"/>
      <c r="Q26985" s="183"/>
      <c r="R26985" s="183"/>
      <c r="S26985" s="183"/>
    </row>
    <row r="26986" spans="1:38">
      <c r="A26986" s="182"/>
      <c r="Q26986" s="183"/>
      <c r="R26986" s="183"/>
      <c r="S26986" s="183"/>
    </row>
    <row r="26987" spans="1:38">
      <c r="A26987" s="182"/>
      <c r="Q26987" s="183"/>
      <c r="R26987" s="183"/>
      <c r="S26987" s="183"/>
      <c r="AK26987" s="183"/>
      <c r="AL26987" s="183"/>
    </row>
    <row r="26988" spans="1:38">
      <c r="A26988" s="182"/>
      <c r="Q26988" s="183"/>
      <c r="R26988" s="183"/>
      <c r="S26988" s="183"/>
      <c r="AJ26988" s="183"/>
      <c r="AK26988" s="183"/>
      <c r="AL26988" s="183"/>
    </row>
    <row r="26989" spans="1:38">
      <c r="A26989" s="182"/>
      <c r="Q26989" s="183"/>
      <c r="R26989" s="183"/>
      <c r="S26989" s="183"/>
      <c r="AJ26989" s="183"/>
      <c r="AK26989" s="183"/>
      <c r="AL26989" s="183"/>
    </row>
    <row r="26990" spans="1:38">
      <c r="A26990" s="182"/>
      <c r="Q26990" s="183"/>
      <c r="R26990" s="183"/>
      <c r="S26990" s="183"/>
      <c r="AJ26990" s="183"/>
      <c r="AK26990" s="183"/>
      <c r="AL26990" s="183"/>
    </row>
    <row r="26991" spans="1:38">
      <c r="A26991" s="182"/>
      <c r="Q26991" s="183"/>
      <c r="R26991" s="183"/>
      <c r="S26991" s="183"/>
      <c r="AJ26991" s="183"/>
    </row>
    <row r="26992" spans="1:38">
      <c r="A26992" s="182"/>
      <c r="Q26992" s="183"/>
      <c r="R26992" s="183"/>
      <c r="S26992" s="183"/>
    </row>
    <row r="26993" spans="1:38">
      <c r="A26993" s="182"/>
      <c r="Q26993" s="183"/>
      <c r="R26993" s="183"/>
      <c r="S26993" s="183"/>
    </row>
    <row r="26994" spans="1:38">
      <c r="A26994" s="182"/>
      <c r="Q26994" s="183"/>
      <c r="R26994" s="183"/>
      <c r="S26994" s="183"/>
    </row>
    <row r="26995" spans="1:38">
      <c r="A26995" s="182"/>
      <c r="Q26995" s="183"/>
      <c r="R26995" s="183"/>
      <c r="S26995" s="183"/>
    </row>
    <row r="26996" spans="1:38">
      <c r="A26996" s="182"/>
      <c r="Q26996" s="183"/>
      <c r="R26996" s="183"/>
      <c r="S26996" s="183"/>
    </row>
    <row r="26997" spans="1:38">
      <c r="A26997" s="182"/>
      <c r="Q26997" s="183"/>
      <c r="R26997" s="183"/>
      <c r="S26997" s="183"/>
    </row>
    <row r="26998" spans="1:38">
      <c r="A26998" s="182"/>
      <c r="Q26998" s="183"/>
      <c r="R26998" s="183"/>
      <c r="S26998" s="183"/>
    </row>
    <row r="26999" spans="1:38">
      <c r="A26999" s="182"/>
      <c r="Q26999" s="183"/>
      <c r="R26999" s="183"/>
      <c r="S26999" s="183"/>
    </row>
    <row r="27000" spans="1:38">
      <c r="A27000" s="182"/>
      <c r="Q27000" s="183"/>
      <c r="R27000" s="183"/>
      <c r="S27000" s="183"/>
    </row>
    <row r="27001" spans="1:38">
      <c r="A27001" s="182"/>
      <c r="Q27001" s="183"/>
      <c r="R27001" s="183"/>
      <c r="S27001" s="183"/>
    </row>
    <row r="27002" spans="1:38">
      <c r="A27002" s="182"/>
      <c r="Q27002" s="183"/>
      <c r="R27002" s="183"/>
      <c r="S27002" s="183"/>
    </row>
    <row r="27003" spans="1:38">
      <c r="A27003" s="182"/>
      <c r="Q27003" s="183"/>
      <c r="R27003" s="183"/>
      <c r="S27003" s="183"/>
    </row>
    <row r="27004" spans="1:38">
      <c r="A27004" s="182"/>
      <c r="Q27004" s="183"/>
      <c r="R27004" s="183"/>
      <c r="S27004" s="183"/>
    </row>
    <row r="27005" spans="1:38">
      <c r="A27005" s="182"/>
      <c r="Q27005" s="183"/>
      <c r="R27005" s="183"/>
      <c r="S27005" s="183"/>
    </row>
    <row r="27006" spans="1:38">
      <c r="A27006" s="182"/>
      <c r="Q27006" s="183"/>
      <c r="R27006" s="183"/>
      <c r="S27006" s="183"/>
    </row>
    <row r="27007" spans="1:38">
      <c r="A27007" s="182"/>
      <c r="Q27007" s="183"/>
      <c r="R27007" s="183"/>
      <c r="S27007" s="183"/>
      <c r="AK27007" s="183"/>
      <c r="AL27007" s="183"/>
    </row>
    <row r="27008" spans="1:38">
      <c r="A27008" s="182"/>
      <c r="Q27008" s="183"/>
      <c r="R27008" s="183"/>
      <c r="S27008" s="183"/>
      <c r="AJ27008" s="183"/>
      <c r="AK27008" s="183"/>
      <c r="AL27008" s="183"/>
    </row>
    <row r="27009" spans="1:38">
      <c r="A27009" s="182"/>
      <c r="Q27009" s="183"/>
      <c r="R27009" s="183"/>
      <c r="S27009" s="183"/>
      <c r="AJ27009" s="183"/>
      <c r="AK27009" s="183"/>
      <c r="AL27009" s="183"/>
    </row>
    <row r="27010" spans="1:38">
      <c r="A27010" s="182"/>
      <c r="Q27010" s="183"/>
      <c r="R27010" s="183"/>
      <c r="S27010" s="183"/>
      <c r="AJ27010" s="183"/>
      <c r="AK27010" s="183"/>
      <c r="AL27010" s="183"/>
    </row>
    <row r="27011" spans="1:38">
      <c r="A27011" s="182"/>
      <c r="Q27011" s="183"/>
      <c r="R27011" s="183"/>
      <c r="S27011" s="183"/>
      <c r="AJ27011" s="183"/>
    </row>
    <row r="27012" spans="1:38">
      <c r="A27012" s="182"/>
      <c r="Q27012" s="183"/>
      <c r="R27012" s="183"/>
      <c r="S27012" s="183"/>
    </row>
    <row r="27013" spans="1:38">
      <c r="A27013" s="182"/>
      <c r="Q27013" s="183"/>
      <c r="R27013" s="183"/>
      <c r="S27013" s="183"/>
    </row>
    <row r="27014" spans="1:38">
      <c r="A27014" s="182"/>
      <c r="Q27014" s="183"/>
      <c r="R27014" s="183"/>
      <c r="S27014" s="183"/>
    </row>
    <row r="27015" spans="1:38">
      <c r="A27015" s="182"/>
      <c r="Q27015" s="183"/>
      <c r="R27015" s="183"/>
      <c r="S27015" s="183"/>
      <c r="AK27015" s="183"/>
      <c r="AL27015" s="183"/>
    </row>
    <row r="27016" spans="1:38">
      <c r="A27016" s="182"/>
      <c r="Q27016" s="183"/>
      <c r="R27016" s="183"/>
      <c r="S27016" s="183"/>
      <c r="AJ27016" s="183"/>
      <c r="AK27016" s="183"/>
      <c r="AL27016" s="183"/>
    </row>
    <row r="27017" spans="1:38">
      <c r="A27017" s="182"/>
      <c r="Q27017" s="183"/>
      <c r="R27017" s="183"/>
      <c r="S27017" s="183"/>
      <c r="AJ27017" s="183"/>
      <c r="AK27017" s="183"/>
      <c r="AL27017" s="183"/>
    </row>
    <row r="27018" spans="1:38">
      <c r="A27018" s="182"/>
      <c r="Q27018" s="183"/>
      <c r="R27018" s="183"/>
      <c r="S27018" s="183"/>
      <c r="AJ27018" s="183"/>
      <c r="AK27018" s="183"/>
      <c r="AL27018" s="183"/>
    </row>
    <row r="27019" spans="1:38">
      <c r="A27019" s="182"/>
      <c r="Q27019" s="183"/>
      <c r="R27019" s="183"/>
      <c r="S27019" s="183"/>
      <c r="AJ27019" s="183"/>
      <c r="AK27019" s="183"/>
      <c r="AL27019" s="183"/>
    </row>
    <row r="27020" spans="1:38">
      <c r="A27020" s="182"/>
      <c r="Q27020" s="183"/>
      <c r="R27020" s="183"/>
      <c r="S27020" s="183"/>
      <c r="AJ27020" s="183"/>
      <c r="AK27020" s="183"/>
      <c r="AL27020" s="183"/>
    </row>
    <row r="27021" spans="1:38">
      <c r="A27021" s="182"/>
      <c r="Q27021" s="183"/>
      <c r="R27021" s="183"/>
      <c r="S27021" s="183"/>
      <c r="AJ27021" s="183"/>
      <c r="AK27021" s="183"/>
      <c r="AL27021" s="183"/>
    </row>
    <row r="27022" spans="1:38">
      <c r="A27022" s="182"/>
      <c r="Q27022" s="183"/>
      <c r="R27022" s="183"/>
      <c r="S27022" s="183"/>
      <c r="AJ27022" s="183"/>
      <c r="AK27022" s="183"/>
      <c r="AL27022" s="183"/>
    </row>
    <row r="27023" spans="1:38">
      <c r="A27023" s="182"/>
      <c r="Q27023" s="183"/>
      <c r="R27023" s="183"/>
      <c r="S27023" s="183"/>
      <c r="AJ27023" s="183"/>
    </row>
    <row r="27024" spans="1:38">
      <c r="A27024" s="182"/>
      <c r="Q27024" s="183"/>
      <c r="R27024" s="183"/>
      <c r="S27024" s="183"/>
    </row>
    <row r="27025" spans="1:38">
      <c r="A27025" s="182"/>
      <c r="Q27025" s="183"/>
      <c r="R27025" s="183"/>
      <c r="S27025" s="183"/>
    </row>
    <row r="27026" spans="1:38">
      <c r="A27026" s="182"/>
      <c r="Q27026" s="183"/>
      <c r="R27026" s="183"/>
      <c r="S27026" s="183"/>
    </row>
    <row r="27027" spans="1:38">
      <c r="A27027" s="182"/>
      <c r="Q27027" s="183"/>
      <c r="R27027" s="183"/>
      <c r="S27027" s="183"/>
    </row>
    <row r="27028" spans="1:38">
      <c r="A27028" s="182"/>
      <c r="Q27028" s="183"/>
      <c r="R27028" s="183"/>
      <c r="S27028" s="183"/>
    </row>
    <row r="27029" spans="1:38">
      <c r="A27029" s="182"/>
      <c r="Q27029" s="183"/>
      <c r="R27029" s="183"/>
      <c r="S27029" s="183"/>
    </row>
    <row r="27030" spans="1:38">
      <c r="A27030" s="182"/>
      <c r="Q27030" s="183"/>
      <c r="R27030" s="183"/>
      <c r="S27030" s="183"/>
    </row>
    <row r="27031" spans="1:38">
      <c r="A27031" s="182"/>
      <c r="Q27031" s="183"/>
      <c r="R27031" s="183"/>
      <c r="S27031" s="183"/>
      <c r="AK27031" s="183"/>
      <c r="AL27031" s="183"/>
    </row>
    <row r="27032" spans="1:38">
      <c r="A27032" s="182"/>
      <c r="Q27032" s="183"/>
      <c r="R27032" s="183"/>
      <c r="S27032" s="183"/>
      <c r="AJ27032" s="183"/>
      <c r="AK27032" s="183"/>
      <c r="AL27032" s="183"/>
    </row>
    <row r="27033" spans="1:38">
      <c r="A27033" s="182"/>
      <c r="Q27033" s="183"/>
      <c r="R27033" s="183"/>
      <c r="S27033" s="183"/>
      <c r="AJ27033" s="183"/>
      <c r="AK27033" s="183"/>
      <c r="AL27033" s="183"/>
    </row>
    <row r="27034" spans="1:38">
      <c r="A27034" s="182"/>
      <c r="Q27034" s="183"/>
      <c r="R27034" s="183"/>
      <c r="S27034" s="183"/>
      <c r="AJ27034" s="183"/>
      <c r="AK27034" s="183"/>
      <c r="AL27034" s="183"/>
    </row>
    <row r="27035" spans="1:38">
      <c r="A27035" s="182"/>
      <c r="Q27035" s="183"/>
      <c r="R27035" s="183"/>
      <c r="S27035" s="183"/>
      <c r="AJ27035" s="183"/>
    </row>
    <row r="27036" spans="1:38">
      <c r="A27036" s="182"/>
      <c r="Q27036" s="183"/>
      <c r="R27036" s="183"/>
      <c r="S27036" s="183"/>
    </row>
    <row r="27037" spans="1:38">
      <c r="A27037" s="182"/>
      <c r="Q27037" s="183"/>
      <c r="R27037" s="183"/>
      <c r="S27037" s="183"/>
    </row>
    <row r="27038" spans="1:38">
      <c r="A27038" s="182"/>
      <c r="Q27038" s="183"/>
      <c r="R27038" s="183"/>
      <c r="S27038" s="183"/>
    </row>
    <row r="27039" spans="1:38">
      <c r="A27039" s="182"/>
      <c r="Q27039" s="183"/>
      <c r="R27039" s="183"/>
      <c r="S27039" s="183"/>
    </row>
    <row r="27040" spans="1:38">
      <c r="A27040" s="182"/>
      <c r="Q27040" s="183"/>
      <c r="R27040" s="183"/>
      <c r="S27040" s="183"/>
    </row>
    <row r="27041" spans="1:38">
      <c r="A27041" s="182"/>
      <c r="Q27041" s="183"/>
      <c r="R27041" s="183"/>
      <c r="S27041" s="183"/>
    </row>
    <row r="27042" spans="1:38">
      <c r="A27042" s="182"/>
      <c r="Q27042" s="183"/>
      <c r="R27042" s="183"/>
      <c r="S27042" s="183"/>
    </row>
    <row r="27043" spans="1:38">
      <c r="A27043" s="182"/>
      <c r="Q27043" s="183"/>
      <c r="R27043" s="183"/>
      <c r="S27043" s="183"/>
    </row>
    <row r="27044" spans="1:38">
      <c r="A27044" s="182"/>
      <c r="Q27044" s="183"/>
      <c r="R27044" s="183"/>
      <c r="S27044" s="183"/>
    </row>
    <row r="27045" spans="1:38">
      <c r="A27045" s="182"/>
      <c r="Q27045" s="183"/>
      <c r="R27045" s="183"/>
      <c r="S27045" s="183"/>
    </row>
    <row r="27046" spans="1:38">
      <c r="A27046" s="182"/>
      <c r="Q27046" s="183"/>
      <c r="R27046" s="183"/>
      <c r="S27046" s="183"/>
    </row>
    <row r="27047" spans="1:38">
      <c r="A27047" s="182"/>
      <c r="Q27047" s="183"/>
      <c r="R27047" s="183"/>
      <c r="S27047" s="183"/>
      <c r="AK27047" s="183"/>
      <c r="AL27047" s="183"/>
    </row>
    <row r="27048" spans="1:38">
      <c r="A27048" s="182"/>
      <c r="Q27048" s="183"/>
      <c r="R27048" s="183"/>
      <c r="S27048" s="183"/>
      <c r="AJ27048" s="183"/>
      <c r="AK27048" s="183"/>
      <c r="AL27048" s="183"/>
    </row>
    <row r="27049" spans="1:38">
      <c r="A27049" s="182"/>
      <c r="Q27049" s="183"/>
      <c r="R27049" s="183"/>
      <c r="S27049" s="183"/>
      <c r="AJ27049" s="183"/>
      <c r="AK27049" s="183"/>
      <c r="AL27049" s="183"/>
    </row>
    <row r="27050" spans="1:38">
      <c r="A27050" s="182"/>
      <c r="Q27050" s="183"/>
      <c r="R27050" s="183"/>
      <c r="S27050" s="183"/>
      <c r="AJ27050" s="183"/>
      <c r="AK27050" s="183"/>
      <c r="AL27050" s="183"/>
    </row>
    <row r="27051" spans="1:38">
      <c r="A27051" s="182"/>
      <c r="Q27051" s="183"/>
      <c r="R27051" s="183"/>
      <c r="S27051" s="183"/>
      <c r="AJ27051" s="183"/>
      <c r="AK27051" s="183"/>
      <c r="AL27051" s="183"/>
    </row>
    <row r="27052" spans="1:38">
      <c r="A27052" s="182"/>
      <c r="Q27052" s="183"/>
      <c r="R27052" s="183"/>
      <c r="S27052" s="183"/>
      <c r="AJ27052" s="183"/>
      <c r="AK27052" s="183"/>
      <c r="AL27052" s="183"/>
    </row>
    <row r="27053" spans="1:38">
      <c r="A27053" s="182"/>
      <c r="Q27053" s="183"/>
      <c r="R27053" s="183"/>
      <c r="S27053" s="183"/>
      <c r="AJ27053" s="183"/>
      <c r="AK27053" s="183"/>
      <c r="AL27053" s="183"/>
    </row>
    <row r="27054" spans="1:38">
      <c r="A27054" s="182"/>
      <c r="Q27054" s="183"/>
      <c r="R27054" s="183"/>
      <c r="S27054" s="183"/>
      <c r="AJ27054" s="183"/>
      <c r="AK27054" s="183"/>
      <c r="AL27054" s="183"/>
    </row>
    <row r="27055" spans="1:38">
      <c r="A27055" s="182"/>
      <c r="Q27055" s="183"/>
      <c r="R27055" s="183"/>
      <c r="S27055" s="183"/>
      <c r="AJ27055" s="183"/>
      <c r="AK27055" s="183"/>
      <c r="AL27055" s="183"/>
    </row>
    <row r="27056" spans="1:38">
      <c r="A27056" s="182"/>
      <c r="Q27056" s="183"/>
      <c r="R27056" s="183"/>
      <c r="S27056" s="183"/>
      <c r="AJ27056" s="183"/>
      <c r="AK27056" s="183"/>
      <c r="AL27056" s="183"/>
    </row>
    <row r="27057" spans="1:38">
      <c r="A27057" s="182"/>
      <c r="Q27057" s="183"/>
      <c r="R27057" s="183"/>
      <c r="S27057" s="183"/>
      <c r="AJ27057" s="183"/>
      <c r="AK27057" s="183"/>
      <c r="AL27057" s="183"/>
    </row>
    <row r="27058" spans="1:38">
      <c r="A27058" s="182"/>
      <c r="Q27058" s="183"/>
      <c r="R27058" s="183"/>
      <c r="S27058" s="183"/>
      <c r="AJ27058" s="183"/>
      <c r="AK27058" s="183"/>
      <c r="AL27058" s="183"/>
    </row>
    <row r="27059" spans="1:38">
      <c r="A27059" s="182"/>
      <c r="Q27059" s="183"/>
      <c r="R27059" s="183"/>
      <c r="S27059" s="183"/>
      <c r="AJ27059" s="183"/>
    </row>
    <row r="27060" spans="1:38">
      <c r="A27060" s="182"/>
      <c r="Q27060" s="183"/>
      <c r="R27060" s="183"/>
      <c r="S27060" s="183"/>
    </row>
    <row r="27061" spans="1:38">
      <c r="A27061" s="182"/>
      <c r="Q27061" s="183"/>
      <c r="R27061" s="183"/>
      <c r="S27061" s="183"/>
    </row>
    <row r="27062" spans="1:38">
      <c r="A27062" s="182"/>
      <c r="Q27062" s="183"/>
      <c r="R27062" s="183"/>
      <c r="S27062" s="183"/>
    </row>
    <row r="27063" spans="1:38">
      <c r="A27063" s="182"/>
      <c r="Q27063" s="183"/>
      <c r="R27063" s="183"/>
      <c r="S27063" s="183"/>
      <c r="AK27063" s="183"/>
      <c r="AL27063" s="183"/>
    </row>
    <row r="27064" spans="1:38">
      <c r="A27064" s="182"/>
      <c r="Q27064" s="183"/>
      <c r="R27064" s="183"/>
      <c r="S27064" s="183"/>
      <c r="AJ27064" s="183"/>
      <c r="AK27064" s="183"/>
      <c r="AL27064" s="183"/>
    </row>
    <row r="27065" spans="1:38">
      <c r="A27065" s="182"/>
      <c r="Q27065" s="183"/>
      <c r="R27065" s="183"/>
      <c r="S27065" s="183"/>
      <c r="AJ27065" s="183"/>
      <c r="AK27065" s="183"/>
      <c r="AL27065" s="183"/>
    </row>
    <row r="27066" spans="1:38">
      <c r="A27066" s="182"/>
      <c r="Q27066" s="183"/>
      <c r="R27066" s="183"/>
      <c r="S27066" s="183"/>
      <c r="AJ27066" s="183"/>
      <c r="AK27066" s="183"/>
      <c r="AL27066" s="183"/>
    </row>
    <row r="27067" spans="1:38">
      <c r="A27067" s="182"/>
      <c r="Q27067" s="183"/>
      <c r="R27067" s="183"/>
      <c r="S27067" s="183"/>
      <c r="AJ27067" s="183"/>
      <c r="AK27067" s="183"/>
      <c r="AL27067" s="183"/>
    </row>
    <row r="27068" spans="1:38">
      <c r="A27068" s="182"/>
      <c r="Q27068" s="183"/>
      <c r="R27068" s="183"/>
      <c r="S27068" s="183"/>
      <c r="AJ27068" s="183"/>
      <c r="AK27068" s="183"/>
      <c r="AL27068" s="183"/>
    </row>
    <row r="27069" spans="1:38">
      <c r="A27069" s="182"/>
      <c r="Q27069" s="183"/>
      <c r="R27069" s="183"/>
      <c r="S27069" s="183"/>
      <c r="AJ27069" s="183"/>
      <c r="AK27069" s="183"/>
      <c r="AL27069" s="183"/>
    </row>
    <row r="27070" spans="1:38">
      <c r="A27070" s="182"/>
      <c r="Q27070" s="183"/>
      <c r="R27070" s="183"/>
      <c r="S27070" s="183"/>
      <c r="AJ27070" s="183"/>
      <c r="AK27070" s="183"/>
      <c r="AL27070" s="183"/>
    </row>
    <row r="27071" spans="1:38">
      <c r="A27071" s="182"/>
      <c r="Q27071" s="183"/>
      <c r="R27071" s="183"/>
      <c r="S27071" s="183"/>
      <c r="AJ27071" s="183"/>
    </row>
    <row r="27072" spans="1:38">
      <c r="A27072" s="182"/>
      <c r="Q27072" s="183"/>
      <c r="R27072" s="183"/>
      <c r="S27072" s="183"/>
    </row>
    <row r="27073" spans="1:38">
      <c r="A27073" s="182"/>
      <c r="Q27073" s="183"/>
      <c r="R27073" s="183"/>
      <c r="S27073" s="183"/>
    </row>
    <row r="27074" spans="1:38">
      <c r="A27074" s="182"/>
      <c r="Q27074" s="183"/>
      <c r="R27074" s="183"/>
      <c r="S27074" s="183"/>
    </row>
    <row r="27075" spans="1:38">
      <c r="A27075" s="182"/>
      <c r="Q27075" s="183"/>
      <c r="R27075" s="183"/>
      <c r="S27075" s="183"/>
    </row>
    <row r="27076" spans="1:38">
      <c r="A27076" s="182"/>
      <c r="Q27076" s="183"/>
      <c r="R27076" s="183"/>
      <c r="S27076" s="183"/>
    </row>
    <row r="27077" spans="1:38">
      <c r="A27077" s="182"/>
      <c r="Q27077" s="183"/>
      <c r="R27077" s="183"/>
      <c r="S27077" s="183"/>
    </row>
    <row r="27078" spans="1:38">
      <c r="A27078" s="182"/>
      <c r="Q27078" s="183"/>
      <c r="R27078" s="183"/>
      <c r="S27078" s="183"/>
    </row>
    <row r="27079" spans="1:38">
      <c r="A27079" s="182"/>
      <c r="Q27079" s="183"/>
      <c r="R27079" s="183"/>
      <c r="S27079" s="183"/>
    </row>
    <row r="27080" spans="1:38">
      <c r="A27080" s="182"/>
      <c r="Q27080" s="183"/>
      <c r="R27080" s="183"/>
      <c r="S27080" s="183"/>
    </row>
    <row r="27081" spans="1:38">
      <c r="A27081" s="182"/>
      <c r="Q27081" s="183"/>
      <c r="R27081" s="183"/>
      <c r="S27081" s="183"/>
    </row>
    <row r="27082" spans="1:38">
      <c r="A27082" s="182"/>
      <c r="Q27082" s="183"/>
      <c r="R27082" s="183"/>
      <c r="S27082" s="183"/>
    </row>
    <row r="27083" spans="1:38">
      <c r="A27083" s="182"/>
      <c r="Q27083" s="183"/>
      <c r="R27083" s="183"/>
      <c r="S27083" s="183"/>
      <c r="AK27083" s="183"/>
      <c r="AL27083" s="183"/>
    </row>
    <row r="27084" spans="1:38">
      <c r="A27084" s="182"/>
      <c r="Q27084" s="183"/>
      <c r="R27084" s="183"/>
      <c r="S27084" s="183"/>
      <c r="AJ27084" s="183"/>
      <c r="AK27084" s="183"/>
      <c r="AL27084" s="183"/>
    </row>
    <row r="27085" spans="1:38">
      <c r="A27085" s="182"/>
      <c r="Q27085" s="183"/>
      <c r="R27085" s="183"/>
      <c r="S27085" s="183"/>
      <c r="AJ27085" s="183"/>
      <c r="AK27085" s="183"/>
      <c r="AL27085" s="183"/>
    </row>
    <row r="27086" spans="1:38">
      <c r="A27086" s="182"/>
      <c r="Q27086" s="183"/>
      <c r="R27086" s="183"/>
      <c r="S27086" s="183"/>
      <c r="AJ27086" s="183"/>
      <c r="AK27086" s="183"/>
      <c r="AL27086" s="183"/>
    </row>
    <row r="27087" spans="1:38">
      <c r="A27087" s="182"/>
      <c r="Q27087" s="183"/>
      <c r="R27087" s="183"/>
      <c r="S27087" s="183"/>
      <c r="AJ27087" s="183"/>
    </row>
    <row r="27088" spans="1:38">
      <c r="A27088" s="182"/>
      <c r="Q27088" s="183"/>
      <c r="R27088" s="183"/>
      <c r="S27088" s="183"/>
    </row>
    <row r="27089" spans="1:38">
      <c r="A27089" s="182"/>
      <c r="Q27089" s="183"/>
      <c r="R27089" s="183"/>
      <c r="S27089" s="183"/>
    </row>
    <row r="27090" spans="1:38">
      <c r="A27090" s="182"/>
      <c r="Q27090" s="183"/>
      <c r="R27090" s="183"/>
      <c r="S27090" s="183"/>
    </row>
    <row r="27091" spans="1:38">
      <c r="A27091" s="182"/>
      <c r="Q27091" s="183"/>
      <c r="R27091" s="183"/>
      <c r="S27091" s="183"/>
    </row>
    <row r="27092" spans="1:38">
      <c r="A27092" s="182"/>
      <c r="Q27092" s="183"/>
      <c r="R27092" s="183"/>
      <c r="S27092" s="183"/>
    </row>
    <row r="27093" spans="1:38">
      <c r="A27093" s="182"/>
      <c r="Q27093" s="183"/>
      <c r="R27093" s="183"/>
      <c r="S27093" s="183"/>
    </row>
    <row r="27094" spans="1:38">
      <c r="A27094" s="182"/>
      <c r="Q27094" s="183"/>
      <c r="R27094" s="183"/>
      <c r="S27094" s="183"/>
    </row>
    <row r="27095" spans="1:38">
      <c r="A27095" s="182"/>
      <c r="Q27095" s="183"/>
      <c r="R27095" s="183"/>
      <c r="S27095" s="183"/>
      <c r="AK27095" s="183"/>
      <c r="AL27095" s="183"/>
    </row>
    <row r="27096" spans="1:38">
      <c r="A27096" s="182"/>
      <c r="Q27096" s="183"/>
      <c r="R27096" s="183"/>
      <c r="S27096" s="183"/>
      <c r="AJ27096" s="183"/>
      <c r="AK27096" s="183"/>
      <c r="AL27096" s="183"/>
    </row>
    <row r="27097" spans="1:38">
      <c r="A27097" s="182"/>
      <c r="Q27097" s="183"/>
      <c r="R27097" s="183"/>
      <c r="S27097" s="183"/>
      <c r="AJ27097" s="183"/>
      <c r="AK27097" s="183"/>
      <c r="AL27097" s="183"/>
    </row>
    <row r="27098" spans="1:38">
      <c r="A27098" s="182"/>
      <c r="Q27098" s="183"/>
      <c r="R27098" s="183"/>
      <c r="S27098" s="183"/>
      <c r="AJ27098" s="183"/>
      <c r="AK27098" s="183"/>
      <c r="AL27098" s="183"/>
    </row>
    <row r="27099" spans="1:38">
      <c r="A27099" s="182"/>
      <c r="Q27099" s="183"/>
      <c r="R27099" s="183"/>
      <c r="S27099" s="183"/>
      <c r="AJ27099" s="183"/>
    </row>
    <row r="27100" spans="1:38">
      <c r="A27100" s="182"/>
      <c r="Q27100" s="183"/>
      <c r="R27100" s="183"/>
      <c r="S27100" s="183"/>
    </row>
    <row r="27101" spans="1:38">
      <c r="A27101" s="182"/>
      <c r="Q27101" s="183"/>
      <c r="R27101" s="183"/>
      <c r="S27101" s="183"/>
    </row>
    <row r="27102" spans="1:38">
      <c r="A27102" s="182"/>
      <c r="Q27102" s="183"/>
      <c r="R27102" s="183"/>
      <c r="S27102" s="183"/>
    </row>
    <row r="27103" spans="1:38">
      <c r="A27103" s="182"/>
      <c r="Q27103" s="183"/>
      <c r="R27103" s="183"/>
      <c r="S27103" s="183"/>
    </row>
    <row r="27104" spans="1:38">
      <c r="A27104" s="182"/>
      <c r="Q27104" s="183"/>
      <c r="R27104" s="183"/>
      <c r="S27104" s="183"/>
    </row>
    <row r="27105" spans="1:38">
      <c r="A27105" s="182"/>
      <c r="Q27105" s="183"/>
      <c r="R27105" s="183"/>
      <c r="S27105" s="183"/>
    </row>
    <row r="27106" spans="1:38">
      <c r="A27106" s="182"/>
      <c r="Q27106" s="183"/>
      <c r="R27106" s="183"/>
      <c r="S27106" s="183"/>
    </row>
    <row r="27107" spans="1:38">
      <c r="A27107" s="182"/>
      <c r="Q27107" s="183"/>
      <c r="R27107" s="183"/>
      <c r="S27107" s="183"/>
      <c r="AK27107" s="183"/>
      <c r="AL27107" s="183"/>
    </row>
    <row r="27108" spans="1:38">
      <c r="A27108" s="182"/>
      <c r="Q27108" s="183"/>
      <c r="R27108" s="183"/>
      <c r="S27108" s="183"/>
      <c r="AJ27108" s="183"/>
      <c r="AK27108" s="183"/>
      <c r="AL27108" s="183"/>
    </row>
    <row r="27109" spans="1:38">
      <c r="A27109" s="182"/>
      <c r="Q27109" s="183"/>
      <c r="R27109" s="183"/>
      <c r="S27109" s="183"/>
      <c r="AJ27109" s="183"/>
      <c r="AK27109" s="183"/>
      <c r="AL27109" s="183"/>
    </row>
    <row r="27110" spans="1:38">
      <c r="A27110" s="182"/>
      <c r="Q27110" s="183"/>
      <c r="R27110" s="183"/>
      <c r="S27110" s="183"/>
      <c r="AJ27110" s="183"/>
      <c r="AK27110" s="183"/>
      <c r="AL27110" s="183"/>
    </row>
    <row r="27111" spans="1:38">
      <c r="A27111" s="182"/>
      <c r="Q27111" s="183"/>
      <c r="R27111" s="183"/>
      <c r="S27111" s="183"/>
      <c r="AJ27111" s="183"/>
    </row>
    <row r="27112" spans="1:38">
      <c r="A27112" s="182"/>
      <c r="Q27112" s="183"/>
      <c r="R27112" s="183"/>
      <c r="S27112" s="183"/>
    </row>
    <row r="27113" spans="1:38">
      <c r="A27113" s="182"/>
      <c r="Q27113" s="183"/>
      <c r="R27113" s="183"/>
      <c r="S27113" s="183"/>
    </row>
    <row r="27114" spans="1:38">
      <c r="A27114" s="182"/>
      <c r="Q27114" s="183"/>
      <c r="R27114" s="183"/>
      <c r="S27114" s="183"/>
    </row>
    <row r="27115" spans="1:38">
      <c r="A27115" s="182"/>
      <c r="Q27115" s="183"/>
      <c r="R27115" s="183"/>
      <c r="S27115" s="183"/>
    </row>
    <row r="27116" spans="1:38">
      <c r="A27116" s="182"/>
      <c r="Q27116" s="183"/>
      <c r="R27116" s="183"/>
      <c r="S27116" s="183"/>
    </row>
    <row r="27117" spans="1:38">
      <c r="A27117" s="182"/>
      <c r="Q27117" s="183"/>
      <c r="R27117" s="183"/>
      <c r="S27117" s="183"/>
    </row>
    <row r="27118" spans="1:38">
      <c r="A27118" s="182"/>
      <c r="Q27118" s="183"/>
      <c r="R27118" s="183"/>
      <c r="S27118" s="183"/>
    </row>
    <row r="27119" spans="1:38">
      <c r="A27119" s="182"/>
      <c r="Q27119" s="183"/>
      <c r="R27119" s="183"/>
      <c r="S27119" s="183"/>
    </row>
    <row r="27120" spans="1:38">
      <c r="A27120" s="182"/>
      <c r="Q27120" s="183"/>
      <c r="R27120" s="183"/>
      <c r="S27120" s="183"/>
    </row>
    <row r="27121" spans="1:38">
      <c r="A27121" s="182"/>
      <c r="Q27121" s="183"/>
      <c r="R27121" s="183"/>
      <c r="S27121" s="183"/>
    </row>
    <row r="27122" spans="1:38">
      <c r="A27122" s="182"/>
      <c r="Q27122" s="183"/>
      <c r="R27122" s="183"/>
      <c r="S27122" s="183"/>
    </row>
    <row r="27123" spans="1:38">
      <c r="A27123" s="182"/>
      <c r="Q27123" s="183"/>
      <c r="R27123" s="183"/>
      <c r="S27123" s="183"/>
      <c r="AK27123" s="183"/>
      <c r="AL27123" s="183"/>
    </row>
    <row r="27124" spans="1:38">
      <c r="A27124" s="182"/>
      <c r="Q27124" s="183"/>
      <c r="R27124" s="183"/>
      <c r="S27124" s="183"/>
      <c r="AJ27124" s="183"/>
      <c r="AK27124" s="183"/>
      <c r="AL27124" s="183"/>
    </row>
    <row r="27125" spans="1:38">
      <c r="A27125" s="182"/>
      <c r="Q27125" s="183"/>
      <c r="R27125" s="183"/>
      <c r="S27125" s="183"/>
      <c r="AJ27125" s="183"/>
      <c r="AK27125" s="183"/>
      <c r="AL27125" s="183"/>
    </row>
    <row r="27126" spans="1:38">
      <c r="A27126" s="182"/>
      <c r="Q27126" s="183"/>
      <c r="R27126" s="183"/>
      <c r="S27126" s="183"/>
      <c r="AJ27126" s="183"/>
      <c r="AK27126" s="183"/>
      <c r="AL27126" s="183"/>
    </row>
    <row r="27127" spans="1:38">
      <c r="A27127" s="182"/>
      <c r="Q27127" s="183"/>
      <c r="R27127" s="183"/>
      <c r="S27127" s="183"/>
      <c r="AJ27127" s="183"/>
    </row>
    <row r="27128" spans="1:38">
      <c r="A27128" s="182"/>
      <c r="Q27128" s="183"/>
      <c r="R27128" s="183"/>
      <c r="S27128" s="183"/>
    </row>
    <row r="27129" spans="1:38">
      <c r="A27129" s="182"/>
      <c r="Q27129" s="183"/>
      <c r="R27129" s="183"/>
      <c r="S27129" s="183"/>
    </row>
    <row r="27130" spans="1:38">
      <c r="A27130" s="182"/>
      <c r="Q27130" s="183"/>
      <c r="R27130" s="183"/>
      <c r="S27130" s="183"/>
    </row>
    <row r="27131" spans="1:38">
      <c r="A27131" s="182"/>
      <c r="Q27131" s="183"/>
      <c r="R27131" s="183"/>
      <c r="S27131" s="183"/>
      <c r="AK27131" s="183"/>
      <c r="AL27131" s="183"/>
    </row>
    <row r="27132" spans="1:38">
      <c r="A27132" s="182"/>
      <c r="Q27132" s="183"/>
      <c r="R27132" s="183"/>
      <c r="S27132" s="183"/>
      <c r="AJ27132" s="183"/>
      <c r="AK27132" s="183"/>
      <c r="AL27132" s="183"/>
    </row>
    <row r="27133" spans="1:38">
      <c r="A27133" s="182"/>
      <c r="Q27133" s="183"/>
      <c r="R27133" s="183"/>
      <c r="S27133" s="183"/>
      <c r="AJ27133" s="183"/>
      <c r="AK27133" s="183"/>
      <c r="AL27133" s="183"/>
    </row>
    <row r="27134" spans="1:38">
      <c r="A27134" s="182"/>
      <c r="Q27134" s="183"/>
      <c r="R27134" s="183"/>
      <c r="S27134" s="183"/>
      <c r="AJ27134" s="183"/>
      <c r="AK27134" s="183"/>
      <c r="AL27134" s="183"/>
    </row>
    <row r="27135" spans="1:38">
      <c r="A27135" s="182"/>
      <c r="Q27135" s="183"/>
      <c r="R27135" s="183"/>
      <c r="S27135" s="183"/>
      <c r="AJ27135" s="183"/>
    </row>
    <row r="27136" spans="1:38">
      <c r="A27136" s="182"/>
      <c r="Q27136" s="183"/>
      <c r="R27136" s="183"/>
      <c r="S27136" s="183"/>
    </row>
    <row r="27137" spans="1:38">
      <c r="A27137" s="182"/>
      <c r="Q27137" s="183"/>
      <c r="R27137" s="183"/>
      <c r="S27137" s="183"/>
    </row>
    <row r="27138" spans="1:38">
      <c r="A27138" s="182"/>
      <c r="Q27138" s="183"/>
      <c r="R27138" s="183"/>
      <c r="S27138" s="183"/>
    </row>
    <row r="27139" spans="1:38">
      <c r="A27139" s="182"/>
      <c r="Q27139" s="183"/>
      <c r="R27139" s="183"/>
      <c r="S27139" s="183"/>
    </row>
    <row r="27140" spans="1:38">
      <c r="A27140" s="182"/>
      <c r="Q27140" s="183"/>
      <c r="R27140" s="183"/>
      <c r="S27140" s="183"/>
    </row>
    <row r="27141" spans="1:38">
      <c r="A27141" s="182"/>
      <c r="Q27141" s="183"/>
      <c r="R27141" s="183"/>
      <c r="S27141" s="183"/>
    </row>
    <row r="27142" spans="1:38">
      <c r="A27142" s="182"/>
      <c r="Q27142" s="183"/>
      <c r="R27142" s="183"/>
      <c r="S27142" s="183"/>
    </row>
    <row r="27143" spans="1:38">
      <c r="A27143" s="182"/>
      <c r="Q27143" s="183"/>
      <c r="R27143" s="183"/>
      <c r="S27143" s="183"/>
    </row>
    <row r="27144" spans="1:38">
      <c r="A27144" s="182"/>
      <c r="Q27144" s="183"/>
      <c r="R27144" s="183"/>
      <c r="S27144" s="183"/>
    </row>
    <row r="27145" spans="1:38">
      <c r="A27145" s="182"/>
      <c r="Q27145" s="183"/>
      <c r="R27145" s="183"/>
      <c r="S27145" s="183"/>
    </row>
    <row r="27146" spans="1:38">
      <c r="A27146" s="182"/>
      <c r="Q27146" s="183"/>
      <c r="R27146" s="183"/>
      <c r="S27146" s="183"/>
    </row>
    <row r="27147" spans="1:38">
      <c r="A27147" s="182"/>
      <c r="Q27147" s="183"/>
      <c r="R27147" s="183"/>
      <c r="S27147" s="183"/>
      <c r="AK27147" s="183"/>
      <c r="AL27147" s="183"/>
    </row>
    <row r="27148" spans="1:38">
      <c r="A27148" s="182"/>
      <c r="Q27148" s="183"/>
      <c r="R27148" s="183"/>
      <c r="S27148" s="183"/>
      <c r="AJ27148" s="183"/>
      <c r="AK27148" s="183"/>
      <c r="AL27148" s="183"/>
    </row>
    <row r="27149" spans="1:38">
      <c r="A27149" s="182"/>
      <c r="Q27149" s="183"/>
      <c r="R27149" s="183"/>
      <c r="S27149" s="183"/>
      <c r="AJ27149" s="183"/>
      <c r="AK27149" s="183"/>
      <c r="AL27149" s="183"/>
    </row>
    <row r="27150" spans="1:38">
      <c r="A27150" s="182"/>
      <c r="Q27150" s="183"/>
      <c r="R27150" s="183"/>
      <c r="S27150" s="183"/>
      <c r="AJ27150" s="183"/>
      <c r="AK27150" s="183"/>
      <c r="AL27150" s="183"/>
    </row>
    <row r="27151" spans="1:38">
      <c r="A27151" s="182"/>
      <c r="Q27151" s="183"/>
      <c r="R27151" s="183"/>
      <c r="S27151" s="183"/>
      <c r="AJ27151" s="183"/>
      <c r="AK27151" s="183"/>
      <c r="AL27151" s="183"/>
    </row>
    <row r="27152" spans="1:38">
      <c r="A27152" s="182"/>
      <c r="Q27152" s="183"/>
      <c r="R27152" s="183"/>
      <c r="S27152" s="183"/>
      <c r="AJ27152" s="183"/>
      <c r="AK27152" s="183"/>
      <c r="AL27152" s="183"/>
    </row>
    <row r="27153" spans="1:38">
      <c r="A27153" s="182"/>
      <c r="Q27153" s="183"/>
      <c r="R27153" s="183"/>
      <c r="S27153" s="183"/>
      <c r="AJ27153" s="183"/>
      <c r="AK27153" s="183"/>
      <c r="AL27153" s="183"/>
    </row>
    <row r="27154" spans="1:38">
      <c r="A27154" s="182"/>
      <c r="Q27154" s="183"/>
      <c r="R27154" s="183"/>
      <c r="S27154" s="183"/>
      <c r="AJ27154" s="183"/>
      <c r="AK27154" s="183"/>
      <c r="AL27154" s="183"/>
    </row>
    <row r="27155" spans="1:38">
      <c r="A27155" s="182"/>
      <c r="Q27155" s="183"/>
      <c r="R27155" s="183"/>
      <c r="S27155" s="183"/>
      <c r="AJ27155" s="183"/>
      <c r="AK27155" s="183"/>
      <c r="AL27155" s="183"/>
    </row>
    <row r="27156" spans="1:38">
      <c r="A27156" s="182"/>
      <c r="Q27156" s="183"/>
      <c r="R27156" s="183"/>
      <c r="S27156" s="183"/>
      <c r="AJ27156" s="183"/>
      <c r="AK27156" s="183"/>
      <c r="AL27156" s="183"/>
    </row>
    <row r="27157" spans="1:38">
      <c r="A27157" s="182"/>
      <c r="Q27157" s="183"/>
      <c r="R27157" s="183"/>
      <c r="S27157" s="183"/>
      <c r="AJ27157" s="183"/>
      <c r="AK27157" s="183"/>
      <c r="AL27157" s="183"/>
    </row>
    <row r="27158" spans="1:38">
      <c r="A27158" s="182"/>
      <c r="Q27158" s="183"/>
      <c r="R27158" s="183"/>
      <c r="S27158" s="183"/>
      <c r="AJ27158" s="183"/>
      <c r="AK27158" s="183"/>
      <c r="AL27158" s="183"/>
    </row>
    <row r="27159" spans="1:38">
      <c r="A27159" s="182"/>
      <c r="Q27159" s="183"/>
      <c r="R27159" s="183"/>
      <c r="S27159" s="183"/>
      <c r="AJ27159" s="183"/>
      <c r="AK27159" s="183"/>
      <c r="AL27159" s="183"/>
    </row>
    <row r="27160" spans="1:38">
      <c r="A27160" s="182"/>
      <c r="Q27160" s="183"/>
      <c r="R27160" s="183"/>
      <c r="S27160" s="183"/>
      <c r="AJ27160" s="183"/>
      <c r="AK27160" s="183"/>
      <c r="AL27160" s="183"/>
    </row>
    <row r="27161" spans="1:38">
      <c r="A27161" s="182"/>
      <c r="Q27161" s="183"/>
      <c r="R27161" s="183"/>
      <c r="S27161" s="183"/>
      <c r="AJ27161" s="183"/>
      <c r="AK27161" s="183"/>
      <c r="AL27161" s="183"/>
    </row>
    <row r="27162" spans="1:38">
      <c r="A27162" s="182"/>
      <c r="Q27162" s="183"/>
      <c r="R27162" s="183"/>
      <c r="S27162" s="183"/>
      <c r="AJ27162" s="183"/>
      <c r="AK27162" s="183"/>
      <c r="AL27162" s="183"/>
    </row>
    <row r="27163" spans="1:38">
      <c r="A27163" s="182"/>
      <c r="Q27163" s="183"/>
      <c r="R27163" s="183"/>
      <c r="S27163" s="183"/>
      <c r="AJ27163" s="183"/>
      <c r="AK27163" s="183"/>
      <c r="AL27163" s="183"/>
    </row>
    <row r="27164" spans="1:38">
      <c r="A27164" s="182"/>
      <c r="Q27164" s="183"/>
      <c r="R27164" s="183"/>
      <c r="S27164" s="183"/>
      <c r="AJ27164" s="183"/>
      <c r="AK27164" s="183"/>
      <c r="AL27164" s="183"/>
    </row>
    <row r="27165" spans="1:38">
      <c r="A27165" s="182"/>
      <c r="Q27165" s="183"/>
      <c r="R27165" s="183"/>
      <c r="S27165" s="183"/>
      <c r="AJ27165" s="183"/>
      <c r="AK27165" s="183"/>
      <c r="AL27165" s="183"/>
    </row>
    <row r="27166" spans="1:38">
      <c r="A27166" s="182"/>
      <c r="Q27166" s="183"/>
      <c r="R27166" s="183"/>
      <c r="S27166" s="183"/>
      <c r="AJ27166" s="183"/>
      <c r="AK27166" s="183"/>
      <c r="AL27166" s="183"/>
    </row>
    <row r="27167" spans="1:38">
      <c r="A27167" s="182"/>
      <c r="Q27167" s="183"/>
      <c r="R27167" s="183"/>
      <c r="S27167" s="183"/>
      <c r="AJ27167" s="183"/>
    </row>
    <row r="27168" spans="1:38">
      <c r="A27168" s="182"/>
      <c r="Q27168" s="183"/>
      <c r="R27168" s="183"/>
      <c r="S27168" s="183"/>
    </row>
    <row r="27169" spans="1:19">
      <c r="A27169" s="182"/>
      <c r="Q27169" s="183"/>
      <c r="R27169" s="183"/>
      <c r="S27169" s="183"/>
    </row>
    <row r="27170" spans="1:19">
      <c r="A27170" s="182"/>
      <c r="Q27170" s="183"/>
      <c r="R27170" s="183"/>
      <c r="S27170" s="183"/>
    </row>
    <row r="27171" spans="1:19">
      <c r="A27171" s="182"/>
      <c r="Q27171" s="183"/>
      <c r="R27171" s="183"/>
      <c r="S27171" s="183"/>
    </row>
    <row r="27172" spans="1:19">
      <c r="A27172" s="182"/>
      <c r="Q27172" s="183"/>
      <c r="R27172" s="183"/>
      <c r="S27172" s="183"/>
    </row>
    <row r="27173" spans="1:19">
      <c r="A27173" s="182"/>
      <c r="Q27173" s="183"/>
      <c r="R27173" s="183"/>
      <c r="S27173" s="183"/>
    </row>
    <row r="27174" spans="1:19">
      <c r="A27174" s="182"/>
      <c r="Q27174" s="183"/>
      <c r="R27174" s="183"/>
      <c r="S27174" s="183"/>
    </row>
    <row r="27175" spans="1:19">
      <c r="A27175" s="182"/>
      <c r="Q27175" s="183"/>
      <c r="R27175" s="183"/>
      <c r="S27175" s="183"/>
    </row>
    <row r="27176" spans="1:19">
      <c r="A27176" s="182"/>
      <c r="Q27176" s="183"/>
      <c r="R27176" s="183"/>
      <c r="S27176" s="183"/>
    </row>
    <row r="27177" spans="1:19">
      <c r="A27177" s="182"/>
      <c r="Q27177" s="183"/>
      <c r="R27177" s="183"/>
      <c r="S27177" s="183"/>
    </row>
    <row r="27178" spans="1:19">
      <c r="A27178" s="182"/>
      <c r="Q27178" s="183"/>
      <c r="R27178" s="183"/>
      <c r="S27178" s="183"/>
    </row>
    <row r="27179" spans="1:19">
      <c r="A27179" s="182"/>
      <c r="Q27179" s="183"/>
      <c r="R27179" s="183"/>
      <c r="S27179" s="183"/>
    </row>
    <row r="27180" spans="1:19">
      <c r="A27180" s="182"/>
      <c r="Q27180" s="183"/>
      <c r="R27180" s="183"/>
      <c r="S27180" s="183"/>
    </row>
    <row r="27181" spans="1:19">
      <c r="A27181" s="182"/>
      <c r="Q27181" s="183"/>
      <c r="R27181" s="183"/>
      <c r="S27181" s="183"/>
    </row>
    <row r="27182" spans="1:19">
      <c r="A27182" s="182"/>
      <c r="Q27182" s="183"/>
      <c r="R27182" s="183"/>
      <c r="S27182" s="183"/>
    </row>
    <row r="27183" spans="1:19">
      <c r="A27183" s="182"/>
      <c r="Q27183" s="183"/>
      <c r="R27183" s="183"/>
      <c r="S27183" s="183"/>
    </row>
    <row r="27184" spans="1:19">
      <c r="A27184" s="182"/>
      <c r="Q27184" s="183"/>
      <c r="R27184" s="183"/>
      <c r="S27184" s="183"/>
    </row>
    <row r="27185" spans="1:38">
      <c r="A27185" s="182"/>
      <c r="Q27185" s="183"/>
      <c r="R27185" s="183"/>
      <c r="S27185" s="183"/>
    </row>
    <row r="27186" spans="1:38">
      <c r="A27186" s="182"/>
      <c r="Q27186" s="183"/>
      <c r="R27186" s="183"/>
      <c r="S27186" s="183"/>
    </row>
    <row r="27187" spans="1:38">
      <c r="A27187" s="182"/>
      <c r="Q27187" s="183"/>
      <c r="R27187" s="183"/>
      <c r="S27187" s="183"/>
    </row>
    <row r="27188" spans="1:38">
      <c r="A27188" s="182"/>
      <c r="Q27188" s="183"/>
      <c r="R27188" s="183"/>
      <c r="S27188" s="183"/>
    </row>
    <row r="27189" spans="1:38">
      <c r="A27189" s="182"/>
      <c r="Q27189" s="183"/>
      <c r="R27189" s="183"/>
      <c r="S27189" s="183"/>
    </row>
    <row r="27190" spans="1:38">
      <c r="A27190" s="182"/>
      <c r="Q27190" s="183"/>
      <c r="R27190" s="183"/>
      <c r="S27190" s="183"/>
    </row>
    <row r="27191" spans="1:38">
      <c r="A27191" s="182"/>
      <c r="Q27191" s="183"/>
      <c r="R27191" s="183"/>
      <c r="S27191" s="183"/>
      <c r="AK27191" s="183"/>
      <c r="AL27191" s="183"/>
    </row>
    <row r="27192" spans="1:38">
      <c r="A27192" s="182"/>
      <c r="Q27192" s="183"/>
      <c r="R27192" s="183"/>
      <c r="S27192" s="183"/>
      <c r="AJ27192" s="183"/>
      <c r="AK27192" s="183"/>
      <c r="AL27192" s="183"/>
    </row>
    <row r="27193" spans="1:38">
      <c r="A27193" s="182"/>
      <c r="Q27193" s="183"/>
      <c r="R27193" s="183"/>
      <c r="S27193" s="183"/>
      <c r="AJ27193" s="183"/>
      <c r="AK27193" s="183"/>
      <c r="AL27193" s="183"/>
    </row>
    <row r="27194" spans="1:38">
      <c r="A27194" s="182"/>
      <c r="Q27194" s="183"/>
      <c r="R27194" s="183"/>
      <c r="S27194" s="183"/>
      <c r="AJ27194" s="183"/>
      <c r="AK27194" s="183"/>
      <c r="AL27194" s="183"/>
    </row>
    <row r="27195" spans="1:38">
      <c r="A27195" s="182"/>
      <c r="Q27195" s="183"/>
      <c r="R27195" s="183"/>
      <c r="S27195" s="183"/>
      <c r="AJ27195" s="183"/>
      <c r="AK27195" s="183"/>
      <c r="AL27195" s="183"/>
    </row>
    <row r="27196" spans="1:38">
      <c r="A27196" s="182"/>
      <c r="Q27196" s="183"/>
      <c r="R27196" s="183"/>
      <c r="S27196" s="183"/>
      <c r="AJ27196" s="183"/>
      <c r="AK27196" s="183"/>
      <c r="AL27196" s="183"/>
    </row>
    <row r="27197" spans="1:38">
      <c r="A27197" s="182"/>
      <c r="Q27197" s="183"/>
      <c r="R27197" s="183"/>
      <c r="S27197" s="183"/>
      <c r="AJ27197" s="183"/>
      <c r="AK27197" s="183"/>
      <c r="AL27197" s="183"/>
    </row>
    <row r="27198" spans="1:38">
      <c r="A27198" s="182"/>
      <c r="Q27198" s="183"/>
      <c r="R27198" s="183"/>
      <c r="S27198" s="183"/>
      <c r="AJ27198" s="183"/>
      <c r="AK27198" s="183"/>
      <c r="AL27198" s="183"/>
    </row>
    <row r="27199" spans="1:38">
      <c r="A27199" s="182"/>
      <c r="Q27199" s="183"/>
      <c r="R27199" s="183"/>
      <c r="S27199" s="183"/>
      <c r="AJ27199" s="183"/>
    </row>
    <row r="27200" spans="1:38">
      <c r="A27200" s="182"/>
      <c r="Q27200" s="183"/>
      <c r="R27200" s="183"/>
      <c r="S27200" s="183"/>
    </row>
    <row r="27201" spans="1:38">
      <c r="A27201" s="182"/>
      <c r="Q27201" s="183"/>
      <c r="R27201" s="183"/>
      <c r="S27201" s="183"/>
    </row>
    <row r="27202" spans="1:38">
      <c r="A27202" s="182"/>
      <c r="Q27202" s="183"/>
      <c r="R27202" s="183"/>
      <c r="S27202" s="183"/>
    </row>
    <row r="27203" spans="1:38">
      <c r="A27203" s="182"/>
      <c r="Q27203" s="183"/>
      <c r="R27203" s="183"/>
      <c r="S27203" s="183"/>
      <c r="AK27203" s="183"/>
      <c r="AL27203" s="183"/>
    </row>
    <row r="27204" spans="1:38">
      <c r="A27204" s="182"/>
      <c r="Q27204" s="183"/>
      <c r="R27204" s="183"/>
      <c r="S27204" s="183"/>
      <c r="AJ27204" s="183"/>
      <c r="AK27204" s="183"/>
      <c r="AL27204" s="183"/>
    </row>
    <row r="27205" spans="1:38">
      <c r="A27205" s="182"/>
      <c r="Q27205" s="183"/>
      <c r="R27205" s="183"/>
      <c r="S27205" s="183"/>
      <c r="AJ27205" s="183"/>
      <c r="AK27205" s="183"/>
      <c r="AL27205" s="183"/>
    </row>
    <row r="27206" spans="1:38">
      <c r="A27206" s="182"/>
      <c r="Q27206" s="183"/>
      <c r="R27206" s="183"/>
      <c r="S27206" s="183"/>
      <c r="AJ27206" s="183"/>
      <c r="AK27206" s="183"/>
      <c r="AL27206" s="183"/>
    </row>
    <row r="27207" spans="1:38">
      <c r="A27207" s="182"/>
      <c r="Q27207" s="183"/>
      <c r="R27207" s="183"/>
      <c r="S27207" s="183"/>
      <c r="AJ27207" s="183"/>
    </row>
    <row r="27208" spans="1:38">
      <c r="A27208" s="182"/>
      <c r="Q27208" s="183"/>
      <c r="R27208" s="183"/>
      <c r="S27208" s="183"/>
    </row>
    <row r="27209" spans="1:38">
      <c r="A27209" s="182"/>
      <c r="Q27209" s="183"/>
      <c r="R27209" s="183"/>
      <c r="S27209" s="183"/>
    </row>
    <row r="27210" spans="1:38">
      <c r="A27210" s="182"/>
      <c r="Q27210" s="183"/>
      <c r="R27210" s="183"/>
      <c r="S27210" s="183"/>
    </row>
    <row r="27211" spans="1:38">
      <c r="A27211" s="182"/>
      <c r="Q27211" s="183"/>
      <c r="R27211" s="183"/>
      <c r="S27211" s="183"/>
    </row>
    <row r="27212" spans="1:38">
      <c r="A27212" s="182"/>
      <c r="Q27212" s="183"/>
      <c r="R27212" s="183"/>
      <c r="S27212" s="183"/>
    </row>
    <row r="27213" spans="1:38">
      <c r="A27213" s="182"/>
      <c r="Q27213" s="183"/>
      <c r="R27213" s="183"/>
      <c r="S27213" s="183"/>
    </row>
    <row r="27214" spans="1:38">
      <c r="A27214" s="182"/>
      <c r="Q27214" s="183"/>
      <c r="R27214" s="183"/>
      <c r="S27214" s="183"/>
    </row>
    <row r="27215" spans="1:38">
      <c r="A27215" s="182"/>
      <c r="Q27215" s="183"/>
      <c r="R27215" s="183"/>
      <c r="S27215" s="183"/>
    </row>
    <row r="27216" spans="1:38">
      <c r="A27216" s="182"/>
      <c r="Q27216" s="183"/>
      <c r="R27216" s="183"/>
      <c r="S27216" s="183"/>
    </row>
    <row r="27217" spans="1:38">
      <c r="A27217" s="182"/>
      <c r="Q27217" s="183"/>
      <c r="R27217" s="183"/>
      <c r="S27217" s="183"/>
    </row>
    <row r="27218" spans="1:38">
      <c r="A27218" s="182"/>
      <c r="Q27218" s="183"/>
      <c r="R27218" s="183"/>
      <c r="S27218" s="183"/>
    </row>
    <row r="27219" spans="1:38">
      <c r="A27219" s="182"/>
      <c r="Q27219" s="183"/>
      <c r="R27219" s="183"/>
      <c r="S27219" s="183"/>
    </row>
    <row r="27220" spans="1:38">
      <c r="A27220" s="182"/>
      <c r="Q27220" s="183"/>
      <c r="R27220" s="183"/>
      <c r="S27220" s="183"/>
    </row>
    <row r="27221" spans="1:38">
      <c r="A27221" s="182"/>
      <c r="Q27221" s="183"/>
      <c r="R27221" s="183"/>
      <c r="S27221" s="183"/>
    </row>
    <row r="27222" spans="1:38">
      <c r="A27222" s="182"/>
      <c r="Q27222" s="183"/>
      <c r="R27222" s="183"/>
      <c r="S27222" s="183"/>
    </row>
    <row r="27223" spans="1:38">
      <c r="A27223" s="182"/>
      <c r="Q27223" s="183"/>
      <c r="R27223" s="183"/>
      <c r="S27223" s="183"/>
      <c r="AK27223" s="183"/>
      <c r="AL27223" s="183"/>
    </row>
    <row r="27224" spans="1:38">
      <c r="A27224" s="182"/>
      <c r="Q27224" s="183"/>
      <c r="R27224" s="183"/>
      <c r="S27224" s="183"/>
      <c r="AJ27224" s="183"/>
      <c r="AK27224" s="183"/>
      <c r="AL27224" s="183"/>
    </row>
    <row r="27225" spans="1:38">
      <c r="A27225" s="182"/>
      <c r="Q27225" s="183"/>
      <c r="R27225" s="183"/>
      <c r="S27225" s="183"/>
      <c r="AJ27225" s="183"/>
      <c r="AK27225" s="183"/>
      <c r="AL27225" s="183"/>
    </row>
    <row r="27226" spans="1:38">
      <c r="A27226" s="182"/>
      <c r="Q27226" s="183"/>
      <c r="R27226" s="183"/>
      <c r="S27226" s="183"/>
      <c r="AJ27226" s="183"/>
      <c r="AK27226" s="183"/>
      <c r="AL27226" s="183"/>
    </row>
    <row r="27227" spans="1:38">
      <c r="A27227" s="182"/>
      <c r="Q27227" s="183"/>
      <c r="R27227" s="183"/>
      <c r="S27227" s="183"/>
      <c r="AJ27227" s="183"/>
    </row>
    <row r="27228" spans="1:38">
      <c r="A27228" s="182"/>
      <c r="Q27228" s="183"/>
      <c r="R27228" s="183"/>
      <c r="S27228" s="183"/>
    </row>
    <row r="27229" spans="1:38">
      <c r="A27229" s="182"/>
      <c r="Q27229" s="183"/>
      <c r="R27229" s="183"/>
      <c r="S27229" s="183"/>
    </row>
    <row r="27230" spans="1:38">
      <c r="A27230" s="182"/>
      <c r="Q27230" s="183"/>
      <c r="R27230" s="183"/>
      <c r="S27230" s="183"/>
    </row>
    <row r="27231" spans="1:38">
      <c r="A27231" s="182"/>
      <c r="Q27231" s="183"/>
      <c r="R27231" s="183"/>
      <c r="S27231" s="183"/>
      <c r="AK27231" s="183"/>
      <c r="AL27231" s="183"/>
    </row>
    <row r="27232" spans="1:38">
      <c r="A27232" s="182"/>
      <c r="Q27232" s="183"/>
      <c r="R27232" s="183"/>
      <c r="S27232" s="183"/>
      <c r="AJ27232" s="183"/>
      <c r="AK27232" s="183"/>
      <c r="AL27232" s="183"/>
    </row>
    <row r="27233" spans="1:38">
      <c r="A27233" s="182"/>
      <c r="Q27233" s="183"/>
      <c r="R27233" s="183"/>
      <c r="S27233" s="183"/>
      <c r="AJ27233" s="183"/>
      <c r="AK27233" s="183"/>
      <c r="AL27233" s="183"/>
    </row>
    <row r="27234" spans="1:38">
      <c r="A27234" s="182"/>
      <c r="Q27234" s="183"/>
      <c r="R27234" s="183"/>
      <c r="S27234" s="183"/>
      <c r="AJ27234" s="183"/>
      <c r="AK27234" s="183"/>
      <c r="AL27234" s="183"/>
    </row>
    <row r="27235" spans="1:38">
      <c r="A27235" s="182"/>
      <c r="Q27235" s="183"/>
      <c r="R27235" s="183"/>
      <c r="S27235" s="183"/>
      <c r="AJ27235" s="183"/>
    </row>
    <row r="27236" spans="1:38">
      <c r="A27236" s="182"/>
      <c r="Q27236" s="183"/>
      <c r="R27236" s="183"/>
      <c r="S27236" s="183"/>
    </row>
    <row r="27237" spans="1:38">
      <c r="A27237" s="182"/>
      <c r="Q27237" s="183"/>
      <c r="R27237" s="183"/>
      <c r="S27237" s="183"/>
    </row>
    <row r="27238" spans="1:38">
      <c r="A27238" s="182"/>
      <c r="Q27238" s="183"/>
      <c r="R27238" s="183"/>
      <c r="S27238" s="183"/>
    </row>
    <row r="27239" spans="1:38">
      <c r="A27239" s="182"/>
      <c r="Q27239" s="183"/>
      <c r="R27239" s="183"/>
      <c r="S27239" s="183"/>
    </row>
    <row r="27240" spans="1:38">
      <c r="A27240" s="182"/>
      <c r="Q27240" s="183"/>
      <c r="R27240" s="183"/>
      <c r="S27240" s="183"/>
    </row>
    <row r="27241" spans="1:38">
      <c r="A27241" s="182"/>
      <c r="Q27241" s="183"/>
      <c r="R27241" s="183"/>
      <c r="S27241" s="183"/>
    </row>
    <row r="27242" spans="1:38">
      <c r="A27242" s="182"/>
      <c r="Q27242" s="183"/>
      <c r="R27242" s="183"/>
      <c r="S27242" s="183"/>
    </row>
    <row r="27243" spans="1:38">
      <c r="A27243" s="182"/>
      <c r="Q27243" s="183"/>
      <c r="R27243" s="183"/>
      <c r="S27243" s="183"/>
      <c r="AK27243" s="183"/>
      <c r="AL27243" s="183"/>
    </row>
    <row r="27244" spans="1:38">
      <c r="A27244" s="182"/>
      <c r="Q27244" s="183"/>
      <c r="R27244" s="183"/>
      <c r="S27244" s="183"/>
      <c r="AJ27244" s="183"/>
    </row>
    <row r="27245" spans="1:38">
      <c r="A27245" s="182"/>
      <c r="Q27245" s="183"/>
      <c r="R27245" s="183"/>
      <c r="S27245" s="183"/>
    </row>
    <row r="27246" spans="1:38">
      <c r="A27246" s="182"/>
      <c r="Q27246" s="183"/>
      <c r="R27246" s="183"/>
      <c r="S27246" s="183"/>
    </row>
    <row r="27247" spans="1:38">
      <c r="A27247" s="182"/>
      <c r="Q27247" s="183"/>
      <c r="R27247" s="183"/>
      <c r="S27247" s="183"/>
    </row>
    <row r="27248" spans="1:38">
      <c r="A27248" s="182"/>
      <c r="Q27248" s="183"/>
      <c r="R27248" s="183"/>
      <c r="S27248" s="183"/>
    </row>
    <row r="27249" spans="1:38">
      <c r="A27249" s="182"/>
      <c r="Q27249" s="183"/>
      <c r="R27249" s="183"/>
      <c r="S27249" s="183"/>
    </row>
    <row r="27250" spans="1:38">
      <c r="A27250" s="182"/>
      <c r="Q27250" s="183"/>
      <c r="R27250" s="183"/>
      <c r="S27250" s="183"/>
    </row>
    <row r="27251" spans="1:38">
      <c r="A27251" s="182"/>
      <c r="Q27251" s="183"/>
      <c r="R27251" s="183"/>
      <c r="S27251" s="183"/>
    </row>
    <row r="27252" spans="1:38">
      <c r="A27252" s="182"/>
      <c r="Q27252" s="183"/>
      <c r="R27252" s="183"/>
      <c r="S27252" s="183"/>
    </row>
    <row r="27253" spans="1:38">
      <c r="A27253" s="182"/>
      <c r="Q27253" s="183"/>
      <c r="R27253" s="183"/>
      <c r="S27253" s="183"/>
    </row>
    <row r="27254" spans="1:38">
      <c r="A27254" s="182"/>
      <c r="Q27254" s="183"/>
      <c r="R27254" s="183"/>
      <c r="S27254" s="183"/>
    </row>
    <row r="27255" spans="1:38">
      <c r="A27255" s="182"/>
      <c r="Q27255" s="183"/>
      <c r="R27255" s="183"/>
      <c r="S27255" s="183"/>
      <c r="AK27255" s="183"/>
      <c r="AL27255" s="183"/>
    </row>
    <row r="27256" spans="1:38">
      <c r="A27256" s="182"/>
      <c r="Q27256" s="183"/>
      <c r="R27256" s="183"/>
      <c r="S27256" s="183"/>
      <c r="AJ27256" s="183"/>
      <c r="AK27256" s="183"/>
      <c r="AL27256" s="183"/>
    </row>
    <row r="27257" spans="1:38">
      <c r="A27257" s="182"/>
      <c r="Q27257" s="183"/>
      <c r="R27257" s="183"/>
      <c r="S27257" s="183"/>
      <c r="AJ27257" s="183"/>
      <c r="AK27257" s="183"/>
      <c r="AL27257" s="183"/>
    </row>
    <row r="27258" spans="1:38">
      <c r="A27258" s="182"/>
      <c r="Q27258" s="183"/>
      <c r="R27258" s="183"/>
      <c r="S27258" s="183"/>
      <c r="AJ27258" s="183"/>
      <c r="AK27258" s="183"/>
      <c r="AL27258" s="183"/>
    </row>
    <row r="27259" spans="1:38">
      <c r="A27259" s="182"/>
      <c r="Q27259" s="183"/>
      <c r="R27259" s="183"/>
      <c r="S27259" s="183"/>
      <c r="AJ27259" s="183"/>
      <c r="AK27259" s="183"/>
      <c r="AL27259" s="183"/>
    </row>
    <row r="27260" spans="1:38">
      <c r="A27260" s="182"/>
      <c r="Q27260" s="183"/>
      <c r="R27260" s="183"/>
      <c r="S27260" s="183"/>
      <c r="AJ27260" s="183"/>
      <c r="AK27260" s="183"/>
      <c r="AL27260" s="183"/>
    </row>
    <row r="27261" spans="1:38">
      <c r="A27261" s="182"/>
      <c r="Q27261" s="183"/>
      <c r="R27261" s="183"/>
      <c r="S27261" s="183"/>
      <c r="AJ27261" s="183"/>
      <c r="AK27261" s="183"/>
      <c r="AL27261" s="183"/>
    </row>
    <row r="27262" spans="1:38">
      <c r="A27262" s="182"/>
      <c r="Q27262" s="183"/>
      <c r="R27262" s="183"/>
      <c r="S27262" s="183"/>
      <c r="AJ27262" s="183"/>
      <c r="AK27262" s="183"/>
      <c r="AL27262" s="183"/>
    </row>
    <row r="27263" spans="1:38">
      <c r="A27263" s="182"/>
      <c r="Q27263" s="183"/>
      <c r="R27263" s="183"/>
      <c r="S27263" s="183"/>
      <c r="AJ27263" s="183"/>
      <c r="AK27263" s="183"/>
      <c r="AL27263" s="183"/>
    </row>
    <row r="27264" spans="1:38">
      <c r="A27264" s="182"/>
      <c r="Q27264" s="183"/>
      <c r="R27264" s="183"/>
      <c r="S27264" s="183"/>
      <c r="AJ27264" s="183"/>
      <c r="AK27264" s="183"/>
      <c r="AL27264" s="183"/>
    </row>
    <row r="27265" spans="1:38">
      <c r="A27265" s="182"/>
      <c r="Q27265" s="183"/>
      <c r="R27265" s="183"/>
      <c r="S27265" s="183"/>
      <c r="AJ27265" s="183"/>
      <c r="AK27265" s="183"/>
      <c r="AL27265" s="183"/>
    </row>
    <row r="27266" spans="1:38">
      <c r="A27266" s="182"/>
      <c r="Q27266" s="183"/>
      <c r="R27266" s="183"/>
      <c r="S27266" s="183"/>
      <c r="AJ27266" s="183"/>
      <c r="AK27266" s="183"/>
      <c r="AL27266" s="183"/>
    </row>
    <row r="27267" spans="1:38">
      <c r="A27267" s="182"/>
      <c r="Q27267" s="183"/>
      <c r="R27267" s="183"/>
      <c r="S27267" s="183"/>
      <c r="AJ27267" s="183"/>
    </row>
    <row r="27268" spans="1:38">
      <c r="A27268" s="182"/>
      <c r="Q27268" s="183"/>
      <c r="R27268" s="183"/>
      <c r="S27268" s="183"/>
    </row>
    <row r="27269" spans="1:38">
      <c r="A27269" s="182"/>
      <c r="Q27269" s="183"/>
      <c r="R27269" s="183"/>
      <c r="S27269" s="183"/>
    </row>
    <row r="27270" spans="1:38">
      <c r="A27270" s="182"/>
      <c r="Q27270" s="183"/>
      <c r="R27270" s="183"/>
      <c r="S27270" s="183"/>
    </row>
    <row r="27271" spans="1:38">
      <c r="A27271" s="182"/>
      <c r="Q27271" s="183"/>
      <c r="R27271" s="183"/>
      <c r="S27271" s="183"/>
    </row>
    <row r="27272" spans="1:38">
      <c r="A27272" s="182"/>
      <c r="Q27272" s="183"/>
      <c r="R27272" s="183"/>
      <c r="S27272" s="183"/>
    </row>
    <row r="27273" spans="1:38">
      <c r="A27273" s="182"/>
      <c r="Q27273" s="183"/>
      <c r="R27273" s="183"/>
      <c r="S27273" s="183"/>
    </row>
    <row r="27274" spans="1:38">
      <c r="A27274" s="182"/>
      <c r="Q27274" s="183"/>
      <c r="R27274" s="183"/>
      <c r="S27274" s="183"/>
    </row>
    <row r="27275" spans="1:38">
      <c r="A27275" s="182"/>
      <c r="Q27275" s="183"/>
      <c r="R27275" s="183"/>
      <c r="S27275" s="183"/>
    </row>
    <row r="27276" spans="1:38">
      <c r="A27276" s="182"/>
      <c r="Q27276" s="183"/>
      <c r="R27276" s="183"/>
      <c r="S27276" s="183"/>
    </row>
    <row r="27277" spans="1:38">
      <c r="A27277" s="182"/>
      <c r="Q27277" s="183"/>
      <c r="R27277" s="183"/>
      <c r="S27277" s="183"/>
    </row>
    <row r="27278" spans="1:38">
      <c r="A27278" s="182"/>
      <c r="Q27278" s="183"/>
      <c r="R27278" s="183"/>
      <c r="S27278" s="183"/>
    </row>
    <row r="27279" spans="1:38">
      <c r="A27279" s="182"/>
      <c r="Q27279" s="183"/>
      <c r="R27279" s="183"/>
      <c r="S27279" s="183"/>
      <c r="AK27279" s="183"/>
      <c r="AL27279" s="183"/>
    </row>
    <row r="27280" spans="1:38">
      <c r="A27280" s="182"/>
      <c r="Q27280" s="183"/>
      <c r="R27280" s="183"/>
      <c r="S27280" s="183"/>
      <c r="AJ27280" s="183"/>
      <c r="AK27280" s="183"/>
      <c r="AL27280" s="183"/>
    </row>
    <row r="27281" spans="1:38">
      <c r="A27281" s="182"/>
      <c r="Q27281" s="183"/>
      <c r="R27281" s="183"/>
      <c r="S27281" s="183"/>
      <c r="AJ27281" s="183"/>
      <c r="AK27281" s="183"/>
      <c r="AL27281" s="183"/>
    </row>
    <row r="27282" spans="1:38">
      <c r="A27282" s="182"/>
      <c r="Q27282" s="183"/>
      <c r="R27282" s="183"/>
      <c r="S27282" s="183"/>
      <c r="AJ27282" s="183"/>
      <c r="AK27282" s="183"/>
      <c r="AL27282" s="183"/>
    </row>
    <row r="27283" spans="1:38">
      <c r="A27283" s="182"/>
      <c r="Q27283" s="183"/>
      <c r="R27283" s="183"/>
      <c r="S27283" s="183"/>
      <c r="AJ27283" s="183"/>
      <c r="AK27283" s="183"/>
      <c r="AL27283" s="183"/>
    </row>
    <row r="27284" spans="1:38">
      <c r="A27284" s="182"/>
      <c r="Q27284" s="183"/>
      <c r="R27284" s="183"/>
      <c r="S27284" s="183"/>
      <c r="AJ27284" s="183"/>
      <c r="AK27284" s="183"/>
      <c r="AL27284" s="183"/>
    </row>
    <row r="27285" spans="1:38">
      <c r="A27285" s="182"/>
      <c r="Q27285" s="183"/>
      <c r="R27285" s="183"/>
      <c r="S27285" s="183"/>
      <c r="AJ27285" s="183"/>
      <c r="AK27285" s="183"/>
      <c r="AL27285" s="183"/>
    </row>
    <row r="27286" spans="1:38">
      <c r="A27286" s="182"/>
      <c r="Q27286" s="183"/>
      <c r="R27286" s="183"/>
      <c r="S27286" s="183"/>
      <c r="AJ27286" s="183"/>
      <c r="AK27286" s="183"/>
      <c r="AL27286" s="183"/>
    </row>
    <row r="27287" spans="1:38">
      <c r="A27287" s="182"/>
      <c r="Q27287" s="183"/>
      <c r="R27287" s="183"/>
      <c r="S27287" s="183"/>
      <c r="AJ27287" s="183"/>
    </row>
    <row r="27288" spans="1:38">
      <c r="A27288" s="182"/>
      <c r="Q27288" s="183"/>
      <c r="R27288" s="183"/>
      <c r="S27288" s="183"/>
    </row>
    <row r="27289" spans="1:38">
      <c r="A27289" s="182"/>
      <c r="Q27289" s="183"/>
      <c r="R27289" s="183"/>
      <c r="S27289" s="183"/>
    </row>
    <row r="27290" spans="1:38">
      <c r="A27290" s="182"/>
      <c r="Q27290" s="183"/>
      <c r="R27290" s="183"/>
      <c r="S27290" s="183"/>
    </row>
    <row r="27291" spans="1:38">
      <c r="A27291" s="182"/>
      <c r="Q27291" s="183"/>
      <c r="R27291" s="183"/>
      <c r="S27291" s="183"/>
    </row>
    <row r="27292" spans="1:38">
      <c r="A27292" s="182"/>
      <c r="Q27292" s="183"/>
      <c r="R27292" s="183"/>
      <c r="S27292" s="183"/>
    </row>
    <row r="27293" spans="1:38">
      <c r="A27293" s="182"/>
      <c r="Q27293" s="183"/>
      <c r="R27293" s="183"/>
      <c r="S27293" s="183"/>
    </row>
    <row r="27294" spans="1:38">
      <c r="A27294" s="182"/>
      <c r="Q27294" s="183"/>
      <c r="R27294" s="183"/>
      <c r="S27294" s="183"/>
    </row>
    <row r="27295" spans="1:38">
      <c r="A27295" s="182"/>
      <c r="Q27295" s="183"/>
      <c r="R27295" s="183"/>
      <c r="S27295" s="183"/>
      <c r="AK27295" s="183"/>
      <c r="AL27295" s="183"/>
    </row>
    <row r="27296" spans="1:38">
      <c r="A27296" s="182"/>
      <c r="Q27296" s="183"/>
      <c r="R27296" s="183"/>
      <c r="S27296" s="183"/>
      <c r="AJ27296" s="183"/>
      <c r="AK27296" s="183"/>
      <c r="AL27296" s="183"/>
    </row>
    <row r="27297" spans="1:38">
      <c r="A27297" s="182"/>
      <c r="Q27297" s="183"/>
      <c r="R27297" s="183"/>
      <c r="S27297" s="183"/>
      <c r="AJ27297" s="183"/>
      <c r="AK27297" s="183"/>
      <c r="AL27297" s="183"/>
    </row>
    <row r="27298" spans="1:38">
      <c r="A27298" s="182"/>
      <c r="Q27298" s="183"/>
      <c r="R27298" s="183"/>
      <c r="S27298" s="183"/>
      <c r="AJ27298" s="183"/>
      <c r="AK27298" s="183"/>
      <c r="AL27298" s="183"/>
    </row>
    <row r="27299" spans="1:38">
      <c r="A27299" s="182"/>
      <c r="Q27299" s="183"/>
      <c r="R27299" s="183"/>
      <c r="S27299" s="183"/>
      <c r="AJ27299" s="183"/>
    </row>
    <row r="27300" spans="1:38">
      <c r="A27300" s="182"/>
      <c r="Q27300" s="183"/>
      <c r="R27300" s="183"/>
      <c r="S27300" s="183"/>
    </row>
    <row r="27301" spans="1:38">
      <c r="A27301" s="182"/>
      <c r="Q27301" s="183"/>
      <c r="R27301" s="183"/>
      <c r="S27301" s="183"/>
    </row>
    <row r="27302" spans="1:38">
      <c r="A27302" s="182"/>
      <c r="Q27302" s="183"/>
      <c r="R27302" s="183"/>
      <c r="S27302" s="183"/>
    </row>
    <row r="27303" spans="1:38">
      <c r="A27303" s="182"/>
      <c r="Q27303" s="183"/>
      <c r="R27303" s="183"/>
      <c r="S27303" s="183"/>
      <c r="AK27303" s="183"/>
      <c r="AL27303" s="183"/>
    </row>
    <row r="27304" spans="1:38">
      <c r="A27304" s="182"/>
      <c r="Q27304" s="183"/>
      <c r="R27304" s="183"/>
      <c r="S27304" s="183"/>
      <c r="AJ27304" s="183"/>
      <c r="AK27304" s="183"/>
      <c r="AL27304" s="183"/>
    </row>
    <row r="27305" spans="1:38">
      <c r="A27305" s="182"/>
      <c r="Q27305" s="183"/>
      <c r="R27305" s="183"/>
      <c r="S27305" s="183"/>
      <c r="AJ27305" s="183"/>
      <c r="AK27305" s="183"/>
      <c r="AL27305" s="183"/>
    </row>
    <row r="27306" spans="1:38">
      <c r="A27306" s="182"/>
      <c r="Q27306" s="183"/>
      <c r="R27306" s="183"/>
      <c r="S27306" s="183"/>
      <c r="AJ27306" s="183"/>
      <c r="AK27306" s="183"/>
      <c r="AL27306" s="183"/>
    </row>
    <row r="27307" spans="1:38">
      <c r="A27307" s="182"/>
      <c r="Q27307" s="183"/>
      <c r="R27307" s="183"/>
      <c r="S27307" s="183"/>
      <c r="AJ27307" s="183"/>
    </row>
    <row r="27308" spans="1:38">
      <c r="A27308" s="182"/>
      <c r="Q27308" s="183"/>
      <c r="R27308" s="183"/>
      <c r="S27308" s="183"/>
    </row>
    <row r="27309" spans="1:38">
      <c r="A27309" s="182"/>
      <c r="Q27309" s="183"/>
      <c r="R27309" s="183"/>
      <c r="S27309" s="183"/>
    </row>
    <row r="27310" spans="1:38">
      <c r="A27310" s="182"/>
      <c r="Q27310" s="183"/>
      <c r="R27310" s="183"/>
      <c r="S27310" s="183"/>
    </row>
    <row r="27311" spans="1:38">
      <c r="A27311" s="182"/>
      <c r="Q27311" s="183"/>
      <c r="R27311" s="183"/>
      <c r="S27311" s="183"/>
    </row>
    <row r="27312" spans="1:38">
      <c r="A27312" s="182"/>
      <c r="Q27312" s="183"/>
      <c r="R27312" s="183"/>
      <c r="S27312" s="183"/>
    </row>
    <row r="27313" spans="1:38">
      <c r="A27313" s="182"/>
      <c r="Q27313" s="183"/>
      <c r="R27313" s="183"/>
      <c r="S27313" s="183"/>
    </row>
    <row r="27314" spans="1:38">
      <c r="A27314" s="182"/>
      <c r="Q27314" s="183"/>
      <c r="R27314" s="183"/>
      <c r="S27314" s="183"/>
    </row>
    <row r="27315" spans="1:38">
      <c r="A27315" s="182"/>
      <c r="Q27315" s="183"/>
      <c r="R27315" s="183"/>
      <c r="S27315" s="183"/>
    </row>
    <row r="27316" spans="1:38">
      <c r="A27316" s="182"/>
      <c r="Q27316" s="183"/>
      <c r="R27316" s="183"/>
      <c r="S27316" s="183"/>
    </row>
    <row r="27317" spans="1:38">
      <c r="A27317" s="182"/>
      <c r="Q27317" s="183"/>
      <c r="R27317" s="183"/>
      <c r="S27317" s="183"/>
    </row>
    <row r="27318" spans="1:38">
      <c r="A27318" s="182"/>
      <c r="Q27318" s="183"/>
      <c r="R27318" s="183"/>
      <c r="S27318" s="183"/>
    </row>
    <row r="27319" spans="1:38">
      <c r="A27319" s="182"/>
      <c r="M27319" s="183"/>
      <c r="N27319" s="183"/>
      <c r="O27319" s="183"/>
      <c r="Q27319" s="183"/>
      <c r="R27319" s="183"/>
      <c r="S27319" s="183"/>
      <c r="AK27319" s="183"/>
      <c r="AL27319" s="183"/>
    </row>
    <row r="27320" spans="1:38">
      <c r="A27320" s="182"/>
      <c r="L27320" s="183"/>
      <c r="M27320" s="183"/>
      <c r="Q27320" s="183"/>
      <c r="R27320" s="183"/>
      <c r="S27320" s="183"/>
      <c r="AJ27320" s="183"/>
      <c r="AK27320" s="183"/>
      <c r="AL27320" s="183"/>
    </row>
    <row r="27321" spans="1:38">
      <c r="A27321" s="182"/>
      <c r="M27321" s="183"/>
      <c r="N27321" s="183"/>
      <c r="O27321" s="183"/>
      <c r="Q27321" s="183"/>
      <c r="R27321" s="183"/>
      <c r="S27321" s="183"/>
      <c r="AJ27321" s="183"/>
      <c r="AK27321" s="183"/>
      <c r="AL27321" s="183"/>
    </row>
    <row r="27322" spans="1:38">
      <c r="A27322" s="182"/>
      <c r="L27322" s="183"/>
      <c r="M27322" s="183"/>
      <c r="Q27322" s="183"/>
      <c r="R27322" s="183"/>
      <c r="S27322" s="183"/>
      <c r="AJ27322" s="183"/>
      <c r="AK27322" s="183"/>
      <c r="AL27322" s="183"/>
    </row>
    <row r="27323" spans="1:38">
      <c r="A27323" s="182"/>
      <c r="M27323" s="183"/>
      <c r="N27323" s="183"/>
      <c r="Q27323" s="183"/>
      <c r="R27323" s="183"/>
      <c r="S27323" s="183"/>
      <c r="AJ27323" s="183"/>
      <c r="AK27323" s="183"/>
      <c r="AL27323" s="183"/>
    </row>
    <row r="27324" spans="1:38">
      <c r="A27324" s="182"/>
      <c r="L27324" s="183"/>
      <c r="M27324" s="183"/>
      <c r="N27324" s="183"/>
      <c r="Q27324" s="183"/>
      <c r="R27324" s="183"/>
      <c r="S27324" s="183"/>
      <c r="AJ27324" s="183"/>
      <c r="AK27324" s="183"/>
      <c r="AL27324" s="183"/>
    </row>
    <row r="27325" spans="1:38">
      <c r="A27325" s="182"/>
      <c r="L27325" s="183"/>
      <c r="Q27325" s="183"/>
      <c r="R27325" s="183"/>
      <c r="S27325" s="183"/>
      <c r="AJ27325" s="183"/>
      <c r="AK27325" s="183"/>
      <c r="AL27325" s="183"/>
    </row>
    <row r="27326" spans="1:38">
      <c r="A27326" s="182"/>
      <c r="M27326" s="183"/>
      <c r="N27326" s="183"/>
      <c r="Q27326" s="183"/>
      <c r="R27326" s="183"/>
      <c r="S27326" s="183"/>
      <c r="AJ27326" s="183"/>
      <c r="AK27326" s="183"/>
      <c r="AL27326" s="183"/>
    </row>
    <row r="27327" spans="1:38">
      <c r="A27327" s="182"/>
      <c r="L27327" s="183"/>
      <c r="M27327" s="183"/>
      <c r="N27327" s="183"/>
      <c r="Q27327" s="183"/>
      <c r="R27327" s="183"/>
      <c r="S27327" s="183"/>
      <c r="AJ27327" s="183"/>
    </row>
    <row r="27328" spans="1:38">
      <c r="A27328" s="182"/>
      <c r="L27328" s="183"/>
      <c r="Q27328" s="183"/>
      <c r="R27328" s="183"/>
      <c r="S27328" s="183"/>
    </row>
    <row r="27329" spans="1:38">
      <c r="A27329" s="182"/>
      <c r="M27329" s="183"/>
      <c r="N27329" s="183"/>
      <c r="Q27329" s="183"/>
      <c r="R27329" s="183"/>
      <c r="S27329" s="183"/>
    </row>
    <row r="27330" spans="1:38">
      <c r="A27330" s="182"/>
      <c r="L27330" s="183"/>
      <c r="Q27330" s="183"/>
      <c r="R27330" s="183"/>
      <c r="S27330" s="183"/>
    </row>
    <row r="27331" spans="1:38">
      <c r="A27331" s="182"/>
      <c r="Q27331" s="183"/>
      <c r="R27331" s="183"/>
      <c r="S27331" s="183"/>
    </row>
    <row r="27332" spans="1:38">
      <c r="A27332" s="182"/>
      <c r="Q27332" s="183"/>
      <c r="R27332" s="183"/>
      <c r="S27332" s="183"/>
    </row>
    <row r="27333" spans="1:38">
      <c r="A27333" s="182"/>
      <c r="M27333" s="183"/>
      <c r="N27333" s="183"/>
      <c r="O27333" s="183"/>
      <c r="Q27333" s="183"/>
      <c r="R27333" s="183"/>
      <c r="S27333" s="183"/>
    </row>
    <row r="27334" spans="1:38">
      <c r="A27334" s="182"/>
      <c r="L27334" s="183"/>
      <c r="M27334" s="183"/>
      <c r="Q27334" s="183"/>
      <c r="R27334" s="183"/>
      <c r="S27334" s="183"/>
    </row>
    <row r="27335" spans="1:38">
      <c r="A27335" s="182"/>
      <c r="Q27335" s="183"/>
      <c r="R27335" s="183"/>
      <c r="S27335" s="183"/>
    </row>
    <row r="27336" spans="1:38">
      <c r="A27336" s="182"/>
      <c r="Q27336" s="183"/>
      <c r="R27336" s="183"/>
      <c r="S27336" s="183"/>
    </row>
    <row r="27337" spans="1:38">
      <c r="A27337" s="182"/>
      <c r="M27337" s="183"/>
      <c r="N27337" s="183"/>
      <c r="O27337" s="183"/>
      <c r="Q27337" s="183"/>
      <c r="R27337" s="183"/>
      <c r="S27337" s="183"/>
    </row>
    <row r="27338" spans="1:38">
      <c r="A27338" s="182"/>
      <c r="L27338" s="183"/>
      <c r="M27338" s="183"/>
      <c r="Q27338" s="183"/>
      <c r="R27338" s="183"/>
      <c r="S27338" s="183"/>
    </row>
    <row r="27339" spans="1:38">
      <c r="A27339" s="182"/>
      <c r="Q27339" s="183"/>
      <c r="R27339" s="183"/>
      <c r="S27339" s="183"/>
      <c r="AK27339" s="183"/>
      <c r="AL27339" s="183"/>
    </row>
    <row r="27340" spans="1:38">
      <c r="A27340" s="182"/>
      <c r="M27340" s="183"/>
      <c r="N27340" s="183"/>
      <c r="O27340" s="183"/>
      <c r="Q27340" s="183"/>
      <c r="R27340" s="183"/>
      <c r="S27340" s="183"/>
      <c r="AJ27340" s="183"/>
      <c r="AK27340" s="183"/>
      <c r="AL27340" s="183"/>
    </row>
    <row r="27341" spans="1:38">
      <c r="A27341" s="182"/>
      <c r="L27341" s="183"/>
      <c r="M27341" s="183"/>
      <c r="Q27341" s="183"/>
      <c r="R27341" s="183"/>
      <c r="S27341" s="183"/>
      <c r="AJ27341" s="183"/>
      <c r="AK27341" s="183"/>
      <c r="AL27341" s="183"/>
    </row>
    <row r="27342" spans="1:38">
      <c r="A27342" s="182"/>
      <c r="Q27342" s="183"/>
      <c r="R27342" s="183"/>
      <c r="S27342" s="183"/>
      <c r="AJ27342" s="183"/>
      <c r="AK27342" s="183"/>
      <c r="AL27342" s="183"/>
    </row>
    <row r="27343" spans="1:38">
      <c r="A27343" s="182"/>
      <c r="Q27343" s="183"/>
      <c r="R27343" s="183"/>
      <c r="S27343" s="183"/>
      <c r="AJ27343" s="183"/>
    </row>
    <row r="27344" spans="1:38">
      <c r="A27344" s="182"/>
      <c r="Q27344" s="183"/>
      <c r="R27344" s="183"/>
      <c r="S27344" s="183"/>
    </row>
    <row r="27345" spans="1:38">
      <c r="A27345" s="182"/>
      <c r="Q27345" s="183"/>
      <c r="R27345" s="183"/>
      <c r="S27345" s="183"/>
    </row>
    <row r="27346" spans="1:38">
      <c r="A27346" s="182"/>
      <c r="Q27346" s="183"/>
      <c r="R27346" s="183"/>
      <c r="S27346" s="183"/>
    </row>
    <row r="27347" spans="1:38">
      <c r="A27347" s="182"/>
      <c r="Q27347" s="183"/>
      <c r="R27347" s="183"/>
      <c r="S27347" s="183"/>
      <c r="AK27347" s="183"/>
      <c r="AL27347" s="183"/>
    </row>
    <row r="27348" spans="1:38">
      <c r="A27348" s="182"/>
      <c r="Q27348" s="183"/>
      <c r="R27348" s="183"/>
      <c r="S27348" s="183"/>
      <c r="AJ27348" s="183"/>
      <c r="AK27348" s="183"/>
      <c r="AL27348" s="183"/>
    </row>
    <row r="27349" spans="1:38">
      <c r="A27349" s="182"/>
      <c r="Q27349" s="183"/>
      <c r="R27349" s="183"/>
      <c r="S27349" s="183"/>
      <c r="AJ27349" s="183"/>
      <c r="AK27349" s="183"/>
      <c r="AL27349" s="183"/>
    </row>
    <row r="27350" spans="1:38">
      <c r="A27350" s="182"/>
      <c r="Q27350" s="183"/>
      <c r="R27350" s="183"/>
      <c r="S27350" s="183"/>
      <c r="AJ27350" s="183"/>
      <c r="AK27350" s="183"/>
      <c r="AL27350" s="183"/>
    </row>
    <row r="27351" spans="1:38">
      <c r="A27351" s="182"/>
      <c r="Q27351" s="183"/>
      <c r="R27351" s="183"/>
      <c r="S27351" s="183"/>
      <c r="AJ27351" s="183"/>
    </row>
    <row r="27352" spans="1:38">
      <c r="A27352" s="182"/>
      <c r="Q27352" s="183"/>
      <c r="R27352" s="183"/>
      <c r="S27352" s="183"/>
    </row>
    <row r="27353" spans="1:38">
      <c r="A27353" s="182"/>
      <c r="Q27353" s="183"/>
      <c r="R27353" s="183"/>
      <c r="S27353" s="183"/>
    </row>
    <row r="27354" spans="1:38">
      <c r="A27354" s="182"/>
      <c r="Q27354" s="183"/>
      <c r="R27354" s="183"/>
      <c r="S27354" s="183"/>
    </row>
    <row r="27355" spans="1:38">
      <c r="A27355" s="182"/>
      <c r="Q27355" s="183"/>
      <c r="R27355" s="183"/>
      <c r="S27355" s="183"/>
    </row>
    <row r="27356" spans="1:38">
      <c r="A27356" s="182"/>
      <c r="Q27356" s="183"/>
      <c r="R27356" s="183"/>
      <c r="S27356" s="183"/>
    </row>
    <row r="27357" spans="1:38">
      <c r="A27357" s="182"/>
      <c r="Q27357" s="183"/>
      <c r="R27357" s="183"/>
      <c r="S27357" s="183"/>
    </row>
    <row r="27358" spans="1:38">
      <c r="A27358" s="182"/>
      <c r="Q27358" s="183"/>
      <c r="R27358" s="183"/>
      <c r="S27358" s="183"/>
    </row>
    <row r="27359" spans="1:38">
      <c r="A27359" s="182"/>
      <c r="Q27359" s="183"/>
      <c r="R27359" s="183"/>
      <c r="S27359" s="183"/>
    </row>
    <row r="27360" spans="1:38">
      <c r="A27360" s="182"/>
      <c r="Q27360" s="183"/>
      <c r="R27360" s="183"/>
      <c r="S27360" s="183"/>
    </row>
    <row r="27361" spans="1:19">
      <c r="A27361" s="182"/>
      <c r="Q27361" s="183"/>
      <c r="R27361" s="183"/>
      <c r="S27361" s="183"/>
    </row>
    <row r="27362" spans="1:19">
      <c r="A27362" s="182"/>
      <c r="Q27362" s="183"/>
      <c r="R27362" s="183"/>
      <c r="S27362" s="183"/>
    </row>
    <row r="27363" spans="1:19">
      <c r="A27363" s="182"/>
      <c r="Q27363" s="183"/>
      <c r="R27363" s="183"/>
      <c r="S27363" s="183"/>
    </row>
    <row r="27364" spans="1:19">
      <c r="A27364" s="182"/>
      <c r="Q27364" s="183"/>
      <c r="R27364" s="183"/>
      <c r="S27364" s="183"/>
    </row>
    <row r="27365" spans="1:19">
      <c r="A27365" s="182"/>
      <c r="Q27365" s="183"/>
      <c r="R27365" s="183"/>
      <c r="S27365" s="183"/>
    </row>
    <row r="27366" spans="1:19">
      <c r="A27366" s="182"/>
      <c r="Q27366" s="183"/>
      <c r="R27366" s="183"/>
      <c r="S27366" s="183"/>
    </row>
    <row r="27367" spans="1:19">
      <c r="A27367" s="182"/>
      <c r="Q27367" s="183"/>
      <c r="R27367" s="183"/>
      <c r="S27367" s="183"/>
    </row>
    <row r="27368" spans="1:19">
      <c r="A27368" s="182"/>
      <c r="Q27368" s="183"/>
      <c r="R27368" s="183"/>
      <c r="S27368" s="183"/>
    </row>
    <row r="27369" spans="1:19">
      <c r="A27369" s="182"/>
      <c r="Q27369" s="183"/>
      <c r="R27369" s="183"/>
      <c r="S27369" s="183"/>
    </row>
    <row r="27370" spans="1:19">
      <c r="A27370" s="182"/>
      <c r="Q27370" s="183"/>
      <c r="R27370" s="183"/>
      <c r="S27370" s="183"/>
    </row>
    <row r="27371" spans="1:19">
      <c r="A27371" s="182"/>
      <c r="Q27371" s="183"/>
      <c r="R27371" s="183"/>
      <c r="S27371" s="183"/>
    </row>
    <row r="27372" spans="1:19">
      <c r="A27372" s="182"/>
      <c r="Q27372" s="183"/>
      <c r="R27372" s="183"/>
      <c r="S27372" s="183"/>
    </row>
    <row r="27373" spans="1:19">
      <c r="A27373" s="182"/>
      <c r="Q27373" s="183"/>
      <c r="R27373" s="183"/>
      <c r="S27373" s="183"/>
    </row>
    <row r="27374" spans="1:19">
      <c r="A27374" s="182"/>
      <c r="Q27374" s="183"/>
      <c r="R27374" s="183"/>
      <c r="S27374" s="183"/>
    </row>
    <row r="27375" spans="1:19">
      <c r="A27375" s="182"/>
      <c r="Q27375" s="183"/>
      <c r="R27375" s="183"/>
      <c r="S27375" s="183"/>
    </row>
    <row r="27376" spans="1:19">
      <c r="A27376" s="182"/>
      <c r="Q27376" s="183"/>
      <c r="R27376" s="183"/>
      <c r="S27376" s="183"/>
    </row>
    <row r="27377" spans="1:38">
      <c r="A27377" s="182"/>
      <c r="Q27377" s="183"/>
      <c r="R27377" s="183"/>
      <c r="S27377" s="183"/>
    </row>
    <row r="27378" spans="1:38">
      <c r="A27378" s="182"/>
      <c r="Q27378" s="183"/>
      <c r="R27378" s="183"/>
      <c r="S27378" s="183"/>
    </row>
    <row r="27379" spans="1:38">
      <c r="A27379" s="182"/>
      <c r="Q27379" s="183"/>
      <c r="R27379" s="183"/>
      <c r="S27379" s="183"/>
      <c r="AK27379" s="183"/>
      <c r="AL27379" s="183"/>
    </row>
    <row r="27380" spans="1:38">
      <c r="A27380" s="182"/>
      <c r="Q27380" s="183"/>
      <c r="R27380" s="183"/>
      <c r="S27380" s="183"/>
      <c r="AJ27380" s="183"/>
      <c r="AK27380" s="183"/>
      <c r="AL27380" s="183"/>
    </row>
    <row r="27381" spans="1:38">
      <c r="A27381" s="182"/>
      <c r="Q27381" s="183"/>
      <c r="R27381" s="183"/>
      <c r="S27381" s="183"/>
      <c r="AJ27381" s="183"/>
      <c r="AK27381" s="183"/>
      <c r="AL27381" s="183"/>
    </row>
    <row r="27382" spans="1:38">
      <c r="A27382" s="182"/>
      <c r="Q27382" s="183"/>
      <c r="R27382" s="183"/>
      <c r="S27382" s="183"/>
      <c r="AJ27382" s="183"/>
      <c r="AK27382" s="183"/>
      <c r="AL27382" s="183"/>
    </row>
    <row r="27383" spans="1:38">
      <c r="A27383" s="182"/>
      <c r="Q27383" s="183"/>
      <c r="R27383" s="183"/>
      <c r="S27383" s="183"/>
      <c r="AJ27383" s="183"/>
    </row>
    <row r="27384" spans="1:38">
      <c r="A27384" s="182"/>
      <c r="Q27384" s="183"/>
      <c r="R27384" s="183"/>
      <c r="S27384" s="183"/>
    </row>
    <row r="27385" spans="1:38">
      <c r="A27385" s="182"/>
      <c r="Q27385" s="183"/>
      <c r="R27385" s="183"/>
      <c r="S27385" s="183"/>
    </row>
    <row r="27386" spans="1:38">
      <c r="A27386" s="182"/>
      <c r="Q27386" s="183"/>
      <c r="R27386" s="183"/>
      <c r="S27386" s="183"/>
    </row>
    <row r="27387" spans="1:38">
      <c r="A27387" s="182"/>
      <c r="Q27387" s="183"/>
      <c r="R27387" s="183"/>
      <c r="S27387" s="183"/>
    </row>
    <row r="27388" spans="1:38">
      <c r="A27388" s="182"/>
      <c r="Q27388" s="183"/>
      <c r="R27388" s="183"/>
      <c r="S27388" s="183"/>
    </row>
    <row r="27389" spans="1:38">
      <c r="A27389" s="182"/>
      <c r="Q27389" s="183"/>
      <c r="R27389" s="183"/>
      <c r="S27389" s="183"/>
    </row>
    <row r="27390" spans="1:38">
      <c r="A27390" s="182"/>
      <c r="Q27390" s="183"/>
      <c r="R27390" s="183"/>
      <c r="S27390" s="183"/>
    </row>
    <row r="27391" spans="1:38">
      <c r="A27391" s="182"/>
      <c r="Q27391" s="183"/>
      <c r="R27391" s="183"/>
      <c r="S27391" s="183"/>
    </row>
    <row r="27392" spans="1:38">
      <c r="A27392" s="182"/>
      <c r="Q27392" s="183"/>
      <c r="R27392" s="183"/>
      <c r="S27392" s="183"/>
    </row>
    <row r="27393" spans="1:19">
      <c r="A27393" s="182"/>
      <c r="Q27393" s="183"/>
      <c r="R27393" s="183"/>
      <c r="S27393" s="183"/>
    </row>
    <row r="27394" spans="1:19">
      <c r="A27394" s="182"/>
      <c r="Q27394" s="183"/>
      <c r="R27394" s="183"/>
      <c r="S27394" s="183"/>
    </row>
    <row r="27395" spans="1:19">
      <c r="A27395" s="182"/>
      <c r="Q27395" s="183"/>
      <c r="R27395" s="183"/>
      <c r="S27395" s="183"/>
    </row>
    <row r="27396" spans="1:19">
      <c r="A27396" s="182"/>
      <c r="Q27396" s="183"/>
      <c r="R27396" s="183"/>
      <c r="S27396" s="183"/>
    </row>
    <row r="27397" spans="1:19">
      <c r="A27397" s="182"/>
      <c r="Q27397" s="183"/>
      <c r="R27397" s="183"/>
      <c r="S27397" s="183"/>
    </row>
    <row r="27398" spans="1:19">
      <c r="A27398" s="182"/>
      <c r="Q27398" s="183"/>
      <c r="R27398" s="183"/>
      <c r="S27398" s="183"/>
    </row>
    <row r="27399" spans="1:19">
      <c r="A27399" s="182"/>
      <c r="Q27399" s="183"/>
      <c r="R27399" s="183"/>
      <c r="S27399" s="183"/>
    </row>
    <row r="27400" spans="1:19">
      <c r="A27400" s="182"/>
      <c r="Q27400" s="183"/>
      <c r="R27400" s="183"/>
      <c r="S27400" s="183"/>
    </row>
    <row r="27401" spans="1:19">
      <c r="A27401" s="182"/>
      <c r="Q27401" s="183"/>
      <c r="R27401" s="183"/>
      <c r="S27401" s="183"/>
    </row>
    <row r="27402" spans="1:19">
      <c r="A27402" s="182"/>
      <c r="Q27402" s="183"/>
      <c r="R27402" s="183"/>
      <c r="S27402" s="183"/>
    </row>
    <row r="27403" spans="1:19">
      <c r="A27403" s="182"/>
      <c r="Q27403" s="183"/>
      <c r="R27403" s="183"/>
      <c r="S27403" s="183"/>
    </row>
    <row r="27404" spans="1:19">
      <c r="A27404" s="182"/>
      <c r="Q27404" s="183"/>
      <c r="R27404" s="183"/>
      <c r="S27404" s="183"/>
    </row>
    <row r="27405" spans="1:19">
      <c r="A27405" s="182"/>
      <c r="Q27405" s="183"/>
      <c r="R27405" s="183"/>
      <c r="S27405" s="183"/>
    </row>
    <row r="27406" spans="1:19">
      <c r="A27406" s="182"/>
      <c r="Q27406" s="183"/>
      <c r="R27406" s="183"/>
      <c r="S27406" s="183"/>
    </row>
    <row r="27407" spans="1:19">
      <c r="A27407" s="182"/>
      <c r="Q27407" s="183"/>
      <c r="R27407" s="183"/>
      <c r="S27407" s="183"/>
    </row>
    <row r="27408" spans="1:19">
      <c r="A27408" s="182"/>
      <c r="Q27408" s="183"/>
      <c r="R27408" s="183"/>
      <c r="S27408" s="183"/>
    </row>
    <row r="27409" spans="1:19">
      <c r="A27409" s="182"/>
      <c r="Q27409" s="183"/>
      <c r="R27409" s="183"/>
      <c r="S27409" s="183"/>
    </row>
    <row r="27410" spans="1:19">
      <c r="A27410" s="182"/>
      <c r="Q27410" s="183"/>
      <c r="R27410" s="183"/>
      <c r="S27410" s="183"/>
    </row>
    <row r="27411" spans="1:19">
      <c r="A27411" s="182"/>
      <c r="Q27411" s="183"/>
      <c r="R27411" s="183"/>
      <c r="S27411" s="183"/>
    </row>
    <row r="27412" spans="1:19">
      <c r="A27412" s="182"/>
      <c r="Q27412" s="183"/>
      <c r="R27412" s="183"/>
      <c r="S27412" s="183"/>
    </row>
    <row r="27413" spans="1:19">
      <c r="A27413" s="182"/>
      <c r="Q27413" s="183"/>
      <c r="R27413" s="183"/>
      <c r="S27413" s="183"/>
    </row>
    <row r="27414" spans="1:19">
      <c r="A27414" s="182"/>
      <c r="Q27414" s="183"/>
      <c r="R27414" s="183"/>
      <c r="S27414" s="183"/>
    </row>
    <row r="27415" spans="1:19">
      <c r="A27415" s="182"/>
      <c r="Q27415" s="183"/>
      <c r="R27415" s="183"/>
      <c r="S27415" s="183"/>
    </row>
    <row r="27416" spans="1:19">
      <c r="A27416" s="182"/>
      <c r="Q27416" s="183"/>
      <c r="R27416" s="183"/>
      <c r="S27416" s="183"/>
    </row>
    <row r="27417" spans="1:19">
      <c r="A27417" s="182"/>
      <c r="Q27417" s="183"/>
      <c r="R27417" s="183"/>
      <c r="S27417" s="183"/>
    </row>
    <row r="27418" spans="1:19">
      <c r="A27418" s="182"/>
      <c r="Q27418" s="183"/>
      <c r="R27418" s="183"/>
      <c r="S27418" s="183"/>
    </row>
    <row r="27419" spans="1:19">
      <c r="A27419" s="182"/>
      <c r="Q27419" s="183"/>
      <c r="R27419" s="183"/>
      <c r="S27419" s="183"/>
    </row>
    <row r="27420" spans="1:19">
      <c r="A27420" s="182"/>
      <c r="Q27420" s="183"/>
      <c r="R27420" s="183"/>
      <c r="S27420" s="183"/>
    </row>
    <row r="27421" spans="1:19">
      <c r="A27421" s="182"/>
      <c r="Q27421" s="183"/>
      <c r="R27421" s="183"/>
      <c r="S27421" s="183"/>
    </row>
    <row r="27422" spans="1:19">
      <c r="A27422" s="182"/>
      <c r="Q27422" s="183"/>
      <c r="R27422" s="183"/>
      <c r="S27422" s="183"/>
    </row>
    <row r="27423" spans="1:19">
      <c r="A27423" s="182"/>
      <c r="Q27423" s="183"/>
      <c r="R27423" s="183"/>
      <c r="S27423" s="183"/>
    </row>
    <row r="27424" spans="1:19">
      <c r="A27424" s="182"/>
      <c r="Q27424" s="183"/>
      <c r="R27424" s="183"/>
      <c r="S27424" s="183"/>
    </row>
    <row r="27425" spans="1:38">
      <c r="A27425" s="182"/>
      <c r="Q27425" s="183"/>
      <c r="R27425" s="183"/>
      <c r="S27425" s="183"/>
    </row>
    <row r="27426" spans="1:38">
      <c r="A27426" s="182"/>
      <c r="Q27426" s="183"/>
      <c r="R27426" s="183"/>
      <c r="S27426" s="183"/>
    </row>
    <row r="27427" spans="1:38">
      <c r="A27427" s="182"/>
      <c r="Q27427" s="183"/>
      <c r="R27427" s="183"/>
      <c r="S27427" s="183"/>
    </row>
    <row r="27428" spans="1:38">
      <c r="A27428" s="182"/>
      <c r="Q27428" s="183"/>
      <c r="R27428" s="183"/>
      <c r="S27428" s="183"/>
    </row>
    <row r="27429" spans="1:38">
      <c r="A27429" s="182"/>
      <c r="Q27429" s="183"/>
      <c r="R27429" s="183"/>
      <c r="S27429" s="183"/>
    </row>
    <row r="27430" spans="1:38">
      <c r="A27430" s="182"/>
      <c r="Q27430" s="183"/>
      <c r="R27430" s="183"/>
      <c r="S27430" s="183"/>
    </row>
    <row r="27431" spans="1:38">
      <c r="A27431" s="182"/>
      <c r="Q27431" s="183"/>
      <c r="R27431" s="183"/>
      <c r="S27431" s="183"/>
    </row>
    <row r="27432" spans="1:38">
      <c r="A27432" s="182"/>
      <c r="Q27432" s="183"/>
      <c r="R27432" s="183"/>
      <c r="S27432" s="183"/>
    </row>
    <row r="27433" spans="1:38">
      <c r="A27433" s="182"/>
      <c r="Q27433" s="183"/>
      <c r="R27433" s="183"/>
      <c r="S27433" s="183"/>
    </row>
    <row r="27434" spans="1:38">
      <c r="A27434" s="182"/>
      <c r="Q27434" s="183"/>
      <c r="R27434" s="183"/>
      <c r="S27434" s="183"/>
    </row>
    <row r="27435" spans="1:38">
      <c r="A27435" s="182"/>
      <c r="Q27435" s="183"/>
      <c r="R27435" s="183"/>
      <c r="S27435" s="183"/>
      <c r="AK27435" s="183"/>
      <c r="AL27435" s="183"/>
    </row>
    <row r="27436" spans="1:38">
      <c r="A27436" s="182"/>
      <c r="Q27436" s="183"/>
      <c r="R27436" s="183"/>
      <c r="S27436" s="183"/>
      <c r="AJ27436" s="183"/>
      <c r="AK27436" s="183"/>
      <c r="AL27436" s="183"/>
    </row>
    <row r="27437" spans="1:38">
      <c r="A27437" s="182"/>
      <c r="Q27437" s="183"/>
      <c r="R27437" s="183"/>
      <c r="S27437" s="183"/>
      <c r="AJ27437" s="183"/>
      <c r="AK27437" s="183"/>
      <c r="AL27437" s="183"/>
    </row>
    <row r="27438" spans="1:38">
      <c r="A27438" s="182"/>
      <c r="Q27438" s="183"/>
      <c r="R27438" s="183"/>
      <c r="S27438" s="183"/>
      <c r="AJ27438" s="183"/>
      <c r="AK27438" s="183"/>
      <c r="AL27438" s="183"/>
    </row>
    <row r="27439" spans="1:38">
      <c r="A27439" s="182"/>
      <c r="Q27439" s="183"/>
      <c r="R27439" s="183"/>
      <c r="S27439" s="183"/>
      <c r="AJ27439" s="183"/>
    </row>
    <row r="27440" spans="1:38">
      <c r="A27440" s="182"/>
      <c r="Q27440" s="183"/>
      <c r="R27440" s="183"/>
      <c r="S27440" s="183"/>
    </row>
    <row r="27441" spans="1:38">
      <c r="A27441" s="182"/>
      <c r="Q27441" s="183"/>
      <c r="R27441" s="183"/>
      <c r="S27441" s="183"/>
    </row>
    <row r="27442" spans="1:38">
      <c r="A27442" s="182"/>
      <c r="Q27442" s="183"/>
      <c r="R27442" s="183"/>
      <c r="S27442" s="183"/>
    </row>
    <row r="27443" spans="1:38">
      <c r="A27443" s="182"/>
      <c r="Q27443" s="183"/>
      <c r="R27443" s="183"/>
      <c r="S27443" s="183"/>
    </row>
    <row r="27444" spans="1:38">
      <c r="A27444" s="182"/>
      <c r="Q27444" s="183"/>
      <c r="R27444" s="183"/>
      <c r="S27444" s="183"/>
    </row>
    <row r="27445" spans="1:38">
      <c r="A27445" s="182"/>
      <c r="Q27445" s="183"/>
      <c r="R27445" s="183"/>
      <c r="S27445" s="183"/>
    </row>
    <row r="27446" spans="1:38">
      <c r="A27446" s="182"/>
      <c r="Q27446" s="183"/>
      <c r="R27446" s="183"/>
      <c r="S27446" s="183"/>
    </row>
    <row r="27447" spans="1:38">
      <c r="A27447" s="182"/>
      <c r="Q27447" s="183"/>
      <c r="R27447" s="183"/>
      <c r="S27447" s="183"/>
    </row>
    <row r="27448" spans="1:38">
      <c r="A27448" s="182"/>
      <c r="Q27448" s="183"/>
      <c r="R27448" s="183"/>
      <c r="S27448" s="183"/>
    </row>
    <row r="27449" spans="1:38">
      <c r="A27449" s="182"/>
      <c r="Q27449" s="183"/>
      <c r="R27449" s="183"/>
      <c r="S27449" s="183"/>
    </row>
    <row r="27450" spans="1:38">
      <c r="A27450" s="182"/>
      <c r="Q27450" s="183"/>
      <c r="R27450" s="183"/>
      <c r="S27450" s="183"/>
    </row>
    <row r="27451" spans="1:38">
      <c r="A27451" s="182"/>
      <c r="Q27451" s="183"/>
      <c r="R27451" s="183"/>
      <c r="S27451" s="183"/>
    </row>
    <row r="27452" spans="1:38">
      <c r="A27452" s="182"/>
      <c r="Q27452" s="183"/>
      <c r="R27452" s="183"/>
      <c r="S27452" s="183"/>
    </row>
    <row r="27453" spans="1:38">
      <c r="A27453" s="182"/>
      <c r="Q27453" s="183"/>
      <c r="R27453" s="183"/>
      <c r="S27453" s="183"/>
    </row>
    <row r="27454" spans="1:38">
      <c r="A27454" s="182"/>
      <c r="Q27454" s="183"/>
      <c r="R27454" s="183"/>
      <c r="S27454" s="183"/>
    </row>
    <row r="27455" spans="1:38">
      <c r="A27455" s="182"/>
      <c r="Q27455" s="183"/>
      <c r="R27455" s="183"/>
      <c r="S27455" s="183"/>
      <c r="AK27455" s="183"/>
      <c r="AL27455" s="183"/>
    </row>
    <row r="27456" spans="1:38">
      <c r="A27456" s="182"/>
      <c r="Q27456" s="183"/>
      <c r="R27456" s="183"/>
      <c r="S27456" s="183"/>
      <c r="AJ27456" s="183"/>
      <c r="AK27456" s="183"/>
      <c r="AL27456" s="183"/>
    </row>
    <row r="27457" spans="1:38">
      <c r="A27457" s="182"/>
      <c r="Q27457" s="183"/>
      <c r="R27457" s="183"/>
      <c r="S27457" s="183"/>
      <c r="AJ27457" s="183"/>
      <c r="AK27457" s="183"/>
      <c r="AL27457" s="183"/>
    </row>
    <row r="27458" spans="1:38">
      <c r="A27458" s="182"/>
      <c r="Q27458" s="183"/>
      <c r="R27458" s="183"/>
      <c r="S27458" s="183"/>
      <c r="AJ27458" s="183"/>
      <c r="AK27458" s="183"/>
      <c r="AL27458" s="183"/>
    </row>
    <row r="27459" spans="1:38">
      <c r="A27459" s="182"/>
      <c r="Q27459" s="183"/>
      <c r="R27459" s="183"/>
      <c r="S27459" s="183"/>
      <c r="AJ27459" s="183"/>
    </row>
    <row r="27460" spans="1:38">
      <c r="A27460" s="182"/>
      <c r="Q27460" s="183"/>
      <c r="R27460" s="183"/>
      <c r="S27460" s="183"/>
    </row>
    <row r="27461" spans="1:38">
      <c r="A27461" s="182"/>
      <c r="Q27461" s="183"/>
      <c r="R27461" s="183"/>
      <c r="S27461" s="183"/>
    </row>
    <row r="27462" spans="1:38">
      <c r="A27462" s="182"/>
      <c r="Q27462" s="183"/>
      <c r="R27462" s="183"/>
      <c r="S27462" s="183"/>
    </row>
    <row r="27463" spans="1:38">
      <c r="A27463" s="182"/>
      <c r="Q27463" s="183"/>
      <c r="R27463" s="183"/>
      <c r="S27463" s="183"/>
    </row>
    <row r="27464" spans="1:38">
      <c r="A27464" s="182"/>
      <c r="Q27464" s="183"/>
      <c r="R27464" s="183"/>
      <c r="S27464" s="183"/>
    </row>
    <row r="27465" spans="1:38">
      <c r="A27465" s="182"/>
      <c r="Q27465" s="183"/>
      <c r="R27465" s="183"/>
      <c r="S27465" s="183"/>
    </row>
    <row r="27466" spans="1:38">
      <c r="A27466" s="182"/>
      <c r="Q27466" s="183"/>
      <c r="R27466" s="183"/>
      <c r="S27466" s="183"/>
    </row>
    <row r="27467" spans="1:38">
      <c r="A27467" s="182"/>
      <c r="Q27467" s="183"/>
      <c r="R27467" s="183"/>
      <c r="S27467" s="183"/>
    </row>
    <row r="27468" spans="1:38">
      <c r="A27468" s="182"/>
      <c r="Q27468" s="183"/>
      <c r="R27468" s="183"/>
      <c r="S27468" s="183"/>
    </row>
    <row r="27469" spans="1:38">
      <c r="A27469" s="182"/>
      <c r="Q27469" s="183"/>
      <c r="R27469" s="183"/>
      <c r="S27469" s="183"/>
    </row>
    <row r="27470" spans="1:38">
      <c r="A27470" s="182"/>
      <c r="Q27470" s="183"/>
      <c r="R27470" s="183"/>
      <c r="S27470" s="183"/>
    </row>
    <row r="27471" spans="1:38">
      <c r="A27471" s="182"/>
      <c r="Q27471" s="183"/>
      <c r="R27471" s="183"/>
      <c r="S27471" s="183"/>
      <c r="AK27471" s="183"/>
      <c r="AL27471" s="183"/>
    </row>
    <row r="27472" spans="1:38">
      <c r="A27472" s="182"/>
      <c r="Q27472" s="183"/>
      <c r="R27472" s="183"/>
      <c r="S27472" s="183"/>
      <c r="AJ27472" s="183"/>
      <c r="AK27472" s="183"/>
      <c r="AL27472" s="183"/>
    </row>
    <row r="27473" spans="1:38">
      <c r="A27473" s="182"/>
      <c r="Q27473" s="183"/>
      <c r="R27473" s="183"/>
      <c r="S27473" s="183"/>
      <c r="AJ27473" s="183"/>
      <c r="AK27473" s="183"/>
      <c r="AL27473" s="183"/>
    </row>
    <row r="27474" spans="1:38">
      <c r="A27474" s="182"/>
      <c r="Q27474" s="183"/>
      <c r="R27474" s="183"/>
      <c r="S27474" s="183"/>
      <c r="AJ27474" s="183"/>
      <c r="AK27474" s="183"/>
      <c r="AL27474" s="183"/>
    </row>
    <row r="27475" spans="1:38">
      <c r="A27475" s="182"/>
      <c r="Q27475" s="183"/>
      <c r="R27475" s="183"/>
      <c r="S27475" s="183"/>
      <c r="AJ27475" s="183"/>
    </row>
    <row r="27476" spans="1:38">
      <c r="A27476" s="182"/>
      <c r="Q27476" s="183"/>
      <c r="R27476" s="183"/>
      <c r="S27476" s="183"/>
    </row>
    <row r="27477" spans="1:38">
      <c r="A27477" s="182"/>
      <c r="Q27477" s="183"/>
      <c r="R27477" s="183"/>
      <c r="S27477" s="183"/>
    </row>
    <row r="27478" spans="1:38">
      <c r="A27478" s="182"/>
      <c r="Q27478" s="183"/>
      <c r="R27478" s="183"/>
      <c r="S27478" s="183"/>
    </row>
    <row r="27479" spans="1:38">
      <c r="A27479" s="182"/>
      <c r="Q27479" s="183"/>
      <c r="R27479" s="183"/>
      <c r="S27479" s="183"/>
    </row>
    <row r="27480" spans="1:38">
      <c r="A27480" s="182"/>
      <c r="Q27480" s="183"/>
      <c r="R27480" s="183"/>
      <c r="S27480" s="183"/>
    </row>
    <row r="27481" spans="1:38">
      <c r="A27481" s="182"/>
      <c r="Q27481" s="183"/>
      <c r="R27481" s="183"/>
      <c r="S27481" s="183"/>
    </row>
    <row r="27482" spans="1:38">
      <c r="A27482" s="182"/>
      <c r="Q27482" s="183"/>
      <c r="R27482" s="183"/>
      <c r="S27482" s="183"/>
    </row>
    <row r="27483" spans="1:38">
      <c r="A27483" s="182"/>
      <c r="Q27483" s="183"/>
      <c r="R27483" s="183"/>
      <c r="S27483" s="183"/>
    </row>
    <row r="27484" spans="1:38">
      <c r="A27484" s="182"/>
      <c r="Q27484" s="183"/>
      <c r="R27484" s="183"/>
      <c r="S27484" s="183"/>
    </row>
    <row r="27485" spans="1:38">
      <c r="A27485" s="182"/>
      <c r="Q27485" s="183"/>
      <c r="R27485" s="183"/>
      <c r="S27485" s="183"/>
    </row>
    <row r="27486" spans="1:38">
      <c r="A27486" s="182"/>
      <c r="Q27486" s="183"/>
      <c r="R27486" s="183"/>
      <c r="S27486" s="183"/>
    </row>
    <row r="27487" spans="1:38">
      <c r="A27487" s="182"/>
      <c r="Q27487" s="183"/>
      <c r="R27487" s="183"/>
      <c r="S27487" s="183"/>
    </row>
    <row r="27488" spans="1:38">
      <c r="A27488" s="182"/>
      <c r="Q27488" s="183"/>
      <c r="R27488" s="183"/>
      <c r="S27488" s="183"/>
    </row>
    <row r="27489" spans="1:38">
      <c r="A27489" s="182"/>
      <c r="Q27489" s="183"/>
      <c r="R27489" s="183"/>
      <c r="S27489" s="183"/>
    </row>
    <row r="27490" spans="1:38">
      <c r="A27490" s="182"/>
      <c r="Q27490" s="183"/>
      <c r="R27490" s="183"/>
      <c r="S27490" s="183"/>
    </row>
    <row r="27491" spans="1:38">
      <c r="A27491" s="182"/>
      <c r="Q27491" s="183"/>
      <c r="R27491" s="183"/>
      <c r="S27491" s="183"/>
    </row>
    <row r="27492" spans="1:38">
      <c r="A27492" s="182"/>
      <c r="Q27492" s="183"/>
      <c r="R27492" s="183"/>
      <c r="S27492" s="183"/>
    </row>
    <row r="27493" spans="1:38">
      <c r="A27493" s="182"/>
      <c r="Q27493" s="183"/>
      <c r="R27493" s="183"/>
      <c r="S27493" s="183"/>
    </row>
    <row r="27494" spans="1:38">
      <c r="A27494" s="182"/>
      <c r="Q27494" s="183"/>
      <c r="R27494" s="183"/>
      <c r="S27494" s="183"/>
    </row>
    <row r="27495" spans="1:38">
      <c r="A27495" s="182"/>
      <c r="Q27495" s="183"/>
      <c r="R27495" s="183"/>
      <c r="S27495" s="183"/>
      <c r="AK27495" s="183"/>
      <c r="AL27495" s="183"/>
    </row>
    <row r="27496" spans="1:38">
      <c r="A27496" s="182"/>
      <c r="Q27496" s="183"/>
      <c r="R27496" s="183"/>
      <c r="S27496" s="183"/>
      <c r="AJ27496" s="183"/>
      <c r="AK27496" s="183"/>
      <c r="AL27496" s="183"/>
    </row>
    <row r="27497" spans="1:38">
      <c r="A27497" s="182"/>
      <c r="Q27497" s="183"/>
      <c r="R27497" s="183"/>
      <c r="S27497" s="183"/>
      <c r="AJ27497" s="183"/>
      <c r="AK27497" s="183"/>
      <c r="AL27497" s="183"/>
    </row>
    <row r="27498" spans="1:38">
      <c r="A27498" s="182"/>
      <c r="Q27498" s="183"/>
      <c r="R27498" s="183"/>
      <c r="S27498" s="183"/>
      <c r="AJ27498" s="183"/>
      <c r="AK27498" s="183"/>
      <c r="AL27498" s="183"/>
    </row>
    <row r="27499" spans="1:38">
      <c r="A27499" s="182"/>
      <c r="Q27499" s="183"/>
      <c r="R27499" s="183"/>
      <c r="S27499" s="183"/>
      <c r="AJ27499" s="183"/>
    </row>
    <row r="27500" spans="1:38">
      <c r="A27500" s="182"/>
      <c r="Q27500" s="183"/>
      <c r="R27500" s="183"/>
      <c r="S27500" s="183"/>
    </row>
    <row r="27501" spans="1:38">
      <c r="A27501" s="182"/>
      <c r="Q27501" s="183"/>
      <c r="R27501" s="183"/>
      <c r="S27501" s="183"/>
    </row>
    <row r="27502" spans="1:38">
      <c r="A27502" s="182"/>
      <c r="Q27502" s="183"/>
      <c r="R27502" s="183"/>
      <c r="S27502" s="183"/>
    </row>
    <row r="27503" spans="1:38">
      <c r="A27503" s="182"/>
      <c r="Q27503" s="183"/>
      <c r="R27503" s="183"/>
      <c r="S27503" s="183"/>
    </row>
    <row r="27504" spans="1:38">
      <c r="A27504" s="182"/>
      <c r="Q27504" s="183"/>
      <c r="R27504" s="183"/>
      <c r="S27504" s="183"/>
    </row>
    <row r="27505" spans="1:19">
      <c r="A27505" s="182"/>
      <c r="Q27505" s="183"/>
      <c r="R27505" s="183"/>
      <c r="S27505" s="183"/>
    </row>
    <row r="27506" spans="1:19">
      <c r="A27506" s="182"/>
      <c r="Q27506" s="183"/>
      <c r="R27506" s="183"/>
      <c r="S27506" s="183"/>
    </row>
    <row r="27507" spans="1:19">
      <c r="A27507" s="182"/>
      <c r="Q27507" s="183"/>
      <c r="R27507" s="183"/>
      <c r="S27507" s="183"/>
    </row>
    <row r="27508" spans="1:19">
      <c r="A27508" s="182"/>
      <c r="Q27508" s="183"/>
      <c r="R27508" s="183"/>
      <c r="S27508" s="183"/>
    </row>
    <row r="27509" spans="1:19">
      <c r="A27509" s="182"/>
      <c r="Q27509" s="183"/>
      <c r="R27509" s="183"/>
      <c r="S27509" s="183"/>
    </row>
    <row r="27510" spans="1:19">
      <c r="A27510" s="182"/>
      <c r="Q27510" s="183"/>
      <c r="R27510" s="183"/>
      <c r="S27510" s="183"/>
    </row>
    <row r="27511" spans="1:19">
      <c r="A27511" s="182"/>
      <c r="Q27511" s="183"/>
      <c r="R27511" s="183"/>
      <c r="S27511" s="183"/>
    </row>
    <row r="27512" spans="1:19">
      <c r="A27512" s="182"/>
      <c r="Q27512" s="183"/>
      <c r="R27512" s="183"/>
      <c r="S27512" s="183"/>
    </row>
    <row r="27513" spans="1:19">
      <c r="A27513" s="182"/>
      <c r="Q27513" s="183"/>
      <c r="R27513" s="183"/>
      <c r="S27513" s="183"/>
    </row>
    <row r="27514" spans="1:19">
      <c r="A27514" s="182"/>
      <c r="Q27514" s="183"/>
      <c r="R27514" s="183"/>
      <c r="S27514" s="183"/>
    </row>
    <row r="27515" spans="1:19">
      <c r="A27515" s="182"/>
      <c r="Q27515" s="183"/>
      <c r="R27515" s="183"/>
      <c r="S27515" s="183"/>
    </row>
    <row r="27516" spans="1:19">
      <c r="A27516" s="182"/>
      <c r="Q27516" s="183"/>
      <c r="R27516" s="183"/>
      <c r="S27516" s="183"/>
    </row>
    <row r="27517" spans="1:19">
      <c r="A27517" s="182"/>
      <c r="Q27517" s="183"/>
      <c r="R27517" s="183"/>
      <c r="S27517" s="183"/>
    </row>
    <row r="27518" spans="1:19">
      <c r="A27518" s="182"/>
      <c r="Q27518" s="183"/>
      <c r="R27518" s="183"/>
      <c r="S27518" s="183"/>
    </row>
    <row r="27519" spans="1:19">
      <c r="A27519" s="182"/>
      <c r="Q27519" s="183"/>
      <c r="R27519" s="183"/>
      <c r="S27519" s="183"/>
    </row>
    <row r="27520" spans="1:19">
      <c r="A27520" s="182"/>
      <c r="Q27520" s="183"/>
      <c r="R27520" s="183"/>
      <c r="S27520" s="183"/>
    </row>
    <row r="27521" spans="1:19">
      <c r="A27521" s="182"/>
      <c r="Q27521" s="183"/>
      <c r="R27521" s="183"/>
      <c r="S27521" s="183"/>
    </row>
    <row r="27522" spans="1:19">
      <c r="A27522" s="182"/>
      <c r="Q27522" s="183"/>
      <c r="R27522" s="183"/>
      <c r="S27522" s="183"/>
    </row>
    <row r="27523" spans="1:19">
      <c r="A27523" s="182"/>
      <c r="Q27523" s="183"/>
      <c r="R27523" s="183"/>
      <c r="S27523" s="183"/>
    </row>
    <row r="27524" spans="1:19">
      <c r="A27524" s="182"/>
      <c r="Q27524" s="183"/>
      <c r="R27524" s="183"/>
      <c r="S27524" s="183"/>
    </row>
    <row r="27525" spans="1:19">
      <c r="A27525" s="182"/>
      <c r="Q27525" s="183"/>
      <c r="R27525" s="183"/>
      <c r="S27525" s="183"/>
    </row>
    <row r="27526" spans="1:19">
      <c r="A27526" s="182"/>
      <c r="Q27526" s="183"/>
      <c r="R27526" s="183"/>
      <c r="S27526" s="183"/>
    </row>
    <row r="27527" spans="1:19">
      <c r="A27527" s="182"/>
      <c r="Q27527" s="183"/>
      <c r="R27527" s="183"/>
      <c r="S27527" s="183"/>
    </row>
    <row r="27528" spans="1:19">
      <c r="A27528" s="182"/>
      <c r="Q27528" s="183"/>
      <c r="R27528" s="183"/>
      <c r="S27528" s="183"/>
    </row>
    <row r="27529" spans="1:19">
      <c r="A27529" s="182"/>
      <c r="Q27529" s="183"/>
      <c r="R27529" s="183"/>
      <c r="S27529" s="183"/>
    </row>
    <row r="27530" spans="1:19">
      <c r="A27530" s="182"/>
      <c r="Q27530" s="183"/>
      <c r="R27530" s="183"/>
      <c r="S27530" s="183"/>
    </row>
    <row r="27531" spans="1:19">
      <c r="A27531" s="182"/>
      <c r="Q27531" s="183"/>
      <c r="R27531" s="183"/>
      <c r="S27531" s="183"/>
    </row>
    <row r="27532" spans="1:19">
      <c r="A27532" s="182"/>
      <c r="Q27532" s="183"/>
      <c r="R27532" s="183"/>
      <c r="S27532" s="183"/>
    </row>
    <row r="27533" spans="1:19">
      <c r="A27533" s="182"/>
      <c r="Q27533" s="183"/>
      <c r="R27533" s="183"/>
      <c r="S27533" s="183"/>
    </row>
    <row r="27534" spans="1:19">
      <c r="A27534" s="182"/>
      <c r="Q27534" s="183"/>
      <c r="R27534" s="183"/>
      <c r="S27534" s="183"/>
    </row>
    <row r="27535" spans="1:19">
      <c r="A27535" s="182"/>
      <c r="Q27535" s="183"/>
      <c r="R27535" s="183"/>
      <c r="S27535" s="183"/>
    </row>
    <row r="27536" spans="1:19">
      <c r="A27536" s="182"/>
      <c r="Q27536" s="183"/>
      <c r="R27536" s="183"/>
      <c r="S27536" s="183"/>
    </row>
    <row r="27537" spans="1:38">
      <c r="A27537" s="182"/>
      <c r="Q27537" s="183"/>
      <c r="R27537" s="183"/>
      <c r="S27537" s="183"/>
    </row>
    <row r="27538" spans="1:38">
      <c r="A27538" s="182"/>
      <c r="Q27538" s="183"/>
      <c r="R27538" s="183"/>
      <c r="S27538" s="183"/>
    </row>
    <row r="27539" spans="1:38">
      <c r="A27539" s="182"/>
      <c r="Q27539" s="183"/>
      <c r="R27539" s="183"/>
      <c r="S27539" s="183"/>
    </row>
    <row r="27540" spans="1:38">
      <c r="A27540" s="182"/>
      <c r="Q27540" s="183"/>
      <c r="R27540" s="183"/>
      <c r="S27540" s="183"/>
    </row>
    <row r="27541" spans="1:38">
      <c r="A27541" s="182"/>
      <c r="Q27541" s="183"/>
      <c r="R27541" s="183"/>
      <c r="S27541" s="183"/>
    </row>
    <row r="27542" spans="1:38">
      <c r="A27542" s="182"/>
      <c r="Q27542" s="183"/>
      <c r="R27542" s="183"/>
      <c r="S27542" s="183"/>
    </row>
    <row r="27543" spans="1:38">
      <c r="A27543" s="182"/>
      <c r="Q27543" s="183"/>
      <c r="R27543" s="183"/>
      <c r="S27543" s="183"/>
      <c r="AK27543" s="183"/>
      <c r="AL27543" s="183"/>
    </row>
    <row r="27544" spans="1:38">
      <c r="A27544" s="182"/>
      <c r="Q27544" s="183"/>
      <c r="R27544" s="183"/>
      <c r="S27544" s="183"/>
      <c r="AJ27544" s="183"/>
      <c r="AK27544" s="183"/>
      <c r="AL27544" s="183"/>
    </row>
    <row r="27545" spans="1:38">
      <c r="A27545" s="182"/>
      <c r="Q27545" s="183"/>
      <c r="R27545" s="183"/>
      <c r="S27545" s="183"/>
      <c r="AJ27545" s="183"/>
      <c r="AK27545" s="183"/>
      <c r="AL27545" s="183"/>
    </row>
    <row r="27546" spans="1:38">
      <c r="A27546" s="182"/>
      <c r="Q27546" s="183"/>
      <c r="R27546" s="183"/>
      <c r="S27546" s="183"/>
      <c r="AJ27546" s="183"/>
      <c r="AK27546" s="183"/>
      <c r="AL27546" s="183"/>
    </row>
    <row r="27547" spans="1:38">
      <c r="A27547" s="182"/>
      <c r="Q27547" s="183"/>
      <c r="R27547" s="183"/>
      <c r="S27547" s="183"/>
      <c r="AJ27547" s="183"/>
    </row>
    <row r="27548" spans="1:38">
      <c r="A27548" s="182"/>
      <c r="Q27548" s="183"/>
      <c r="R27548" s="183"/>
      <c r="S27548" s="183"/>
    </row>
    <row r="27549" spans="1:38">
      <c r="A27549" s="182"/>
      <c r="Q27549" s="183"/>
      <c r="R27549" s="183"/>
      <c r="S27549" s="183"/>
    </row>
    <row r="27550" spans="1:38">
      <c r="A27550" s="182"/>
      <c r="Q27550" s="183"/>
      <c r="R27550" s="183"/>
      <c r="S27550" s="183"/>
    </row>
    <row r="27551" spans="1:38">
      <c r="A27551" s="182"/>
      <c r="Q27551" s="183"/>
      <c r="R27551" s="183"/>
      <c r="S27551" s="183"/>
    </row>
    <row r="27552" spans="1:38">
      <c r="A27552" s="182"/>
      <c r="Q27552" s="183"/>
      <c r="R27552" s="183"/>
      <c r="S27552" s="183"/>
    </row>
    <row r="27553" spans="1:38">
      <c r="A27553" s="182"/>
      <c r="Q27553" s="183"/>
      <c r="R27553" s="183"/>
      <c r="S27553" s="183"/>
    </row>
    <row r="27554" spans="1:38">
      <c r="A27554" s="182"/>
      <c r="Q27554" s="183"/>
      <c r="R27554" s="183"/>
      <c r="S27554" s="183"/>
    </row>
    <row r="27555" spans="1:38">
      <c r="A27555" s="182"/>
      <c r="Q27555" s="183"/>
      <c r="R27555" s="183"/>
      <c r="S27555" s="183"/>
    </row>
    <row r="27556" spans="1:38">
      <c r="A27556" s="182"/>
      <c r="Q27556" s="183"/>
      <c r="R27556" s="183"/>
      <c r="S27556" s="183"/>
    </row>
    <row r="27557" spans="1:38">
      <c r="A27557" s="182"/>
      <c r="Q27557" s="183"/>
      <c r="R27557" s="183"/>
      <c r="S27557" s="183"/>
    </row>
    <row r="27558" spans="1:38">
      <c r="A27558" s="182"/>
      <c r="Q27558" s="183"/>
      <c r="R27558" s="183"/>
      <c r="S27558" s="183"/>
    </row>
    <row r="27559" spans="1:38">
      <c r="A27559" s="182"/>
      <c r="Q27559" s="183"/>
      <c r="R27559" s="183"/>
      <c r="S27559" s="183"/>
    </row>
    <row r="27560" spans="1:38">
      <c r="A27560" s="182"/>
      <c r="Q27560" s="183"/>
      <c r="R27560" s="183"/>
      <c r="S27560" s="183"/>
    </row>
    <row r="27561" spans="1:38">
      <c r="A27561" s="182"/>
      <c r="Q27561" s="183"/>
      <c r="R27561" s="183"/>
      <c r="S27561" s="183"/>
    </row>
    <row r="27562" spans="1:38">
      <c r="A27562" s="182"/>
      <c r="Q27562" s="183"/>
      <c r="R27562" s="183"/>
      <c r="S27562" s="183"/>
    </row>
    <row r="27563" spans="1:38">
      <c r="A27563" s="182"/>
      <c r="Q27563" s="183"/>
      <c r="R27563" s="183"/>
      <c r="S27563" s="183"/>
      <c r="AK27563" s="183"/>
      <c r="AL27563" s="183"/>
    </row>
    <row r="27564" spans="1:38">
      <c r="A27564" s="182"/>
      <c r="Q27564" s="183"/>
      <c r="R27564" s="183"/>
      <c r="S27564" s="183"/>
      <c r="AJ27564" s="183"/>
      <c r="AK27564" s="183"/>
      <c r="AL27564" s="183"/>
    </row>
    <row r="27565" spans="1:38">
      <c r="A27565" s="182"/>
      <c r="Q27565" s="183"/>
      <c r="R27565" s="183"/>
      <c r="S27565" s="183"/>
      <c r="AJ27565" s="183"/>
      <c r="AK27565" s="183"/>
      <c r="AL27565" s="183"/>
    </row>
    <row r="27566" spans="1:38">
      <c r="A27566" s="182"/>
      <c r="Q27566" s="183"/>
      <c r="R27566" s="183"/>
      <c r="S27566" s="183"/>
      <c r="AJ27566" s="183"/>
      <c r="AK27566" s="183"/>
      <c r="AL27566" s="183"/>
    </row>
    <row r="27567" spans="1:38">
      <c r="A27567" s="182"/>
      <c r="Q27567" s="183"/>
      <c r="R27567" s="183"/>
      <c r="S27567" s="183"/>
      <c r="AJ27567" s="183"/>
      <c r="AK27567" s="183"/>
      <c r="AL27567" s="183"/>
    </row>
    <row r="27568" spans="1:38">
      <c r="A27568" s="182"/>
      <c r="Q27568" s="183"/>
      <c r="R27568" s="183"/>
      <c r="S27568" s="183"/>
      <c r="AJ27568" s="183"/>
      <c r="AK27568" s="183"/>
      <c r="AL27568" s="183"/>
    </row>
    <row r="27569" spans="1:38">
      <c r="A27569" s="182"/>
      <c r="Q27569" s="183"/>
      <c r="R27569" s="183"/>
      <c r="S27569" s="183"/>
      <c r="AJ27569" s="183"/>
      <c r="AK27569" s="183"/>
      <c r="AL27569" s="183"/>
    </row>
    <row r="27570" spans="1:38">
      <c r="A27570" s="182"/>
      <c r="Q27570" s="183"/>
      <c r="R27570" s="183"/>
      <c r="S27570" s="183"/>
      <c r="AJ27570" s="183"/>
      <c r="AK27570" s="183"/>
      <c r="AL27570" s="183"/>
    </row>
    <row r="27571" spans="1:38">
      <c r="A27571" s="182"/>
      <c r="Q27571" s="183"/>
      <c r="R27571" s="183"/>
      <c r="S27571" s="183"/>
      <c r="AJ27571" s="183"/>
    </row>
    <row r="27572" spans="1:38">
      <c r="A27572" s="182"/>
      <c r="Q27572" s="183"/>
      <c r="R27572" s="183"/>
      <c r="S27572" s="183"/>
    </row>
    <row r="27573" spans="1:38">
      <c r="A27573" s="182"/>
      <c r="Q27573" s="183"/>
      <c r="R27573" s="183"/>
      <c r="S27573" s="183"/>
    </row>
    <row r="27574" spans="1:38">
      <c r="A27574" s="182"/>
      <c r="Q27574" s="183"/>
      <c r="R27574" s="183"/>
      <c r="S27574" s="183"/>
    </row>
    <row r="27575" spans="1:38">
      <c r="A27575" s="182"/>
      <c r="Q27575" s="183"/>
      <c r="R27575" s="183"/>
      <c r="S27575" s="183"/>
    </row>
    <row r="27576" spans="1:38">
      <c r="A27576" s="182"/>
      <c r="Q27576" s="183"/>
      <c r="R27576" s="183"/>
      <c r="S27576" s="183"/>
    </row>
    <row r="27577" spans="1:38">
      <c r="A27577" s="182"/>
      <c r="Q27577" s="183"/>
      <c r="R27577" s="183"/>
      <c r="S27577" s="183"/>
    </row>
    <row r="27578" spans="1:38">
      <c r="A27578" s="182"/>
      <c r="Q27578" s="183"/>
      <c r="R27578" s="183"/>
      <c r="S27578" s="183"/>
    </row>
    <row r="27579" spans="1:38">
      <c r="A27579" s="182"/>
      <c r="Q27579" s="183"/>
    </row>
    <row r="27580" spans="1:38">
      <c r="A27580" s="182"/>
    </row>
    <row r="27581" spans="1:38">
      <c r="A27581" s="182"/>
    </row>
    <row r="27582" spans="1:38">
      <c r="A27582" s="182"/>
    </row>
    <row r="27583" spans="1:38">
      <c r="A27583" s="182"/>
    </row>
    <row r="27584" spans="1:38">
      <c r="A27584" s="182"/>
    </row>
    <row r="27585" spans="1:38">
      <c r="A27585" s="182"/>
    </row>
    <row r="27586" spans="1:38">
      <c r="A27586" s="182"/>
    </row>
    <row r="27587" spans="1:38">
      <c r="A27587" s="182"/>
      <c r="AK27587" s="183"/>
      <c r="AL27587" s="183"/>
    </row>
    <row r="27588" spans="1:38">
      <c r="A27588" s="182"/>
      <c r="AJ27588" s="183"/>
      <c r="AK27588" s="183"/>
      <c r="AL27588" s="183"/>
    </row>
    <row r="27589" spans="1:38">
      <c r="A27589" s="182"/>
      <c r="AJ27589" s="183"/>
      <c r="AK27589" s="183"/>
      <c r="AL27589" s="183"/>
    </row>
    <row r="27590" spans="1:38">
      <c r="A27590" s="182"/>
      <c r="AJ27590" s="183"/>
      <c r="AK27590" s="183"/>
      <c r="AL27590" s="183"/>
    </row>
    <row r="27591" spans="1:38">
      <c r="A27591" s="182"/>
      <c r="AJ27591" s="183"/>
      <c r="AK27591" s="183"/>
      <c r="AL27591" s="183"/>
    </row>
    <row r="27592" spans="1:38">
      <c r="A27592" s="182"/>
      <c r="AJ27592" s="183"/>
      <c r="AK27592" s="183"/>
      <c r="AL27592" s="183"/>
    </row>
    <row r="27593" spans="1:38">
      <c r="A27593" s="182"/>
      <c r="R27593" s="183"/>
      <c r="S27593" s="183"/>
      <c r="AJ27593" s="183"/>
      <c r="AK27593" s="183"/>
      <c r="AL27593" s="183"/>
    </row>
    <row r="27594" spans="1:38">
      <c r="A27594" s="182"/>
      <c r="Q27594" s="183"/>
      <c r="R27594" s="183"/>
      <c r="S27594" s="183"/>
      <c r="AJ27594" s="183"/>
      <c r="AK27594" s="183"/>
      <c r="AL27594" s="183"/>
    </row>
    <row r="27595" spans="1:38">
      <c r="A27595" s="182"/>
      <c r="Q27595" s="183"/>
      <c r="AJ27595" s="183"/>
    </row>
    <row r="27596" spans="1:38">
      <c r="A27596" s="182"/>
    </row>
    <row r="27597" spans="1:38">
      <c r="A27597" s="182"/>
    </row>
    <row r="27598" spans="1:38">
      <c r="A27598" s="182"/>
    </row>
    <row r="27599" spans="1:38">
      <c r="A27599" s="182"/>
      <c r="R27599" s="183"/>
      <c r="S27599" s="183"/>
    </row>
    <row r="27600" spans="1:38">
      <c r="A27600" s="182"/>
      <c r="Q27600" s="183"/>
    </row>
    <row r="27601" spans="1:38">
      <c r="A27601" s="182"/>
    </row>
    <row r="27602" spans="1:38">
      <c r="A27602" s="182"/>
    </row>
    <row r="27603" spans="1:38">
      <c r="A27603" s="182"/>
      <c r="R27603" s="183"/>
      <c r="S27603" s="183"/>
    </row>
    <row r="27604" spans="1:38">
      <c r="A27604" s="182"/>
      <c r="Q27604" s="183"/>
      <c r="R27604" s="183"/>
      <c r="S27604" s="183"/>
    </row>
    <row r="27605" spans="1:38">
      <c r="A27605" s="182"/>
      <c r="Q27605" s="183"/>
      <c r="R27605" s="183"/>
      <c r="S27605" s="183"/>
    </row>
    <row r="27606" spans="1:38">
      <c r="A27606" s="182"/>
      <c r="Q27606" s="183"/>
      <c r="R27606" s="183"/>
      <c r="S27606" s="183"/>
    </row>
    <row r="27607" spans="1:38">
      <c r="A27607" s="182"/>
      <c r="Q27607" s="183"/>
      <c r="R27607" s="183"/>
      <c r="S27607" s="183"/>
      <c r="AK27607" s="183"/>
      <c r="AL27607" s="183"/>
    </row>
    <row r="27608" spans="1:38">
      <c r="A27608" s="182"/>
      <c r="Q27608" s="183"/>
      <c r="R27608" s="183"/>
      <c r="S27608" s="183"/>
      <c r="AJ27608" s="183"/>
      <c r="AK27608" s="183"/>
      <c r="AL27608" s="183"/>
    </row>
    <row r="27609" spans="1:38">
      <c r="A27609" s="182"/>
      <c r="Q27609" s="183"/>
      <c r="R27609" s="183"/>
      <c r="S27609" s="183"/>
      <c r="AJ27609" s="183"/>
      <c r="AK27609" s="183"/>
      <c r="AL27609" s="183"/>
    </row>
    <row r="27610" spans="1:38">
      <c r="A27610" s="182"/>
      <c r="Q27610" s="183"/>
      <c r="R27610" s="183"/>
      <c r="S27610" s="183"/>
      <c r="AJ27610" s="183"/>
      <c r="AK27610" s="183"/>
      <c r="AL27610" s="183"/>
    </row>
    <row r="27611" spans="1:38">
      <c r="A27611" s="182"/>
      <c r="N27611" s="183"/>
      <c r="O27611" s="183"/>
      <c r="Q27611" s="183"/>
      <c r="AJ27611" s="183"/>
    </row>
    <row r="27612" spans="1:38">
      <c r="A27612" s="182"/>
      <c r="M27612" s="183"/>
      <c r="R27612" s="183"/>
      <c r="S27612" s="183"/>
    </row>
    <row r="27613" spans="1:38">
      <c r="A27613" s="182"/>
      <c r="Q27613" s="183"/>
      <c r="R27613" s="183"/>
      <c r="S27613" s="183"/>
    </row>
    <row r="27614" spans="1:38">
      <c r="A27614" s="182"/>
      <c r="Q27614" s="183"/>
      <c r="R27614" s="183"/>
      <c r="S27614" s="183"/>
    </row>
    <row r="27615" spans="1:38">
      <c r="A27615" s="182"/>
      <c r="Q27615" s="183"/>
      <c r="R27615" s="183"/>
      <c r="S27615" s="183"/>
      <c r="AK27615" s="183"/>
      <c r="AL27615" s="183"/>
    </row>
    <row r="27616" spans="1:38">
      <c r="A27616" s="182"/>
      <c r="Q27616" s="183"/>
      <c r="R27616" s="183"/>
      <c r="S27616" s="183"/>
      <c r="AJ27616" s="183"/>
      <c r="AK27616" s="183"/>
      <c r="AL27616" s="183"/>
    </row>
    <row r="27617" spans="1:38">
      <c r="A27617" s="182"/>
      <c r="Q27617" s="183"/>
      <c r="R27617" s="183"/>
      <c r="S27617" s="183"/>
      <c r="AJ27617" s="183"/>
      <c r="AK27617" s="183"/>
      <c r="AL27617" s="183"/>
    </row>
    <row r="27618" spans="1:38">
      <c r="A27618" s="182"/>
      <c r="Q27618" s="183"/>
      <c r="R27618" s="183"/>
      <c r="S27618" s="183"/>
      <c r="AJ27618" s="183"/>
      <c r="AK27618" s="183"/>
      <c r="AL27618" s="183"/>
    </row>
    <row r="27619" spans="1:38">
      <c r="A27619" s="182"/>
      <c r="Q27619" s="183"/>
      <c r="R27619" s="183"/>
      <c r="S27619" s="183"/>
      <c r="AJ27619" s="183"/>
    </row>
    <row r="27620" spans="1:38">
      <c r="A27620" s="182"/>
      <c r="Q27620" s="183"/>
      <c r="R27620" s="183"/>
      <c r="S27620" s="183"/>
    </row>
    <row r="27621" spans="1:38">
      <c r="A27621" s="182"/>
      <c r="Q27621" s="183"/>
      <c r="R27621" s="183"/>
      <c r="S27621" s="183"/>
    </row>
    <row r="27622" spans="1:38">
      <c r="A27622" s="182"/>
      <c r="Q27622" s="183"/>
      <c r="R27622" s="183"/>
      <c r="S27622" s="183"/>
    </row>
    <row r="27623" spans="1:38">
      <c r="A27623" s="182"/>
      <c r="Q27623" s="183"/>
      <c r="R27623" s="183"/>
      <c r="S27623" s="183"/>
    </row>
    <row r="27624" spans="1:38">
      <c r="A27624" s="182"/>
      <c r="Q27624" s="183"/>
      <c r="R27624" s="183"/>
      <c r="S27624" s="183"/>
    </row>
    <row r="27625" spans="1:38">
      <c r="A27625" s="182"/>
      <c r="Q27625" s="183"/>
      <c r="R27625" s="183"/>
      <c r="S27625" s="183"/>
    </row>
    <row r="27626" spans="1:38">
      <c r="A27626" s="182"/>
      <c r="Q27626" s="183"/>
      <c r="R27626" s="183"/>
      <c r="S27626" s="183"/>
    </row>
    <row r="27627" spans="1:38">
      <c r="A27627" s="182"/>
      <c r="Q27627" s="183"/>
      <c r="R27627" s="183"/>
      <c r="S27627" s="183"/>
      <c r="AK27627" s="183"/>
      <c r="AL27627" s="183"/>
    </row>
    <row r="27628" spans="1:38">
      <c r="A27628" s="182"/>
      <c r="Q27628" s="183"/>
      <c r="R27628" s="183"/>
      <c r="S27628" s="183"/>
      <c r="AJ27628" s="183"/>
      <c r="AK27628" s="183"/>
      <c r="AL27628" s="183"/>
    </row>
    <row r="27629" spans="1:38">
      <c r="A27629" s="182"/>
      <c r="Q27629" s="183"/>
      <c r="R27629" s="183"/>
      <c r="S27629" s="183"/>
      <c r="AJ27629" s="183"/>
      <c r="AK27629" s="183"/>
      <c r="AL27629" s="183"/>
    </row>
    <row r="27630" spans="1:38">
      <c r="A27630" s="182"/>
      <c r="Q27630" s="183"/>
      <c r="R27630" s="183"/>
      <c r="S27630" s="183"/>
      <c r="AJ27630" s="183"/>
      <c r="AK27630" s="183"/>
      <c r="AL27630" s="183"/>
    </row>
    <row r="27631" spans="1:38">
      <c r="A27631" s="182"/>
      <c r="Q27631" s="183"/>
      <c r="R27631" s="183"/>
      <c r="S27631" s="183"/>
      <c r="AJ27631" s="183"/>
      <c r="AK27631" s="183"/>
      <c r="AL27631" s="183"/>
    </row>
    <row r="27632" spans="1:38">
      <c r="A27632" s="182"/>
      <c r="Q27632" s="183"/>
      <c r="R27632" s="183"/>
      <c r="S27632" s="183"/>
      <c r="AJ27632" s="183"/>
      <c r="AK27632" s="183"/>
      <c r="AL27632" s="183"/>
    </row>
    <row r="27633" spans="1:38">
      <c r="A27633" s="182"/>
      <c r="Q27633" s="183"/>
      <c r="R27633" s="183"/>
      <c r="S27633" s="183"/>
      <c r="AJ27633" s="183"/>
      <c r="AK27633" s="183"/>
      <c r="AL27633" s="183"/>
    </row>
    <row r="27634" spans="1:38">
      <c r="A27634" s="182"/>
      <c r="Q27634" s="183"/>
      <c r="R27634" s="183"/>
      <c r="S27634" s="183"/>
      <c r="AJ27634" s="183"/>
      <c r="AK27634" s="183"/>
      <c r="AL27634" s="183"/>
    </row>
    <row r="27635" spans="1:38">
      <c r="A27635" s="182"/>
      <c r="Q27635" s="183"/>
      <c r="R27635" s="183"/>
      <c r="S27635" s="183"/>
      <c r="AJ27635" s="183"/>
    </row>
    <row r="27636" spans="1:38">
      <c r="A27636" s="182"/>
      <c r="Q27636" s="183"/>
      <c r="R27636" s="183"/>
      <c r="S27636" s="183"/>
    </row>
    <row r="27637" spans="1:38">
      <c r="A27637" s="182"/>
      <c r="Q27637" s="183"/>
      <c r="R27637" s="183"/>
      <c r="S27637" s="183"/>
    </row>
    <row r="27638" spans="1:38">
      <c r="A27638" s="182"/>
      <c r="Q27638" s="183"/>
      <c r="R27638" s="183"/>
      <c r="S27638" s="183"/>
    </row>
    <row r="27639" spans="1:38">
      <c r="A27639" s="182"/>
      <c r="Q27639" s="183"/>
      <c r="R27639" s="183"/>
      <c r="S27639" s="183"/>
    </row>
    <row r="27640" spans="1:38">
      <c r="A27640" s="182"/>
      <c r="Q27640" s="183"/>
      <c r="R27640" s="183"/>
      <c r="S27640" s="183"/>
    </row>
    <row r="27641" spans="1:38">
      <c r="A27641" s="182"/>
      <c r="Q27641" s="183"/>
      <c r="R27641" s="183"/>
      <c r="S27641" s="183"/>
    </row>
    <row r="27642" spans="1:38">
      <c r="A27642" s="182"/>
      <c r="Q27642" s="183"/>
      <c r="R27642" s="183"/>
      <c r="S27642" s="183"/>
    </row>
    <row r="27643" spans="1:38">
      <c r="A27643" s="182"/>
      <c r="Q27643" s="183"/>
      <c r="R27643" s="183"/>
      <c r="S27643" s="183"/>
    </row>
    <row r="27644" spans="1:38">
      <c r="A27644" s="182"/>
      <c r="Q27644" s="183"/>
      <c r="R27644" s="183"/>
      <c r="S27644" s="183"/>
    </row>
    <row r="27645" spans="1:38">
      <c r="A27645" s="182"/>
      <c r="Q27645" s="183"/>
      <c r="R27645" s="183"/>
      <c r="S27645" s="183"/>
    </row>
    <row r="27646" spans="1:38">
      <c r="A27646" s="182"/>
      <c r="Q27646" s="183"/>
      <c r="R27646" s="183"/>
      <c r="S27646" s="183"/>
    </row>
    <row r="27647" spans="1:38">
      <c r="A27647" s="182"/>
      <c r="Q27647" s="183"/>
      <c r="R27647" s="183"/>
      <c r="S27647" s="183"/>
    </row>
    <row r="27648" spans="1:38">
      <c r="A27648" s="182"/>
      <c r="Q27648" s="183"/>
      <c r="R27648" s="183"/>
      <c r="S27648" s="183"/>
    </row>
    <row r="27649" spans="1:19">
      <c r="A27649" s="182"/>
      <c r="Q27649" s="183"/>
      <c r="R27649" s="183"/>
      <c r="S27649" s="183"/>
    </row>
    <row r="27650" spans="1:19">
      <c r="A27650" s="182"/>
      <c r="Q27650" s="183"/>
      <c r="R27650" s="183"/>
      <c r="S27650" s="183"/>
    </row>
    <row r="27651" spans="1:19">
      <c r="A27651" s="182"/>
      <c r="Q27651" s="183"/>
      <c r="R27651" s="183"/>
      <c r="S27651" s="183"/>
    </row>
    <row r="27652" spans="1:19">
      <c r="A27652" s="182"/>
      <c r="Q27652" s="183"/>
      <c r="R27652" s="183"/>
      <c r="S27652" s="183"/>
    </row>
    <row r="27653" spans="1:19">
      <c r="A27653" s="182"/>
      <c r="Q27653" s="183"/>
      <c r="R27653" s="183"/>
      <c r="S27653" s="183"/>
    </row>
    <row r="27654" spans="1:19">
      <c r="A27654" s="182"/>
      <c r="Q27654" s="183"/>
      <c r="R27654" s="183"/>
      <c r="S27654" s="183"/>
    </row>
    <row r="27655" spans="1:19">
      <c r="A27655" s="182"/>
      <c r="Q27655" s="183"/>
      <c r="R27655" s="183"/>
      <c r="S27655" s="183"/>
    </row>
    <row r="27656" spans="1:19">
      <c r="A27656" s="182"/>
      <c r="Q27656" s="183"/>
      <c r="R27656" s="183"/>
      <c r="S27656" s="183"/>
    </row>
    <row r="27657" spans="1:19">
      <c r="A27657" s="182"/>
      <c r="Q27657" s="183"/>
      <c r="R27657" s="183"/>
      <c r="S27657" s="183"/>
    </row>
    <row r="27658" spans="1:19">
      <c r="A27658" s="182"/>
      <c r="Q27658" s="183"/>
      <c r="R27658" s="183"/>
      <c r="S27658" s="183"/>
    </row>
    <row r="27659" spans="1:19">
      <c r="A27659" s="182"/>
      <c r="Q27659" s="183"/>
      <c r="R27659" s="183"/>
      <c r="S27659" s="183"/>
    </row>
    <row r="27660" spans="1:19">
      <c r="A27660" s="182"/>
      <c r="Q27660" s="183"/>
      <c r="R27660" s="183"/>
      <c r="S27660" s="183"/>
    </row>
    <row r="27661" spans="1:19">
      <c r="A27661" s="182"/>
      <c r="Q27661" s="183"/>
      <c r="R27661" s="183"/>
      <c r="S27661" s="183"/>
    </row>
    <row r="27662" spans="1:19">
      <c r="A27662" s="182"/>
      <c r="Q27662" s="183"/>
      <c r="R27662" s="183"/>
      <c r="S27662" s="183"/>
    </row>
    <row r="27663" spans="1:19">
      <c r="A27663" s="182"/>
      <c r="Q27663" s="183"/>
      <c r="R27663" s="183"/>
      <c r="S27663" s="183"/>
    </row>
    <row r="27664" spans="1:19">
      <c r="A27664" s="182"/>
      <c r="Q27664" s="183"/>
      <c r="R27664" s="183"/>
      <c r="S27664" s="183"/>
    </row>
    <row r="27665" spans="1:38">
      <c r="A27665" s="182"/>
      <c r="Q27665" s="183"/>
      <c r="R27665" s="183"/>
      <c r="S27665" s="183"/>
    </row>
    <row r="27666" spans="1:38">
      <c r="A27666" s="182"/>
      <c r="Q27666" s="183"/>
      <c r="R27666" s="183"/>
      <c r="S27666" s="183"/>
    </row>
    <row r="27667" spans="1:38">
      <c r="A27667" s="182"/>
      <c r="Q27667" s="183"/>
      <c r="R27667" s="183"/>
      <c r="S27667" s="183"/>
    </row>
    <row r="27668" spans="1:38">
      <c r="A27668" s="182"/>
      <c r="Q27668" s="183"/>
      <c r="R27668" s="183"/>
      <c r="S27668" s="183"/>
    </row>
    <row r="27669" spans="1:38">
      <c r="A27669" s="182"/>
      <c r="Q27669" s="183"/>
      <c r="R27669" s="183"/>
      <c r="S27669" s="183"/>
    </row>
    <row r="27670" spans="1:38">
      <c r="A27670" s="182"/>
      <c r="Q27670" s="183"/>
      <c r="R27670" s="183"/>
      <c r="S27670" s="183"/>
    </row>
    <row r="27671" spans="1:38">
      <c r="A27671" s="182"/>
      <c r="Q27671" s="183"/>
      <c r="R27671" s="183"/>
      <c r="S27671" s="183"/>
    </row>
    <row r="27672" spans="1:38">
      <c r="A27672" s="182"/>
      <c r="Q27672" s="183"/>
      <c r="R27672" s="183"/>
      <c r="S27672" s="183"/>
    </row>
    <row r="27673" spans="1:38">
      <c r="A27673" s="182"/>
      <c r="Q27673" s="183"/>
      <c r="R27673" s="183"/>
      <c r="S27673" s="183"/>
    </row>
    <row r="27674" spans="1:38">
      <c r="A27674" s="182"/>
      <c r="Q27674" s="183"/>
      <c r="R27674" s="183"/>
      <c r="S27674" s="183"/>
    </row>
    <row r="27675" spans="1:38">
      <c r="A27675" s="182"/>
      <c r="Q27675" s="183"/>
      <c r="R27675" s="183"/>
      <c r="S27675" s="183"/>
    </row>
    <row r="27676" spans="1:38">
      <c r="A27676" s="182"/>
      <c r="Q27676" s="183"/>
      <c r="R27676" s="183"/>
      <c r="S27676" s="183"/>
    </row>
    <row r="27677" spans="1:38">
      <c r="A27677" s="182"/>
      <c r="Q27677" s="183"/>
      <c r="R27677" s="183"/>
      <c r="S27677" s="183"/>
    </row>
    <row r="27678" spans="1:38">
      <c r="A27678" s="182"/>
      <c r="Q27678" s="183"/>
      <c r="R27678" s="183"/>
      <c r="S27678" s="183"/>
    </row>
    <row r="27679" spans="1:38">
      <c r="A27679" s="182"/>
      <c r="Q27679" s="183"/>
      <c r="R27679" s="183"/>
      <c r="S27679" s="183"/>
      <c r="AK27679" s="183"/>
      <c r="AL27679" s="183"/>
    </row>
    <row r="27680" spans="1:38">
      <c r="A27680" s="182"/>
      <c r="Q27680" s="183"/>
      <c r="R27680" s="183"/>
      <c r="S27680" s="183"/>
      <c r="AJ27680" s="183"/>
      <c r="AK27680" s="183"/>
      <c r="AL27680" s="183"/>
    </row>
    <row r="27681" spans="1:38">
      <c r="A27681" s="182"/>
      <c r="Q27681" s="183"/>
      <c r="R27681" s="183"/>
      <c r="S27681" s="183"/>
      <c r="AJ27681" s="183"/>
      <c r="AK27681" s="183"/>
      <c r="AL27681" s="183"/>
    </row>
    <row r="27682" spans="1:38">
      <c r="A27682" s="182"/>
      <c r="Q27682" s="183"/>
      <c r="R27682" s="183"/>
      <c r="S27682" s="183"/>
      <c r="AJ27682" s="183"/>
      <c r="AK27682" s="183"/>
      <c r="AL27682" s="183"/>
    </row>
    <row r="27683" spans="1:38">
      <c r="A27683" s="182"/>
      <c r="Q27683" s="183"/>
      <c r="R27683" s="183"/>
      <c r="S27683" s="183"/>
      <c r="AJ27683" s="183"/>
      <c r="AK27683" s="183"/>
      <c r="AL27683" s="183"/>
    </row>
    <row r="27684" spans="1:38">
      <c r="A27684" s="182"/>
      <c r="Q27684" s="183"/>
      <c r="R27684" s="183"/>
      <c r="S27684" s="183"/>
      <c r="AJ27684" s="183"/>
      <c r="AK27684" s="183"/>
      <c r="AL27684" s="183"/>
    </row>
    <row r="27685" spans="1:38">
      <c r="A27685" s="182"/>
      <c r="Q27685" s="183"/>
      <c r="R27685" s="183"/>
      <c r="S27685" s="183"/>
      <c r="AJ27685" s="183"/>
      <c r="AK27685" s="183"/>
      <c r="AL27685" s="183"/>
    </row>
    <row r="27686" spans="1:38">
      <c r="A27686" s="182"/>
      <c r="Q27686" s="183"/>
      <c r="R27686" s="183"/>
      <c r="S27686" s="183"/>
      <c r="AJ27686" s="183"/>
      <c r="AK27686" s="183"/>
      <c r="AL27686" s="183"/>
    </row>
    <row r="27687" spans="1:38">
      <c r="A27687" s="182"/>
      <c r="Q27687" s="183"/>
      <c r="R27687" s="183"/>
      <c r="S27687" s="183"/>
      <c r="AJ27687" s="183"/>
      <c r="AK27687" s="183"/>
      <c r="AL27687" s="183"/>
    </row>
    <row r="27688" spans="1:38">
      <c r="A27688" s="182"/>
      <c r="Q27688" s="183"/>
      <c r="R27688" s="183"/>
      <c r="S27688" s="183"/>
      <c r="AJ27688" s="183"/>
      <c r="AK27688" s="183"/>
      <c r="AL27688" s="183"/>
    </row>
    <row r="27689" spans="1:38">
      <c r="A27689" s="182"/>
      <c r="Q27689" s="183"/>
      <c r="R27689" s="183"/>
      <c r="S27689" s="183"/>
      <c r="AJ27689" s="183"/>
      <c r="AK27689" s="183"/>
      <c r="AL27689" s="183"/>
    </row>
    <row r="27690" spans="1:38">
      <c r="A27690" s="182"/>
      <c r="Q27690" s="183"/>
      <c r="R27690" s="183"/>
      <c r="S27690" s="183"/>
      <c r="AJ27690" s="183"/>
      <c r="AK27690" s="183"/>
      <c r="AL27690" s="183"/>
    </row>
    <row r="27691" spans="1:38">
      <c r="A27691" s="182"/>
      <c r="Q27691" s="183"/>
      <c r="R27691" s="183"/>
      <c r="S27691" s="183"/>
      <c r="AJ27691" s="183"/>
      <c r="AK27691" s="183"/>
      <c r="AL27691" s="183"/>
    </row>
    <row r="27692" spans="1:38">
      <c r="A27692" s="182"/>
      <c r="Q27692" s="183"/>
      <c r="R27692" s="183"/>
      <c r="S27692" s="183"/>
      <c r="AJ27692" s="183"/>
      <c r="AK27692" s="183"/>
      <c r="AL27692" s="183"/>
    </row>
    <row r="27693" spans="1:38">
      <c r="A27693" s="182"/>
      <c r="Q27693" s="183"/>
      <c r="R27693" s="183"/>
      <c r="S27693" s="183"/>
      <c r="AJ27693" s="183"/>
      <c r="AK27693" s="183"/>
      <c r="AL27693" s="183"/>
    </row>
    <row r="27694" spans="1:38">
      <c r="A27694" s="182"/>
      <c r="Q27694" s="183"/>
      <c r="R27694" s="183"/>
      <c r="S27694" s="183"/>
      <c r="AJ27694" s="183"/>
      <c r="AK27694" s="183"/>
      <c r="AL27694" s="183"/>
    </row>
    <row r="27695" spans="1:38">
      <c r="A27695" s="182"/>
      <c r="Q27695" s="183"/>
      <c r="R27695" s="183"/>
      <c r="S27695" s="183"/>
      <c r="AJ27695" s="183"/>
    </row>
    <row r="27696" spans="1:38">
      <c r="A27696" s="182"/>
      <c r="Q27696" s="183"/>
      <c r="R27696" s="183"/>
      <c r="S27696" s="183"/>
    </row>
    <row r="27697" spans="1:38">
      <c r="A27697" s="182"/>
      <c r="Q27697" s="183"/>
      <c r="R27697" s="183"/>
      <c r="S27697" s="183"/>
    </row>
    <row r="27698" spans="1:38">
      <c r="A27698" s="182"/>
      <c r="Q27698" s="183"/>
      <c r="R27698" s="183"/>
      <c r="S27698" s="183"/>
    </row>
    <row r="27699" spans="1:38">
      <c r="A27699" s="182"/>
      <c r="Q27699" s="183"/>
      <c r="R27699" s="183"/>
      <c r="S27699" s="183"/>
    </row>
    <row r="27700" spans="1:38">
      <c r="A27700" s="182"/>
      <c r="Q27700" s="183"/>
      <c r="R27700" s="183"/>
      <c r="S27700" s="183"/>
    </row>
    <row r="27701" spans="1:38">
      <c r="A27701" s="182"/>
      <c r="Q27701" s="183"/>
      <c r="R27701" s="183"/>
      <c r="S27701" s="183"/>
    </row>
    <row r="27702" spans="1:38">
      <c r="A27702" s="182"/>
      <c r="Q27702" s="183"/>
      <c r="R27702" s="183"/>
      <c r="S27702" s="183"/>
    </row>
    <row r="27703" spans="1:38">
      <c r="A27703" s="182"/>
      <c r="Q27703" s="183"/>
      <c r="R27703" s="183"/>
      <c r="S27703" s="183"/>
      <c r="AK27703" s="183"/>
      <c r="AL27703" s="183"/>
    </row>
    <row r="27704" spans="1:38">
      <c r="A27704" s="182"/>
      <c r="Q27704" s="183"/>
      <c r="R27704" s="183"/>
      <c r="S27704" s="183"/>
      <c r="AJ27704" s="183"/>
      <c r="AK27704" s="183"/>
      <c r="AL27704" s="183"/>
    </row>
    <row r="27705" spans="1:38">
      <c r="A27705" s="182"/>
      <c r="Q27705" s="183"/>
      <c r="R27705" s="183"/>
      <c r="S27705" s="183"/>
      <c r="AJ27705" s="183"/>
      <c r="AK27705" s="183"/>
      <c r="AL27705" s="183"/>
    </row>
    <row r="27706" spans="1:38">
      <c r="A27706" s="182"/>
      <c r="Q27706" s="183"/>
      <c r="R27706" s="183"/>
      <c r="S27706" s="183"/>
      <c r="AJ27706" s="183"/>
      <c r="AK27706" s="183"/>
      <c r="AL27706" s="183"/>
    </row>
    <row r="27707" spans="1:38">
      <c r="A27707" s="182"/>
      <c r="Q27707" s="183"/>
      <c r="R27707" s="183"/>
      <c r="S27707" s="183"/>
      <c r="AJ27707" s="183"/>
      <c r="AK27707" s="183"/>
      <c r="AL27707" s="183"/>
    </row>
    <row r="27708" spans="1:38">
      <c r="A27708" s="182"/>
      <c r="Q27708" s="183"/>
      <c r="R27708" s="183"/>
      <c r="S27708" s="183"/>
      <c r="AJ27708" s="183"/>
      <c r="AK27708" s="183"/>
      <c r="AL27708" s="183"/>
    </row>
    <row r="27709" spans="1:38">
      <c r="A27709" s="182"/>
      <c r="Q27709" s="183"/>
      <c r="R27709" s="183"/>
      <c r="S27709" s="183"/>
      <c r="AJ27709" s="183"/>
      <c r="AK27709" s="183"/>
      <c r="AL27709" s="183"/>
    </row>
    <row r="27710" spans="1:38">
      <c r="A27710" s="182"/>
      <c r="Q27710" s="183"/>
      <c r="R27710" s="183"/>
      <c r="S27710" s="183"/>
      <c r="AJ27710" s="183"/>
      <c r="AK27710" s="183"/>
      <c r="AL27710" s="183"/>
    </row>
    <row r="27711" spans="1:38">
      <c r="A27711" s="182"/>
      <c r="Q27711" s="183"/>
      <c r="R27711" s="183"/>
      <c r="S27711" s="183"/>
      <c r="AJ27711" s="183"/>
    </row>
    <row r="27712" spans="1:38">
      <c r="A27712" s="182"/>
      <c r="Q27712" s="183"/>
      <c r="R27712" s="183"/>
      <c r="S27712" s="183"/>
    </row>
    <row r="27713" spans="1:38">
      <c r="A27713" s="182"/>
      <c r="Q27713" s="183"/>
      <c r="R27713" s="183"/>
      <c r="S27713" s="183"/>
    </row>
    <row r="27714" spans="1:38">
      <c r="A27714" s="182"/>
      <c r="Q27714" s="183"/>
      <c r="R27714" s="183"/>
      <c r="S27714" s="183"/>
    </row>
    <row r="27715" spans="1:38">
      <c r="A27715" s="182"/>
      <c r="Q27715" s="183"/>
      <c r="R27715" s="183"/>
      <c r="S27715" s="183"/>
      <c r="AK27715" s="183"/>
      <c r="AL27715" s="183"/>
    </row>
    <row r="27716" spans="1:38">
      <c r="A27716" s="182"/>
      <c r="Q27716" s="183"/>
      <c r="R27716" s="183"/>
      <c r="S27716" s="183"/>
      <c r="AJ27716" s="183"/>
      <c r="AK27716" s="183"/>
      <c r="AL27716" s="183"/>
    </row>
    <row r="27717" spans="1:38">
      <c r="A27717" s="182"/>
      <c r="Q27717" s="183"/>
      <c r="R27717" s="183"/>
      <c r="S27717" s="183"/>
      <c r="AJ27717" s="183"/>
      <c r="AK27717" s="183"/>
      <c r="AL27717" s="183"/>
    </row>
    <row r="27718" spans="1:38">
      <c r="A27718" s="182"/>
      <c r="Q27718" s="183"/>
      <c r="R27718" s="183"/>
      <c r="S27718" s="183"/>
      <c r="AJ27718" s="183"/>
      <c r="AK27718" s="183"/>
      <c r="AL27718" s="183"/>
    </row>
    <row r="27719" spans="1:38">
      <c r="A27719" s="182"/>
      <c r="Q27719" s="183"/>
      <c r="R27719" s="183"/>
      <c r="S27719" s="183"/>
      <c r="AJ27719" s="183"/>
    </row>
    <row r="27720" spans="1:38">
      <c r="A27720" s="182"/>
      <c r="Q27720" s="183"/>
      <c r="R27720" s="183"/>
      <c r="S27720" s="183"/>
    </row>
    <row r="27721" spans="1:38">
      <c r="A27721" s="182"/>
      <c r="Q27721" s="183"/>
      <c r="R27721" s="183"/>
      <c r="S27721" s="183"/>
    </row>
    <row r="27722" spans="1:38">
      <c r="A27722" s="182"/>
      <c r="Q27722" s="183"/>
      <c r="R27722" s="183"/>
      <c r="S27722" s="183"/>
    </row>
    <row r="27723" spans="1:38">
      <c r="A27723" s="182"/>
      <c r="Q27723" s="183"/>
      <c r="R27723" s="183"/>
      <c r="S27723" s="183"/>
      <c r="AK27723" s="183"/>
      <c r="AL27723" s="183"/>
    </row>
    <row r="27724" spans="1:38">
      <c r="A27724" s="182"/>
      <c r="Q27724" s="183"/>
      <c r="R27724" s="183"/>
      <c r="S27724" s="183"/>
      <c r="AJ27724" s="183"/>
      <c r="AK27724" s="183"/>
      <c r="AL27724" s="183"/>
    </row>
    <row r="27725" spans="1:38">
      <c r="A27725" s="182"/>
      <c r="Q27725" s="183"/>
      <c r="R27725" s="183"/>
      <c r="S27725" s="183"/>
      <c r="AJ27725" s="183"/>
      <c r="AK27725" s="183"/>
      <c r="AL27725" s="183"/>
    </row>
    <row r="27726" spans="1:38">
      <c r="A27726" s="182"/>
      <c r="Q27726" s="183"/>
      <c r="R27726" s="183"/>
      <c r="S27726" s="183"/>
      <c r="AJ27726" s="183"/>
      <c r="AK27726" s="183"/>
      <c r="AL27726" s="183"/>
    </row>
    <row r="27727" spans="1:38">
      <c r="A27727" s="182"/>
      <c r="Q27727" s="183"/>
      <c r="R27727" s="183"/>
      <c r="S27727" s="183"/>
      <c r="AJ27727" s="183"/>
    </row>
    <row r="27728" spans="1:38">
      <c r="A27728" s="182"/>
      <c r="Q27728" s="183"/>
      <c r="R27728" s="183"/>
      <c r="S27728" s="183"/>
    </row>
    <row r="27729" spans="1:19">
      <c r="A27729" s="182"/>
      <c r="Q27729" s="183"/>
      <c r="R27729" s="183"/>
      <c r="S27729" s="183"/>
    </row>
    <row r="27730" spans="1:19">
      <c r="A27730" s="182"/>
      <c r="Q27730" s="183"/>
      <c r="R27730" s="183"/>
      <c r="S27730" s="183"/>
    </row>
    <row r="27731" spans="1:19">
      <c r="A27731" s="182"/>
      <c r="Q27731" s="183"/>
      <c r="R27731" s="183"/>
      <c r="S27731" s="183"/>
    </row>
    <row r="27732" spans="1:19">
      <c r="A27732" s="182"/>
      <c r="Q27732" s="183"/>
      <c r="R27732" s="183"/>
      <c r="S27732" s="183"/>
    </row>
    <row r="27733" spans="1:19">
      <c r="A27733" s="182"/>
      <c r="Q27733" s="183"/>
      <c r="R27733" s="183"/>
      <c r="S27733" s="183"/>
    </row>
    <row r="27734" spans="1:19">
      <c r="A27734" s="182"/>
      <c r="Q27734" s="183"/>
      <c r="R27734" s="183"/>
      <c r="S27734" s="183"/>
    </row>
    <row r="27735" spans="1:19">
      <c r="A27735" s="182"/>
      <c r="Q27735" s="183"/>
      <c r="R27735" s="183"/>
      <c r="S27735" s="183"/>
    </row>
    <row r="27736" spans="1:19">
      <c r="A27736" s="182"/>
      <c r="Q27736" s="183"/>
      <c r="R27736" s="183"/>
      <c r="S27736" s="183"/>
    </row>
    <row r="27737" spans="1:19">
      <c r="A27737" s="182"/>
      <c r="Q27737" s="183"/>
      <c r="R27737" s="183"/>
      <c r="S27737" s="183"/>
    </row>
    <row r="27738" spans="1:19">
      <c r="A27738" s="182"/>
      <c r="Q27738" s="183"/>
      <c r="R27738" s="183"/>
      <c r="S27738" s="183"/>
    </row>
    <row r="27739" spans="1:19">
      <c r="A27739" s="182"/>
      <c r="Q27739" s="183"/>
      <c r="R27739" s="183"/>
      <c r="S27739" s="183"/>
    </row>
    <row r="27740" spans="1:19">
      <c r="A27740" s="182"/>
      <c r="Q27740" s="183"/>
      <c r="R27740" s="183"/>
      <c r="S27740" s="183"/>
    </row>
    <row r="27741" spans="1:19">
      <c r="A27741" s="182"/>
      <c r="Q27741" s="183"/>
      <c r="R27741" s="183"/>
      <c r="S27741" s="183"/>
    </row>
    <row r="27742" spans="1:19">
      <c r="A27742" s="182"/>
      <c r="Q27742" s="183"/>
      <c r="R27742" s="183"/>
      <c r="S27742" s="183"/>
    </row>
    <row r="27743" spans="1:19">
      <c r="A27743" s="182"/>
      <c r="Q27743" s="183"/>
      <c r="R27743" s="183"/>
      <c r="S27743" s="183"/>
    </row>
    <row r="27744" spans="1:19">
      <c r="A27744" s="182"/>
      <c r="Q27744" s="183"/>
      <c r="R27744" s="183"/>
      <c r="S27744" s="183"/>
    </row>
    <row r="27745" spans="1:38">
      <c r="A27745" s="182"/>
      <c r="Q27745" s="183"/>
      <c r="R27745" s="183"/>
      <c r="S27745" s="183"/>
    </row>
    <row r="27746" spans="1:38">
      <c r="A27746" s="182"/>
      <c r="Q27746" s="183"/>
      <c r="R27746" s="183"/>
      <c r="S27746" s="183"/>
    </row>
    <row r="27747" spans="1:38">
      <c r="A27747" s="182"/>
      <c r="Q27747" s="183"/>
      <c r="R27747" s="183"/>
      <c r="S27747" s="183"/>
    </row>
    <row r="27748" spans="1:38">
      <c r="A27748" s="182"/>
      <c r="Q27748" s="183"/>
      <c r="R27748" s="183"/>
      <c r="S27748" s="183"/>
    </row>
    <row r="27749" spans="1:38">
      <c r="A27749" s="182"/>
      <c r="Q27749" s="183"/>
      <c r="R27749" s="183"/>
      <c r="S27749" s="183"/>
    </row>
    <row r="27750" spans="1:38">
      <c r="A27750" s="182"/>
      <c r="Q27750" s="183"/>
      <c r="R27750" s="183"/>
      <c r="S27750" s="183"/>
    </row>
    <row r="27751" spans="1:38">
      <c r="A27751" s="182"/>
      <c r="Q27751" s="183"/>
      <c r="R27751" s="183"/>
      <c r="S27751" s="183"/>
    </row>
    <row r="27752" spans="1:38">
      <c r="A27752" s="182"/>
      <c r="Q27752" s="183"/>
      <c r="R27752" s="183"/>
      <c r="S27752" s="183"/>
    </row>
    <row r="27753" spans="1:38">
      <c r="A27753" s="182"/>
      <c r="Q27753" s="183"/>
      <c r="R27753" s="183"/>
      <c r="S27753" s="183"/>
    </row>
    <row r="27754" spans="1:38">
      <c r="A27754" s="182"/>
      <c r="Q27754" s="183"/>
      <c r="R27754" s="183"/>
      <c r="S27754" s="183"/>
    </row>
    <row r="27755" spans="1:38">
      <c r="A27755" s="182"/>
      <c r="Q27755" s="183"/>
      <c r="R27755" s="183"/>
      <c r="S27755" s="183"/>
    </row>
    <row r="27756" spans="1:38">
      <c r="A27756" s="182"/>
      <c r="Q27756" s="183"/>
      <c r="R27756" s="183"/>
      <c r="S27756" s="183"/>
    </row>
    <row r="27757" spans="1:38">
      <c r="A27757" s="182"/>
      <c r="Q27757" s="183"/>
      <c r="R27757" s="183"/>
      <c r="S27757" s="183"/>
    </row>
    <row r="27758" spans="1:38">
      <c r="A27758" s="182"/>
      <c r="Q27758" s="183"/>
      <c r="R27758" s="183"/>
      <c r="S27758" s="183"/>
    </row>
    <row r="27759" spans="1:38">
      <c r="A27759" s="182"/>
      <c r="Q27759" s="183"/>
      <c r="R27759" s="183"/>
      <c r="S27759" s="183"/>
      <c r="AK27759" s="183"/>
      <c r="AL27759" s="183"/>
    </row>
    <row r="27760" spans="1:38">
      <c r="A27760" s="182"/>
      <c r="Q27760" s="183"/>
      <c r="R27760" s="183"/>
      <c r="S27760" s="183"/>
      <c r="AJ27760" s="183"/>
      <c r="AK27760" s="183"/>
      <c r="AL27760" s="183"/>
    </row>
    <row r="27761" spans="1:38">
      <c r="A27761" s="182"/>
      <c r="Q27761" s="183"/>
      <c r="R27761" s="183"/>
      <c r="S27761" s="183"/>
      <c r="AJ27761" s="183"/>
      <c r="AK27761" s="183"/>
      <c r="AL27761" s="183"/>
    </row>
    <row r="27762" spans="1:38">
      <c r="A27762" s="182"/>
      <c r="Q27762" s="183"/>
      <c r="R27762" s="183"/>
      <c r="S27762" s="183"/>
      <c r="AJ27762" s="183"/>
      <c r="AK27762" s="183"/>
      <c r="AL27762" s="183"/>
    </row>
    <row r="27763" spans="1:38">
      <c r="A27763" s="182"/>
      <c r="Q27763" s="183"/>
      <c r="R27763" s="183"/>
      <c r="S27763" s="183"/>
      <c r="AJ27763" s="183"/>
      <c r="AK27763" s="183"/>
      <c r="AL27763" s="183"/>
    </row>
    <row r="27764" spans="1:38">
      <c r="A27764" s="182"/>
      <c r="Q27764" s="183"/>
      <c r="R27764" s="183"/>
      <c r="S27764" s="183"/>
      <c r="AJ27764" s="183"/>
      <c r="AK27764" s="183"/>
      <c r="AL27764" s="183"/>
    </row>
    <row r="27765" spans="1:38">
      <c r="A27765" s="182"/>
      <c r="Q27765" s="183"/>
      <c r="R27765" s="183"/>
      <c r="S27765" s="183"/>
      <c r="AJ27765" s="183"/>
      <c r="AK27765" s="183"/>
      <c r="AL27765" s="183"/>
    </row>
    <row r="27766" spans="1:38">
      <c r="A27766" s="182"/>
      <c r="Q27766" s="183"/>
      <c r="R27766" s="183"/>
      <c r="S27766" s="183"/>
      <c r="AJ27766" s="183"/>
      <c r="AK27766" s="183"/>
      <c r="AL27766" s="183"/>
    </row>
    <row r="27767" spans="1:38">
      <c r="A27767" s="182"/>
      <c r="Q27767" s="183"/>
      <c r="R27767" s="183"/>
      <c r="S27767" s="183"/>
      <c r="AJ27767" s="183"/>
    </row>
    <row r="27768" spans="1:38">
      <c r="A27768" s="182"/>
      <c r="Q27768" s="183"/>
      <c r="R27768" s="183"/>
      <c r="S27768" s="183"/>
    </row>
    <row r="27769" spans="1:38">
      <c r="A27769" s="182"/>
      <c r="Q27769" s="183"/>
      <c r="R27769" s="183"/>
      <c r="S27769" s="183"/>
    </row>
    <row r="27770" spans="1:38">
      <c r="A27770" s="182"/>
      <c r="Q27770" s="183"/>
      <c r="R27770" s="183"/>
      <c r="S27770" s="183"/>
    </row>
    <row r="27771" spans="1:38">
      <c r="A27771" s="182"/>
      <c r="Q27771" s="183"/>
      <c r="R27771" s="183"/>
      <c r="S27771" s="183"/>
    </row>
    <row r="27772" spans="1:38">
      <c r="A27772" s="182"/>
      <c r="Q27772" s="183"/>
      <c r="R27772" s="183"/>
      <c r="S27772" s="183"/>
    </row>
    <row r="27773" spans="1:38">
      <c r="A27773" s="182"/>
      <c r="Q27773" s="183"/>
      <c r="R27773" s="183"/>
      <c r="S27773" s="183"/>
    </row>
    <row r="27774" spans="1:38">
      <c r="A27774" s="182"/>
      <c r="Q27774" s="183"/>
      <c r="R27774" s="183"/>
      <c r="S27774" s="183"/>
    </row>
    <row r="27775" spans="1:38">
      <c r="A27775" s="182"/>
      <c r="Q27775" s="183"/>
      <c r="R27775" s="183"/>
      <c r="S27775" s="183"/>
    </row>
    <row r="27776" spans="1:38">
      <c r="A27776" s="182"/>
      <c r="Q27776" s="183"/>
      <c r="R27776" s="183"/>
      <c r="S27776" s="183"/>
    </row>
    <row r="27777" spans="1:38">
      <c r="A27777" s="182"/>
      <c r="Q27777" s="183"/>
      <c r="R27777" s="183"/>
      <c r="S27777" s="183"/>
    </row>
    <row r="27778" spans="1:38">
      <c r="A27778" s="182"/>
      <c r="Q27778" s="183"/>
      <c r="R27778" s="183"/>
      <c r="S27778" s="183"/>
    </row>
    <row r="27779" spans="1:38">
      <c r="A27779" s="182"/>
      <c r="Q27779" s="183"/>
      <c r="R27779" s="183"/>
      <c r="S27779" s="183"/>
      <c r="AK27779" s="183"/>
      <c r="AL27779" s="183"/>
    </row>
    <row r="27780" spans="1:38">
      <c r="A27780" s="182"/>
      <c r="Q27780" s="183"/>
      <c r="R27780" s="183"/>
      <c r="S27780" s="183"/>
      <c r="AJ27780" s="183"/>
      <c r="AK27780" s="183"/>
      <c r="AL27780" s="183"/>
    </row>
    <row r="27781" spans="1:38">
      <c r="A27781" s="182"/>
      <c r="Q27781" s="183"/>
      <c r="R27781" s="183"/>
      <c r="S27781" s="183"/>
      <c r="AJ27781" s="183"/>
      <c r="AK27781" s="183"/>
      <c r="AL27781" s="183"/>
    </row>
    <row r="27782" spans="1:38">
      <c r="A27782" s="182"/>
      <c r="Q27782" s="183"/>
      <c r="R27782" s="183"/>
      <c r="S27782" s="183"/>
      <c r="AJ27782" s="183"/>
      <c r="AK27782" s="183"/>
      <c r="AL27782" s="183"/>
    </row>
    <row r="27783" spans="1:38">
      <c r="A27783" s="182"/>
      <c r="Q27783" s="183"/>
      <c r="R27783" s="183"/>
      <c r="S27783" s="183"/>
      <c r="AJ27783" s="183"/>
      <c r="AK27783" s="183"/>
      <c r="AL27783" s="183"/>
    </row>
    <row r="27784" spans="1:38">
      <c r="A27784" s="182"/>
      <c r="Q27784" s="183"/>
      <c r="R27784" s="183"/>
      <c r="S27784" s="183"/>
      <c r="AJ27784" s="183"/>
      <c r="AK27784" s="183"/>
      <c r="AL27784" s="183"/>
    </row>
    <row r="27785" spans="1:38">
      <c r="A27785" s="182"/>
      <c r="Q27785" s="183"/>
      <c r="R27785" s="183"/>
      <c r="S27785" s="183"/>
      <c r="AJ27785" s="183"/>
      <c r="AK27785" s="183"/>
      <c r="AL27785" s="183"/>
    </row>
    <row r="27786" spans="1:38">
      <c r="A27786" s="182"/>
      <c r="Q27786" s="183"/>
      <c r="R27786" s="183"/>
      <c r="S27786" s="183"/>
      <c r="AJ27786" s="183"/>
      <c r="AK27786" s="183"/>
      <c r="AL27786" s="183"/>
    </row>
    <row r="27787" spans="1:38">
      <c r="A27787" s="182"/>
      <c r="Q27787" s="183"/>
      <c r="R27787" s="183"/>
      <c r="S27787" s="183"/>
      <c r="AJ27787" s="183"/>
    </row>
    <row r="27788" spans="1:38">
      <c r="A27788" s="182"/>
      <c r="Q27788" s="183"/>
      <c r="R27788" s="183"/>
      <c r="S27788" s="183"/>
    </row>
    <row r="27789" spans="1:38">
      <c r="A27789" s="182"/>
      <c r="Q27789" s="183"/>
      <c r="R27789" s="183"/>
      <c r="S27789" s="183"/>
    </row>
    <row r="27790" spans="1:38">
      <c r="A27790" s="182"/>
      <c r="Q27790" s="183"/>
      <c r="R27790" s="183"/>
      <c r="S27790" s="183"/>
    </row>
    <row r="27791" spans="1:38">
      <c r="A27791" s="182"/>
      <c r="Q27791" s="183"/>
      <c r="R27791" s="183"/>
      <c r="S27791" s="183"/>
    </row>
    <row r="27792" spans="1:38">
      <c r="A27792" s="182"/>
      <c r="Q27792" s="183"/>
      <c r="R27792" s="183"/>
      <c r="S27792" s="183"/>
    </row>
    <row r="27793" spans="1:19">
      <c r="A27793" s="182"/>
      <c r="Q27793" s="183"/>
      <c r="R27793" s="183"/>
      <c r="S27793" s="183"/>
    </row>
    <row r="27794" spans="1:19">
      <c r="A27794" s="182"/>
      <c r="Q27794" s="183"/>
      <c r="R27794" s="183"/>
      <c r="S27794" s="183"/>
    </row>
    <row r="27795" spans="1:19">
      <c r="A27795" s="182"/>
      <c r="Q27795" s="183"/>
      <c r="R27795" s="183"/>
      <c r="S27795" s="183"/>
    </row>
    <row r="27796" spans="1:19">
      <c r="A27796" s="182"/>
      <c r="Q27796" s="183"/>
      <c r="R27796" s="183"/>
      <c r="S27796" s="183"/>
    </row>
    <row r="27797" spans="1:19">
      <c r="A27797" s="182"/>
      <c r="Q27797" s="183"/>
      <c r="R27797" s="183"/>
      <c r="S27797" s="183"/>
    </row>
    <row r="27798" spans="1:19">
      <c r="A27798" s="182"/>
      <c r="Q27798" s="183"/>
      <c r="R27798" s="183"/>
      <c r="S27798" s="183"/>
    </row>
    <row r="27799" spans="1:19">
      <c r="A27799" s="182"/>
      <c r="Q27799" s="183"/>
      <c r="R27799" s="183"/>
      <c r="S27799" s="183"/>
    </row>
    <row r="27800" spans="1:19">
      <c r="A27800" s="182"/>
      <c r="Q27800" s="183"/>
      <c r="R27800" s="183"/>
      <c r="S27800" s="183"/>
    </row>
    <row r="27801" spans="1:19">
      <c r="A27801" s="182"/>
      <c r="Q27801" s="183"/>
      <c r="R27801" s="183"/>
      <c r="S27801" s="183"/>
    </row>
    <row r="27802" spans="1:19">
      <c r="A27802" s="182"/>
      <c r="Q27802" s="183"/>
      <c r="R27802" s="183"/>
      <c r="S27802" s="183"/>
    </row>
    <row r="27803" spans="1:19">
      <c r="A27803" s="182"/>
      <c r="Q27803" s="183"/>
      <c r="R27803" s="183"/>
      <c r="S27803" s="183"/>
    </row>
    <row r="27804" spans="1:19">
      <c r="A27804" s="182"/>
      <c r="Q27804" s="183"/>
      <c r="R27804" s="183"/>
      <c r="S27804" s="183"/>
    </row>
    <row r="27805" spans="1:19">
      <c r="A27805" s="182"/>
      <c r="Q27805" s="183"/>
      <c r="R27805" s="183"/>
      <c r="S27805" s="183"/>
    </row>
    <row r="27806" spans="1:19">
      <c r="A27806" s="182"/>
      <c r="Q27806" s="183"/>
      <c r="R27806" s="183"/>
      <c r="S27806" s="183"/>
    </row>
    <row r="27807" spans="1:19">
      <c r="A27807" s="182"/>
      <c r="Q27807" s="183"/>
      <c r="R27807" s="183"/>
      <c r="S27807" s="183"/>
    </row>
    <row r="27808" spans="1:19">
      <c r="A27808" s="182"/>
      <c r="Q27808" s="183"/>
      <c r="R27808" s="183"/>
      <c r="S27808" s="183"/>
    </row>
    <row r="27809" spans="1:38">
      <c r="A27809" s="182"/>
      <c r="Q27809" s="183"/>
      <c r="R27809" s="183"/>
      <c r="S27809" s="183"/>
    </row>
    <row r="27810" spans="1:38">
      <c r="A27810" s="182"/>
      <c r="Q27810" s="183"/>
      <c r="R27810" s="183"/>
      <c r="S27810" s="183"/>
    </row>
    <row r="27811" spans="1:38">
      <c r="A27811" s="182"/>
      <c r="Q27811" s="183"/>
      <c r="R27811" s="183"/>
      <c r="S27811" s="183"/>
    </row>
    <row r="27812" spans="1:38">
      <c r="A27812" s="182"/>
      <c r="Q27812" s="183"/>
      <c r="R27812" s="183"/>
      <c r="S27812" s="183"/>
    </row>
    <row r="27813" spans="1:38">
      <c r="A27813" s="182"/>
      <c r="Q27813" s="183"/>
      <c r="R27813" s="183"/>
      <c r="S27813" s="183"/>
    </row>
    <row r="27814" spans="1:38">
      <c r="A27814" s="182"/>
      <c r="Q27814" s="183"/>
      <c r="R27814" s="183"/>
      <c r="S27814" s="183"/>
    </row>
    <row r="27815" spans="1:38">
      <c r="A27815" s="182"/>
      <c r="Q27815" s="183"/>
      <c r="R27815" s="183"/>
      <c r="S27815" s="183"/>
    </row>
    <row r="27816" spans="1:38">
      <c r="A27816" s="182"/>
      <c r="Q27816" s="183"/>
      <c r="R27816" s="183"/>
      <c r="S27816" s="183"/>
    </row>
    <row r="27817" spans="1:38">
      <c r="A27817" s="182"/>
      <c r="Q27817" s="183"/>
      <c r="R27817" s="183"/>
      <c r="S27817" s="183"/>
    </row>
    <row r="27818" spans="1:38">
      <c r="A27818" s="182"/>
      <c r="Q27818" s="183"/>
      <c r="R27818" s="183"/>
      <c r="S27818" s="183"/>
    </row>
    <row r="27819" spans="1:38">
      <c r="A27819" s="182"/>
      <c r="Q27819" s="183"/>
      <c r="R27819" s="183"/>
      <c r="S27819" s="183"/>
    </row>
    <row r="27820" spans="1:38">
      <c r="A27820" s="182"/>
      <c r="Q27820" s="183"/>
      <c r="R27820" s="183"/>
      <c r="S27820" s="183"/>
    </row>
    <row r="27821" spans="1:38">
      <c r="A27821" s="182"/>
      <c r="Q27821" s="183"/>
      <c r="R27821" s="183"/>
      <c r="S27821" s="183"/>
    </row>
    <row r="27822" spans="1:38">
      <c r="A27822" s="182"/>
      <c r="Q27822" s="183"/>
      <c r="R27822" s="183"/>
      <c r="S27822" s="183"/>
    </row>
    <row r="27823" spans="1:38">
      <c r="A27823" s="182"/>
      <c r="Q27823" s="183"/>
      <c r="R27823" s="183"/>
      <c r="S27823" s="183"/>
      <c r="AK27823" s="183"/>
      <c r="AL27823" s="183"/>
    </row>
    <row r="27824" spans="1:38">
      <c r="A27824" s="182"/>
      <c r="Q27824" s="183"/>
      <c r="R27824" s="183"/>
      <c r="S27824" s="183"/>
      <c r="AJ27824" s="183"/>
      <c r="AK27824" s="183"/>
      <c r="AL27824" s="183"/>
    </row>
    <row r="27825" spans="1:38">
      <c r="A27825" s="182"/>
      <c r="Q27825" s="183"/>
      <c r="R27825" s="183"/>
      <c r="S27825" s="183"/>
      <c r="AJ27825" s="183"/>
      <c r="AK27825" s="183"/>
      <c r="AL27825" s="183"/>
    </row>
    <row r="27826" spans="1:38">
      <c r="A27826" s="182"/>
      <c r="Q27826" s="183"/>
      <c r="R27826" s="183"/>
      <c r="S27826" s="183"/>
      <c r="AJ27826" s="183"/>
      <c r="AK27826" s="183"/>
      <c r="AL27826" s="183"/>
    </row>
    <row r="27827" spans="1:38">
      <c r="A27827" s="182"/>
      <c r="Q27827" s="183"/>
      <c r="R27827" s="183"/>
      <c r="S27827" s="183"/>
      <c r="AJ27827" s="183"/>
    </row>
    <row r="27828" spans="1:38">
      <c r="A27828" s="182"/>
      <c r="Q27828" s="183"/>
      <c r="R27828" s="183"/>
      <c r="S27828" s="183"/>
    </row>
    <row r="27829" spans="1:38">
      <c r="A27829" s="182"/>
      <c r="Q27829" s="183"/>
      <c r="R27829" s="183"/>
      <c r="S27829" s="183"/>
    </row>
    <row r="27830" spans="1:38">
      <c r="A27830" s="182"/>
      <c r="Q27830" s="183"/>
      <c r="R27830" s="183"/>
      <c r="S27830" s="183"/>
    </row>
    <row r="27831" spans="1:38">
      <c r="A27831" s="182"/>
      <c r="Q27831" s="183"/>
      <c r="R27831" s="183"/>
      <c r="S27831" s="183"/>
    </row>
    <row r="27832" spans="1:38">
      <c r="A27832" s="182"/>
      <c r="Q27832" s="183"/>
      <c r="R27832" s="183"/>
      <c r="S27832" s="183"/>
    </row>
    <row r="27833" spans="1:38">
      <c r="A27833" s="182"/>
      <c r="Q27833" s="183"/>
      <c r="R27833" s="183"/>
      <c r="S27833" s="183"/>
    </row>
    <row r="27834" spans="1:38">
      <c r="A27834" s="182"/>
      <c r="Q27834" s="183"/>
      <c r="R27834" s="183"/>
      <c r="S27834" s="183"/>
    </row>
    <row r="27835" spans="1:38">
      <c r="A27835" s="182"/>
      <c r="Q27835" s="183"/>
      <c r="R27835" s="183"/>
      <c r="S27835" s="183"/>
      <c r="AK27835" s="183"/>
      <c r="AL27835" s="183"/>
    </row>
    <row r="27836" spans="1:38">
      <c r="A27836" s="182"/>
      <c r="Q27836" s="183"/>
      <c r="R27836" s="183"/>
      <c r="S27836" s="183"/>
      <c r="AJ27836" s="183"/>
      <c r="AK27836" s="183"/>
      <c r="AL27836" s="183"/>
    </row>
    <row r="27837" spans="1:38">
      <c r="A27837" s="182"/>
      <c r="Q27837" s="183"/>
      <c r="R27837" s="183"/>
      <c r="S27837" s="183"/>
      <c r="AJ27837" s="183"/>
      <c r="AK27837" s="183"/>
      <c r="AL27837" s="183"/>
    </row>
    <row r="27838" spans="1:38">
      <c r="A27838" s="182"/>
      <c r="Q27838" s="183"/>
      <c r="R27838" s="183"/>
      <c r="S27838" s="183"/>
      <c r="AJ27838" s="183"/>
      <c r="AK27838" s="183"/>
      <c r="AL27838" s="183"/>
    </row>
    <row r="27839" spans="1:38">
      <c r="A27839" s="182"/>
      <c r="Q27839" s="183"/>
      <c r="R27839" s="183"/>
      <c r="S27839" s="183"/>
      <c r="AJ27839" s="183"/>
    </row>
    <row r="27840" spans="1:38">
      <c r="A27840" s="182"/>
      <c r="Q27840" s="183"/>
      <c r="R27840" s="183"/>
      <c r="S27840" s="183"/>
    </row>
    <row r="27841" spans="1:38">
      <c r="A27841" s="182"/>
      <c r="Q27841" s="183"/>
      <c r="R27841" s="183"/>
      <c r="S27841" s="183"/>
    </row>
    <row r="27842" spans="1:38">
      <c r="A27842" s="182"/>
      <c r="Q27842" s="183"/>
      <c r="R27842" s="183"/>
      <c r="S27842" s="183"/>
    </row>
    <row r="27843" spans="1:38">
      <c r="A27843" s="182"/>
      <c r="Q27843" s="183"/>
      <c r="R27843" s="183"/>
      <c r="S27843" s="183"/>
    </row>
    <row r="27844" spans="1:38">
      <c r="A27844" s="182"/>
      <c r="Q27844" s="183"/>
      <c r="R27844" s="183"/>
      <c r="S27844" s="183"/>
    </row>
    <row r="27845" spans="1:38">
      <c r="A27845" s="182"/>
      <c r="Q27845" s="183"/>
      <c r="R27845" s="183"/>
      <c r="S27845" s="183"/>
    </row>
    <row r="27846" spans="1:38">
      <c r="A27846" s="182"/>
      <c r="Q27846" s="183"/>
      <c r="R27846" s="183"/>
      <c r="S27846" s="183"/>
    </row>
    <row r="27847" spans="1:38">
      <c r="A27847" s="182"/>
      <c r="Q27847" s="183"/>
      <c r="R27847" s="183"/>
      <c r="S27847" s="183"/>
    </row>
    <row r="27848" spans="1:38">
      <c r="A27848" s="182"/>
      <c r="Q27848" s="183"/>
      <c r="R27848" s="183"/>
      <c r="S27848" s="183"/>
    </row>
    <row r="27849" spans="1:38">
      <c r="A27849" s="182"/>
      <c r="Q27849" s="183"/>
      <c r="R27849" s="183"/>
      <c r="S27849" s="183"/>
    </row>
    <row r="27850" spans="1:38">
      <c r="A27850" s="182"/>
      <c r="Q27850" s="183"/>
      <c r="R27850" s="183"/>
      <c r="S27850" s="183"/>
    </row>
    <row r="27851" spans="1:38">
      <c r="A27851" s="182"/>
      <c r="Q27851" s="183"/>
      <c r="R27851" s="183"/>
      <c r="S27851" s="183"/>
    </row>
    <row r="27852" spans="1:38">
      <c r="A27852" s="182"/>
      <c r="Q27852" s="183"/>
      <c r="R27852" s="183"/>
      <c r="S27852" s="183"/>
    </row>
    <row r="27853" spans="1:38">
      <c r="A27853" s="182"/>
      <c r="Q27853" s="183"/>
      <c r="R27853" s="183"/>
      <c r="S27853" s="183"/>
    </row>
    <row r="27854" spans="1:38">
      <c r="A27854" s="182"/>
      <c r="Q27854" s="183"/>
      <c r="R27854" s="183"/>
      <c r="S27854" s="183"/>
    </row>
    <row r="27855" spans="1:38">
      <c r="A27855" s="182"/>
      <c r="Q27855" s="183"/>
      <c r="R27855" s="183"/>
      <c r="S27855" s="183"/>
      <c r="AK27855" s="183"/>
      <c r="AL27855" s="183"/>
    </row>
    <row r="27856" spans="1:38">
      <c r="A27856" s="182"/>
      <c r="Q27856" s="183"/>
      <c r="R27856" s="183"/>
      <c r="S27856" s="183"/>
      <c r="AJ27856" s="183"/>
      <c r="AK27856" s="183"/>
      <c r="AL27856" s="183"/>
    </row>
    <row r="27857" spans="1:38">
      <c r="A27857" s="182"/>
      <c r="Q27857" s="183"/>
      <c r="R27857" s="183"/>
      <c r="S27857" s="183"/>
      <c r="AJ27857" s="183"/>
      <c r="AK27857" s="183"/>
      <c r="AL27857" s="183"/>
    </row>
    <row r="27858" spans="1:38">
      <c r="A27858" s="182"/>
      <c r="Q27858" s="183"/>
      <c r="R27858" s="183"/>
      <c r="S27858" s="183"/>
      <c r="AJ27858" s="183"/>
      <c r="AK27858" s="183"/>
      <c r="AL27858" s="183"/>
    </row>
    <row r="27859" spans="1:38">
      <c r="A27859" s="182"/>
      <c r="Q27859" s="183"/>
      <c r="R27859" s="183"/>
      <c r="S27859" s="183"/>
      <c r="AJ27859" s="183"/>
    </row>
    <row r="27860" spans="1:38">
      <c r="A27860" s="182"/>
      <c r="Q27860" s="183"/>
      <c r="R27860" s="183"/>
      <c r="S27860" s="183"/>
    </row>
    <row r="27861" spans="1:38">
      <c r="A27861" s="182"/>
      <c r="Q27861" s="183"/>
      <c r="R27861" s="183"/>
      <c r="S27861" s="183"/>
    </row>
    <row r="27862" spans="1:38">
      <c r="A27862" s="182"/>
      <c r="Q27862" s="183"/>
      <c r="R27862" s="183"/>
      <c r="S27862" s="183"/>
    </row>
    <row r="27863" spans="1:38">
      <c r="A27863" s="182"/>
      <c r="Q27863" s="183"/>
      <c r="R27863" s="183"/>
      <c r="S27863" s="183"/>
    </row>
    <row r="27864" spans="1:38">
      <c r="A27864" s="182"/>
      <c r="Q27864" s="183"/>
      <c r="R27864" s="183"/>
      <c r="S27864" s="183"/>
    </row>
    <row r="27865" spans="1:38">
      <c r="A27865" s="182"/>
      <c r="Q27865" s="183"/>
      <c r="R27865" s="183"/>
      <c r="S27865" s="183"/>
    </row>
    <row r="27866" spans="1:38">
      <c r="A27866" s="182"/>
      <c r="Q27866" s="183"/>
      <c r="R27866" s="183"/>
      <c r="S27866" s="183"/>
    </row>
    <row r="27867" spans="1:38">
      <c r="A27867" s="182"/>
      <c r="M27867" s="183"/>
      <c r="N27867" s="183"/>
      <c r="Q27867" s="183"/>
      <c r="R27867" s="183"/>
      <c r="S27867" s="183"/>
    </row>
    <row r="27868" spans="1:38">
      <c r="A27868" s="182"/>
      <c r="L27868" s="183"/>
      <c r="Q27868" s="183"/>
      <c r="R27868" s="183"/>
      <c r="S27868" s="183"/>
    </row>
    <row r="27869" spans="1:38">
      <c r="A27869" s="182"/>
      <c r="Q27869" s="183"/>
      <c r="R27869" s="183"/>
      <c r="S27869" s="183"/>
    </row>
    <row r="27870" spans="1:38">
      <c r="A27870" s="182"/>
      <c r="Q27870" s="183"/>
      <c r="R27870" s="183"/>
      <c r="S27870" s="183"/>
    </row>
    <row r="27871" spans="1:38">
      <c r="A27871" s="182"/>
      <c r="Q27871" s="183"/>
      <c r="R27871" s="183"/>
      <c r="S27871" s="183"/>
      <c r="AK27871" s="183"/>
      <c r="AL27871" s="183"/>
    </row>
    <row r="27872" spans="1:38">
      <c r="A27872" s="182"/>
      <c r="Q27872" s="183"/>
      <c r="R27872" s="183"/>
      <c r="S27872" s="183"/>
      <c r="AJ27872" s="183"/>
      <c r="AK27872" s="183"/>
      <c r="AL27872" s="183"/>
    </row>
    <row r="27873" spans="1:38">
      <c r="A27873" s="182"/>
      <c r="Q27873" s="183"/>
      <c r="R27873" s="183"/>
      <c r="S27873" s="183"/>
      <c r="AJ27873" s="183"/>
      <c r="AK27873" s="183"/>
      <c r="AL27873" s="183"/>
    </row>
    <row r="27874" spans="1:38">
      <c r="A27874" s="182"/>
      <c r="Q27874" s="183"/>
      <c r="R27874" s="183"/>
      <c r="S27874" s="183"/>
      <c r="AJ27874" s="183"/>
      <c r="AK27874" s="183"/>
      <c r="AL27874" s="183"/>
    </row>
    <row r="27875" spans="1:38">
      <c r="A27875" s="182"/>
      <c r="Q27875" s="183"/>
      <c r="R27875" s="183"/>
      <c r="S27875" s="183"/>
      <c r="AJ27875" s="183"/>
      <c r="AK27875" s="183"/>
      <c r="AL27875" s="183"/>
    </row>
    <row r="27876" spans="1:38">
      <c r="A27876" s="182"/>
      <c r="Q27876" s="183"/>
      <c r="R27876" s="183"/>
      <c r="S27876" s="183"/>
      <c r="AJ27876" s="183"/>
      <c r="AK27876" s="183"/>
      <c r="AL27876" s="183"/>
    </row>
    <row r="27877" spans="1:38">
      <c r="A27877" s="182"/>
      <c r="Q27877" s="183"/>
      <c r="R27877" s="183"/>
      <c r="S27877" s="183"/>
      <c r="AJ27877" s="183"/>
      <c r="AK27877" s="183"/>
      <c r="AL27877" s="183"/>
    </row>
    <row r="27878" spans="1:38">
      <c r="A27878" s="182"/>
      <c r="Q27878" s="183"/>
      <c r="R27878" s="183"/>
      <c r="S27878" s="183"/>
      <c r="AJ27878" s="183"/>
      <c r="AK27878" s="183"/>
      <c r="AL27878" s="183"/>
    </row>
    <row r="27879" spans="1:38">
      <c r="A27879" s="182"/>
      <c r="Q27879" s="183"/>
      <c r="R27879" s="183"/>
      <c r="S27879" s="183"/>
      <c r="AJ27879" s="183"/>
      <c r="AK27879" s="183"/>
      <c r="AL27879" s="183"/>
    </row>
    <row r="27880" spans="1:38">
      <c r="A27880" s="182"/>
      <c r="Q27880" s="183"/>
      <c r="R27880" s="183"/>
      <c r="S27880" s="183"/>
      <c r="AJ27880" s="183"/>
      <c r="AK27880" s="183"/>
      <c r="AL27880" s="183"/>
    </row>
    <row r="27881" spans="1:38">
      <c r="A27881" s="182"/>
      <c r="Q27881" s="183"/>
      <c r="R27881" s="183"/>
      <c r="S27881" s="183"/>
      <c r="AJ27881" s="183"/>
      <c r="AK27881" s="183"/>
      <c r="AL27881" s="183"/>
    </row>
    <row r="27882" spans="1:38">
      <c r="A27882" s="182"/>
      <c r="Q27882" s="183"/>
      <c r="R27882" s="183"/>
      <c r="S27882" s="183"/>
      <c r="AJ27882" s="183"/>
      <c r="AK27882" s="183"/>
      <c r="AL27882" s="183"/>
    </row>
    <row r="27883" spans="1:38">
      <c r="A27883" s="182"/>
      <c r="Q27883" s="183"/>
      <c r="R27883" s="183"/>
      <c r="S27883" s="183"/>
      <c r="AJ27883" s="183"/>
    </row>
    <row r="27884" spans="1:38">
      <c r="A27884" s="182"/>
      <c r="Q27884" s="183"/>
      <c r="R27884" s="183"/>
      <c r="S27884" s="183"/>
    </row>
    <row r="27885" spans="1:38">
      <c r="A27885" s="182"/>
      <c r="Q27885" s="183"/>
      <c r="R27885" s="183"/>
      <c r="S27885" s="183"/>
    </row>
    <row r="27886" spans="1:38">
      <c r="A27886" s="182"/>
      <c r="Q27886" s="183"/>
      <c r="R27886" s="183"/>
      <c r="S27886" s="183"/>
    </row>
    <row r="27887" spans="1:38">
      <c r="A27887" s="182"/>
      <c r="Q27887" s="183"/>
      <c r="R27887" s="183"/>
      <c r="S27887" s="183"/>
    </row>
    <row r="27888" spans="1:38">
      <c r="A27888" s="182"/>
      <c r="Q27888" s="183"/>
      <c r="R27888" s="183"/>
      <c r="S27888" s="183"/>
    </row>
    <row r="27889" spans="1:38">
      <c r="A27889" s="182"/>
      <c r="Q27889" s="183"/>
      <c r="R27889" s="183"/>
      <c r="S27889" s="183"/>
    </row>
    <row r="27890" spans="1:38">
      <c r="A27890" s="182"/>
      <c r="Q27890" s="183"/>
      <c r="R27890" s="183"/>
      <c r="S27890" s="183"/>
    </row>
    <row r="27891" spans="1:38">
      <c r="A27891" s="182"/>
      <c r="Q27891" s="183"/>
      <c r="R27891" s="183"/>
      <c r="S27891" s="183"/>
    </row>
    <row r="27892" spans="1:38">
      <c r="A27892" s="182"/>
      <c r="Q27892" s="183"/>
      <c r="R27892" s="183"/>
      <c r="S27892" s="183"/>
    </row>
    <row r="27893" spans="1:38">
      <c r="A27893" s="182"/>
      <c r="Q27893" s="183"/>
      <c r="R27893" s="183"/>
      <c r="S27893" s="183"/>
    </row>
    <row r="27894" spans="1:38">
      <c r="A27894" s="182"/>
      <c r="Q27894" s="183"/>
      <c r="R27894" s="183"/>
      <c r="S27894" s="183"/>
    </row>
    <row r="27895" spans="1:38">
      <c r="A27895" s="182"/>
      <c r="Q27895" s="183"/>
      <c r="R27895" s="183"/>
      <c r="S27895" s="183"/>
      <c r="AK27895" s="183"/>
      <c r="AL27895" s="183"/>
    </row>
    <row r="27896" spans="1:38">
      <c r="A27896" s="182"/>
      <c r="Q27896" s="183"/>
      <c r="R27896" s="183"/>
      <c r="S27896" s="183"/>
      <c r="AJ27896" s="183"/>
      <c r="AK27896" s="183"/>
      <c r="AL27896" s="183"/>
    </row>
    <row r="27897" spans="1:38">
      <c r="A27897" s="182"/>
      <c r="Q27897" s="183"/>
      <c r="R27897" s="183"/>
      <c r="S27897" s="183"/>
      <c r="AJ27897" s="183"/>
      <c r="AK27897" s="183"/>
      <c r="AL27897" s="183"/>
    </row>
    <row r="27898" spans="1:38">
      <c r="A27898" s="182"/>
      <c r="Q27898" s="183"/>
      <c r="R27898" s="183"/>
      <c r="S27898" s="183"/>
      <c r="AJ27898" s="183"/>
      <c r="AK27898" s="183"/>
      <c r="AL27898" s="183"/>
    </row>
    <row r="27899" spans="1:38">
      <c r="A27899" s="182"/>
      <c r="Q27899" s="183"/>
      <c r="R27899" s="183"/>
      <c r="S27899" s="183"/>
      <c r="AJ27899" s="183"/>
      <c r="AK27899" s="183"/>
      <c r="AL27899" s="183"/>
    </row>
    <row r="27900" spans="1:38">
      <c r="A27900" s="182"/>
      <c r="Q27900" s="183"/>
      <c r="R27900" s="183"/>
      <c r="S27900" s="183"/>
      <c r="AJ27900" s="183"/>
      <c r="AK27900" s="183"/>
      <c r="AL27900" s="183"/>
    </row>
    <row r="27901" spans="1:38">
      <c r="A27901" s="182"/>
      <c r="Q27901" s="183"/>
      <c r="R27901" s="183"/>
      <c r="S27901" s="183"/>
      <c r="AJ27901" s="183"/>
      <c r="AK27901" s="183"/>
      <c r="AL27901" s="183"/>
    </row>
    <row r="27902" spans="1:38">
      <c r="A27902" s="182"/>
      <c r="Q27902" s="183"/>
      <c r="R27902" s="183"/>
      <c r="S27902" s="183"/>
      <c r="AJ27902" s="183"/>
      <c r="AK27902" s="183"/>
      <c r="AL27902" s="183"/>
    </row>
    <row r="27903" spans="1:38">
      <c r="A27903" s="182"/>
      <c r="Q27903" s="183"/>
      <c r="R27903" s="183"/>
      <c r="S27903" s="183"/>
      <c r="AJ27903" s="183"/>
      <c r="AK27903" s="183"/>
      <c r="AL27903" s="183"/>
    </row>
    <row r="27904" spans="1:38">
      <c r="A27904" s="182"/>
      <c r="Q27904" s="183"/>
      <c r="R27904" s="183"/>
      <c r="S27904" s="183"/>
      <c r="AJ27904" s="183"/>
      <c r="AK27904" s="183"/>
      <c r="AL27904" s="183"/>
    </row>
    <row r="27905" spans="1:38">
      <c r="A27905" s="182"/>
      <c r="Q27905" s="183"/>
      <c r="R27905" s="183"/>
      <c r="S27905" s="183"/>
      <c r="AJ27905" s="183"/>
      <c r="AK27905" s="183"/>
      <c r="AL27905" s="183"/>
    </row>
    <row r="27906" spans="1:38">
      <c r="A27906" s="182"/>
      <c r="Q27906" s="183"/>
      <c r="R27906" s="183"/>
      <c r="S27906" s="183"/>
      <c r="AJ27906" s="183"/>
      <c r="AK27906" s="183"/>
      <c r="AL27906" s="183"/>
    </row>
    <row r="27907" spans="1:38">
      <c r="A27907" s="182"/>
      <c r="Q27907" s="183"/>
      <c r="R27907" s="183"/>
      <c r="S27907" s="183"/>
      <c r="AJ27907" s="183"/>
    </row>
    <row r="27908" spans="1:38">
      <c r="A27908" s="182"/>
      <c r="Q27908" s="183"/>
      <c r="R27908" s="183"/>
      <c r="S27908" s="183"/>
    </row>
    <row r="27909" spans="1:38">
      <c r="A27909" s="182"/>
      <c r="Q27909" s="183"/>
      <c r="R27909" s="183"/>
      <c r="S27909" s="183"/>
    </row>
    <row r="27910" spans="1:38">
      <c r="A27910" s="182"/>
      <c r="Q27910" s="183"/>
      <c r="R27910" s="183"/>
      <c r="S27910" s="183"/>
    </row>
    <row r="27911" spans="1:38">
      <c r="A27911" s="182"/>
      <c r="Q27911" s="183"/>
      <c r="R27911" s="183"/>
      <c r="S27911" s="183"/>
      <c r="AK27911" s="183"/>
      <c r="AL27911" s="183"/>
    </row>
    <row r="27912" spans="1:38">
      <c r="A27912" s="182"/>
      <c r="Q27912" s="183"/>
      <c r="R27912" s="183"/>
      <c r="S27912" s="183"/>
      <c r="AJ27912" s="183"/>
      <c r="AK27912" s="183"/>
      <c r="AL27912" s="183"/>
    </row>
    <row r="27913" spans="1:38">
      <c r="A27913" s="182"/>
      <c r="Q27913" s="183"/>
      <c r="R27913" s="183"/>
      <c r="S27913" s="183"/>
      <c r="AJ27913" s="183"/>
      <c r="AK27913" s="183"/>
      <c r="AL27913" s="183"/>
    </row>
    <row r="27914" spans="1:38">
      <c r="A27914" s="182"/>
      <c r="Q27914" s="183"/>
      <c r="R27914" s="183"/>
      <c r="S27914" s="183"/>
      <c r="AJ27914" s="183"/>
      <c r="AK27914" s="183"/>
      <c r="AL27914" s="183"/>
    </row>
    <row r="27915" spans="1:38">
      <c r="A27915" s="182"/>
      <c r="Q27915" s="183"/>
      <c r="R27915" s="183"/>
      <c r="S27915" s="183"/>
      <c r="AJ27915" s="183"/>
      <c r="AK27915" s="183"/>
      <c r="AL27915" s="183"/>
    </row>
    <row r="27916" spans="1:38">
      <c r="A27916" s="182"/>
      <c r="Q27916" s="183"/>
      <c r="R27916" s="183"/>
      <c r="S27916" s="183"/>
      <c r="AJ27916" s="183"/>
      <c r="AK27916" s="183"/>
      <c r="AL27916" s="183"/>
    </row>
    <row r="27917" spans="1:38">
      <c r="A27917" s="182"/>
      <c r="Q27917" s="183"/>
      <c r="R27917" s="183"/>
      <c r="S27917" s="183"/>
      <c r="AJ27917" s="183"/>
      <c r="AK27917" s="183"/>
      <c r="AL27917" s="183"/>
    </row>
    <row r="27918" spans="1:38">
      <c r="A27918" s="182"/>
      <c r="Q27918" s="183"/>
      <c r="R27918" s="183"/>
      <c r="S27918" s="183"/>
      <c r="AJ27918" s="183"/>
      <c r="AK27918" s="183"/>
      <c r="AL27918" s="183"/>
    </row>
    <row r="27919" spans="1:38">
      <c r="A27919" s="182"/>
      <c r="Q27919" s="183"/>
      <c r="R27919" s="183"/>
      <c r="S27919" s="183"/>
      <c r="AJ27919" s="183"/>
      <c r="AK27919" s="183"/>
      <c r="AL27919" s="183"/>
    </row>
    <row r="27920" spans="1:38">
      <c r="A27920" s="182"/>
      <c r="Q27920" s="183"/>
      <c r="R27920" s="183"/>
      <c r="S27920" s="183"/>
      <c r="AJ27920" s="183"/>
      <c r="AK27920" s="183"/>
      <c r="AL27920" s="183"/>
    </row>
    <row r="27921" spans="1:38">
      <c r="A27921" s="182"/>
      <c r="Q27921" s="183"/>
      <c r="R27921" s="183"/>
      <c r="S27921" s="183"/>
      <c r="AJ27921" s="183"/>
      <c r="AK27921" s="183"/>
      <c r="AL27921" s="183"/>
    </row>
    <row r="27922" spans="1:38">
      <c r="A27922" s="182"/>
      <c r="Q27922" s="183"/>
      <c r="R27922" s="183"/>
      <c r="S27922" s="183"/>
      <c r="AJ27922" s="183"/>
      <c r="AK27922" s="183"/>
      <c r="AL27922" s="183"/>
    </row>
    <row r="27923" spans="1:38">
      <c r="A27923" s="182"/>
      <c r="Q27923" s="183"/>
      <c r="R27923" s="183"/>
      <c r="S27923" s="183"/>
      <c r="AJ27923" s="183"/>
    </row>
    <row r="27924" spans="1:38">
      <c r="A27924" s="182"/>
      <c r="Q27924" s="183"/>
      <c r="R27924" s="183"/>
      <c r="S27924" s="183"/>
    </row>
    <row r="27925" spans="1:38">
      <c r="A27925" s="182"/>
      <c r="Q27925" s="183"/>
      <c r="R27925" s="183"/>
      <c r="S27925" s="183"/>
    </row>
    <row r="27926" spans="1:38">
      <c r="A27926" s="182"/>
      <c r="Q27926" s="183"/>
      <c r="R27926" s="183"/>
      <c r="S27926" s="183"/>
    </row>
    <row r="27927" spans="1:38">
      <c r="A27927" s="182"/>
      <c r="Q27927" s="183"/>
      <c r="R27927" s="183"/>
      <c r="S27927" s="183"/>
    </row>
    <row r="27928" spans="1:38">
      <c r="A27928" s="182"/>
      <c r="Q27928" s="183"/>
      <c r="R27928" s="183"/>
      <c r="S27928" s="183"/>
    </row>
    <row r="27929" spans="1:38">
      <c r="A27929" s="182"/>
      <c r="Q27929" s="183"/>
      <c r="R27929" s="183"/>
      <c r="S27929" s="183"/>
    </row>
    <row r="27930" spans="1:38">
      <c r="A27930" s="182"/>
      <c r="Q27930" s="183"/>
      <c r="R27930" s="183"/>
      <c r="S27930" s="183"/>
    </row>
    <row r="27931" spans="1:38">
      <c r="A27931" s="182"/>
      <c r="Q27931" s="183"/>
      <c r="R27931" s="183"/>
      <c r="S27931" s="183"/>
    </row>
    <row r="27932" spans="1:38">
      <c r="A27932" s="182"/>
      <c r="Q27932" s="183"/>
      <c r="R27932" s="183"/>
      <c r="S27932" s="183"/>
    </row>
    <row r="27933" spans="1:38">
      <c r="A27933" s="182"/>
      <c r="Q27933" s="183"/>
      <c r="R27933" s="183"/>
      <c r="S27933" s="183"/>
    </row>
    <row r="27934" spans="1:38">
      <c r="A27934" s="182"/>
      <c r="Q27934" s="183"/>
      <c r="R27934" s="183"/>
      <c r="S27934" s="183"/>
    </row>
    <row r="27935" spans="1:38">
      <c r="A27935" s="182"/>
      <c r="Q27935" s="183"/>
      <c r="R27935" s="183"/>
      <c r="S27935" s="183"/>
    </row>
    <row r="27936" spans="1:38">
      <c r="A27936" s="182"/>
      <c r="Q27936" s="183"/>
      <c r="R27936" s="183"/>
      <c r="S27936" s="183"/>
    </row>
    <row r="27937" spans="1:38">
      <c r="A27937" s="182"/>
      <c r="Q27937" s="183"/>
      <c r="R27937" s="183"/>
      <c r="S27937" s="183"/>
    </row>
    <row r="27938" spans="1:38">
      <c r="A27938" s="182"/>
      <c r="Q27938" s="183"/>
      <c r="R27938" s="183"/>
      <c r="S27938" s="183"/>
    </row>
    <row r="27939" spans="1:38">
      <c r="A27939" s="182"/>
      <c r="Q27939" s="183"/>
      <c r="R27939" s="183"/>
      <c r="S27939" s="183"/>
    </row>
    <row r="27940" spans="1:38">
      <c r="A27940" s="182"/>
      <c r="Q27940" s="183"/>
      <c r="R27940" s="183"/>
      <c r="S27940" s="183"/>
    </row>
    <row r="27941" spans="1:38">
      <c r="A27941" s="182"/>
      <c r="Q27941" s="183"/>
      <c r="R27941" s="183"/>
      <c r="S27941" s="183"/>
    </row>
    <row r="27942" spans="1:38">
      <c r="A27942" s="182"/>
      <c r="Q27942" s="183"/>
      <c r="R27942" s="183"/>
      <c r="S27942" s="183"/>
    </row>
    <row r="27943" spans="1:38">
      <c r="A27943" s="182"/>
      <c r="Q27943" s="183"/>
      <c r="R27943" s="183"/>
      <c r="S27943" s="183"/>
    </row>
    <row r="27944" spans="1:38">
      <c r="A27944" s="182"/>
      <c r="Q27944" s="183"/>
      <c r="R27944" s="183"/>
      <c r="S27944" s="183"/>
    </row>
    <row r="27945" spans="1:38">
      <c r="A27945" s="182"/>
      <c r="Q27945" s="183"/>
      <c r="R27945" s="183"/>
      <c r="S27945" s="183"/>
    </row>
    <row r="27946" spans="1:38">
      <c r="A27946" s="182"/>
      <c r="Q27946" s="183"/>
      <c r="R27946" s="183"/>
      <c r="S27946" s="183"/>
    </row>
    <row r="27947" spans="1:38">
      <c r="A27947" s="182"/>
      <c r="Q27947" s="183"/>
      <c r="R27947" s="183"/>
      <c r="S27947" s="183"/>
      <c r="AK27947" s="183"/>
      <c r="AL27947" s="183"/>
    </row>
    <row r="27948" spans="1:38">
      <c r="A27948" s="182"/>
      <c r="Q27948" s="183"/>
      <c r="R27948" s="183"/>
      <c r="S27948" s="183"/>
      <c r="AJ27948" s="183"/>
      <c r="AK27948" s="183"/>
      <c r="AL27948" s="183"/>
    </row>
    <row r="27949" spans="1:38">
      <c r="A27949" s="182"/>
      <c r="Q27949" s="183"/>
      <c r="R27949" s="183"/>
      <c r="S27949" s="183"/>
      <c r="AJ27949" s="183"/>
      <c r="AK27949" s="183"/>
      <c r="AL27949" s="183"/>
    </row>
    <row r="27950" spans="1:38">
      <c r="A27950" s="182"/>
      <c r="Q27950" s="183"/>
      <c r="R27950" s="183"/>
      <c r="S27950" s="183"/>
      <c r="AJ27950" s="183"/>
      <c r="AK27950" s="183"/>
      <c r="AL27950" s="183"/>
    </row>
    <row r="27951" spans="1:38">
      <c r="A27951" s="182"/>
      <c r="Q27951" s="183"/>
      <c r="R27951" s="183"/>
      <c r="S27951" s="183"/>
      <c r="AJ27951" s="183"/>
    </row>
    <row r="27952" spans="1:38">
      <c r="A27952" s="182"/>
      <c r="Q27952" s="183"/>
      <c r="R27952" s="183"/>
      <c r="S27952" s="183"/>
    </row>
    <row r="27953" spans="1:38">
      <c r="A27953" s="182"/>
      <c r="Q27953" s="183"/>
      <c r="R27953" s="183"/>
      <c r="S27953" s="183"/>
    </row>
    <row r="27954" spans="1:38">
      <c r="A27954" s="182"/>
      <c r="Q27954" s="183"/>
      <c r="R27954" s="183"/>
      <c r="S27954" s="183"/>
    </row>
    <row r="27955" spans="1:38">
      <c r="A27955" s="182"/>
      <c r="Q27955" s="183"/>
      <c r="R27955" s="183"/>
      <c r="S27955" s="183"/>
      <c r="AK27955" s="183"/>
      <c r="AL27955" s="183"/>
    </row>
    <row r="27956" spans="1:38">
      <c r="A27956" s="182"/>
      <c r="Q27956" s="183"/>
      <c r="R27956" s="183"/>
      <c r="S27956" s="183"/>
      <c r="AJ27956" s="183"/>
      <c r="AK27956" s="183"/>
      <c r="AL27956" s="183"/>
    </row>
    <row r="27957" spans="1:38">
      <c r="A27957" s="182"/>
      <c r="Q27957" s="183"/>
      <c r="R27957" s="183"/>
      <c r="S27957" s="183"/>
      <c r="AJ27957" s="183"/>
      <c r="AK27957" s="183"/>
      <c r="AL27957" s="183"/>
    </row>
    <row r="27958" spans="1:38">
      <c r="A27958" s="182"/>
      <c r="Q27958" s="183"/>
      <c r="R27958" s="183"/>
      <c r="S27958" s="183"/>
      <c r="AJ27958" s="183"/>
      <c r="AK27958" s="183"/>
      <c r="AL27958" s="183"/>
    </row>
    <row r="27959" spans="1:38">
      <c r="A27959" s="182"/>
      <c r="Q27959" s="183"/>
      <c r="R27959" s="183"/>
      <c r="S27959" s="183"/>
      <c r="AJ27959" s="183"/>
    </row>
    <row r="27960" spans="1:38">
      <c r="A27960" s="182"/>
      <c r="Q27960" s="183"/>
      <c r="R27960" s="183"/>
      <c r="S27960" s="183"/>
    </row>
    <row r="27961" spans="1:38">
      <c r="A27961" s="182"/>
      <c r="Q27961" s="183"/>
      <c r="R27961" s="183"/>
      <c r="S27961" s="183"/>
    </row>
    <row r="27962" spans="1:38">
      <c r="A27962" s="182"/>
      <c r="Q27962" s="183"/>
      <c r="R27962" s="183"/>
      <c r="S27962" s="183"/>
    </row>
    <row r="27963" spans="1:38">
      <c r="A27963" s="182"/>
      <c r="Q27963" s="183"/>
      <c r="R27963" s="183"/>
      <c r="S27963" s="183"/>
    </row>
    <row r="27964" spans="1:38">
      <c r="A27964" s="182"/>
      <c r="Q27964" s="183"/>
      <c r="R27964" s="183"/>
      <c r="S27964" s="183"/>
    </row>
    <row r="27965" spans="1:38">
      <c r="A27965" s="182"/>
      <c r="Q27965" s="183"/>
      <c r="R27965" s="183"/>
      <c r="S27965" s="183"/>
    </row>
    <row r="27966" spans="1:38">
      <c r="A27966" s="182"/>
      <c r="Q27966" s="183"/>
      <c r="R27966" s="183"/>
      <c r="S27966" s="183"/>
    </row>
    <row r="27967" spans="1:38">
      <c r="A27967" s="182"/>
      <c r="Q27967" s="183"/>
      <c r="R27967" s="183"/>
      <c r="S27967" s="183"/>
    </row>
    <row r="27968" spans="1:38">
      <c r="A27968" s="182"/>
      <c r="Q27968" s="183"/>
      <c r="R27968" s="183"/>
      <c r="S27968" s="183"/>
    </row>
    <row r="27969" spans="1:38">
      <c r="A27969" s="182"/>
      <c r="Q27969" s="183"/>
      <c r="R27969" s="183"/>
      <c r="S27969" s="183"/>
    </row>
    <row r="27970" spans="1:38">
      <c r="A27970" s="182"/>
      <c r="Q27970" s="183"/>
      <c r="R27970" s="183"/>
      <c r="S27970" s="183"/>
    </row>
    <row r="27971" spans="1:38">
      <c r="A27971" s="182"/>
      <c r="Q27971" s="183"/>
      <c r="R27971" s="183"/>
      <c r="S27971" s="183"/>
    </row>
    <row r="27972" spans="1:38">
      <c r="A27972" s="182"/>
      <c r="Q27972" s="183"/>
      <c r="R27972" s="183"/>
      <c r="S27972" s="183"/>
    </row>
    <row r="27973" spans="1:38">
      <c r="A27973" s="182"/>
      <c r="Q27973" s="183"/>
      <c r="R27973" s="183"/>
      <c r="S27973" s="183"/>
    </row>
    <row r="27974" spans="1:38">
      <c r="A27974" s="182"/>
      <c r="Q27974" s="183"/>
      <c r="R27974" s="183"/>
      <c r="S27974" s="183"/>
    </row>
    <row r="27975" spans="1:38">
      <c r="A27975" s="182"/>
      <c r="Q27975" s="183"/>
      <c r="R27975" s="183"/>
      <c r="S27975" s="183"/>
    </row>
    <row r="27976" spans="1:38">
      <c r="A27976" s="182"/>
      <c r="Q27976" s="183"/>
      <c r="R27976" s="183"/>
      <c r="S27976" s="183"/>
    </row>
    <row r="27977" spans="1:38">
      <c r="A27977" s="182"/>
      <c r="Q27977" s="183"/>
      <c r="R27977" s="183"/>
      <c r="S27977" s="183"/>
    </row>
    <row r="27978" spans="1:38">
      <c r="A27978" s="182"/>
      <c r="Q27978" s="183"/>
      <c r="R27978" s="183"/>
      <c r="S27978" s="183"/>
    </row>
    <row r="27979" spans="1:38">
      <c r="A27979" s="182"/>
      <c r="Q27979" s="183"/>
      <c r="R27979" s="183"/>
      <c r="S27979" s="183"/>
      <c r="AK27979" s="183"/>
      <c r="AL27979" s="183"/>
    </row>
    <row r="27980" spans="1:38">
      <c r="A27980" s="182"/>
      <c r="Q27980" s="183"/>
      <c r="R27980" s="183"/>
      <c r="S27980" s="183"/>
      <c r="AJ27980" s="183"/>
      <c r="AK27980" s="183"/>
      <c r="AL27980" s="183"/>
    </row>
    <row r="27981" spans="1:38">
      <c r="A27981" s="182"/>
      <c r="Q27981" s="183"/>
      <c r="R27981" s="183"/>
      <c r="S27981" s="183"/>
      <c r="AJ27981" s="183"/>
      <c r="AK27981" s="183"/>
      <c r="AL27981" s="183"/>
    </row>
    <row r="27982" spans="1:38">
      <c r="A27982" s="182"/>
      <c r="Q27982" s="183"/>
      <c r="R27982" s="183"/>
      <c r="S27982" s="183"/>
      <c r="AJ27982" s="183"/>
      <c r="AK27982" s="183"/>
      <c r="AL27982" s="183"/>
    </row>
    <row r="27983" spans="1:38">
      <c r="A27983" s="182"/>
      <c r="Q27983" s="183"/>
      <c r="R27983" s="183"/>
      <c r="S27983" s="183"/>
      <c r="AJ27983" s="183"/>
      <c r="AK27983" s="183"/>
      <c r="AL27983" s="183"/>
    </row>
    <row r="27984" spans="1:38">
      <c r="A27984" s="182"/>
      <c r="Q27984" s="183"/>
      <c r="R27984" s="183"/>
      <c r="S27984" s="183"/>
      <c r="AJ27984" s="183"/>
      <c r="AK27984" s="183"/>
      <c r="AL27984" s="183"/>
    </row>
    <row r="27985" spans="1:38">
      <c r="A27985" s="182"/>
      <c r="Q27985" s="183"/>
      <c r="R27985" s="183"/>
      <c r="S27985" s="183"/>
      <c r="AJ27985" s="183"/>
      <c r="AK27985" s="183"/>
      <c r="AL27985" s="183"/>
    </row>
    <row r="27986" spans="1:38">
      <c r="A27986" s="182"/>
      <c r="Q27986" s="183"/>
      <c r="R27986" s="183"/>
      <c r="S27986" s="183"/>
      <c r="AJ27986" s="183"/>
      <c r="AK27986" s="183"/>
      <c r="AL27986" s="183"/>
    </row>
    <row r="27987" spans="1:38">
      <c r="A27987" s="182"/>
      <c r="Q27987" s="183"/>
      <c r="R27987" s="183"/>
      <c r="S27987" s="183"/>
      <c r="AJ27987" s="183"/>
    </row>
    <row r="27988" spans="1:38">
      <c r="A27988" s="182"/>
      <c r="Q27988" s="183"/>
      <c r="R27988" s="183"/>
      <c r="S27988" s="183"/>
    </row>
    <row r="27989" spans="1:38">
      <c r="A27989" s="182"/>
      <c r="Q27989" s="183"/>
      <c r="R27989" s="183"/>
      <c r="S27989" s="183"/>
    </row>
    <row r="27990" spans="1:38">
      <c r="A27990" s="182"/>
      <c r="Q27990" s="183"/>
      <c r="R27990" s="183"/>
      <c r="S27990" s="183"/>
    </row>
    <row r="27991" spans="1:38">
      <c r="A27991" s="182"/>
      <c r="Q27991" s="183"/>
      <c r="R27991" s="183"/>
      <c r="S27991" s="183"/>
    </row>
    <row r="27992" spans="1:38">
      <c r="A27992" s="182"/>
      <c r="Q27992" s="183"/>
      <c r="R27992" s="183"/>
      <c r="S27992" s="183"/>
    </row>
    <row r="27993" spans="1:38">
      <c r="A27993" s="182"/>
      <c r="Q27993" s="183"/>
      <c r="R27993" s="183"/>
      <c r="S27993" s="183"/>
    </row>
    <row r="27994" spans="1:38">
      <c r="A27994" s="182"/>
      <c r="Q27994" s="183"/>
      <c r="R27994" s="183"/>
      <c r="S27994" s="183"/>
    </row>
    <row r="27995" spans="1:38">
      <c r="A27995" s="182"/>
      <c r="Q27995" s="183"/>
      <c r="R27995" s="183"/>
      <c r="S27995" s="183"/>
    </row>
    <row r="27996" spans="1:38">
      <c r="A27996" s="182"/>
      <c r="Q27996" s="183"/>
      <c r="R27996" s="183"/>
      <c r="S27996" s="183"/>
    </row>
    <row r="27997" spans="1:38">
      <c r="A27997" s="182"/>
      <c r="Q27997" s="183"/>
      <c r="R27997" s="183"/>
      <c r="S27997" s="183"/>
    </row>
    <row r="27998" spans="1:38">
      <c r="A27998" s="182"/>
      <c r="Q27998" s="183"/>
      <c r="R27998" s="183"/>
      <c r="S27998" s="183"/>
    </row>
    <row r="27999" spans="1:38">
      <c r="A27999" s="182"/>
      <c r="Q27999" s="183"/>
      <c r="R27999" s="183"/>
      <c r="S27999" s="183"/>
    </row>
    <row r="28000" spans="1:38">
      <c r="A28000" s="182"/>
      <c r="Q28000" s="183"/>
      <c r="R28000" s="183"/>
      <c r="S28000" s="183"/>
    </row>
    <row r="28001" spans="1:38">
      <c r="A28001" s="182"/>
      <c r="Q28001" s="183"/>
      <c r="R28001" s="183"/>
      <c r="S28001" s="183"/>
    </row>
    <row r="28002" spans="1:38">
      <c r="A28002" s="182"/>
      <c r="Q28002" s="183"/>
      <c r="R28002" s="183"/>
      <c r="S28002" s="183"/>
    </row>
    <row r="28003" spans="1:38">
      <c r="A28003" s="182"/>
      <c r="Q28003" s="183"/>
      <c r="R28003" s="183"/>
      <c r="S28003" s="183"/>
      <c r="AK28003" s="183"/>
      <c r="AL28003" s="183"/>
    </row>
    <row r="28004" spans="1:38">
      <c r="A28004" s="182"/>
      <c r="Q28004" s="183"/>
      <c r="R28004" s="183"/>
      <c r="S28004" s="183"/>
      <c r="AJ28004" s="183"/>
      <c r="AK28004" s="183"/>
      <c r="AL28004" s="183"/>
    </row>
    <row r="28005" spans="1:38">
      <c r="A28005" s="182"/>
      <c r="Q28005" s="183"/>
      <c r="R28005" s="183"/>
      <c r="S28005" s="183"/>
      <c r="AJ28005" s="183"/>
      <c r="AK28005" s="183"/>
      <c r="AL28005" s="183"/>
    </row>
    <row r="28006" spans="1:38">
      <c r="A28006" s="182"/>
      <c r="Q28006" s="183"/>
      <c r="R28006" s="183"/>
      <c r="S28006" s="183"/>
      <c r="AJ28006" s="183"/>
      <c r="AK28006" s="183"/>
      <c r="AL28006" s="183"/>
    </row>
    <row r="28007" spans="1:38">
      <c r="A28007" s="182"/>
      <c r="Q28007" s="183"/>
      <c r="R28007" s="183"/>
      <c r="S28007" s="183"/>
      <c r="AJ28007" s="183"/>
      <c r="AK28007" s="183"/>
      <c r="AL28007" s="183"/>
    </row>
    <row r="28008" spans="1:38">
      <c r="A28008" s="182"/>
      <c r="Q28008" s="183"/>
      <c r="R28008" s="183"/>
      <c r="S28008" s="183"/>
      <c r="AJ28008" s="183"/>
      <c r="AK28008" s="183"/>
      <c r="AL28008" s="183"/>
    </row>
    <row r="28009" spans="1:38">
      <c r="A28009" s="182"/>
      <c r="Q28009" s="183"/>
      <c r="R28009" s="183"/>
      <c r="S28009" s="183"/>
      <c r="AJ28009" s="183"/>
      <c r="AK28009" s="183"/>
      <c r="AL28009" s="183"/>
    </row>
    <row r="28010" spans="1:38">
      <c r="A28010" s="182"/>
      <c r="Q28010" s="183"/>
      <c r="R28010" s="183"/>
      <c r="S28010" s="183"/>
      <c r="AJ28010" s="183"/>
      <c r="AK28010" s="183"/>
      <c r="AL28010" s="183"/>
    </row>
    <row r="28011" spans="1:38">
      <c r="A28011" s="182"/>
      <c r="Q28011" s="183"/>
      <c r="R28011" s="183"/>
      <c r="S28011" s="183"/>
      <c r="AJ28011" s="183"/>
    </row>
    <row r="28012" spans="1:38">
      <c r="A28012" s="182"/>
      <c r="Q28012" s="183"/>
      <c r="R28012" s="183"/>
      <c r="S28012" s="183"/>
    </row>
    <row r="28013" spans="1:38">
      <c r="A28013" s="182"/>
      <c r="Q28013" s="183"/>
      <c r="R28013" s="183"/>
      <c r="S28013" s="183"/>
    </row>
    <row r="28014" spans="1:38">
      <c r="A28014" s="182"/>
      <c r="Q28014" s="183"/>
      <c r="R28014" s="183"/>
      <c r="S28014" s="183"/>
    </row>
    <row r="28015" spans="1:38">
      <c r="A28015" s="182"/>
      <c r="Q28015" s="183"/>
      <c r="R28015" s="183"/>
      <c r="S28015" s="183"/>
      <c r="AK28015" s="183"/>
      <c r="AL28015" s="183"/>
    </row>
    <row r="28016" spans="1:38">
      <c r="A28016" s="182"/>
      <c r="Q28016" s="183"/>
      <c r="R28016" s="183"/>
      <c r="S28016" s="183"/>
      <c r="AJ28016" s="183"/>
      <c r="AK28016" s="183"/>
      <c r="AL28016" s="183"/>
    </row>
    <row r="28017" spans="1:38">
      <c r="A28017" s="182"/>
      <c r="Q28017" s="183"/>
      <c r="R28017" s="183"/>
      <c r="S28017" s="183"/>
      <c r="AJ28017" s="183"/>
      <c r="AK28017" s="183"/>
      <c r="AL28017" s="183"/>
    </row>
    <row r="28018" spans="1:38">
      <c r="A28018" s="182"/>
      <c r="Q28018" s="183"/>
      <c r="R28018" s="183"/>
      <c r="S28018" s="183"/>
      <c r="AJ28018" s="183"/>
      <c r="AK28018" s="183"/>
      <c r="AL28018" s="183"/>
    </row>
    <row r="28019" spans="1:38">
      <c r="A28019" s="182"/>
      <c r="Q28019" s="183"/>
      <c r="R28019" s="183"/>
      <c r="S28019" s="183"/>
      <c r="AJ28019" s="183"/>
      <c r="AK28019" s="183"/>
      <c r="AL28019" s="183"/>
    </row>
    <row r="28020" spans="1:38">
      <c r="A28020" s="182"/>
      <c r="Q28020" s="183"/>
      <c r="R28020" s="183"/>
      <c r="S28020" s="183"/>
      <c r="AJ28020" s="183"/>
      <c r="AK28020" s="183"/>
      <c r="AL28020" s="183"/>
    </row>
    <row r="28021" spans="1:38">
      <c r="A28021" s="182"/>
      <c r="Q28021" s="183"/>
      <c r="R28021" s="183"/>
      <c r="S28021" s="183"/>
      <c r="AJ28021" s="183"/>
      <c r="AK28021" s="183"/>
      <c r="AL28021" s="183"/>
    </row>
    <row r="28022" spans="1:38">
      <c r="A28022" s="182"/>
      <c r="Q28022" s="183"/>
      <c r="R28022" s="183"/>
      <c r="S28022" s="183"/>
      <c r="AJ28022" s="183"/>
      <c r="AK28022" s="183"/>
      <c r="AL28022" s="183"/>
    </row>
    <row r="28023" spans="1:38">
      <c r="A28023" s="182"/>
      <c r="Q28023" s="183"/>
      <c r="R28023" s="183"/>
      <c r="S28023" s="183"/>
      <c r="AJ28023" s="183"/>
    </row>
    <row r="28024" spans="1:38">
      <c r="A28024" s="182"/>
      <c r="Q28024" s="183"/>
      <c r="R28024" s="183"/>
      <c r="S28024" s="183"/>
    </row>
    <row r="28025" spans="1:38">
      <c r="A28025" s="182"/>
      <c r="Q28025" s="183"/>
      <c r="R28025" s="183"/>
      <c r="S28025" s="183"/>
    </row>
    <row r="28026" spans="1:38">
      <c r="A28026" s="182"/>
      <c r="Q28026" s="183"/>
      <c r="R28026" s="183"/>
      <c r="S28026" s="183"/>
    </row>
    <row r="28027" spans="1:38">
      <c r="A28027" s="182"/>
      <c r="Q28027" s="183"/>
      <c r="R28027" s="183"/>
      <c r="S28027" s="183"/>
      <c r="AK28027" s="183"/>
      <c r="AL28027" s="183"/>
    </row>
    <row r="28028" spans="1:38">
      <c r="A28028" s="182"/>
      <c r="Q28028" s="183"/>
      <c r="R28028" s="183"/>
      <c r="S28028" s="183"/>
      <c r="AJ28028" s="183"/>
      <c r="AK28028" s="183"/>
      <c r="AL28028" s="183"/>
    </row>
    <row r="28029" spans="1:38">
      <c r="A28029" s="182"/>
      <c r="Q28029" s="183"/>
      <c r="R28029" s="183"/>
      <c r="S28029" s="183"/>
      <c r="AJ28029" s="183"/>
      <c r="AK28029" s="183"/>
      <c r="AL28029" s="183"/>
    </row>
    <row r="28030" spans="1:38">
      <c r="A28030" s="182"/>
      <c r="Q28030" s="183"/>
      <c r="R28030" s="183"/>
      <c r="S28030" s="183"/>
      <c r="AJ28030" s="183"/>
      <c r="AK28030" s="183"/>
      <c r="AL28030" s="183"/>
    </row>
    <row r="28031" spans="1:38">
      <c r="A28031" s="182"/>
      <c r="Q28031" s="183"/>
      <c r="R28031" s="183"/>
      <c r="S28031" s="183"/>
      <c r="AJ28031" s="183"/>
    </row>
    <row r="28032" spans="1:38">
      <c r="A28032" s="182"/>
      <c r="Q28032" s="183"/>
      <c r="R28032" s="183"/>
      <c r="S28032" s="183"/>
    </row>
    <row r="28033" spans="1:19">
      <c r="A28033" s="182"/>
      <c r="Q28033" s="183"/>
      <c r="R28033" s="183"/>
      <c r="S28033" s="183"/>
    </row>
    <row r="28034" spans="1:19">
      <c r="A28034" s="182"/>
      <c r="Q28034" s="183"/>
      <c r="R28034" s="183"/>
      <c r="S28034" s="183"/>
    </row>
    <row r="28035" spans="1:19">
      <c r="A28035" s="182"/>
      <c r="Q28035" s="183"/>
      <c r="R28035" s="183"/>
      <c r="S28035" s="183"/>
    </row>
    <row r="28036" spans="1:19">
      <c r="A28036" s="182"/>
      <c r="Q28036" s="183"/>
      <c r="R28036" s="183"/>
      <c r="S28036" s="183"/>
    </row>
    <row r="28037" spans="1:19">
      <c r="A28037" s="182"/>
      <c r="Q28037" s="183"/>
      <c r="R28037" s="183"/>
      <c r="S28037" s="183"/>
    </row>
    <row r="28038" spans="1:19">
      <c r="A28038" s="182"/>
      <c r="Q28038" s="183"/>
      <c r="R28038" s="183"/>
      <c r="S28038" s="183"/>
    </row>
    <row r="28039" spans="1:19">
      <c r="A28039" s="182"/>
      <c r="Q28039" s="183"/>
      <c r="R28039" s="183"/>
      <c r="S28039" s="183"/>
    </row>
    <row r="28040" spans="1:19">
      <c r="A28040" s="182"/>
      <c r="Q28040" s="183"/>
      <c r="R28040" s="183"/>
      <c r="S28040" s="183"/>
    </row>
    <row r="28041" spans="1:19">
      <c r="A28041" s="182"/>
      <c r="Q28041" s="183"/>
      <c r="R28041" s="183"/>
      <c r="S28041" s="183"/>
    </row>
    <row r="28042" spans="1:19">
      <c r="A28042" s="182"/>
      <c r="Q28042" s="183"/>
      <c r="R28042" s="183"/>
      <c r="S28042" s="183"/>
    </row>
    <row r="28043" spans="1:19">
      <c r="A28043" s="182"/>
      <c r="Q28043" s="183"/>
      <c r="R28043" s="183"/>
      <c r="S28043" s="183"/>
    </row>
    <row r="28044" spans="1:19">
      <c r="A28044" s="182"/>
      <c r="Q28044" s="183"/>
      <c r="R28044" s="183"/>
      <c r="S28044" s="183"/>
    </row>
    <row r="28045" spans="1:19">
      <c r="A28045" s="182"/>
      <c r="Q28045" s="183"/>
      <c r="R28045" s="183"/>
      <c r="S28045" s="183"/>
    </row>
    <row r="28046" spans="1:19">
      <c r="A28046" s="182"/>
      <c r="Q28046" s="183"/>
      <c r="R28046" s="183"/>
      <c r="S28046" s="183"/>
    </row>
    <row r="28047" spans="1:19">
      <c r="A28047" s="182"/>
      <c r="Q28047" s="183"/>
      <c r="R28047" s="183"/>
      <c r="S28047" s="183"/>
    </row>
    <row r="28048" spans="1:19">
      <c r="A28048" s="182"/>
      <c r="Q28048" s="183"/>
      <c r="R28048" s="183"/>
      <c r="S28048" s="183"/>
    </row>
    <row r="28049" spans="1:38">
      <c r="A28049" s="182"/>
      <c r="Q28049" s="183"/>
      <c r="R28049" s="183"/>
      <c r="S28049" s="183"/>
    </row>
    <row r="28050" spans="1:38">
      <c r="A28050" s="182"/>
      <c r="Q28050" s="183"/>
      <c r="R28050" s="183"/>
      <c r="S28050" s="183"/>
    </row>
    <row r="28051" spans="1:38">
      <c r="A28051" s="182"/>
      <c r="Q28051" s="183"/>
      <c r="R28051" s="183"/>
      <c r="S28051" s="183"/>
    </row>
    <row r="28052" spans="1:38">
      <c r="A28052" s="182"/>
      <c r="Q28052" s="183"/>
      <c r="R28052" s="183"/>
      <c r="S28052" s="183"/>
    </row>
    <row r="28053" spans="1:38">
      <c r="A28053" s="182"/>
      <c r="Q28053" s="183"/>
      <c r="R28053" s="183"/>
      <c r="S28053" s="183"/>
    </row>
    <row r="28054" spans="1:38">
      <c r="A28054" s="182"/>
      <c r="Q28054" s="183"/>
      <c r="R28054" s="183"/>
      <c r="S28054" s="183"/>
    </row>
    <row r="28055" spans="1:38">
      <c r="A28055" s="182"/>
      <c r="Q28055" s="183"/>
      <c r="R28055" s="183"/>
      <c r="S28055" s="183"/>
      <c r="AK28055" s="183"/>
      <c r="AL28055" s="183"/>
    </row>
    <row r="28056" spans="1:38">
      <c r="A28056" s="182"/>
      <c r="Q28056" s="183"/>
      <c r="R28056" s="183"/>
      <c r="S28056" s="183"/>
      <c r="AJ28056" s="183"/>
      <c r="AK28056" s="183"/>
      <c r="AL28056" s="183"/>
    </row>
    <row r="28057" spans="1:38">
      <c r="A28057" s="182"/>
      <c r="Q28057" s="183"/>
      <c r="R28057" s="183"/>
      <c r="S28057" s="183"/>
      <c r="AJ28057" s="183"/>
      <c r="AK28057" s="183"/>
      <c r="AL28057" s="183"/>
    </row>
    <row r="28058" spans="1:38">
      <c r="A28058" s="182"/>
      <c r="Q28058" s="183"/>
      <c r="R28058" s="183"/>
      <c r="S28058" s="183"/>
      <c r="AJ28058" s="183"/>
      <c r="AK28058" s="183"/>
      <c r="AL28058" s="183"/>
    </row>
    <row r="28059" spans="1:38">
      <c r="A28059" s="182"/>
      <c r="Q28059" s="183"/>
      <c r="R28059" s="183"/>
      <c r="S28059" s="183"/>
      <c r="AJ28059" s="183"/>
    </row>
    <row r="28060" spans="1:38">
      <c r="A28060" s="182"/>
      <c r="Q28060" s="183"/>
      <c r="R28060" s="183"/>
      <c r="S28060" s="183"/>
    </row>
    <row r="28061" spans="1:38">
      <c r="A28061" s="182"/>
      <c r="Q28061" s="183"/>
      <c r="R28061" s="183"/>
      <c r="S28061" s="183"/>
    </row>
    <row r="28062" spans="1:38">
      <c r="A28062" s="182"/>
      <c r="Q28062" s="183"/>
      <c r="R28062" s="183"/>
      <c r="S28062" s="183"/>
    </row>
    <row r="28063" spans="1:38">
      <c r="A28063" s="182"/>
      <c r="Q28063" s="183"/>
      <c r="R28063" s="183"/>
      <c r="S28063" s="183"/>
    </row>
    <row r="28064" spans="1:38">
      <c r="A28064" s="182"/>
      <c r="Q28064" s="183"/>
      <c r="R28064" s="183"/>
      <c r="S28064" s="183"/>
    </row>
    <row r="28065" spans="1:38">
      <c r="A28065" s="182"/>
      <c r="Q28065" s="183"/>
      <c r="R28065" s="183"/>
      <c r="S28065" s="183"/>
    </row>
    <row r="28066" spans="1:38">
      <c r="A28066" s="182"/>
      <c r="Q28066" s="183"/>
      <c r="R28066" s="183"/>
      <c r="S28066" s="183"/>
    </row>
    <row r="28067" spans="1:38">
      <c r="A28067" s="182"/>
      <c r="Q28067" s="183"/>
      <c r="R28067" s="183"/>
      <c r="S28067" s="183"/>
    </row>
    <row r="28068" spans="1:38">
      <c r="A28068" s="182"/>
      <c r="Q28068" s="183"/>
      <c r="R28068" s="183"/>
      <c r="S28068" s="183"/>
    </row>
    <row r="28069" spans="1:38">
      <c r="A28069" s="182"/>
      <c r="Q28069" s="183"/>
      <c r="R28069" s="183"/>
      <c r="S28069" s="183"/>
    </row>
    <row r="28070" spans="1:38">
      <c r="A28070" s="182"/>
      <c r="Q28070" s="183"/>
      <c r="R28070" s="183"/>
      <c r="S28070" s="183"/>
    </row>
    <row r="28071" spans="1:38">
      <c r="A28071" s="182"/>
      <c r="Q28071" s="183"/>
      <c r="R28071" s="183"/>
      <c r="S28071" s="183"/>
      <c r="AK28071" s="183"/>
      <c r="AL28071" s="183"/>
    </row>
    <row r="28072" spans="1:38">
      <c r="A28072" s="182"/>
      <c r="Q28072" s="183"/>
      <c r="R28072" s="183"/>
      <c r="S28072" s="183"/>
      <c r="AJ28072" s="183"/>
      <c r="AK28072" s="183"/>
      <c r="AL28072" s="183"/>
    </row>
    <row r="28073" spans="1:38">
      <c r="A28073" s="182"/>
      <c r="Q28073" s="183"/>
      <c r="R28073" s="183"/>
      <c r="S28073" s="183"/>
      <c r="AJ28073" s="183"/>
      <c r="AK28073" s="183"/>
      <c r="AL28073" s="183"/>
    </row>
    <row r="28074" spans="1:38">
      <c r="A28074" s="182"/>
      <c r="Q28074" s="183"/>
      <c r="R28074" s="183"/>
      <c r="S28074" s="183"/>
      <c r="AJ28074" s="183"/>
      <c r="AK28074" s="183"/>
      <c r="AL28074" s="183"/>
    </row>
    <row r="28075" spans="1:38">
      <c r="A28075" s="182"/>
      <c r="Q28075" s="183"/>
      <c r="R28075" s="183"/>
      <c r="S28075" s="183"/>
      <c r="AJ28075" s="183"/>
    </row>
    <row r="28076" spans="1:38">
      <c r="A28076" s="182"/>
      <c r="Q28076" s="183"/>
      <c r="R28076" s="183"/>
      <c r="S28076" s="183"/>
    </row>
    <row r="28077" spans="1:38">
      <c r="A28077" s="182"/>
      <c r="Q28077" s="183"/>
      <c r="R28077" s="183"/>
      <c r="S28077" s="183"/>
    </row>
    <row r="28078" spans="1:38">
      <c r="A28078" s="182"/>
      <c r="Q28078" s="183"/>
      <c r="R28078" s="183"/>
      <c r="S28078" s="183"/>
    </row>
    <row r="28079" spans="1:38">
      <c r="A28079" s="182"/>
      <c r="Q28079" s="183"/>
      <c r="R28079" s="183"/>
      <c r="S28079" s="183"/>
    </row>
    <row r="28080" spans="1:38">
      <c r="A28080" s="182"/>
      <c r="Q28080" s="183"/>
      <c r="R28080" s="183"/>
      <c r="S28080" s="183"/>
    </row>
    <row r="28081" spans="1:38">
      <c r="A28081" s="182"/>
      <c r="Q28081" s="183"/>
      <c r="R28081" s="183"/>
      <c r="S28081" s="183"/>
    </row>
    <row r="28082" spans="1:38">
      <c r="A28082" s="182"/>
      <c r="Q28082" s="183"/>
      <c r="R28082" s="183"/>
      <c r="S28082" s="183"/>
    </row>
    <row r="28083" spans="1:38">
      <c r="A28083" s="182"/>
      <c r="Q28083" s="183"/>
      <c r="R28083" s="183"/>
      <c r="S28083" s="183"/>
      <c r="AK28083" s="183"/>
      <c r="AL28083" s="183"/>
    </row>
    <row r="28084" spans="1:38">
      <c r="A28084" s="182"/>
      <c r="Q28084" s="183"/>
      <c r="R28084" s="183"/>
      <c r="S28084" s="183"/>
      <c r="AJ28084" s="183"/>
      <c r="AK28084" s="183"/>
      <c r="AL28084" s="183"/>
    </row>
    <row r="28085" spans="1:38">
      <c r="A28085" s="182"/>
      <c r="Q28085" s="183"/>
      <c r="R28085" s="183"/>
      <c r="S28085" s="183"/>
      <c r="AJ28085" s="183"/>
      <c r="AK28085" s="183"/>
      <c r="AL28085" s="183"/>
    </row>
    <row r="28086" spans="1:38">
      <c r="A28086" s="182"/>
      <c r="Q28086" s="183"/>
      <c r="R28086" s="183"/>
      <c r="S28086" s="183"/>
      <c r="AJ28086" s="183"/>
      <c r="AK28086" s="183"/>
      <c r="AL28086" s="183"/>
    </row>
    <row r="28087" spans="1:38">
      <c r="A28087" s="182"/>
      <c r="Q28087" s="183"/>
      <c r="R28087" s="183"/>
      <c r="S28087" s="183"/>
      <c r="AJ28087" s="183"/>
      <c r="AK28087" s="183"/>
      <c r="AL28087" s="183"/>
    </row>
    <row r="28088" spans="1:38">
      <c r="A28088" s="182"/>
      <c r="Q28088" s="183"/>
      <c r="R28088" s="183"/>
      <c r="S28088" s="183"/>
      <c r="AJ28088" s="183"/>
      <c r="AK28088" s="183"/>
      <c r="AL28088" s="183"/>
    </row>
    <row r="28089" spans="1:38">
      <c r="A28089" s="182"/>
      <c r="Q28089" s="183"/>
      <c r="R28089" s="183"/>
      <c r="S28089" s="183"/>
      <c r="AJ28089" s="183"/>
      <c r="AK28089" s="183"/>
      <c r="AL28089" s="183"/>
    </row>
    <row r="28090" spans="1:38">
      <c r="A28090" s="182"/>
      <c r="Q28090" s="183"/>
      <c r="R28090" s="183"/>
      <c r="S28090" s="183"/>
      <c r="AJ28090" s="183"/>
      <c r="AK28090" s="183"/>
      <c r="AL28090" s="183"/>
    </row>
    <row r="28091" spans="1:38">
      <c r="A28091" s="182"/>
      <c r="Q28091" s="183"/>
      <c r="R28091" s="183"/>
      <c r="S28091" s="183"/>
      <c r="AJ28091" s="183"/>
    </row>
    <row r="28092" spans="1:38">
      <c r="A28092" s="182"/>
      <c r="Q28092" s="183"/>
      <c r="R28092" s="183"/>
      <c r="S28092" s="183"/>
    </row>
    <row r="28093" spans="1:38">
      <c r="A28093" s="182"/>
      <c r="Q28093" s="183"/>
      <c r="R28093" s="183"/>
      <c r="S28093" s="183"/>
    </row>
    <row r="28094" spans="1:38">
      <c r="A28094" s="182"/>
      <c r="Q28094" s="183"/>
      <c r="R28094" s="183"/>
      <c r="S28094" s="183"/>
    </row>
    <row r="28095" spans="1:38">
      <c r="A28095" s="182"/>
      <c r="Q28095" s="183"/>
      <c r="R28095" s="183"/>
      <c r="S28095" s="183"/>
    </row>
    <row r="28096" spans="1:38">
      <c r="A28096" s="182"/>
      <c r="Q28096" s="183"/>
      <c r="R28096" s="183"/>
      <c r="S28096" s="183"/>
    </row>
    <row r="28097" spans="1:38">
      <c r="A28097" s="182"/>
      <c r="Q28097" s="183"/>
      <c r="R28097" s="183"/>
      <c r="S28097" s="183"/>
    </row>
    <row r="28098" spans="1:38">
      <c r="A28098" s="182"/>
      <c r="Q28098" s="183"/>
      <c r="R28098" s="183"/>
      <c r="S28098" s="183"/>
    </row>
    <row r="28099" spans="1:38">
      <c r="A28099" s="182"/>
      <c r="Q28099" s="183"/>
      <c r="R28099" s="183"/>
      <c r="S28099" s="183"/>
      <c r="AK28099" s="183"/>
      <c r="AL28099" s="183"/>
    </row>
    <row r="28100" spans="1:38">
      <c r="A28100" s="182"/>
      <c r="Q28100" s="183"/>
      <c r="R28100" s="183"/>
      <c r="S28100" s="183"/>
      <c r="AJ28100" s="183"/>
      <c r="AK28100" s="183"/>
      <c r="AL28100" s="183"/>
    </row>
    <row r="28101" spans="1:38">
      <c r="A28101" s="182"/>
      <c r="Q28101" s="183"/>
      <c r="R28101" s="183"/>
      <c r="S28101" s="183"/>
      <c r="AJ28101" s="183"/>
      <c r="AK28101" s="183"/>
      <c r="AL28101" s="183"/>
    </row>
    <row r="28102" spans="1:38">
      <c r="A28102" s="182"/>
      <c r="Q28102" s="183"/>
      <c r="R28102" s="183"/>
      <c r="S28102" s="183"/>
      <c r="AJ28102" s="183"/>
      <c r="AK28102" s="183"/>
      <c r="AL28102" s="183"/>
    </row>
    <row r="28103" spans="1:38">
      <c r="A28103" s="182"/>
      <c r="Q28103" s="183"/>
      <c r="R28103" s="183"/>
      <c r="S28103" s="183"/>
      <c r="AJ28103" s="183"/>
    </row>
    <row r="28104" spans="1:38">
      <c r="A28104" s="182"/>
      <c r="Q28104" s="183"/>
      <c r="R28104" s="183"/>
      <c r="S28104" s="183"/>
    </row>
    <row r="28105" spans="1:38">
      <c r="A28105" s="182"/>
      <c r="Q28105" s="183"/>
      <c r="R28105" s="183"/>
      <c r="S28105" s="183"/>
    </row>
    <row r="28106" spans="1:38">
      <c r="A28106" s="182"/>
      <c r="Q28106" s="183"/>
      <c r="R28106" s="183"/>
      <c r="S28106" s="183"/>
    </row>
    <row r="28107" spans="1:38">
      <c r="A28107" s="182"/>
      <c r="Q28107" s="183"/>
      <c r="R28107" s="183"/>
      <c r="S28107" s="183"/>
      <c r="AK28107" s="183"/>
      <c r="AL28107" s="183"/>
    </row>
    <row r="28108" spans="1:38">
      <c r="A28108" s="182"/>
      <c r="Q28108" s="183"/>
      <c r="R28108" s="183"/>
      <c r="S28108" s="183"/>
      <c r="AJ28108" s="183"/>
      <c r="AK28108" s="183"/>
      <c r="AL28108" s="183"/>
    </row>
    <row r="28109" spans="1:38">
      <c r="A28109" s="182"/>
      <c r="Q28109" s="183"/>
      <c r="R28109" s="183"/>
      <c r="S28109" s="183"/>
      <c r="AJ28109" s="183"/>
      <c r="AK28109" s="183"/>
      <c r="AL28109" s="183"/>
    </row>
    <row r="28110" spans="1:38">
      <c r="A28110" s="182"/>
      <c r="Q28110" s="183"/>
      <c r="R28110" s="183"/>
      <c r="S28110" s="183"/>
      <c r="AJ28110" s="183"/>
      <c r="AK28110" s="183"/>
      <c r="AL28110" s="183"/>
    </row>
    <row r="28111" spans="1:38">
      <c r="A28111" s="182"/>
      <c r="Q28111" s="183"/>
      <c r="R28111" s="183"/>
      <c r="S28111" s="183"/>
      <c r="AJ28111" s="183"/>
      <c r="AK28111" s="183"/>
      <c r="AL28111" s="183"/>
    </row>
    <row r="28112" spans="1:38">
      <c r="A28112" s="182"/>
      <c r="Q28112" s="183"/>
      <c r="R28112" s="183"/>
      <c r="S28112" s="183"/>
      <c r="AJ28112" s="183"/>
      <c r="AK28112" s="183"/>
      <c r="AL28112" s="183"/>
    </row>
    <row r="28113" spans="1:38">
      <c r="A28113" s="182"/>
      <c r="Q28113" s="183"/>
      <c r="R28113" s="183"/>
      <c r="S28113" s="183"/>
      <c r="AJ28113" s="183"/>
      <c r="AK28113" s="183"/>
      <c r="AL28113" s="183"/>
    </row>
    <row r="28114" spans="1:38">
      <c r="A28114" s="182"/>
      <c r="Q28114" s="183"/>
      <c r="R28114" s="183"/>
      <c r="S28114" s="183"/>
      <c r="AJ28114" s="183"/>
      <c r="AK28114" s="183"/>
      <c r="AL28114" s="183"/>
    </row>
    <row r="28115" spans="1:38">
      <c r="A28115" s="182"/>
      <c r="Q28115" s="183"/>
      <c r="R28115" s="183"/>
      <c r="S28115" s="183"/>
      <c r="AJ28115" s="183"/>
    </row>
    <row r="28116" spans="1:38">
      <c r="A28116" s="182"/>
      <c r="Q28116" s="183"/>
      <c r="R28116" s="183"/>
      <c r="S28116" s="183"/>
    </row>
    <row r="28117" spans="1:38">
      <c r="A28117" s="182"/>
      <c r="Q28117" s="183"/>
      <c r="R28117" s="183"/>
      <c r="S28117" s="183"/>
    </row>
    <row r="28118" spans="1:38">
      <c r="A28118" s="182"/>
      <c r="Q28118" s="183"/>
      <c r="R28118" s="183"/>
      <c r="S28118" s="183"/>
    </row>
    <row r="28119" spans="1:38">
      <c r="A28119" s="182"/>
      <c r="Q28119" s="183"/>
      <c r="R28119" s="183"/>
      <c r="S28119" s="183"/>
    </row>
    <row r="28120" spans="1:38">
      <c r="A28120" s="182"/>
      <c r="Q28120" s="183"/>
      <c r="R28120" s="183"/>
      <c r="S28120" s="183"/>
    </row>
    <row r="28121" spans="1:38">
      <c r="A28121" s="182"/>
      <c r="Q28121" s="183"/>
      <c r="R28121" s="183"/>
      <c r="S28121" s="183"/>
    </row>
    <row r="28122" spans="1:38">
      <c r="A28122" s="182"/>
      <c r="Q28122" s="183"/>
      <c r="R28122" s="183"/>
      <c r="S28122" s="183"/>
    </row>
    <row r="28123" spans="1:38">
      <c r="A28123" s="182"/>
      <c r="Q28123" s="183"/>
      <c r="R28123" s="183"/>
      <c r="S28123" s="183"/>
    </row>
    <row r="28124" spans="1:38">
      <c r="A28124" s="182"/>
      <c r="Q28124" s="183"/>
      <c r="R28124" s="183"/>
      <c r="S28124" s="183"/>
    </row>
    <row r="28125" spans="1:38">
      <c r="A28125" s="182"/>
      <c r="Q28125" s="183"/>
      <c r="R28125" s="183"/>
      <c r="S28125" s="183"/>
    </row>
    <row r="28126" spans="1:38">
      <c r="A28126" s="182"/>
      <c r="Q28126" s="183"/>
      <c r="R28126" s="183"/>
      <c r="S28126" s="183"/>
    </row>
    <row r="28127" spans="1:38">
      <c r="A28127" s="182"/>
      <c r="Q28127" s="183"/>
      <c r="R28127" s="183"/>
      <c r="S28127" s="183"/>
    </row>
    <row r="28128" spans="1:38">
      <c r="A28128" s="182"/>
      <c r="Q28128" s="183"/>
      <c r="R28128" s="183"/>
      <c r="S28128" s="183"/>
    </row>
    <row r="28129" spans="1:19">
      <c r="A28129" s="182"/>
      <c r="Q28129" s="183"/>
      <c r="R28129" s="183"/>
      <c r="S28129" s="183"/>
    </row>
    <row r="28130" spans="1:19">
      <c r="A28130" s="182"/>
      <c r="Q28130" s="183"/>
      <c r="R28130" s="183"/>
      <c r="S28130" s="183"/>
    </row>
    <row r="28131" spans="1:19">
      <c r="A28131" s="182"/>
      <c r="Q28131" s="183"/>
      <c r="R28131" s="183"/>
      <c r="S28131" s="183"/>
    </row>
    <row r="28132" spans="1:19">
      <c r="A28132" s="182"/>
      <c r="Q28132" s="183"/>
      <c r="R28132" s="183"/>
      <c r="S28132" s="183"/>
    </row>
    <row r="28133" spans="1:19">
      <c r="A28133" s="182"/>
      <c r="Q28133" s="183"/>
      <c r="R28133" s="183"/>
      <c r="S28133" s="183"/>
    </row>
    <row r="28134" spans="1:19">
      <c r="A28134" s="182"/>
      <c r="Q28134" s="183"/>
      <c r="R28134" s="183"/>
      <c r="S28134" s="183"/>
    </row>
    <row r="28135" spans="1:19">
      <c r="A28135" s="182"/>
      <c r="Q28135" s="183"/>
      <c r="R28135" s="183"/>
      <c r="S28135" s="183"/>
    </row>
    <row r="28136" spans="1:19">
      <c r="A28136" s="182"/>
      <c r="Q28136" s="183"/>
      <c r="R28136" s="183"/>
      <c r="S28136" s="183"/>
    </row>
    <row r="28137" spans="1:19">
      <c r="A28137" s="182"/>
      <c r="Q28137" s="183"/>
      <c r="R28137" s="183"/>
      <c r="S28137" s="183"/>
    </row>
    <row r="28138" spans="1:19">
      <c r="A28138" s="182"/>
      <c r="Q28138" s="183"/>
      <c r="R28138" s="183"/>
      <c r="S28138" s="183"/>
    </row>
    <row r="28139" spans="1:19">
      <c r="A28139" s="182"/>
      <c r="Q28139" s="183"/>
      <c r="R28139" s="183"/>
      <c r="S28139" s="183"/>
    </row>
    <row r="28140" spans="1:19">
      <c r="A28140" s="182"/>
      <c r="Q28140" s="183"/>
      <c r="R28140" s="183"/>
      <c r="S28140" s="183"/>
    </row>
    <row r="28141" spans="1:19">
      <c r="A28141" s="182"/>
      <c r="Q28141" s="183"/>
      <c r="R28141" s="183"/>
      <c r="S28141" s="183"/>
    </row>
    <row r="28142" spans="1:19">
      <c r="A28142" s="182"/>
      <c r="Q28142" s="183"/>
      <c r="R28142" s="183"/>
      <c r="S28142" s="183"/>
    </row>
    <row r="28143" spans="1:19">
      <c r="A28143" s="182"/>
      <c r="Q28143" s="183"/>
      <c r="R28143" s="183"/>
      <c r="S28143" s="183"/>
    </row>
    <row r="28144" spans="1:19">
      <c r="A28144" s="182"/>
      <c r="Q28144" s="183"/>
      <c r="R28144" s="183"/>
      <c r="S28144" s="183"/>
    </row>
    <row r="28145" spans="1:19">
      <c r="A28145" s="182"/>
      <c r="Q28145" s="183"/>
      <c r="R28145" s="183"/>
      <c r="S28145" s="183"/>
    </row>
    <row r="28146" spans="1:19">
      <c r="A28146" s="182"/>
      <c r="Q28146" s="183"/>
      <c r="R28146" s="183"/>
      <c r="S28146" s="183"/>
    </row>
    <row r="28147" spans="1:19">
      <c r="A28147" s="182"/>
      <c r="Q28147" s="183"/>
      <c r="R28147" s="183"/>
      <c r="S28147" s="183"/>
    </row>
    <row r="28148" spans="1:19">
      <c r="A28148" s="182"/>
      <c r="Q28148" s="183"/>
      <c r="R28148" s="183"/>
      <c r="S28148" s="183"/>
    </row>
    <row r="28149" spans="1:19">
      <c r="A28149" s="182"/>
      <c r="Q28149" s="183"/>
      <c r="R28149" s="183"/>
      <c r="S28149" s="183"/>
    </row>
    <row r="28150" spans="1:19">
      <c r="A28150" s="182"/>
      <c r="Q28150" s="183"/>
      <c r="R28150" s="183"/>
      <c r="S28150" s="183"/>
    </row>
    <row r="28151" spans="1:19">
      <c r="A28151" s="182"/>
      <c r="Q28151" s="183"/>
      <c r="R28151" s="183"/>
      <c r="S28151" s="183"/>
    </row>
    <row r="28152" spans="1:19">
      <c r="A28152" s="182"/>
      <c r="Q28152" s="183"/>
      <c r="R28152" s="183"/>
      <c r="S28152" s="183"/>
    </row>
    <row r="28153" spans="1:19">
      <c r="A28153" s="182"/>
      <c r="Q28153" s="183"/>
      <c r="R28153" s="183"/>
      <c r="S28153" s="183"/>
    </row>
    <row r="28154" spans="1:19">
      <c r="A28154" s="182"/>
      <c r="Q28154" s="183"/>
      <c r="R28154" s="183"/>
      <c r="S28154" s="183"/>
    </row>
    <row r="28155" spans="1:19">
      <c r="A28155" s="182"/>
      <c r="Q28155" s="183"/>
      <c r="R28155" s="183"/>
      <c r="S28155" s="183"/>
    </row>
    <row r="28156" spans="1:19">
      <c r="A28156" s="182"/>
      <c r="Q28156" s="183"/>
      <c r="R28156" s="183"/>
      <c r="S28156" s="183"/>
    </row>
    <row r="28157" spans="1:19">
      <c r="A28157" s="182"/>
      <c r="Q28157" s="183"/>
      <c r="R28157" s="183"/>
      <c r="S28157" s="183"/>
    </row>
    <row r="28158" spans="1:19">
      <c r="A28158" s="182"/>
      <c r="Q28158" s="183"/>
      <c r="R28158" s="183"/>
      <c r="S28158" s="183"/>
    </row>
    <row r="28159" spans="1:19">
      <c r="A28159" s="182"/>
      <c r="Q28159" s="183"/>
      <c r="R28159" s="183"/>
      <c r="S28159" s="183"/>
    </row>
    <row r="28160" spans="1:19">
      <c r="A28160" s="182"/>
      <c r="Q28160" s="183"/>
      <c r="R28160" s="183"/>
      <c r="S28160" s="183"/>
    </row>
    <row r="28161" spans="1:38">
      <c r="A28161" s="182"/>
      <c r="Q28161" s="183"/>
      <c r="R28161" s="183"/>
      <c r="S28161" s="183"/>
    </row>
    <row r="28162" spans="1:38">
      <c r="A28162" s="182"/>
      <c r="Q28162" s="183"/>
      <c r="R28162" s="183"/>
      <c r="S28162" s="183"/>
    </row>
    <row r="28163" spans="1:38">
      <c r="A28163" s="182"/>
      <c r="Q28163" s="183"/>
      <c r="R28163" s="183"/>
      <c r="S28163" s="183"/>
    </row>
    <row r="28164" spans="1:38">
      <c r="A28164" s="182"/>
      <c r="Q28164" s="183"/>
      <c r="R28164" s="183"/>
      <c r="S28164" s="183"/>
    </row>
    <row r="28165" spans="1:38">
      <c r="A28165" s="182"/>
      <c r="Q28165" s="183"/>
      <c r="R28165" s="183"/>
      <c r="S28165" s="183"/>
    </row>
    <row r="28166" spans="1:38">
      <c r="A28166" s="182"/>
      <c r="Q28166" s="183"/>
      <c r="R28166" s="183"/>
      <c r="S28166" s="183"/>
    </row>
    <row r="28167" spans="1:38">
      <c r="A28167" s="182"/>
      <c r="Q28167" s="183"/>
      <c r="R28167" s="183"/>
      <c r="S28167" s="183"/>
    </row>
    <row r="28168" spans="1:38">
      <c r="A28168" s="182"/>
      <c r="Q28168" s="183"/>
      <c r="R28168" s="183"/>
      <c r="S28168" s="183"/>
    </row>
    <row r="28169" spans="1:38">
      <c r="A28169" s="182"/>
      <c r="Q28169" s="183"/>
      <c r="R28169" s="183"/>
      <c r="S28169" s="183"/>
    </row>
    <row r="28170" spans="1:38">
      <c r="A28170" s="182"/>
      <c r="Q28170" s="183"/>
      <c r="R28170" s="183"/>
      <c r="S28170" s="183"/>
    </row>
    <row r="28171" spans="1:38">
      <c r="A28171" s="182"/>
      <c r="Q28171" s="183"/>
      <c r="R28171" s="183"/>
      <c r="S28171" s="183"/>
      <c r="AK28171" s="183"/>
      <c r="AL28171" s="183"/>
    </row>
    <row r="28172" spans="1:38">
      <c r="A28172" s="182"/>
      <c r="Q28172" s="183"/>
      <c r="R28172" s="183"/>
      <c r="S28172" s="183"/>
      <c r="AJ28172" s="183"/>
      <c r="AK28172" s="183"/>
      <c r="AL28172" s="183"/>
    </row>
    <row r="28173" spans="1:38">
      <c r="A28173" s="182"/>
      <c r="Q28173" s="183"/>
      <c r="R28173" s="183"/>
      <c r="S28173" s="183"/>
      <c r="AJ28173" s="183"/>
      <c r="AK28173" s="183"/>
      <c r="AL28173" s="183"/>
    </row>
    <row r="28174" spans="1:38">
      <c r="A28174" s="182"/>
      <c r="Q28174" s="183"/>
      <c r="R28174" s="183"/>
      <c r="S28174" s="183"/>
      <c r="AJ28174" s="183"/>
      <c r="AK28174" s="183"/>
      <c r="AL28174" s="183"/>
    </row>
    <row r="28175" spans="1:38">
      <c r="A28175" s="182"/>
      <c r="Q28175" s="183"/>
      <c r="R28175" s="183"/>
      <c r="S28175" s="183"/>
      <c r="AJ28175" s="183"/>
      <c r="AK28175" s="183"/>
      <c r="AL28175" s="183"/>
    </row>
    <row r="28176" spans="1:38">
      <c r="A28176" s="182"/>
      <c r="Q28176" s="183"/>
      <c r="R28176" s="183"/>
      <c r="S28176" s="183"/>
      <c r="AJ28176" s="183"/>
      <c r="AK28176" s="183"/>
      <c r="AL28176" s="183"/>
    </row>
    <row r="28177" spans="1:38">
      <c r="A28177" s="182"/>
      <c r="Q28177" s="183"/>
      <c r="R28177" s="183"/>
      <c r="S28177" s="183"/>
      <c r="AJ28177" s="183"/>
      <c r="AK28177" s="183"/>
      <c r="AL28177" s="183"/>
    </row>
    <row r="28178" spans="1:38">
      <c r="A28178" s="182"/>
      <c r="Q28178" s="183"/>
      <c r="R28178" s="183"/>
      <c r="S28178" s="183"/>
      <c r="AJ28178" s="183"/>
      <c r="AK28178" s="183"/>
      <c r="AL28178" s="183"/>
    </row>
    <row r="28179" spans="1:38">
      <c r="A28179" s="182"/>
      <c r="Q28179" s="183"/>
      <c r="R28179" s="183"/>
      <c r="S28179" s="183"/>
      <c r="AJ28179" s="183"/>
    </row>
    <row r="28180" spans="1:38">
      <c r="A28180" s="182"/>
      <c r="Q28180" s="183"/>
      <c r="R28180" s="183"/>
      <c r="S28180" s="183"/>
    </row>
    <row r="28181" spans="1:38">
      <c r="A28181" s="182"/>
      <c r="Q28181" s="183"/>
      <c r="R28181" s="183"/>
      <c r="S28181" s="183"/>
    </row>
    <row r="28182" spans="1:38">
      <c r="A28182" s="182"/>
      <c r="Q28182" s="183"/>
      <c r="R28182" s="183"/>
      <c r="S28182" s="183"/>
    </row>
    <row r="28183" spans="1:38">
      <c r="A28183" s="182"/>
      <c r="Q28183" s="183"/>
      <c r="R28183" s="183"/>
      <c r="S28183" s="183"/>
      <c r="AK28183" s="183"/>
      <c r="AL28183" s="183"/>
    </row>
    <row r="28184" spans="1:38">
      <c r="A28184" s="182"/>
      <c r="Q28184" s="183"/>
      <c r="R28184" s="183"/>
      <c r="S28184" s="183"/>
      <c r="AJ28184" s="183"/>
      <c r="AK28184" s="183"/>
      <c r="AL28184" s="183"/>
    </row>
    <row r="28185" spans="1:38">
      <c r="A28185" s="182"/>
      <c r="Q28185" s="183"/>
      <c r="R28185" s="183"/>
      <c r="S28185" s="183"/>
      <c r="AJ28185" s="183"/>
      <c r="AK28185" s="183"/>
      <c r="AL28185" s="183"/>
    </row>
    <row r="28186" spans="1:38">
      <c r="A28186" s="182"/>
      <c r="Q28186" s="183"/>
      <c r="R28186" s="183"/>
      <c r="S28186" s="183"/>
      <c r="AJ28186" s="183"/>
      <c r="AK28186" s="183"/>
      <c r="AL28186" s="183"/>
    </row>
    <row r="28187" spans="1:38">
      <c r="A28187" s="182"/>
      <c r="Q28187" s="183"/>
      <c r="R28187" s="183"/>
      <c r="S28187" s="183"/>
      <c r="AJ28187" s="183"/>
    </row>
    <row r="28188" spans="1:38">
      <c r="A28188" s="182"/>
      <c r="Q28188" s="183"/>
      <c r="R28188" s="183"/>
      <c r="S28188" s="183"/>
    </row>
    <row r="28189" spans="1:38">
      <c r="A28189" s="182"/>
      <c r="Q28189" s="183"/>
      <c r="R28189" s="183"/>
      <c r="S28189" s="183"/>
    </row>
    <row r="28190" spans="1:38">
      <c r="A28190" s="182"/>
      <c r="Q28190" s="183"/>
      <c r="R28190" s="183"/>
      <c r="S28190" s="183"/>
    </row>
    <row r="28191" spans="1:38">
      <c r="A28191" s="182"/>
      <c r="Q28191" s="183"/>
      <c r="R28191" s="183"/>
      <c r="S28191" s="183"/>
      <c r="AK28191" s="183"/>
      <c r="AL28191" s="183"/>
    </row>
    <row r="28192" spans="1:38">
      <c r="A28192" s="182"/>
      <c r="Q28192" s="183"/>
      <c r="R28192" s="183"/>
      <c r="S28192" s="183"/>
      <c r="AJ28192" s="183"/>
      <c r="AK28192" s="183"/>
      <c r="AL28192" s="183"/>
    </row>
    <row r="28193" spans="1:38">
      <c r="A28193" s="182"/>
      <c r="Q28193" s="183"/>
      <c r="R28193" s="183"/>
      <c r="S28193" s="183"/>
      <c r="AJ28193" s="183"/>
      <c r="AK28193" s="183"/>
      <c r="AL28193" s="183"/>
    </row>
    <row r="28194" spans="1:38">
      <c r="A28194" s="182"/>
      <c r="Q28194" s="183"/>
      <c r="R28194" s="183"/>
      <c r="S28194" s="183"/>
      <c r="AJ28194" s="183"/>
      <c r="AK28194" s="183"/>
      <c r="AL28194" s="183"/>
    </row>
    <row r="28195" spans="1:38">
      <c r="A28195" s="182"/>
      <c r="Q28195" s="183"/>
      <c r="R28195" s="183"/>
      <c r="S28195" s="183"/>
      <c r="AJ28195" s="183"/>
    </row>
    <row r="28196" spans="1:38">
      <c r="A28196" s="182"/>
      <c r="Q28196" s="183"/>
      <c r="R28196" s="183"/>
      <c r="S28196" s="183"/>
    </row>
    <row r="28197" spans="1:38">
      <c r="A28197" s="182"/>
      <c r="Q28197" s="183"/>
      <c r="R28197" s="183"/>
      <c r="S28197" s="183"/>
    </row>
    <row r="28198" spans="1:38">
      <c r="A28198" s="182"/>
      <c r="Q28198" s="183"/>
      <c r="R28198" s="183"/>
      <c r="S28198" s="183"/>
    </row>
    <row r="28199" spans="1:38">
      <c r="A28199" s="182"/>
      <c r="Q28199" s="183"/>
      <c r="R28199" s="183"/>
      <c r="S28199" s="183"/>
      <c r="AK28199" s="183"/>
      <c r="AL28199" s="183"/>
    </row>
    <row r="28200" spans="1:38">
      <c r="A28200" s="182"/>
      <c r="Q28200" s="183"/>
      <c r="R28200" s="183"/>
      <c r="S28200" s="183"/>
      <c r="AJ28200" s="183"/>
      <c r="AK28200" s="183"/>
      <c r="AL28200" s="183"/>
    </row>
    <row r="28201" spans="1:38">
      <c r="A28201" s="182"/>
      <c r="Q28201" s="183"/>
      <c r="R28201" s="183"/>
      <c r="S28201" s="183"/>
      <c r="AJ28201" s="183"/>
      <c r="AK28201" s="183"/>
      <c r="AL28201" s="183"/>
    </row>
    <row r="28202" spans="1:38">
      <c r="A28202" s="182"/>
      <c r="Q28202" s="183"/>
      <c r="R28202" s="183"/>
      <c r="S28202" s="183"/>
      <c r="AJ28202" s="183"/>
      <c r="AK28202" s="183"/>
      <c r="AL28202" s="183"/>
    </row>
    <row r="28203" spans="1:38">
      <c r="A28203" s="182"/>
      <c r="Q28203" s="183"/>
      <c r="R28203" s="183"/>
      <c r="S28203" s="183"/>
      <c r="AJ28203" s="183"/>
      <c r="AK28203" s="183"/>
      <c r="AL28203" s="183"/>
    </row>
    <row r="28204" spans="1:38">
      <c r="A28204" s="182"/>
      <c r="Q28204" s="183"/>
      <c r="R28204" s="183"/>
      <c r="S28204" s="183"/>
      <c r="AJ28204" s="183"/>
      <c r="AK28204" s="183"/>
      <c r="AL28204" s="183"/>
    </row>
    <row r="28205" spans="1:38">
      <c r="A28205" s="182"/>
      <c r="Q28205" s="183"/>
      <c r="R28205" s="183"/>
      <c r="S28205" s="183"/>
      <c r="AJ28205" s="183"/>
      <c r="AK28205" s="183"/>
      <c r="AL28205" s="183"/>
    </row>
    <row r="28206" spans="1:38">
      <c r="A28206" s="182"/>
      <c r="Q28206" s="183"/>
      <c r="R28206" s="183"/>
      <c r="S28206" s="183"/>
      <c r="AJ28206" s="183"/>
      <c r="AK28206" s="183"/>
      <c r="AL28206" s="183"/>
    </row>
    <row r="28207" spans="1:38">
      <c r="A28207" s="182"/>
      <c r="Q28207" s="183"/>
      <c r="R28207" s="183"/>
      <c r="S28207" s="183"/>
      <c r="AJ28207" s="183"/>
    </row>
    <row r="28208" spans="1:38">
      <c r="A28208" s="182"/>
      <c r="Q28208" s="183"/>
      <c r="R28208" s="183"/>
      <c r="S28208" s="183"/>
    </row>
    <row r="28209" spans="1:38">
      <c r="A28209" s="182"/>
      <c r="Q28209" s="183"/>
      <c r="R28209" s="183"/>
      <c r="S28209" s="183"/>
    </row>
    <row r="28210" spans="1:38">
      <c r="A28210" s="182"/>
      <c r="Q28210" s="183"/>
      <c r="R28210" s="183"/>
      <c r="S28210" s="183"/>
    </row>
    <row r="28211" spans="1:38">
      <c r="A28211" s="182"/>
      <c r="Q28211" s="183"/>
      <c r="R28211" s="183"/>
      <c r="S28211" s="183"/>
    </row>
    <row r="28212" spans="1:38">
      <c r="A28212" s="182"/>
      <c r="Q28212" s="183"/>
      <c r="R28212" s="183"/>
      <c r="S28212" s="183"/>
    </row>
    <row r="28213" spans="1:38">
      <c r="A28213" s="182"/>
      <c r="Q28213" s="183"/>
      <c r="R28213" s="183"/>
      <c r="S28213" s="183"/>
    </row>
    <row r="28214" spans="1:38">
      <c r="A28214" s="182"/>
      <c r="Q28214" s="183"/>
      <c r="R28214" s="183"/>
      <c r="S28214" s="183"/>
    </row>
    <row r="28215" spans="1:38">
      <c r="A28215" s="182"/>
      <c r="Q28215" s="183"/>
      <c r="R28215" s="183"/>
      <c r="S28215" s="183"/>
    </row>
    <row r="28216" spans="1:38">
      <c r="A28216" s="182"/>
      <c r="Q28216" s="183"/>
      <c r="R28216" s="183"/>
      <c r="S28216" s="183"/>
    </row>
    <row r="28217" spans="1:38">
      <c r="A28217" s="182"/>
      <c r="Q28217" s="183"/>
      <c r="R28217" s="183"/>
      <c r="S28217" s="183"/>
    </row>
    <row r="28218" spans="1:38">
      <c r="A28218" s="182"/>
      <c r="Q28218" s="183"/>
      <c r="R28218" s="183"/>
      <c r="S28218" s="183"/>
    </row>
    <row r="28219" spans="1:38">
      <c r="A28219" s="182"/>
      <c r="Q28219" s="183"/>
      <c r="R28219" s="183"/>
      <c r="S28219" s="183"/>
    </row>
    <row r="28220" spans="1:38">
      <c r="A28220" s="182"/>
      <c r="Q28220" s="183"/>
      <c r="R28220" s="183"/>
      <c r="S28220" s="183"/>
    </row>
    <row r="28221" spans="1:38">
      <c r="A28221" s="182"/>
      <c r="Q28221" s="183"/>
      <c r="R28221" s="183"/>
      <c r="S28221" s="183"/>
    </row>
    <row r="28222" spans="1:38">
      <c r="A28222" s="182"/>
      <c r="Q28222" s="183"/>
      <c r="R28222" s="183"/>
      <c r="S28222" s="183"/>
    </row>
    <row r="28223" spans="1:38">
      <c r="A28223" s="182"/>
      <c r="Q28223" s="183"/>
      <c r="R28223" s="183"/>
      <c r="S28223" s="183"/>
      <c r="AK28223" s="183"/>
      <c r="AL28223" s="183"/>
    </row>
    <row r="28224" spans="1:38">
      <c r="A28224" s="182"/>
      <c r="Q28224" s="183"/>
      <c r="R28224" s="183"/>
      <c r="S28224" s="183"/>
      <c r="AJ28224" s="183"/>
      <c r="AK28224" s="183"/>
      <c r="AL28224" s="183"/>
    </row>
    <row r="28225" spans="1:38">
      <c r="A28225" s="182"/>
      <c r="Q28225" s="183"/>
      <c r="R28225" s="183"/>
      <c r="S28225" s="183"/>
      <c r="AJ28225" s="183"/>
      <c r="AK28225" s="183"/>
      <c r="AL28225" s="183"/>
    </row>
    <row r="28226" spans="1:38">
      <c r="A28226" s="182"/>
      <c r="Q28226" s="183"/>
      <c r="R28226" s="183"/>
      <c r="S28226" s="183"/>
      <c r="AJ28226" s="183"/>
      <c r="AK28226" s="183"/>
      <c r="AL28226" s="183"/>
    </row>
    <row r="28227" spans="1:38">
      <c r="A28227" s="182"/>
      <c r="Q28227" s="183"/>
      <c r="R28227" s="183"/>
      <c r="S28227" s="183"/>
      <c r="AJ28227" s="183"/>
    </row>
    <row r="28228" spans="1:38">
      <c r="A28228" s="182"/>
      <c r="Q28228" s="183"/>
      <c r="R28228" s="183"/>
      <c r="S28228" s="183"/>
    </row>
    <row r="28229" spans="1:38">
      <c r="A28229" s="182"/>
      <c r="Q28229" s="183"/>
      <c r="R28229" s="183"/>
      <c r="S28229" s="183"/>
    </row>
    <row r="28230" spans="1:38">
      <c r="A28230" s="182"/>
      <c r="Q28230" s="183"/>
      <c r="R28230" s="183"/>
      <c r="S28230" s="183"/>
    </row>
    <row r="28231" spans="1:38">
      <c r="A28231" s="182"/>
      <c r="Q28231" s="183"/>
      <c r="R28231" s="183"/>
      <c r="S28231" s="183"/>
    </row>
    <row r="28232" spans="1:38">
      <c r="A28232" s="182"/>
      <c r="Q28232" s="183"/>
      <c r="R28232" s="183"/>
      <c r="S28232" s="183"/>
    </row>
    <row r="28233" spans="1:38">
      <c r="A28233" s="182"/>
      <c r="Q28233" s="183"/>
      <c r="R28233" s="183"/>
      <c r="S28233" s="183"/>
    </row>
    <row r="28234" spans="1:38">
      <c r="A28234" s="182"/>
      <c r="Q28234" s="183"/>
      <c r="R28234" s="183"/>
      <c r="S28234" s="183"/>
    </row>
    <row r="28235" spans="1:38">
      <c r="A28235" s="182"/>
      <c r="Q28235" s="183"/>
      <c r="R28235" s="183"/>
      <c r="S28235" s="183"/>
    </row>
    <row r="28236" spans="1:38">
      <c r="A28236" s="182"/>
      <c r="Q28236" s="183"/>
      <c r="R28236" s="183"/>
      <c r="S28236" s="183"/>
    </row>
    <row r="28237" spans="1:38">
      <c r="A28237" s="182"/>
      <c r="Q28237" s="183"/>
      <c r="R28237" s="183"/>
      <c r="S28237" s="183"/>
    </row>
    <row r="28238" spans="1:38">
      <c r="A28238" s="182"/>
      <c r="Q28238" s="183"/>
      <c r="R28238" s="183"/>
      <c r="S28238" s="183"/>
    </row>
    <row r="28239" spans="1:38">
      <c r="A28239" s="182"/>
      <c r="Q28239" s="183"/>
      <c r="R28239" s="183"/>
      <c r="S28239" s="183"/>
    </row>
    <row r="28240" spans="1:38">
      <c r="A28240" s="182"/>
      <c r="Q28240" s="183"/>
      <c r="R28240" s="183"/>
      <c r="S28240" s="183"/>
    </row>
    <row r="28241" spans="1:38">
      <c r="A28241" s="182"/>
      <c r="Q28241" s="183"/>
      <c r="R28241" s="183"/>
      <c r="S28241" s="183"/>
    </row>
    <row r="28242" spans="1:38">
      <c r="A28242" s="182"/>
      <c r="Q28242" s="183"/>
      <c r="R28242" s="183"/>
      <c r="S28242" s="183"/>
    </row>
    <row r="28243" spans="1:38">
      <c r="A28243" s="182"/>
      <c r="Q28243" s="183"/>
      <c r="R28243" s="183"/>
      <c r="S28243" s="183"/>
    </row>
    <row r="28244" spans="1:38">
      <c r="A28244" s="182"/>
      <c r="Q28244" s="183"/>
      <c r="R28244" s="183"/>
      <c r="S28244" s="183"/>
    </row>
    <row r="28245" spans="1:38">
      <c r="A28245" s="182"/>
      <c r="Q28245" s="183"/>
      <c r="R28245" s="183"/>
      <c r="S28245" s="183"/>
    </row>
    <row r="28246" spans="1:38">
      <c r="A28246" s="182"/>
      <c r="Q28246" s="183"/>
      <c r="R28246" s="183"/>
      <c r="S28246" s="183"/>
    </row>
    <row r="28247" spans="1:38">
      <c r="A28247" s="182"/>
      <c r="Q28247" s="183"/>
      <c r="R28247" s="183"/>
      <c r="S28247" s="183"/>
      <c r="AK28247" s="183"/>
      <c r="AL28247" s="183"/>
    </row>
    <row r="28248" spans="1:38">
      <c r="A28248" s="182"/>
      <c r="Q28248" s="183"/>
      <c r="R28248" s="183"/>
      <c r="S28248" s="183"/>
      <c r="AJ28248" s="183"/>
      <c r="AK28248" s="183"/>
      <c r="AL28248" s="183"/>
    </row>
    <row r="28249" spans="1:38">
      <c r="A28249" s="182"/>
      <c r="Q28249" s="183"/>
      <c r="R28249" s="183"/>
      <c r="S28249" s="183"/>
      <c r="AJ28249" s="183"/>
      <c r="AK28249" s="183"/>
      <c r="AL28249" s="183"/>
    </row>
    <row r="28250" spans="1:38">
      <c r="A28250" s="182"/>
      <c r="Q28250" s="183"/>
      <c r="R28250" s="183"/>
      <c r="S28250" s="183"/>
      <c r="AJ28250" s="183"/>
      <c r="AK28250" s="183"/>
      <c r="AL28250" s="183"/>
    </row>
    <row r="28251" spans="1:38">
      <c r="A28251" s="182"/>
      <c r="Q28251" s="183"/>
      <c r="R28251" s="183"/>
      <c r="S28251" s="183"/>
      <c r="AJ28251" s="183"/>
    </row>
    <row r="28252" spans="1:38">
      <c r="A28252" s="182"/>
      <c r="Q28252" s="183"/>
      <c r="R28252" s="183"/>
      <c r="S28252" s="183"/>
    </row>
    <row r="28253" spans="1:38">
      <c r="A28253" s="182"/>
      <c r="Q28253" s="183"/>
      <c r="R28253" s="183"/>
      <c r="S28253" s="183"/>
    </row>
    <row r="28254" spans="1:38">
      <c r="A28254" s="182"/>
      <c r="Q28254" s="183"/>
      <c r="R28254" s="183"/>
      <c r="S28254" s="183"/>
    </row>
    <row r="28255" spans="1:38">
      <c r="A28255" s="182"/>
      <c r="Q28255" s="183"/>
      <c r="R28255" s="183"/>
      <c r="S28255" s="183"/>
    </row>
    <row r="28256" spans="1:38">
      <c r="A28256" s="182"/>
      <c r="Q28256" s="183"/>
      <c r="R28256" s="183"/>
      <c r="S28256" s="183"/>
    </row>
    <row r="28257" spans="1:38">
      <c r="A28257" s="182"/>
      <c r="Q28257" s="183"/>
      <c r="R28257" s="183"/>
      <c r="S28257" s="183"/>
    </row>
    <row r="28258" spans="1:38">
      <c r="A28258" s="182"/>
      <c r="Q28258" s="183"/>
      <c r="R28258" s="183"/>
      <c r="S28258" s="183"/>
    </row>
    <row r="28259" spans="1:38">
      <c r="A28259" s="182"/>
      <c r="Q28259" s="183"/>
      <c r="R28259" s="183"/>
      <c r="S28259" s="183"/>
    </row>
    <row r="28260" spans="1:38">
      <c r="A28260" s="182"/>
      <c r="Q28260" s="183"/>
      <c r="R28260" s="183"/>
      <c r="S28260" s="183"/>
    </row>
    <row r="28261" spans="1:38">
      <c r="A28261" s="182"/>
      <c r="Q28261" s="183"/>
      <c r="R28261" s="183"/>
      <c r="S28261" s="183"/>
    </row>
    <row r="28262" spans="1:38">
      <c r="A28262" s="182"/>
      <c r="Q28262" s="183"/>
      <c r="R28262" s="183"/>
      <c r="S28262" s="183"/>
    </row>
    <row r="28263" spans="1:38">
      <c r="A28263" s="182"/>
      <c r="Q28263" s="183"/>
      <c r="R28263" s="183"/>
      <c r="S28263" s="183"/>
      <c r="AK28263" s="183"/>
      <c r="AL28263" s="183"/>
    </row>
    <row r="28264" spans="1:38">
      <c r="A28264" s="182"/>
      <c r="Q28264" s="183"/>
      <c r="R28264" s="183"/>
      <c r="S28264" s="183"/>
      <c r="AJ28264" s="183"/>
      <c r="AK28264" s="183"/>
      <c r="AL28264" s="183"/>
    </row>
    <row r="28265" spans="1:38">
      <c r="A28265" s="182"/>
      <c r="Q28265" s="183"/>
      <c r="R28265" s="183"/>
      <c r="S28265" s="183"/>
      <c r="AJ28265" s="183"/>
      <c r="AK28265" s="183"/>
      <c r="AL28265" s="183"/>
    </row>
    <row r="28266" spans="1:38">
      <c r="A28266" s="182"/>
      <c r="Q28266" s="183"/>
      <c r="R28266" s="183"/>
      <c r="S28266" s="183"/>
      <c r="AJ28266" s="183"/>
      <c r="AK28266" s="183"/>
      <c r="AL28266" s="183"/>
    </row>
    <row r="28267" spans="1:38">
      <c r="A28267" s="182"/>
      <c r="Q28267" s="183"/>
      <c r="R28267" s="183"/>
      <c r="S28267" s="183"/>
      <c r="AJ28267" s="183"/>
    </row>
    <row r="28268" spans="1:38">
      <c r="A28268" s="182"/>
      <c r="Q28268" s="183"/>
      <c r="R28268" s="183"/>
      <c r="S28268" s="183"/>
    </row>
    <row r="28269" spans="1:38">
      <c r="A28269" s="182"/>
      <c r="Q28269" s="183"/>
      <c r="R28269" s="183"/>
      <c r="S28269" s="183"/>
    </row>
    <row r="28270" spans="1:38">
      <c r="A28270" s="182"/>
      <c r="Q28270" s="183"/>
      <c r="R28270" s="183"/>
      <c r="S28270" s="183"/>
    </row>
    <row r="28271" spans="1:38">
      <c r="A28271" s="182"/>
      <c r="Q28271" s="183"/>
      <c r="R28271" s="183"/>
      <c r="S28271" s="183"/>
    </row>
    <row r="28272" spans="1:38">
      <c r="A28272" s="182"/>
      <c r="Q28272" s="183"/>
      <c r="R28272" s="183"/>
      <c r="S28272" s="183"/>
    </row>
    <row r="28273" spans="1:38">
      <c r="A28273" s="182"/>
      <c r="Q28273" s="183"/>
      <c r="R28273" s="183"/>
      <c r="S28273" s="183"/>
    </row>
    <row r="28274" spans="1:38">
      <c r="A28274" s="182"/>
      <c r="Q28274" s="183"/>
      <c r="R28274" s="183"/>
      <c r="S28274" s="183"/>
    </row>
    <row r="28275" spans="1:38">
      <c r="A28275" s="182"/>
      <c r="Q28275" s="183"/>
      <c r="R28275" s="183"/>
      <c r="S28275" s="183"/>
      <c r="AK28275" s="183"/>
      <c r="AL28275" s="183"/>
    </row>
    <row r="28276" spans="1:38">
      <c r="A28276" s="182"/>
      <c r="Q28276" s="183"/>
      <c r="R28276" s="183"/>
      <c r="S28276" s="183"/>
      <c r="AJ28276" s="183"/>
      <c r="AK28276" s="183"/>
      <c r="AL28276" s="183"/>
    </row>
    <row r="28277" spans="1:38">
      <c r="A28277" s="182"/>
      <c r="Q28277" s="183"/>
      <c r="R28277" s="183"/>
      <c r="S28277" s="183"/>
      <c r="AJ28277" s="183"/>
      <c r="AK28277" s="183"/>
      <c r="AL28277" s="183"/>
    </row>
    <row r="28278" spans="1:38">
      <c r="A28278" s="182"/>
      <c r="Q28278" s="183"/>
      <c r="R28278" s="183"/>
      <c r="S28278" s="183"/>
      <c r="AJ28278" s="183"/>
      <c r="AK28278" s="183"/>
      <c r="AL28278" s="183"/>
    </row>
    <row r="28279" spans="1:38">
      <c r="A28279" s="182"/>
      <c r="Q28279" s="183"/>
      <c r="R28279" s="183"/>
      <c r="S28279" s="183"/>
      <c r="AJ28279" s="183"/>
      <c r="AK28279" s="183"/>
      <c r="AL28279" s="183"/>
    </row>
    <row r="28280" spans="1:38">
      <c r="A28280" s="182"/>
      <c r="Q28280" s="183"/>
      <c r="R28280" s="183"/>
      <c r="S28280" s="183"/>
      <c r="AJ28280" s="183"/>
      <c r="AK28280" s="183"/>
      <c r="AL28280" s="183"/>
    </row>
    <row r="28281" spans="1:38">
      <c r="A28281" s="182"/>
      <c r="Q28281" s="183"/>
      <c r="R28281" s="183"/>
      <c r="S28281" s="183"/>
      <c r="AJ28281" s="183"/>
      <c r="AK28281" s="183"/>
      <c r="AL28281" s="183"/>
    </row>
    <row r="28282" spans="1:38">
      <c r="A28282" s="182"/>
      <c r="Q28282" s="183"/>
      <c r="R28282" s="183"/>
      <c r="S28282" s="183"/>
      <c r="AJ28282" s="183"/>
      <c r="AK28282" s="183"/>
      <c r="AL28282" s="183"/>
    </row>
    <row r="28283" spans="1:38">
      <c r="A28283" s="182"/>
      <c r="Q28283" s="183"/>
      <c r="R28283" s="183"/>
      <c r="S28283" s="183"/>
      <c r="AJ28283" s="183"/>
    </row>
    <row r="28284" spans="1:38">
      <c r="A28284" s="182"/>
      <c r="Q28284" s="183"/>
      <c r="R28284" s="183"/>
      <c r="S28284" s="183"/>
    </row>
    <row r="28285" spans="1:38">
      <c r="A28285" s="182"/>
      <c r="Q28285" s="183"/>
      <c r="R28285" s="183"/>
      <c r="S28285" s="183"/>
    </row>
    <row r="28286" spans="1:38">
      <c r="A28286" s="182"/>
      <c r="Q28286" s="183"/>
      <c r="R28286" s="183"/>
      <c r="S28286" s="183"/>
    </row>
    <row r="28287" spans="1:38">
      <c r="A28287" s="182"/>
      <c r="Q28287" s="183"/>
      <c r="R28287" s="183"/>
      <c r="S28287" s="183"/>
    </row>
    <row r="28288" spans="1:38">
      <c r="A28288" s="182"/>
      <c r="Q28288" s="183"/>
      <c r="R28288" s="183"/>
      <c r="S28288" s="183"/>
    </row>
    <row r="28289" spans="1:38">
      <c r="A28289" s="182"/>
      <c r="Q28289" s="183"/>
      <c r="R28289" s="183"/>
      <c r="S28289" s="183"/>
    </row>
    <row r="28290" spans="1:38">
      <c r="A28290" s="182"/>
      <c r="Q28290" s="183"/>
      <c r="R28290" s="183"/>
      <c r="S28290" s="183"/>
    </row>
    <row r="28291" spans="1:38">
      <c r="A28291" s="182"/>
      <c r="Q28291" s="183"/>
      <c r="R28291" s="183"/>
      <c r="S28291" s="183"/>
    </row>
    <row r="28292" spans="1:38">
      <c r="A28292" s="182"/>
      <c r="Q28292" s="183"/>
      <c r="R28292" s="183"/>
      <c r="S28292" s="183"/>
    </row>
    <row r="28293" spans="1:38">
      <c r="A28293" s="182"/>
      <c r="Q28293" s="183"/>
      <c r="R28293" s="183"/>
      <c r="S28293" s="183"/>
    </row>
    <row r="28294" spans="1:38">
      <c r="A28294" s="182"/>
      <c r="Q28294" s="183"/>
      <c r="R28294" s="183"/>
      <c r="S28294" s="183"/>
    </row>
    <row r="28295" spans="1:38">
      <c r="A28295" s="182"/>
      <c r="Q28295" s="183"/>
      <c r="R28295" s="183"/>
      <c r="S28295" s="183"/>
    </row>
    <row r="28296" spans="1:38">
      <c r="A28296" s="182"/>
      <c r="Q28296" s="183"/>
      <c r="R28296" s="183"/>
      <c r="S28296" s="183"/>
    </row>
    <row r="28297" spans="1:38">
      <c r="A28297" s="182"/>
      <c r="Q28297" s="183"/>
      <c r="R28297" s="183"/>
      <c r="S28297" s="183"/>
    </row>
    <row r="28298" spans="1:38">
      <c r="A28298" s="182"/>
      <c r="Q28298" s="183"/>
      <c r="R28298" s="183"/>
      <c r="S28298" s="183"/>
    </row>
    <row r="28299" spans="1:38">
      <c r="A28299" s="182"/>
      <c r="Q28299" s="183"/>
      <c r="R28299" s="183"/>
      <c r="S28299" s="183"/>
      <c r="AK28299" s="183"/>
      <c r="AL28299" s="183"/>
    </row>
    <row r="28300" spans="1:38">
      <c r="A28300" s="182"/>
      <c r="Q28300" s="183"/>
      <c r="R28300" s="183"/>
      <c r="S28300" s="183"/>
      <c r="AJ28300" s="183"/>
      <c r="AK28300" s="183"/>
      <c r="AL28300" s="183"/>
    </row>
    <row r="28301" spans="1:38">
      <c r="A28301" s="182"/>
      <c r="Q28301" s="183"/>
      <c r="R28301" s="183"/>
      <c r="S28301" s="183"/>
      <c r="AJ28301" s="183"/>
      <c r="AK28301" s="183"/>
      <c r="AL28301" s="183"/>
    </row>
    <row r="28302" spans="1:38">
      <c r="A28302" s="182"/>
      <c r="Q28302" s="183"/>
      <c r="R28302" s="183"/>
      <c r="S28302" s="183"/>
      <c r="AJ28302" s="183"/>
      <c r="AK28302" s="183"/>
      <c r="AL28302" s="183"/>
    </row>
    <row r="28303" spans="1:38">
      <c r="A28303" s="182"/>
      <c r="Q28303" s="183"/>
      <c r="R28303" s="183"/>
      <c r="S28303" s="183"/>
      <c r="AJ28303" s="183"/>
    </row>
    <row r="28304" spans="1:38">
      <c r="A28304" s="182"/>
      <c r="Q28304" s="183"/>
      <c r="R28304" s="183"/>
      <c r="S28304" s="183"/>
    </row>
    <row r="28305" spans="1:38">
      <c r="A28305" s="182"/>
      <c r="Q28305" s="183"/>
      <c r="R28305" s="183"/>
      <c r="S28305" s="183"/>
    </row>
    <row r="28306" spans="1:38">
      <c r="A28306" s="182"/>
      <c r="Q28306" s="183"/>
      <c r="R28306" s="183"/>
      <c r="S28306" s="183"/>
    </row>
    <row r="28307" spans="1:38">
      <c r="A28307" s="182"/>
      <c r="Q28307" s="183"/>
      <c r="R28307" s="183"/>
      <c r="S28307" s="183"/>
      <c r="AK28307" s="183"/>
      <c r="AL28307" s="183"/>
    </row>
    <row r="28308" spans="1:38">
      <c r="A28308" s="182"/>
      <c r="Q28308" s="183"/>
      <c r="R28308" s="183"/>
      <c r="S28308" s="183"/>
      <c r="AJ28308" s="183"/>
      <c r="AK28308" s="183"/>
      <c r="AL28308" s="183"/>
    </row>
    <row r="28309" spans="1:38">
      <c r="A28309" s="182"/>
      <c r="Q28309" s="183"/>
      <c r="R28309" s="183"/>
      <c r="S28309" s="183"/>
      <c r="AJ28309" s="183"/>
      <c r="AK28309" s="183"/>
      <c r="AL28309" s="183"/>
    </row>
    <row r="28310" spans="1:38">
      <c r="A28310" s="182"/>
      <c r="Q28310" s="183"/>
      <c r="R28310" s="183"/>
      <c r="S28310" s="183"/>
      <c r="AJ28310" s="183"/>
      <c r="AK28310" s="183"/>
      <c r="AL28310" s="183"/>
    </row>
    <row r="28311" spans="1:38">
      <c r="A28311" s="182"/>
      <c r="Q28311" s="183"/>
      <c r="R28311" s="183"/>
      <c r="S28311" s="183"/>
      <c r="AJ28311" s="183"/>
      <c r="AK28311" s="183"/>
      <c r="AL28311" s="183"/>
    </row>
    <row r="28312" spans="1:38">
      <c r="A28312" s="182"/>
      <c r="Q28312" s="183"/>
      <c r="R28312" s="183"/>
      <c r="S28312" s="183"/>
      <c r="AJ28312" s="183"/>
      <c r="AK28312" s="183"/>
      <c r="AL28312" s="183"/>
    </row>
    <row r="28313" spans="1:38">
      <c r="A28313" s="182"/>
      <c r="Q28313" s="183"/>
      <c r="R28313" s="183"/>
      <c r="S28313" s="183"/>
      <c r="AJ28313" s="183"/>
      <c r="AK28313" s="183"/>
      <c r="AL28313" s="183"/>
    </row>
    <row r="28314" spans="1:38">
      <c r="A28314" s="182"/>
      <c r="Q28314" s="183"/>
      <c r="R28314" s="183"/>
      <c r="S28314" s="183"/>
      <c r="AJ28314" s="183"/>
      <c r="AK28314" s="183"/>
      <c r="AL28314" s="183"/>
    </row>
    <row r="28315" spans="1:38">
      <c r="A28315" s="182"/>
      <c r="Q28315" s="183"/>
      <c r="R28315" s="183"/>
      <c r="S28315" s="183"/>
      <c r="AJ28315" s="183"/>
      <c r="AK28315" s="183"/>
      <c r="AL28315" s="183"/>
    </row>
    <row r="28316" spans="1:38">
      <c r="A28316" s="182"/>
      <c r="Q28316" s="183"/>
      <c r="R28316" s="183"/>
      <c r="S28316" s="183"/>
      <c r="AJ28316" s="183"/>
      <c r="AK28316" s="183"/>
      <c r="AL28316" s="183"/>
    </row>
    <row r="28317" spans="1:38">
      <c r="A28317" s="182"/>
      <c r="Q28317" s="183"/>
      <c r="R28317" s="183"/>
      <c r="S28317" s="183"/>
      <c r="AJ28317" s="183"/>
      <c r="AK28317" s="183"/>
      <c r="AL28317" s="183"/>
    </row>
    <row r="28318" spans="1:38">
      <c r="A28318" s="182"/>
      <c r="Q28318" s="183"/>
      <c r="R28318" s="183"/>
      <c r="S28318" s="183"/>
      <c r="AJ28318" s="183"/>
      <c r="AK28318" s="183"/>
      <c r="AL28318" s="183"/>
    </row>
    <row r="28319" spans="1:38">
      <c r="A28319" s="182"/>
      <c r="Q28319" s="183"/>
      <c r="R28319" s="183"/>
      <c r="S28319" s="183"/>
      <c r="AJ28319" s="183"/>
    </row>
    <row r="28320" spans="1:38">
      <c r="A28320" s="182"/>
      <c r="Q28320" s="183"/>
      <c r="R28320" s="183"/>
      <c r="S28320" s="183"/>
    </row>
    <row r="28321" spans="1:38">
      <c r="A28321" s="182"/>
      <c r="Q28321" s="183"/>
      <c r="R28321" s="183"/>
      <c r="S28321" s="183"/>
    </row>
    <row r="28322" spans="1:38">
      <c r="A28322" s="182"/>
      <c r="Q28322" s="183"/>
      <c r="R28322" s="183"/>
      <c r="S28322" s="183"/>
    </row>
    <row r="28323" spans="1:38">
      <c r="A28323" s="182"/>
      <c r="Q28323" s="183"/>
      <c r="R28323" s="183"/>
      <c r="S28323" s="183"/>
    </row>
    <row r="28324" spans="1:38">
      <c r="A28324" s="182"/>
      <c r="Q28324" s="183"/>
      <c r="R28324" s="183"/>
      <c r="S28324" s="183"/>
    </row>
    <row r="28325" spans="1:38">
      <c r="A28325" s="182"/>
      <c r="Q28325" s="183"/>
      <c r="R28325" s="183"/>
      <c r="S28325" s="183"/>
    </row>
    <row r="28326" spans="1:38">
      <c r="A28326" s="182"/>
      <c r="Q28326" s="183"/>
      <c r="R28326" s="183"/>
      <c r="S28326" s="183"/>
    </row>
    <row r="28327" spans="1:38">
      <c r="A28327" s="182"/>
      <c r="Q28327" s="183"/>
      <c r="R28327" s="183"/>
      <c r="S28327" s="183"/>
    </row>
    <row r="28328" spans="1:38">
      <c r="A28328" s="182"/>
      <c r="Q28328" s="183"/>
      <c r="R28328" s="183"/>
      <c r="S28328" s="183"/>
    </row>
    <row r="28329" spans="1:38">
      <c r="A28329" s="182"/>
      <c r="Q28329" s="183"/>
      <c r="R28329" s="183"/>
      <c r="S28329" s="183"/>
    </row>
    <row r="28330" spans="1:38">
      <c r="A28330" s="182"/>
      <c r="Q28330" s="183"/>
      <c r="R28330" s="183"/>
      <c r="S28330" s="183"/>
    </row>
    <row r="28331" spans="1:38">
      <c r="A28331" s="182"/>
      <c r="Q28331" s="183"/>
      <c r="R28331" s="183"/>
      <c r="S28331" s="183"/>
      <c r="AK28331" s="183"/>
      <c r="AL28331" s="183"/>
    </row>
    <row r="28332" spans="1:38">
      <c r="A28332" s="182"/>
      <c r="Q28332" s="183"/>
      <c r="R28332" s="183"/>
      <c r="S28332" s="183"/>
      <c r="AJ28332" s="183"/>
      <c r="AK28332" s="183"/>
      <c r="AL28332" s="183"/>
    </row>
    <row r="28333" spans="1:38">
      <c r="A28333" s="182"/>
      <c r="Q28333" s="183"/>
      <c r="R28333" s="183"/>
      <c r="S28333" s="183"/>
      <c r="AJ28333" s="183"/>
      <c r="AK28333" s="183"/>
      <c r="AL28333" s="183"/>
    </row>
    <row r="28334" spans="1:38">
      <c r="A28334" s="182"/>
      <c r="Q28334" s="183"/>
      <c r="R28334" s="183"/>
      <c r="S28334" s="183"/>
      <c r="AJ28334" s="183"/>
      <c r="AK28334" s="183"/>
      <c r="AL28334" s="183"/>
    </row>
    <row r="28335" spans="1:38">
      <c r="A28335" s="182"/>
      <c r="Q28335" s="183"/>
      <c r="R28335" s="183"/>
      <c r="S28335" s="183"/>
      <c r="AJ28335" s="183"/>
    </row>
    <row r="28336" spans="1:38">
      <c r="A28336" s="182"/>
      <c r="Q28336" s="183"/>
      <c r="R28336" s="183"/>
      <c r="S28336" s="183"/>
    </row>
    <row r="28337" spans="1:19">
      <c r="A28337" s="182"/>
      <c r="Q28337" s="183"/>
      <c r="R28337" s="183"/>
      <c r="S28337" s="183"/>
    </row>
    <row r="28338" spans="1:19">
      <c r="A28338" s="182"/>
      <c r="Q28338" s="183"/>
      <c r="R28338" s="183"/>
      <c r="S28338" s="183"/>
    </row>
    <row r="28339" spans="1:19">
      <c r="A28339" s="182"/>
      <c r="Q28339" s="183"/>
      <c r="R28339" s="183"/>
      <c r="S28339" s="183"/>
    </row>
    <row r="28340" spans="1:19">
      <c r="A28340" s="182"/>
      <c r="Q28340" s="183"/>
      <c r="R28340" s="183"/>
      <c r="S28340" s="183"/>
    </row>
    <row r="28341" spans="1:19">
      <c r="A28341" s="182"/>
      <c r="N28341" s="183"/>
      <c r="O28341" s="183"/>
      <c r="Q28341" s="183"/>
      <c r="R28341" s="183"/>
      <c r="S28341" s="183"/>
    </row>
    <row r="28342" spans="1:19">
      <c r="A28342" s="182"/>
      <c r="M28342" s="183"/>
      <c r="Q28342" s="183"/>
      <c r="R28342" s="183"/>
      <c r="S28342" s="183"/>
    </row>
    <row r="28343" spans="1:19">
      <c r="A28343" s="182"/>
      <c r="Q28343" s="183"/>
      <c r="R28343" s="183"/>
      <c r="S28343" s="183"/>
    </row>
    <row r="28344" spans="1:19">
      <c r="A28344" s="182"/>
      <c r="Q28344" s="183"/>
      <c r="R28344" s="183"/>
      <c r="S28344" s="183"/>
    </row>
    <row r="28345" spans="1:19">
      <c r="A28345" s="182"/>
      <c r="Q28345" s="183"/>
      <c r="R28345" s="183"/>
      <c r="S28345" s="183"/>
    </row>
    <row r="28346" spans="1:19">
      <c r="A28346" s="182"/>
      <c r="Q28346" s="183"/>
      <c r="R28346" s="183"/>
      <c r="S28346" s="183"/>
    </row>
    <row r="28347" spans="1:19">
      <c r="A28347" s="182"/>
      <c r="Q28347" s="183"/>
      <c r="R28347" s="183"/>
      <c r="S28347" s="183"/>
    </row>
    <row r="28348" spans="1:19">
      <c r="A28348" s="182"/>
      <c r="Q28348" s="183"/>
      <c r="R28348" s="183"/>
      <c r="S28348" s="183"/>
    </row>
    <row r="28349" spans="1:19">
      <c r="A28349" s="182"/>
      <c r="Q28349" s="183"/>
      <c r="R28349" s="183"/>
      <c r="S28349" s="183"/>
    </row>
    <row r="28350" spans="1:19">
      <c r="A28350" s="182"/>
      <c r="Q28350" s="183"/>
      <c r="R28350" s="183"/>
      <c r="S28350" s="183"/>
    </row>
    <row r="28351" spans="1:19">
      <c r="A28351" s="182"/>
      <c r="Q28351" s="183"/>
      <c r="R28351" s="183"/>
      <c r="S28351" s="183"/>
    </row>
    <row r="28352" spans="1:19">
      <c r="A28352" s="182"/>
      <c r="Q28352" s="183"/>
      <c r="R28352" s="183"/>
      <c r="S28352" s="183"/>
    </row>
    <row r="28353" spans="1:19">
      <c r="A28353" s="182"/>
      <c r="Q28353" s="183"/>
      <c r="R28353" s="183"/>
      <c r="S28353" s="183"/>
    </row>
    <row r="28354" spans="1:19">
      <c r="A28354" s="182"/>
      <c r="Q28354" s="183"/>
      <c r="R28354" s="183"/>
      <c r="S28354" s="183"/>
    </row>
    <row r="28355" spans="1:19">
      <c r="A28355" s="182"/>
      <c r="Q28355" s="183"/>
      <c r="R28355" s="183"/>
      <c r="S28355" s="183"/>
    </row>
    <row r="28356" spans="1:19">
      <c r="A28356" s="182"/>
      <c r="Q28356" s="183"/>
      <c r="R28356" s="183"/>
      <c r="S28356" s="183"/>
    </row>
    <row r="28357" spans="1:19">
      <c r="A28357" s="182"/>
      <c r="Q28357" s="183"/>
      <c r="R28357" s="183"/>
      <c r="S28357" s="183"/>
    </row>
    <row r="28358" spans="1:19">
      <c r="A28358" s="182"/>
      <c r="Q28358" s="183"/>
      <c r="R28358" s="183"/>
      <c r="S28358" s="183"/>
    </row>
    <row r="28359" spans="1:19">
      <c r="A28359" s="182"/>
      <c r="Q28359" s="183"/>
      <c r="R28359" s="183"/>
      <c r="S28359" s="183"/>
    </row>
    <row r="28360" spans="1:19">
      <c r="A28360" s="182"/>
      <c r="Q28360" s="183"/>
      <c r="R28360" s="183"/>
      <c r="S28360" s="183"/>
    </row>
    <row r="28361" spans="1:19">
      <c r="A28361" s="182"/>
      <c r="Q28361" s="183"/>
      <c r="R28361" s="183"/>
      <c r="S28361" s="183"/>
    </row>
    <row r="28362" spans="1:19">
      <c r="A28362" s="182"/>
      <c r="Q28362" s="183"/>
      <c r="R28362" s="183"/>
      <c r="S28362" s="183"/>
    </row>
    <row r="28363" spans="1:19">
      <c r="A28363" s="182"/>
      <c r="Q28363" s="183"/>
      <c r="R28363" s="183"/>
      <c r="S28363" s="183"/>
    </row>
    <row r="28364" spans="1:19">
      <c r="A28364" s="182"/>
      <c r="Q28364" s="183"/>
      <c r="R28364" s="183"/>
      <c r="S28364" s="183"/>
    </row>
    <row r="28365" spans="1:19">
      <c r="A28365" s="182"/>
      <c r="Q28365" s="183"/>
      <c r="R28365" s="183"/>
      <c r="S28365" s="183"/>
    </row>
    <row r="28366" spans="1:19">
      <c r="A28366" s="182"/>
      <c r="Q28366" s="183"/>
      <c r="R28366" s="183"/>
      <c r="S28366" s="183"/>
    </row>
    <row r="28367" spans="1:19">
      <c r="A28367" s="182"/>
      <c r="Q28367" s="183"/>
      <c r="R28367" s="183"/>
      <c r="S28367" s="183"/>
    </row>
    <row r="28368" spans="1:19">
      <c r="A28368" s="182"/>
      <c r="Q28368" s="183"/>
      <c r="R28368" s="183"/>
      <c r="S28368" s="183"/>
    </row>
    <row r="28369" spans="1:38">
      <c r="A28369" s="182"/>
      <c r="Q28369" s="183"/>
      <c r="R28369" s="183"/>
      <c r="S28369" s="183"/>
    </row>
    <row r="28370" spans="1:38">
      <c r="A28370" s="182"/>
      <c r="Q28370" s="183"/>
      <c r="R28370" s="183"/>
      <c r="S28370" s="183"/>
    </row>
    <row r="28371" spans="1:38">
      <c r="A28371" s="182"/>
      <c r="Q28371" s="183"/>
      <c r="R28371" s="183"/>
      <c r="S28371" s="183"/>
    </row>
    <row r="28372" spans="1:38">
      <c r="A28372" s="182"/>
      <c r="Q28372" s="183"/>
      <c r="R28372" s="183"/>
      <c r="S28372" s="183"/>
    </row>
    <row r="28373" spans="1:38">
      <c r="A28373" s="182"/>
      <c r="Q28373" s="183"/>
      <c r="R28373" s="183"/>
      <c r="S28373" s="183"/>
    </row>
    <row r="28374" spans="1:38">
      <c r="A28374" s="182"/>
      <c r="Q28374" s="183"/>
      <c r="R28374" s="183"/>
      <c r="S28374" s="183"/>
    </row>
    <row r="28375" spans="1:38">
      <c r="A28375" s="182"/>
      <c r="Q28375" s="183"/>
      <c r="R28375" s="183"/>
      <c r="S28375" s="183"/>
      <c r="AK28375" s="183"/>
      <c r="AL28375" s="183"/>
    </row>
    <row r="28376" spans="1:38">
      <c r="A28376" s="182"/>
      <c r="Q28376" s="183"/>
      <c r="R28376" s="183"/>
      <c r="S28376" s="183"/>
      <c r="AJ28376" s="183"/>
      <c r="AK28376" s="183"/>
      <c r="AL28376" s="183"/>
    </row>
    <row r="28377" spans="1:38">
      <c r="A28377" s="182"/>
      <c r="Q28377" s="183"/>
      <c r="R28377" s="183"/>
      <c r="S28377" s="183"/>
      <c r="AJ28377" s="183"/>
      <c r="AK28377" s="183"/>
      <c r="AL28377" s="183"/>
    </row>
    <row r="28378" spans="1:38">
      <c r="A28378" s="182"/>
      <c r="Q28378" s="183"/>
      <c r="R28378" s="183"/>
      <c r="S28378" s="183"/>
      <c r="AJ28378" s="183"/>
      <c r="AK28378" s="183"/>
      <c r="AL28378" s="183"/>
    </row>
    <row r="28379" spans="1:38">
      <c r="A28379" s="182"/>
      <c r="Q28379" s="183"/>
      <c r="R28379" s="183"/>
      <c r="S28379" s="183"/>
      <c r="AJ28379" s="183"/>
    </row>
    <row r="28380" spans="1:38">
      <c r="A28380" s="182"/>
      <c r="Q28380" s="183"/>
      <c r="R28380" s="183"/>
      <c r="S28380" s="183"/>
    </row>
    <row r="28381" spans="1:38">
      <c r="A28381" s="182"/>
      <c r="Q28381" s="183"/>
      <c r="R28381" s="183"/>
      <c r="S28381" s="183"/>
    </row>
    <row r="28382" spans="1:38">
      <c r="A28382" s="182"/>
      <c r="Q28382" s="183"/>
      <c r="R28382" s="183"/>
      <c r="S28382" s="183"/>
    </row>
    <row r="28383" spans="1:38">
      <c r="A28383" s="182"/>
      <c r="Q28383" s="183"/>
      <c r="R28383" s="183"/>
      <c r="S28383" s="183"/>
    </row>
    <row r="28384" spans="1:38">
      <c r="A28384" s="182"/>
      <c r="Q28384" s="183"/>
      <c r="R28384" s="183"/>
      <c r="S28384" s="183"/>
    </row>
    <row r="28385" spans="1:19">
      <c r="A28385" s="182"/>
      <c r="Q28385" s="183"/>
      <c r="R28385" s="183"/>
      <c r="S28385" s="183"/>
    </row>
    <row r="28386" spans="1:19">
      <c r="A28386" s="182"/>
      <c r="Q28386" s="183"/>
      <c r="R28386" s="183"/>
      <c r="S28386" s="183"/>
    </row>
    <row r="28387" spans="1:19">
      <c r="A28387" s="182"/>
      <c r="Q28387" s="183"/>
      <c r="R28387" s="183"/>
      <c r="S28387" s="183"/>
    </row>
    <row r="28388" spans="1:19">
      <c r="A28388" s="182"/>
      <c r="Q28388" s="183"/>
      <c r="R28388" s="183"/>
      <c r="S28388" s="183"/>
    </row>
    <row r="28389" spans="1:19">
      <c r="A28389" s="182"/>
      <c r="Q28389" s="183"/>
      <c r="R28389" s="183"/>
      <c r="S28389" s="183"/>
    </row>
    <row r="28390" spans="1:19">
      <c r="A28390" s="182"/>
      <c r="Q28390" s="183"/>
      <c r="R28390" s="183"/>
      <c r="S28390" s="183"/>
    </row>
    <row r="28391" spans="1:19">
      <c r="A28391" s="182"/>
      <c r="Q28391" s="183"/>
      <c r="R28391" s="183"/>
      <c r="S28391" s="183"/>
    </row>
    <row r="28392" spans="1:19">
      <c r="A28392" s="182"/>
      <c r="Q28392" s="183"/>
      <c r="R28392" s="183"/>
      <c r="S28392" s="183"/>
    </row>
    <row r="28393" spans="1:19">
      <c r="A28393" s="182"/>
      <c r="Q28393" s="183"/>
      <c r="R28393" s="183"/>
      <c r="S28393" s="183"/>
    </row>
    <row r="28394" spans="1:19">
      <c r="A28394" s="182"/>
      <c r="Q28394" s="183"/>
      <c r="R28394" s="183"/>
      <c r="S28394" s="183"/>
    </row>
    <row r="28395" spans="1:19">
      <c r="A28395" s="182"/>
      <c r="Q28395" s="183"/>
      <c r="R28395" s="183"/>
      <c r="S28395" s="183"/>
    </row>
    <row r="28396" spans="1:19">
      <c r="A28396" s="182"/>
      <c r="Q28396" s="183"/>
      <c r="R28396" s="183"/>
      <c r="S28396" s="183"/>
    </row>
    <row r="28397" spans="1:19">
      <c r="A28397" s="182"/>
      <c r="Q28397" s="183"/>
      <c r="R28397" s="183"/>
      <c r="S28397" s="183"/>
    </row>
    <row r="28398" spans="1:19">
      <c r="A28398" s="182"/>
      <c r="Q28398" s="183"/>
      <c r="R28398" s="183"/>
      <c r="S28398" s="183"/>
    </row>
    <row r="28399" spans="1:19">
      <c r="A28399" s="182"/>
      <c r="Q28399" s="183"/>
      <c r="R28399" s="183"/>
      <c r="S28399" s="183"/>
    </row>
    <row r="28400" spans="1:19">
      <c r="A28400" s="182"/>
      <c r="Q28400" s="183"/>
      <c r="R28400" s="183"/>
      <c r="S28400" s="183"/>
    </row>
    <row r="28401" spans="1:38">
      <c r="A28401" s="182"/>
      <c r="Q28401" s="183"/>
      <c r="R28401" s="183"/>
      <c r="S28401" s="183"/>
    </row>
    <row r="28402" spans="1:38">
      <c r="A28402" s="182"/>
      <c r="Q28402" s="183"/>
      <c r="R28402" s="183"/>
      <c r="S28402" s="183"/>
    </row>
    <row r="28403" spans="1:38">
      <c r="A28403" s="182"/>
      <c r="Q28403" s="183"/>
      <c r="R28403" s="183"/>
      <c r="S28403" s="183"/>
      <c r="AK28403" s="183"/>
      <c r="AL28403" s="183"/>
    </row>
    <row r="28404" spans="1:38">
      <c r="A28404" s="182"/>
      <c r="Q28404" s="183"/>
      <c r="R28404" s="183"/>
      <c r="S28404" s="183"/>
      <c r="AJ28404" s="183"/>
      <c r="AK28404" s="183"/>
      <c r="AL28404" s="183"/>
    </row>
    <row r="28405" spans="1:38">
      <c r="A28405" s="182"/>
      <c r="Q28405" s="183"/>
      <c r="R28405" s="183"/>
      <c r="S28405" s="183"/>
      <c r="AJ28405" s="183"/>
      <c r="AK28405" s="183"/>
      <c r="AL28405" s="183"/>
    </row>
    <row r="28406" spans="1:38">
      <c r="A28406" s="182"/>
      <c r="Q28406" s="183"/>
      <c r="R28406" s="183"/>
      <c r="S28406" s="183"/>
      <c r="AJ28406" s="183"/>
      <c r="AK28406" s="183"/>
      <c r="AL28406" s="183"/>
    </row>
    <row r="28407" spans="1:38">
      <c r="A28407" s="182"/>
      <c r="Q28407" s="183"/>
      <c r="R28407" s="183"/>
      <c r="S28407" s="183"/>
      <c r="AJ28407" s="183"/>
      <c r="AK28407" s="183"/>
      <c r="AL28407" s="183"/>
    </row>
    <row r="28408" spans="1:38">
      <c r="A28408" s="182"/>
      <c r="Q28408" s="183"/>
      <c r="R28408" s="183"/>
      <c r="S28408" s="183"/>
      <c r="AJ28408" s="183"/>
      <c r="AK28408" s="183"/>
      <c r="AL28408" s="183"/>
    </row>
    <row r="28409" spans="1:38">
      <c r="A28409" s="182"/>
      <c r="Q28409" s="183"/>
      <c r="R28409" s="183"/>
      <c r="S28409" s="183"/>
      <c r="AJ28409" s="183"/>
      <c r="AK28409" s="183"/>
      <c r="AL28409" s="183"/>
    </row>
    <row r="28410" spans="1:38">
      <c r="A28410" s="182"/>
      <c r="Q28410" s="183"/>
      <c r="R28410" s="183"/>
      <c r="S28410" s="183"/>
      <c r="AJ28410" s="183"/>
      <c r="AK28410" s="183"/>
      <c r="AL28410" s="183"/>
    </row>
    <row r="28411" spans="1:38">
      <c r="A28411" s="182"/>
      <c r="Q28411" s="183"/>
      <c r="R28411" s="183"/>
      <c r="S28411" s="183"/>
      <c r="AJ28411" s="183"/>
      <c r="AK28411" s="183"/>
      <c r="AL28411" s="183"/>
    </row>
    <row r="28412" spans="1:38">
      <c r="A28412" s="182"/>
      <c r="Q28412" s="183"/>
      <c r="R28412" s="183"/>
      <c r="S28412" s="183"/>
      <c r="AJ28412" s="183"/>
      <c r="AK28412" s="183"/>
      <c r="AL28412" s="183"/>
    </row>
    <row r="28413" spans="1:38">
      <c r="A28413" s="182"/>
      <c r="Q28413" s="183"/>
      <c r="R28413" s="183"/>
      <c r="S28413" s="183"/>
      <c r="AJ28413" s="183"/>
      <c r="AK28413" s="183"/>
      <c r="AL28413" s="183"/>
    </row>
    <row r="28414" spans="1:38">
      <c r="A28414" s="182"/>
      <c r="Q28414" s="183"/>
      <c r="R28414" s="183"/>
      <c r="S28414" s="183"/>
      <c r="AJ28414" s="183"/>
      <c r="AK28414" s="183"/>
      <c r="AL28414" s="183"/>
    </row>
    <row r="28415" spans="1:38">
      <c r="A28415" s="182"/>
      <c r="Q28415" s="183"/>
      <c r="R28415" s="183"/>
      <c r="S28415" s="183"/>
      <c r="AJ28415" s="183"/>
    </row>
    <row r="28416" spans="1:38">
      <c r="A28416" s="182"/>
      <c r="Q28416" s="183"/>
      <c r="R28416" s="183"/>
      <c r="S28416" s="183"/>
    </row>
    <row r="28417" spans="1:38">
      <c r="A28417" s="182"/>
      <c r="Q28417" s="183"/>
      <c r="R28417" s="183"/>
      <c r="S28417" s="183"/>
    </row>
    <row r="28418" spans="1:38">
      <c r="A28418" s="182"/>
      <c r="Q28418" s="183"/>
      <c r="R28418" s="183"/>
      <c r="S28418" s="183"/>
    </row>
    <row r="28419" spans="1:38">
      <c r="A28419" s="182"/>
      <c r="Q28419" s="183"/>
      <c r="R28419" s="183"/>
      <c r="S28419" s="183"/>
    </row>
    <row r="28420" spans="1:38">
      <c r="A28420" s="182"/>
      <c r="Q28420" s="183"/>
      <c r="R28420" s="183"/>
      <c r="S28420" s="183"/>
    </row>
    <row r="28421" spans="1:38">
      <c r="A28421" s="182"/>
      <c r="Q28421" s="183"/>
      <c r="R28421" s="183"/>
      <c r="S28421" s="183"/>
    </row>
    <row r="28422" spans="1:38">
      <c r="A28422" s="182"/>
      <c r="Q28422" s="183"/>
      <c r="R28422" s="183"/>
      <c r="S28422" s="183"/>
    </row>
    <row r="28423" spans="1:38">
      <c r="A28423" s="182"/>
      <c r="Q28423" s="183"/>
      <c r="R28423" s="183"/>
      <c r="S28423" s="183"/>
    </row>
    <row r="28424" spans="1:38">
      <c r="A28424" s="182"/>
      <c r="Q28424" s="183"/>
      <c r="R28424" s="183"/>
      <c r="S28424" s="183"/>
    </row>
    <row r="28425" spans="1:38">
      <c r="A28425" s="182"/>
      <c r="Q28425" s="183"/>
      <c r="R28425" s="183"/>
      <c r="S28425" s="183"/>
    </row>
    <row r="28426" spans="1:38">
      <c r="A28426" s="182"/>
      <c r="Q28426" s="183"/>
      <c r="R28426" s="183"/>
      <c r="S28426" s="183"/>
    </row>
    <row r="28427" spans="1:38">
      <c r="A28427" s="182"/>
      <c r="Q28427" s="183"/>
      <c r="R28427" s="183"/>
      <c r="S28427" s="183"/>
      <c r="AK28427" s="183"/>
      <c r="AL28427" s="183"/>
    </row>
    <row r="28428" spans="1:38">
      <c r="A28428" s="182"/>
      <c r="Q28428" s="183"/>
      <c r="R28428" s="183"/>
      <c r="S28428" s="183"/>
      <c r="AJ28428" s="183"/>
      <c r="AK28428" s="183"/>
      <c r="AL28428" s="183"/>
    </row>
    <row r="28429" spans="1:38">
      <c r="A28429" s="182"/>
      <c r="Q28429" s="183"/>
      <c r="R28429" s="183"/>
      <c r="S28429" s="183"/>
      <c r="AJ28429" s="183"/>
      <c r="AK28429" s="183"/>
      <c r="AL28429" s="183"/>
    </row>
    <row r="28430" spans="1:38">
      <c r="A28430" s="182"/>
      <c r="Q28430" s="183"/>
      <c r="R28430" s="183"/>
      <c r="S28430" s="183"/>
      <c r="AJ28430" s="183"/>
      <c r="AK28430" s="183"/>
      <c r="AL28430" s="183"/>
    </row>
    <row r="28431" spans="1:38">
      <c r="A28431" s="182"/>
      <c r="Q28431" s="183"/>
      <c r="R28431" s="183"/>
      <c r="S28431" s="183"/>
      <c r="AJ28431" s="183"/>
    </row>
    <row r="28432" spans="1:38">
      <c r="A28432" s="182"/>
      <c r="Q28432" s="183"/>
      <c r="R28432" s="183"/>
      <c r="S28432" s="183"/>
    </row>
    <row r="28433" spans="1:38">
      <c r="A28433" s="182"/>
      <c r="Q28433" s="183"/>
      <c r="R28433" s="183"/>
      <c r="S28433" s="183"/>
    </row>
    <row r="28434" spans="1:38">
      <c r="A28434" s="182"/>
      <c r="Q28434" s="183"/>
      <c r="R28434" s="183"/>
      <c r="S28434" s="183"/>
    </row>
    <row r="28435" spans="1:38">
      <c r="A28435" s="182"/>
      <c r="Q28435" s="183"/>
      <c r="R28435" s="183"/>
      <c r="S28435" s="183"/>
      <c r="AK28435" s="183"/>
      <c r="AL28435" s="183"/>
    </row>
    <row r="28436" spans="1:38">
      <c r="A28436" s="182"/>
      <c r="Q28436" s="183"/>
      <c r="R28436" s="183"/>
      <c r="S28436" s="183"/>
      <c r="AJ28436" s="183"/>
      <c r="AK28436" s="183"/>
      <c r="AL28436" s="183"/>
    </row>
    <row r="28437" spans="1:38">
      <c r="A28437" s="182"/>
      <c r="Q28437" s="183"/>
      <c r="R28437" s="183"/>
      <c r="S28437" s="183"/>
      <c r="AJ28437" s="183"/>
      <c r="AK28437" s="183"/>
      <c r="AL28437" s="183"/>
    </row>
    <row r="28438" spans="1:38">
      <c r="A28438" s="182"/>
      <c r="Q28438" s="183"/>
      <c r="R28438" s="183"/>
      <c r="S28438" s="183"/>
      <c r="AJ28438" s="183"/>
      <c r="AK28438" s="183"/>
      <c r="AL28438" s="183"/>
    </row>
    <row r="28439" spans="1:38">
      <c r="A28439" s="182"/>
      <c r="Q28439" s="183"/>
      <c r="R28439" s="183"/>
      <c r="S28439" s="183"/>
      <c r="AJ28439" s="183"/>
    </row>
    <row r="28440" spans="1:38">
      <c r="A28440" s="182"/>
      <c r="Q28440" s="183"/>
      <c r="R28440" s="183"/>
      <c r="S28440" s="183"/>
    </row>
    <row r="28441" spans="1:38">
      <c r="A28441" s="182"/>
      <c r="Q28441" s="183"/>
      <c r="R28441" s="183"/>
      <c r="S28441" s="183"/>
    </row>
    <row r="28442" spans="1:38">
      <c r="A28442" s="182"/>
      <c r="Q28442" s="183"/>
      <c r="R28442" s="183"/>
      <c r="S28442" s="183"/>
    </row>
    <row r="28443" spans="1:38">
      <c r="A28443" s="182"/>
      <c r="Q28443" s="183"/>
      <c r="R28443" s="183"/>
      <c r="S28443" s="183"/>
    </row>
    <row r="28444" spans="1:38">
      <c r="A28444" s="182"/>
      <c r="Q28444" s="183"/>
      <c r="R28444" s="183"/>
      <c r="S28444" s="183"/>
    </row>
    <row r="28445" spans="1:38">
      <c r="A28445" s="182"/>
      <c r="Q28445" s="183"/>
      <c r="R28445" s="183"/>
      <c r="S28445" s="183"/>
    </row>
    <row r="28446" spans="1:38">
      <c r="A28446" s="182"/>
      <c r="Q28446" s="183"/>
      <c r="R28446" s="183"/>
      <c r="S28446" s="183"/>
    </row>
    <row r="28447" spans="1:38">
      <c r="A28447" s="182"/>
      <c r="Q28447" s="183"/>
      <c r="R28447" s="183"/>
      <c r="S28447" s="183"/>
    </row>
    <row r="28448" spans="1:38">
      <c r="A28448" s="182"/>
      <c r="Q28448" s="183"/>
      <c r="R28448" s="183"/>
      <c r="S28448" s="183"/>
    </row>
    <row r="28449" spans="1:19">
      <c r="A28449" s="182"/>
      <c r="Q28449" s="183"/>
      <c r="R28449" s="183"/>
      <c r="S28449" s="183"/>
    </row>
    <row r="28450" spans="1:19">
      <c r="A28450" s="182"/>
      <c r="Q28450" s="183"/>
      <c r="R28450" s="183"/>
      <c r="S28450" s="183"/>
    </row>
    <row r="28451" spans="1:19">
      <c r="A28451" s="182"/>
      <c r="Q28451" s="183"/>
      <c r="R28451" s="183"/>
      <c r="S28451" s="183"/>
    </row>
    <row r="28452" spans="1:19">
      <c r="A28452" s="182"/>
      <c r="Q28452" s="183"/>
      <c r="R28452" s="183"/>
      <c r="S28452" s="183"/>
    </row>
    <row r="28453" spans="1:19">
      <c r="A28453" s="182"/>
      <c r="Q28453" s="183"/>
      <c r="R28453" s="183"/>
      <c r="S28453" s="183"/>
    </row>
    <row r="28454" spans="1:19">
      <c r="A28454" s="182"/>
      <c r="Q28454" s="183"/>
      <c r="R28454" s="183"/>
      <c r="S28454" s="183"/>
    </row>
    <row r="28455" spans="1:19">
      <c r="A28455" s="182"/>
      <c r="Q28455" s="183"/>
      <c r="R28455" s="183"/>
      <c r="S28455" s="183"/>
    </row>
    <row r="28456" spans="1:19">
      <c r="A28456" s="182"/>
      <c r="Q28456" s="183"/>
      <c r="R28456" s="183"/>
      <c r="S28456" s="183"/>
    </row>
    <row r="28457" spans="1:19">
      <c r="A28457" s="182"/>
      <c r="Q28457" s="183"/>
      <c r="R28457" s="183"/>
      <c r="S28457" s="183"/>
    </row>
    <row r="28458" spans="1:19">
      <c r="A28458" s="182"/>
      <c r="Q28458" s="183"/>
      <c r="R28458" s="183"/>
      <c r="S28458" s="183"/>
    </row>
    <row r="28459" spans="1:19">
      <c r="A28459" s="182"/>
      <c r="Q28459" s="183"/>
      <c r="R28459" s="183"/>
      <c r="S28459" s="183"/>
    </row>
    <row r="28460" spans="1:19">
      <c r="A28460" s="182"/>
      <c r="Q28460" s="183"/>
      <c r="R28460" s="183"/>
      <c r="S28460" s="183"/>
    </row>
    <row r="28461" spans="1:19">
      <c r="A28461" s="182"/>
      <c r="Q28461" s="183"/>
      <c r="R28461" s="183"/>
      <c r="S28461" s="183"/>
    </row>
    <row r="28462" spans="1:19">
      <c r="A28462" s="182"/>
      <c r="Q28462" s="183"/>
      <c r="R28462" s="183"/>
      <c r="S28462" s="183"/>
    </row>
    <row r="28463" spans="1:19">
      <c r="A28463" s="182"/>
      <c r="Q28463" s="183"/>
      <c r="R28463" s="183"/>
      <c r="S28463" s="183"/>
    </row>
    <row r="28464" spans="1:19">
      <c r="A28464" s="182"/>
      <c r="Q28464" s="183"/>
      <c r="R28464" s="183"/>
      <c r="S28464" s="183"/>
    </row>
    <row r="28465" spans="1:38">
      <c r="A28465" s="182"/>
      <c r="Q28465" s="183"/>
      <c r="R28465" s="183"/>
      <c r="S28465" s="183"/>
    </row>
    <row r="28466" spans="1:38">
      <c r="A28466" s="182"/>
      <c r="Q28466" s="183"/>
      <c r="R28466" s="183"/>
      <c r="S28466" s="183"/>
    </row>
    <row r="28467" spans="1:38">
      <c r="A28467" s="182"/>
      <c r="Q28467" s="183"/>
      <c r="R28467" s="183"/>
      <c r="S28467" s="183"/>
    </row>
    <row r="28468" spans="1:38">
      <c r="A28468" s="182"/>
      <c r="Q28468" s="183"/>
      <c r="R28468" s="183"/>
      <c r="S28468" s="183"/>
    </row>
    <row r="28469" spans="1:38">
      <c r="A28469" s="182"/>
      <c r="Q28469" s="183"/>
      <c r="R28469" s="183"/>
      <c r="S28469" s="183"/>
    </row>
    <row r="28470" spans="1:38">
      <c r="A28470" s="182"/>
      <c r="Q28470" s="183"/>
      <c r="R28470" s="183"/>
      <c r="S28470" s="183"/>
    </row>
    <row r="28471" spans="1:38">
      <c r="A28471" s="182"/>
      <c r="Q28471" s="183"/>
      <c r="R28471" s="183"/>
      <c r="S28471" s="183"/>
    </row>
    <row r="28472" spans="1:38">
      <c r="A28472" s="182"/>
      <c r="Q28472" s="183"/>
      <c r="R28472" s="183"/>
      <c r="S28472" s="183"/>
    </row>
    <row r="28473" spans="1:38">
      <c r="A28473" s="182"/>
      <c r="Q28473" s="183"/>
      <c r="R28473" s="183"/>
      <c r="S28473" s="183"/>
    </row>
    <row r="28474" spans="1:38">
      <c r="A28474" s="182"/>
      <c r="Q28474" s="183"/>
      <c r="R28474" s="183"/>
      <c r="S28474" s="183"/>
    </row>
    <row r="28475" spans="1:38">
      <c r="A28475" s="182"/>
      <c r="Q28475" s="183"/>
      <c r="R28475" s="183"/>
      <c r="S28475" s="183"/>
      <c r="AK28475" s="183"/>
      <c r="AL28475" s="183"/>
    </row>
    <row r="28476" spans="1:38">
      <c r="A28476" s="182"/>
      <c r="Q28476" s="183"/>
      <c r="R28476" s="183"/>
      <c r="S28476" s="183"/>
      <c r="AJ28476" s="183"/>
      <c r="AK28476" s="183"/>
      <c r="AL28476" s="183"/>
    </row>
    <row r="28477" spans="1:38">
      <c r="A28477" s="182"/>
      <c r="Q28477" s="183"/>
      <c r="R28477" s="183"/>
      <c r="S28477" s="183"/>
      <c r="AJ28477" s="183"/>
      <c r="AK28477" s="183"/>
      <c r="AL28477" s="183"/>
    </row>
    <row r="28478" spans="1:38">
      <c r="A28478" s="182"/>
      <c r="Q28478" s="183"/>
      <c r="R28478" s="183"/>
      <c r="S28478" s="183"/>
      <c r="AJ28478" s="183"/>
      <c r="AK28478" s="183"/>
      <c r="AL28478" s="183"/>
    </row>
    <row r="28479" spans="1:38">
      <c r="A28479" s="182"/>
      <c r="Q28479" s="183"/>
      <c r="R28479" s="183"/>
      <c r="S28479" s="183"/>
      <c r="AJ28479" s="183"/>
    </row>
    <row r="28480" spans="1:38">
      <c r="A28480" s="182"/>
      <c r="Q28480" s="183"/>
      <c r="R28480" s="183"/>
      <c r="S28480" s="183"/>
    </row>
    <row r="28481" spans="1:38">
      <c r="A28481" s="182"/>
      <c r="Q28481" s="183"/>
      <c r="R28481" s="183"/>
      <c r="S28481" s="183"/>
    </row>
    <row r="28482" spans="1:38">
      <c r="A28482" s="182"/>
      <c r="Q28482" s="183"/>
      <c r="R28482" s="183"/>
      <c r="S28482" s="183"/>
    </row>
    <row r="28483" spans="1:38">
      <c r="A28483" s="182"/>
      <c r="Q28483" s="183"/>
      <c r="R28483" s="183"/>
      <c r="S28483" s="183"/>
    </row>
    <row r="28484" spans="1:38">
      <c r="A28484" s="182"/>
      <c r="Q28484" s="183"/>
      <c r="R28484" s="183"/>
      <c r="S28484" s="183"/>
    </row>
    <row r="28485" spans="1:38">
      <c r="A28485" s="182"/>
      <c r="Q28485" s="183"/>
      <c r="R28485" s="183"/>
      <c r="S28485" s="183"/>
    </row>
    <row r="28486" spans="1:38">
      <c r="A28486" s="182"/>
      <c r="Q28486" s="183"/>
      <c r="R28486" s="183"/>
      <c r="S28486" s="183"/>
    </row>
    <row r="28487" spans="1:38">
      <c r="A28487" s="182"/>
      <c r="Q28487" s="183"/>
      <c r="R28487" s="183"/>
      <c r="S28487" s="183"/>
    </row>
    <row r="28488" spans="1:38">
      <c r="A28488" s="182"/>
      <c r="Q28488" s="183"/>
      <c r="R28488" s="183"/>
      <c r="S28488" s="183"/>
    </row>
    <row r="28489" spans="1:38">
      <c r="A28489" s="182"/>
      <c r="Q28489" s="183"/>
      <c r="R28489" s="183"/>
      <c r="S28489" s="183"/>
    </row>
    <row r="28490" spans="1:38">
      <c r="A28490" s="182"/>
      <c r="Q28490" s="183"/>
      <c r="R28490" s="183"/>
      <c r="S28490" s="183"/>
    </row>
    <row r="28491" spans="1:38">
      <c r="A28491" s="182"/>
      <c r="Q28491" s="183"/>
      <c r="R28491" s="183"/>
      <c r="S28491" s="183"/>
      <c r="AK28491" s="183"/>
      <c r="AL28491" s="183"/>
    </row>
    <row r="28492" spans="1:38">
      <c r="A28492" s="182"/>
      <c r="Q28492" s="183"/>
      <c r="R28492" s="183"/>
      <c r="S28492" s="183"/>
      <c r="AJ28492" s="183"/>
      <c r="AK28492" s="183"/>
      <c r="AL28492" s="183"/>
    </row>
    <row r="28493" spans="1:38">
      <c r="A28493" s="182"/>
      <c r="Q28493" s="183"/>
      <c r="R28493" s="183"/>
      <c r="S28493" s="183"/>
      <c r="AJ28493" s="183"/>
      <c r="AK28493" s="183"/>
      <c r="AL28493" s="183"/>
    </row>
    <row r="28494" spans="1:38">
      <c r="A28494" s="182"/>
      <c r="Q28494" s="183"/>
      <c r="R28494" s="183"/>
      <c r="S28494" s="183"/>
      <c r="AJ28494" s="183"/>
      <c r="AK28494" s="183"/>
      <c r="AL28494" s="183"/>
    </row>
    <row r="28495" spans="1:38">
      <c r="A28495" s="182"/>
      <c r="Q28495" s="183"/>
      <c r="R28495" s="183"/>
      <c r="S28495" s="183"/>
      <c r="AJ28495" s="183"/>
    </row>
    <row r="28496" spans="1:38">
      <c r="A28496" s="182"/>
      <c r="Q28496" s="183"/>
      <c r="R28496" s="183"/>
      <c r="S28496" s="183"/>
    </row>
    <row r="28497" spans="1:38">
      <c r="A28497" s="182"/>
      <c r="Q28497" s="183"/>
      <c r="R28497" s="183"/>
      <c r="S28497" s="183"/>
    </row>
    <row r="28498" spans="1:38">
      <c r="A28498" s="182"/>
      <c r="Q28498" s="183"/>
      <c r="R28498" s="183"/>
      <c r="S28498" s="183"/>
    </row>
    <row r="28499" spans="1:38">
      <c r="A28499" s="182"/>
      <c r="Q28499" s="183"/>
      <c r="R28499" s="183"/>
      <c r="S28499" s="183"/>
    </row>
    <row r="28500" spans="1:38">
      <c r="A28500" s="182"/>
      <c r="Q28500" s="183"/>
      <c r="R28500" s="183"/>
      <c r="S28500" s="183"/>
    </row>
    <row r="28501" spans="1:38">
      <c r="A28501" s="182"/>
      <c r="Q28501" s="183"/>
      <c r="R28501" s="183"/>
      <c r="S28501" s="183"/>
    </row>
    <row r="28502" spans="1:38">
      <c r="A28502" s="182"/>
      <c r="Q28502" s="183"/>
      <c r="R28502" s="183"/>
      <c r="S28502" s="183"/>
    </row>
    <row r="28503" spans="1:38">
      <c r="A28503" s="182"/>
      <c r="Q28503" s="183"/>
      <c r="R28503" s="183"/>
      <c r="S28503" s="183"/>
      <c r="AK28503" s="183"/>
      <c r="AL28503" s="183"/>
    </row>
    <row r="28504" spans="1:38">
      <c r="A28504" s="182"/>
      <c r="Q28504" s="183"/>
      <c r="R28504" s="183"/>
      <c r="S28504" s="183"/>
      <c r="AJ28504" s="183"/>
      <c r="AK28504" s="183"/>
      <c r="AL28504" s="183"/>
    </row>
    <row r="28505" spans="1:38">
      <c r="A28505" s="182"/>
      <c r="Q28505" s="183"/>
      <c r="R28505" s="183"/>
      <c r="S28505" s="183"/>
      <c r="AJ28505" s="183"/>
      <c r="AK28505" s="183"/>
      <c r="AL28505" s="183"/>
    </row>
    <row r="28506" spans="1:38">
      <c r="A28506" s="182"/>
      <c r="Q28506" s="183"/>
      <c r="R28506" s="183"/>
      <c r="S28506" s="183"/>
      <c r="AJ28506" s="183"/>
      <c r="AK28506" s="183"/>
      <c r="AL28506" s="183"/>
    </row>
    <row r="28507" spans="1:38">
      <c r="A28507" s="182"/>
      <c r="Q28507" s="183"/>
      <c r="R28507" s="183"/>
      <c r="S28507" s="183"/>
      <c r="AJ28507" s="183"/>
      <c r="AK28507" s="183"/>
      <c r="AL28507" s="183"/>
    </row>
    <row r="28508" spans="1:38">
      <c r="A28508" s="182"/>
      <c r="Q28508" s="183"/>
      <c r="R28508" s="183"/>
      <c r="S28508" s="183"/>
      <c r="AJ28508" s="183"/>
      <c r="AK28508" s="183"/>
      <c r="AL28508" s="183"/>
    </row>
    <row r="28509" spans="1:38">
      <c r="A28509" s="182"/>
      <c r="Q28509" s="183"/>
      <c r="R28509" s="183"/>
      <c r="S28509" s="183"/>
      <c r="AJ28509" s="183"/>
      <c r="AK28509" s="183"/>
      <c r="AL28509" s="183"/>
    </row>
    <row r="28510" spans="1:38">
      <c r="A28510" s="182"/>
      <c r="Q28510" s="183"/>
      <c r="R28510" s="183"/>
      <c r="S28510" s="183"/>
      <c r="AJ28510" s="183"/>
      <c r="AK28510" s="183"/>
      <c r="AL28510" s="183"/>
    </row>
    <row r="28511" spans="1:38">
      <c r="A28511" s="182"/>
      <c r="Q28511" s="183"/>
      <c r="R28511" s="183"/>
      <c r="S28511" s="183"/>
      <c r="AJ28511" s="183"/>
      <c r="AK28511" s="183"/>
      <c r="AL28511" s="183"/>
    </row>
    <row r="28512" spans="1:38">
      <c r="A28512" s="182"/>
      <c r="Q28512" s="183"/>
      <c r="R28512" s="183"/>
      <c r="S28512" s="183"/>
      <c r="AJ28512" s="183"/>
      <c r="AK28512" s="183"/>
      <c r="AL28512" s="183"/>
    </row>
    <row r="28513" spans="1:38">
      <c r="A28513" s="182"/>
      <c r="Q28513" s="183"/>
      <c r="R28513" s="183"/>
      <c r="S28513" s="183"/>
      <c r="AJ28513" s="183"/>
      <c r="AK28513" s="183"/>
      <c r="AL28513" s="183"/>
    </row>
    <row r="28514" spans="1:38">
      <c r="A28514" s="182"/>
      <c r="Q28514" s="183"/>
      <c r="R28514" s="183"/>
      <c r="S28514" s="183"/>
      <c r="AJ28514" s="183"/>
      <c r="AK28514" s="183"/>
      <c r="AL28514" s="183"/>
    </row>
    <row r="28515" spans="1:38">
      <c r="A28515" s="182"/>
      <c r="Q28515" s="183"/>
      <c r="R28515" s="183"/>
      <c r="S28515" s="183"/>
      <c r="AJ28515" s="183"/>
      <c r="AK28515" s="183"/>
      <c r="AL28515" s="183"/>
    </row>
    <row r="28516" spans="1:38">
      <c r="A28516" s="182"/>
      <c r="Q28516" s="183"/>
      <c r="R28516" s="183"/>
      <c r="S28516" s="183"/>
      <c r="AJ28516" s="183"/>
      <c r="AK28516" s="183"/>
      <c r="AL28516" s="183"/>
    </row>
    <row r="28517" spans="1:38">
      <c r="A28517" s="182"/>
      <c r="Q28517" s="183"/>
      <c r="R28517" s="183"/>
      <c r="S28517" s="183"/>
      <c r="AJ28517" s="183"/>
      <c r="AK28517" s="183"/>
      <c r="AL28517" s="183"/>
    </row>
    <row r="28518" spans="1:38">
      <c r="A28518" s="182"/>
      <c r="Q28518" s="183"/>
      <c r="R28518" s="183"/>
      <c r="S28518" s="183"/>
      <c r="AJ28518" s="183"/>
      <c r="AK28518" s="183"/>
      <c r="AL28518" s="183"/>
    </row>
    <row r="28519" spans="1:38">
      <c r="A28519" s="182"/>
      <c r="Q28519" s="183"/>
      <c r="R28519" s="183"/>
      <c r="S28519" s="183"/>
      <c r="AJ28519" s="183"/>
    </row>
    <row r="28520" spans="1:38">
      <c r="A28520" s="182"/>
      <c r="Q28520" s="183"/>
      <c r="R28520" s="183"/>
      <c r="S28520" s="183"/>
    </row>
    <row r="28521" spans="1:38">
      <c r="A28521" s="182"/>
      <c r="Q28521" s="183"/>
      <c r="R28521" s="183"/>
      <c r="S28521" s="183"/>
    </row>
    <row r="28522" spans="1:38">
      <c r="A28522" s="182"/>
      <c r="Q28522" s="183"/>
      <c r="R28522" s="183"/>
      <c r="S28522" s="183"/>
    </row>
    <row r="28523" spans="1:38">
      <c r="A28523" s="182"/>
      <c r="Q28523" s="183"/>
      <c r="R28523" s="183"/>
      <c r="S28523" s="183"/>
      <c r="AK28523" s="183"/>
      <c r="AL28523" s="183"/>
    </row>
    <row r="28524" spans="1:38">
      <c r="A28524" s="182"/>
      <c r="Q28524" s="183"/>
      <c r="R28524" s="183"/>
      <c r="S28524" s="183"/>
      <c r="AJ28524" s="183"/>
      <c r="AK28524" s="183"/>
      <c r="AL28524" s="183"/>
    </row>
    <row r="28525" spans="1:38">
      <c r="A28525" s="182"/>
      <c r="Q28525" s="183"/>
      <c r="R28525" s="183"/>
      <c r="S28525" s="183"/>
      <c r="AJ28525" s="183"/>
      <c r="AK28525" s="183"/>
      <c r="AL28525" s="183"/>
    </row>
    <row r="28526" spans="1:38">
      <c r="A28526" s="182"/>
      <c r="Q28526" s="183"/>
      <c r="R28526" s="183"/>
      <c r="S28526" s="183"/>
      <c r="AJ28526" s="183"/>
      <c r="AK28526" s="183"/>
      <c r="AL28526" s="183"/>
    </row>
    <row r="28527" spans="1:38">
      <c r="A28527" s="182"/>
      <c r="Q28527" s="183"/>
      <c r="R28527" s="183"/>
      <c r="S28527" s="183"/>
      <c r="AJ28527" s="183"/>
    </row>
    <row r="28528" spans="1:38">
      <c r="A28528" s="182"/>
      <c r="Q28528" s="183"/>
      <c r="R28528" s="183"/>
      <c r="S28528" s="183"/>
    </row>
    <row r="28529" spans="1:38">
      <c r="A28529" s="182"/>
      <c r="Q28529" s="183"/>
      <c r="R28529" s="183"/>
      <c r="S28529" s="183"/>
    </row>
    <row r="28530" spans="1:38">
      <c r="A28530" s="182"/>
      <c r="Q28530" s="183"/>
      <c r="R28530" s="183"/>
      <c r="S28530" s="183"/>
    </row>
    <row r="28531" spans="1:38">
      <c r="A28531" s="182"/>
      <c r="Q28531" s="183"/>
      <c r="R28531" s="183"/>
      <c r="S28531" s="183"/>
      <c r="AK28531" s="183"/>
      <c r="AL28531" s="183"/>
    </row>
    <row r="28532" spans="1:38">
      <c r="A28532" s="182"/>
      <c r="Q28532" s="183"/>
      <c r="R28532" s="183"/>
      <c r="S28532" s="183"/>
      <c r="AJ28532" s="183"/>
      <c r="AK28532" s="183"/>
      <c r="AL28532" s="183"/>
    </row>
    <row r="28533" spans="1:38">
      <c r="A28533" s="182"/>
      <c r="Q28533" s="183"/>
      <c r="R28533" s="183"/>
      <c r="S28533" s="183"/>
      <c r="AJ28533" s="183"/>
      <c r="AK28533" s="183"/>
      <c r="AL28533" s="183"/>
    </row>
    <row r="28534" spans="1:38">
      <c r="A28534" s="182"/>
      <c r="Q28534" s="183"/>
      <c r="R28534" s="183"/>
      <c r="S28534" s="183"/>
      <c r="AJ28534" s="183"/>
      <c r="AK28534" s="183"/>
      <c r="AL28534" s="183"/>
    </row>
    <row r="28535" spans="1:38">
      <c r="A28535" s="182"/>
      <c r="Q28535" s="183"/>
      <c r="R28535" s="183"/>
      <c r="S28535" s="183"/>
      <c r="AJ28535" s="183"/>
    </row>
    <row r="28536" spans="1:38">
      <c r="A28536" s="182"/>
      <c r="Q28536" s="183"/>
      <c r="R28536" s="183"/>
      <c r="S28536" s="183"/>
    </row>
    <row r="28537" spans="1:38">
      <c r="A28537" s="182"/>
      <c r="Q28537" s="183"/>
      <c r="R28537" s="183"/>
      <c r="S28537" s="183"/>
    </row>
    <row r="28538" spans="1:38">
      <c r="A28538" s="182"/>
      <c r="Q28538" s="183"/>
      <c r="R28538" s="183"/>
      <c r="S28538" s="183"/>
    </row>
    <row r="28539" spans="1:38">
      <c r="A28539" s="182"/>
      <c r="Q28539" s="183"/>
      <c r="R28539" s="183"/>
      <c r="S28539" s="183"/>
    </row>
    <row r="28540" spans="1:38">
      <c r="A28540" s="182"/>
      <c r="Q28540" s="183"/>
      <c r="R28540" s="183"/>
      <c r="S28540" s="183"/>
    </row>
    <row r="28541" spans="1:38">
      <c r="A28541" s="182"/>
      <c r="Q28541" s="183"/>
      <c r="R28541" s="183"/>
      <c r="S28541" s="183"/>
    </row>
    <row r="28542" spans="1:38">
      <c r="A28542" s="182"/>
      <c r="Q28542" s="183"/>
      <c r="R28542" s="183"/>
      <c r="S28542" s="183"/>
    </row>
    <row r="28543" spans="1:38">
      <c r="A28543" s="182"/>
      <c r="Q28543" s="183"/>
      <c r="R28543" s="183"/>
      <c r="S28543" s="183"/>
    </row>
    <row r="28544" spans="1:38">
      <c r="A28544" s="182"/>
      <c r="Q28544" s="183"/>
      <c r="R28544" s="183"/>
      <c r="S28544" s="183"/>
    </row>
    <row r="28545" spans="1:38">
      <c r="A28545" s="182"/>
      <c r="Q28545" s="183"/>
      <c r="R28545" s="183"/>
      <c r="S28545" s="183"/>
    </row>
    <row r="28546" spans="1:38">
      <c r="A28546" s="182"/>
      <c r="Q28546" s="183"/>
      <c r="R28546" s="183"/>
      <c r="S28546" s="183"/>
    </row>
    <row r="28547" spans="1:38">
      <c r="A28547" s="182"/>
      <c r="Q28547" s="183"/>
      <c r="R28547" s="183"/>
      <c r="S28547" s="183"/>
    </row>
    <row r="28548" spans="1:38">
      <c r="A28548" s="182"/>
      <c r="Q28548" s="183"/>
      <c r="R28548" s="183"/>
      <c r="S28548" s="183"/>
    </row>
    <row r="28549" spans="1:38">
      <c r="A28549" s="182"/>
      <c r="Q28549" s="183"/>
      <c r="R28549" s="183"/>
      <c r="S28549" s="183"/>
    </row>
    <row r="28550" spans="1:38">
      <c r="A28550" s="182"/>
      <c r="Q28550" s="183"/>
      <c r="R28550" s="183"/>
      <c r="S28550" s="183"/>
    </row>
    <row r="28551" spans="1:38">
      <c r="A28551" s="182"/>
      <c r="Q28551" s="183"/>
      <c r="R28551" s="183"/>
      <c r="S28551" s="183"/>
    </row>
    <row r="28552" spans="1:38">
      <c r="A28552" s="182"/>
      <c r="Q28552" s="183"/>
      <c r="R28552" s="183"/>
      <c r="S28552" s="183"/>
    </row>
    <row r="28553" spans="1:38">
      <c r="A28553" s="182"/>
      <c r="Q28553" s="183"/>
      <c r="R28553" s="183"/>
      <c r="S28553" s="183"/>
    </row>
    <row r="28554" spans="1:38">
      <c r="A28554" s="182"/>
      <c r="Q28554" s="183"/>
      <c r="R28554" s="183"/>
      <c r="S28554" s="183"/>
    </row>
    <row r="28555" spans="1:38">
      <c r="A28555" s="182"/>
      <c r="Q28555" s="183"/>
      <c r="R28555" s="183"/>
      <c r="S28555" s="183"/>
    </row>
    <row r="28556" spans="1:38">
      <c r="A28556" s="182"/>
      <c r="Q28556" s="183"/>
      <c r="R28556" s="183"/>
      <c r="S28556" s="183"/>
    </row>
    <row r="28557" spans="1:38">
      <c r="A28557" s="182"/>
      <c r="Q28557" s="183"/>
      <c r="R28557" s="183"/>
      <c r="S28557" s="183"/>
    </row>
    <row r="28558" spans="1:38">
      <c r="A28558" s="182"/>
      <c r="Q28558" s="183"/>
      <c r="R28558" s="183"/>
      <c r="S28558" s="183"/>
    </row>
    <row r="28559" spans="1:38">
      <c r="A28559" s="182"/>
      <c r="Q28559" s="183"/>
      <c r="R28559" s="183"/>
      <c r="S28559" s="183"/>
      <c r="AK28559" s="183"/>
      <c r="AL28559" s="183"/>
    </row>
    <row r="28560" spans="1:38">
      <c r="A28560" s="182"/>
      <c r="Q28560" s="183"/>
      <c r="R28560" s="183"/>
      <c r="S28560" s="183"/>
      <c r="AJ28560" s="183"/>
      <c r="AK28560" s="183"/>
      <c r="AL28560" s="183"/>
    </row>
    <row r="28561" spans="1:38">
      <c r="A28561" s="182"/>
      <c r="Q28561" s="183"/>
      <c r="R28561" s="183"/>
      <c r="S28561" s="183"/>
      <c r="AJ28561" s="183"/>
      <c r="AK28561" s="183"/>
      <c r="AL28561" s="183"/>
    </row>
    <row r="28562" spans="1:38">
      <c r="A28562" s="182"/>
      <c r="Q28562" s="183"/>
      <c r="R28562" s="183"/>
      <c r="S28562" s="183"/>
      <c r="AJ28562" s="183"/>
      <c r="AK28562" s="183"/>
      <c r="AL28562" s="183"/>
    </row>
    <row r="28563" spans="1:38">
      <c r="A28563" s="182"/>
      <c r="Q28563" s="183"/>
      <c r="R28563" s="183"/>
      <c r="S28563" s="183"/>
      <c r="AJ28563" s="183"/>
      <c r="AK28563" s="183"/>
      <c r="AL28563" s="183"/>
    </row>
    <row r="28564" spans="1:38">
      <c r="A28564" s="182"/>
      <c r="Q28564" s="183"/>
      <c r="R28564" s="183"/>
      <c r="S28564" s="183"/>
      <c r="AJ28564" s="183"/>
      <c r="AK28564" s="183"/>
      <c r="AL28564" s="183"/>
    </row>
    <row r="28565" spans="1:38">
      <c r="A28565" s="182"/>
      <c r="Q28565" s="183"/>
      <c r="R28565" s="183"/>
      <c r="S28565" s="183"/>
      <c r="AJ28565" s="183"/>
      <c r="AK28565" s="183"/>
      <c r="AL28565" s="183"/>
    </row>
    <row r="28566" spans="1:38">
      <c r="A28566" s="182"/>
      <c r="Q28566" s="183"/>
      <c r="R28566" s="183"/>
      <c r="S28566" s="183"/>
      <c r="AJ28566" s="183"/>
      <c r="AK28566" s="183"/>
      <c r="AL28566" s="183"/>
    </row>
    <row r="28567" spans="1:38">
      <c r="A28567" s="182"/>
      <c r="Q28567" s="183"/>
      <c r="R28567" s="183"/>
      <c r="S28567" s="183"/>
      <c r="AJ28567" s="183"/>
    </row>
    <row r="28568" spans="1:38">
      <c r="A28568" s="182"/>
      <c r="Q28568" s="183"/>
      <c r="R28568" s="183"/>
      <c r="S28568" s="183"/>
    </row>
    <row r="28569" spans="1:38">
      <c r="A28569" s="182"/>
      <c r="Q28569" s="183"/>
      <c r="R28569" s="183"/>
      <c r="S28569" s="183"/>
    </row>
    <row r="28570" spans="1:38">
      <c r="A28570" s="182"/>
      <c r="Q28570" s="183"/>
      <c r="R28570" s="183"/>
      <c r="S28570" s="183"/>
    </row>
    <row r="28571" spans="1:38">
      <c r="A28571" s="182"/>
      <c r="Q28571" s="183"/>
      <c r="R28571" s="183"/>
      <c r="S28571" s="183"/>
    </row>
    <row r="28572" spans="1:38">
      <c r="A28572" s="182"/>
      <c r="Q28572" s="183"/>
      <c r="R28572" s="183"/>
      <c r="S28572" s="183"/>
    </row>
    <row r="28573" spans="1:38">
      <c r="A28573" s="182"/>
      <c r="Q28573" s="183"/>
      <c r="R28573" s="183"/>
      <c r="S28573" s="183"/>
    </row>
    <row r="28574" spans="1:38">
      <c r="A28574" s="182"/>
      <c r="Q28574" s="183"/>
      <c r="R28574" s="183"/>
      <c r="S28574" s="183"/>
    </row>
    <row r="28575" spans="1:38">
      <c r="A28575" s="182"/>
      <c r="Q28575" s="183"/>
      <c r="R28575" s="183"/>
      <c r="S28575" s="183"/>
    </row>
    <row r="28576" spans="1:38">
      <c r="A28576" s="182"/>
      <c r="Q28576" s="183"/>
      <c r="R28576" s="183"/>
      <c r="S28576" s="183"/>
    </row>
    <row r="28577" spans="1:19">
      <c r="A28577" s="182"/>
      <c r="Q28577" s="183"/>
      <c r="R28577" s="183"/>
      <c r="S28577" s="183"/>
    </row>
    <row r="28578" spans="1:19">
      <c r="A28578" s="182"/>
      <c r="Q28578" s="183"/>
      <c r="R28578" s="183"/>
      <c r="S28578" s="183"/>
    </row>
    <row r="28579" spans="1:19">
      <c r="A28579" s="182"/>
      <c r="Q28579" s="183"/>
      <c r="R28579" s="183"/>
      <c r="S28579" s="183"/>
    </row>
    <row r="28580" spans="1:19">
      <c r="A28580" s="182"/>
      <c r="Q28580" s="183"/>
      <c r="R28580" s="183"/>
      <c r="S28580" s="183"/>
    </row>
    <row r="28581" spans="1:19">
      <c r="A28581" s="182"/>
      <c r="Q28581" s="183"/>
      <c r="R28581" s="183"/>
      <c r="S28581" s="183"/>
    </row>
    <row r="28582" spans="1:19">
      <c r="A28582" s="182"/>
      <c r="Q28582" s="183"/>
      <c r="R28582" s="183"/>
      <c r="S28582" s="183"/>
    </row>
    <row r="28583" spans="1:19">
      <c r="A28583" s="182"/>
      <c r="Q28583" s="183"/>
      <c r="R28583" s="183"/>
      <c r="S28583" s="183"/>
    </row>
    <row r="28584" spans="1:19">
      <c r="A28584" s="182"/>
      <c r="Q28584" s="183"/>
      <c r="R28584" s="183"/>
      <c r="S28584" s="183"/>
    </row>
    <row r="28585" spans="1:19">
      <c r="A28585" s="182"/>
      <c r="Q28585" s="183"/>
      <c r="R28585" s="183"/>
      <c r="S28585" s="183"/>
    </row>
    <row r="28586" spans="1:19">
      <c r="A28586" s="182"/>
      <c r="Q28586" s="183"/>
      <c r="R28586" s="183"/>
      <c r="S28586" s="183"/>
    </row>
    <row r="28587" spans="1:19">
      <c r="A28587" s="182"/>
      <c r="Q28587" s="183"/>
      <c r="R28587" s="183"/>
      <c r="S28587" s="183"/>
    </row>
    <row r="28588" spans="1:19">
      <c r="A28588" s="182"/>
      <c r="Q28588" s="183"/>
      <c r="R28588" s="183"/>
      <c r="S28588" s="183"/>
    </row>
    <row r="28589" spans="1:19">
      <c r="A28589" s="182"/>
      <c r="Q28589" s="183"/>
      <c r="R28589" s="183"/>
      <c r="S28589" s="183"/>
    </row>
    <row r="28590" spans="1:19">
      <c r="A28590" s="182"/>
      <c r="Q28590" s="183"/>
      <c r="R28590" s="183"/>
      <c r="S28590" s="183"/>
    </row>
    <row r="28591" spans="1:19">
      <c r="A28591" s="182"/>
      <c r="Q28591" s="183"/>
      <c r="R28591" s="183"/>
      <c r="S28591" s="183"/>
    </row>
    <row r="28592" spans="1:19">
      <c r="A28592" s="182"/>
      <c r="Q28592" s="183"/>
      <c r="R28592" s="183"/>
      <c r="S28592" s="183"/>
    </row>
    <row r="28593" spans="1:19">
      <c r="A28593" s="182"/>
      <c r="Q28593" s="183"/>
      <c r="R28593" s="183"/>
      <c r="S28593" s="183"/>
    </row>
    <row r="28594" spans="1:19">
      <c r="A28594" s="182"/>
      <c r="Q28594" s="183"/>
      <c r="R28594" s="183"/>
      <c r="S28594" s="183"/>
    </row>
    <row r="28595" spans="1:19">
      <c r="A28595" s="182"/>
      <c r="Q28595" s="183"/>
      <c r="R28595" s="183"/>
      <c r="S28595" s="183"/>
    </row>
    <row r="28596" spans="1:19">
      <c r="A28596" s="182"/>
      <c r="Q28596" s="183"/>
      <c r="R28596" s="183"/>
      <c r="S28596" s="183"/>
    </row>
    <row r="28597" spans="1:19">
      <c r="A28597" s="182"/>
      <c r="Q28597" s="183"/>
      <c r="R28597" s="183"/>
      <c r="S28597" s="183"/>
    </row>
    <row r="28598" spans="1:19">
      <c r="A28598" s="182"/>
      <c r="Q28598" s="183"/>
      <c r="R28598" s="183"/>
      <c r="S28598" s="183"/>
    </row>
    <row r="28599" spans="1:19">
      <c r="A28599" s="182"/>
      <c r="Q28599" s="183"/>
      <c r="R28599" s="183"/>
      <c r="S28599" s="183"/>
    </row>
    <row r="28600" spans="1:19">
      <c r="A28600" s="182"/>
      <c r="Q28600" s="183"/>
      <c r="R28600" s="183"/>
      <c r="S28600" s="183"/>
    </row>
    <row r="28601" spans="1:19">
      <c r="A28601" s="182"/>
      <c r="Q28601" s="183"/>
      <c r="R28601" s="183"/>
      <c r="S28601" s="183"/>
    </row>
    <row r="28602" spans="1:19">
      <c r="A28602" s="182"/>
      <c r="Q28602" s="183"/>
      <c r="R28602" s="183"/>
      <c r="S28602" s="183"/>
    </row>
    <row r="28603" spans="1:19">
      <c r="A28603" s="182"/>
      <c r="Q28603" s="183"/>
      <c r="R28603" s="183"/>
      <c r="S28603" s="183"/>
    </row>
    <row r="28604" spans="1:19">
      <c r="A28604" s="182"/>
      <c r="Q28604" s="183"/>
      <c r="R28604" s="183"/>
      <c r="S28604" s="183"/>
    </row>
    <row r="28605" spans="1:19">
      <c r="A28605" s="182"/>
      <c r="Q28605" s="183"/>
      <c r="R28605" s="183"/>
      <c r="S28605" s="183"/>
    </row>
    <row r="28606" spans="1:19">
      <c r="A28606" s="182"/>
      <c r="Q28606" s="183"/>
      <c r="R28606" s="183"/>
      <c r="S28606" s="183"/>
    </row>
    <row r="28607" spans="1:19">
      <c r="A28607" s="182"/>
      <c r="Q28607" s="183"/>
      <c r="R28607" s="183"/>
      <c r="S28607" s="183"/>
    </row>
    <row r="28608" spans="1:19">
      <c r="A28608" s="182"/>
      <c r="Q28608" s="183"/>
      <c r="R28608" s="183"/>
      <c r="S28608" s="183"/>
    </row>
    <row r="28609" spans="1:38">
      <c r="A28609" s="182"/>
      <c r="Q28609" s="183"/>
      <c r="R28609" s="183"/>
      <c r="S28609" s="183"/>
    </row>
    <row r="28610" spans="1:38">
      <c r="A28610" s="182"/>
      <c r="Q28610" s="183"/>
      <c r="R28610" s="183"/>
      <c r="S28610" s="183"/>
    </row>
    <row r="28611" spans="1:38">
      <c r="A28611" s="182"/>
      <c r="Q28611" s="183"/>
      <c r="R28611" s="183"/>
      <c r="S28611" s="183"/>
    </row>
    <row r="28612" spans="1:38">
      <c r="A28612" s="182"/>
      <c r="Q28612" s="183"/>
      <c r="R28612" s="183"/>
      <c r="S28612" s="183"/>
    </row>
    <row r="28613" spans="1:38">
      <c r="A28613" s="182"/>
      <c r="Q28613" s="183"/>
      <c r="R28613" s="183"/>
      <c r="S28613" s="183"/>
    </row>
    <row r="28614" spans="1:38">
      <c r="A28614" s="182"/>
      <c r="Q28614" s="183"/>
      <c r="R28614" s="183"/>
      <c r="S28614" s="183"/>
    </row>
    <row r="28615" spans="1:38">
      <c r="A28615" s="182"/>
      <c r="Q28615" s="183"/>
      <c r="R28615" s="183"/>
      <c r="S28615" s="183"/>
      <c r="AK28615" s="183"/>
      <c r="AL28615" s="183"/>
    </row>
    <row r="28616" spans="1:38">
      <c r="A28616" s="182"/>
      <c r="Q28616" s="183"/>
      <c r="R28616" s="183"/>
      <c r="S28616" s="183"/>
      <c r="AJ28616" s="183"/>
      <c r="AK28616" s="183"/>
      <c r="AL28616" s="183"/>
    </row>
    <row r="28617" spans="1:38">
      <c r="A28617" s="182"/>
      <c r="Q28617" s="183"/>
      <c r="R28617" s="183"/>
      <c r="S28617" s="183"/>
      <c r="AJ28617" s="183"/>
      <c r="AK28617" s="183"/>
      <c r="AL28617" s="183"/>
    </row>
    <row r="28618" spans="1:38">
      <c r="A28618" s="182"/>
      <c r="Q28618" s="183"/>
      <c r="R28618" s="183"/>
      <c r="S28618" s="183"/>
      <c r="AJ28618" s="183"/>
      <c r="AK28618" s="183"/>
      <c r="AL28618" s="183"/>
    </row>
    <row r="28619" spans="1:38">
      <c r="A28619" s="182"/>
      <c r="Q28619" s="183"/>
      <c r="R28619" s="183"/>
      <c r="S28619" s="183"/>
      <c r="AJ28619" s="183"/>
    </row>
    <row r="28620" spans="1:38">
      <c r="A28620" s="182"/>
      <c r="Q28620" s="183"/>
      <c r="R28620" s="183"/>
      <c r="S28620" s="183"/>
    </row>
    <row r="28621" spans="1:38">
      <c r="A28621" s="182"/>
      <c r="Q28621" s="183"/>
      <c r="R28621" s="183"/>
      <c r="S28621" s="183"/>
    </row>
    <row r="28622" spans="1:38">
      <c r="A28622" s="182"/>
      <c r="Q28622" s="183"/>
      <c r="R28622" s="183"/>
      <c r="S28622" s="183"/>
    </row>
    <row r="28623" spans="1:38">
      <c r="A28623" s="182"/>
      <c r="Q28623" s="183"/>
      <c r="R28623" s="183"/>
      <c r="S28623" s="183"/>
      <c r="AK28623" s="183"/>
      <c r="AL28623" s="183"/>
    </row>
    <row r="28624" spans="1:38">
      <c r="A28624" s="182"/>
      <c r="Q28624" s="183"/>
      <c r="R28624" s="183"/>
      <c r="S28624" s="183"/>
      <c r="AJ28624" s="183"/>
      <c r="AK28624" s="183"/>
      <c r="AL28624" s="183"/>
    </row>
    <row r="28625" spans="1:38">
      <c r="A28625" s="182"/>
      <c r="Q28625" s="183"/>
      <c r="R28625" s="183"/>
      <c r="S28625" s="183"/>
      <c r="AJ28625" s="183"/>
      <c r="AK28625" s="183"/>
      <c r="AL28625" s="183"/>
    </row>
    <row r="28626" spans="1:38">
      <c r="A28626" s="182"/>
      <c r="Q28626" s="183"/>
      <c r="R28626" s="183"/>
      <c r="S28626" s="183"/>
      <c r="AJ28626" s="183"/>
      <c r="AK28626" s="183"/>
      <c r="AL28626" s="183"/>
    </row>
    <row r="28627" spans="1:38">
      <c r="A28627" s="182"/>
      <c r="Q28627" s="183"/>
      <c r="R28627" s="183"/>
      <c r="S28627" s="183"/>
      <c r="AJ28627" s="183"/>
    </row>
    <row r="28628" spans="1:38">
      <c r="A28628" s="182"/>
      <c r="M28628" s="183"/>
      <c r="N28628" s="183"/>
      <c r="Q28628" s="183"/>
      <c r="R28628" s="183"/>
      <c r="S28628" s="183"/>
    </row>
    <row r="28629" spans="1:38">
      <c r="A28629" s="182"/>
      <c r="L28629" s="183"/>
      <c r="Q28629" s="183"/>
      <c r="R28629" s="183"/>
      <c r="S28629" s="183"/>
    </row>
    <row r="28630" spans="1:38">
      <c r="A28630" s="182"/>
      <c r="Q28630" s="183"/>
      <c r="R28630" s="183"/>
      <c r="S28630" s="183"/>
    </row>
    <row r="28631" spans="1:38">
      <c r="A28631" s="182"/>
      <c r="Q28631" s="183"/>
      <c r="R28631" s="183"/>
      <c r="S28631" s="183"/>
    </row>
    <row r="28632" spans="1:38">
      <c r="A28632" s="182"/>
      <c r="Q28632" s="183"/>
      <c r="R28632" s="183"/>
      <c r="S28632" s="183"/>
    </row>
    <row r="28633" spans="1:38">
      <c r="A28633" s="182"/>
      <c r="Q28633" s="183"/>
      <c r="R28633" s="183"/>
      <c r="S28633" s="183"/>
    </row>
    <row r="28634" spans="1:38">
      <c r="A28634" s="182"/>
      <c r="Q28634" s="183"/>
      <c r="R28634" s="183"/>
      <c r="S28634" s="183"/>
    </row>
    <row r="28635" spans="1:38">
      <c r="A28635" s="182"/>
      <c r="Q28635" s="183"/>
      <c r="R28635" s="183"/>
      <c r="S28635" s="183"/>
      <c r="AK28635" s="183"/>
      <c r="AL28635" s="183"/>
    </row>
    <row r="28636" spans="1:38">
      <c r="A28636" s="182"/>
      <c r="Q28636" s="183"/>
      <c r="R28636" s="183"/>
      <c r="S28636" s="183"/>
      <c r="AJ28636" s="183"/>
      <c r="AK28636" s="183"/>
      <c r="AL28636" s="183"/>
    </row>
    <row r="28637" spans="1:38">
      <c r="A28637" s="182"/>
      <c r="Q28637" s="183"/>
      <c r="R28637" s="183"/>
      <c r="S28637" s="183"/>
      <c r="AJ28637" s="183"/>
      <c r="AK28637" s="183"/>
      <c r="AL28637" s="183"/>
    </row>
    <row r="28638" spans="1:38">
      <c r="A28638" s="182"/>
      <c r="Q28638" s="183"/>
      <c r="R28638" s="183"/>
      <c r="S28638" s="183"/>
      <c r="AJ28638" s="183"/>
      <c r="AK28638" s="183"/>
      <c r="AL28638" s="183"/>
    </row>
    <row r="28639" spans="1:38">
      <c r="A28639" s="182"/>
      <c r="Q28639" s="183"/>
      <c r="R28639" s="183"/>
      <c r="S28639" s="183"/>
      <c r="AJ28639" s="183"/>
    </row>
    <row r="28640" spans="1:38">
      <c r="A28640" s="182"/>
      <c r="Q28640" s="183"/>
      <c r="R28640" s="183"/>
      <c r="S28640" s="183"/>
    </row>
    <row r="28641" spans="1:38">
      <c r="A28641" s="182"/>
      <c r="Q28641" s="183"/>
      <c r="R28641" s="183"/>
      <c r="S28641" s="183"/>
    </row>
    <row r="28642" spans="1:38">
      <c r="A28642" s="182"/>
      <c r="Q28642" s="183"/>
      <c r="R28642" s="183"/>
      <c r="S28642" s="183"/>
    </row>
    <row r="28643" spans="1:38">
      <c r="A28643" s="182"/>
      <c r="Q28643" s="183"/>
      <c r="R28643" s="183"/>
      <c r="S28643" s="183"/>
    </row>
    <row r="28644" spans="1:38">
      <c r="A28644" s="182"/>
      <c r="Q28644" s="183"/>
      <c r="R28644" s="183"/>
      <c r="S28644" s="183"/>
    </row>
    <row r="28645" spans="1:38">
      <c r="A28645" s="182"/>
      <c r="Q28645" s="183"/>
      <c r="R28645" s="183"/>
      <c r="S28645" s="183"/>
    </row>
    <row r="28646" spans="1:38">
      <c r="A28646" s="182"/>
      <c r="Q28646" s="183"/>
      <c r="R28646" s="183"/>
      <c r="S28646" s="183"/>
    </row>
    <row r="28647" spans="1:38">
      <c r="A28647" s="182"/>
      <c r="Q28647" s="183"/>
      <c r="R28647" s="183"/>
      <c r="S28647" s="183"/>
    </row>
    <row r="28648" spans="1:38">
      <c r="A28648" s="182"/>
      <c r="Q28648" s="183"/>
      <c r="R28648" s="183"/>
      <c r="S28648" s="183"/>
    </row>
    <row r="28649" spans="1:38">
      <c r="A28649" s="182"/>
      <c r="Q28649" s="183"/>
      <c r="R28649" s="183"/>
      <c r="S28649" s="183"/>
    </row>
    <row r="28650" spans="1:38">
      <c r="A28650" s="182"/>
      <c r="Q28650" s="183"/>
      <c r="R28650" s="183"/>
      <c r="S28650" s="183"/>
    </row>
    <row r="28651" spans="1:38">
      <c r="A28651" s="182"/>
      <c r="Q28651" s="183"/>
      <c r="R28651" s="183"/>
      <c r="S28651" s="183"/>
    </row>
    <row r="28652" spans="1:38">
      <c r="A28652" s="182"/>
      <c r="Q28652" s="183"/>
      <c r="R28652" s="183"/>
      <c r="S28652" s="183"/>
    </row>
    <row r="28653" spans="1:38">
      <c r="A28653" s="182"/>
      <c r="Q28653" s="183"/>
      <c r="R28653" s="183"/>
      <c r="S28653" s="183"/>
    </row>
    <row r="28654" spans="1:38">
      <c r="A28654" s="182"/>
      <c r="Q28654" s="183"/>
      <c r="R28654" s="183"/>
      <c r="S28654" s="183"/>
    </row>
    <row r="28655" spans="1:38">
      <c r="A28655" s="182"/>
      <c r="Q28655" s="183"/>
      <c r="R28655" s="183"/>
      <c r="S28655" s="183"/>
      <c r="AK28655" s="183"/>
      <c r="AL28655" s="183"/>
    </row>
    <row r="28656" spans="1:38">
      <c r="A28656" s="182"/>
      <c r="Q28656" s="183"/>
      <c r="R28656" s="183"/>
      <c r="S28656" s="183"/>
      <c r="AJ28656" s="183"/>
      <c r="AK28656" s="183"/>
      <c r="AL28656" s="183"/>
    </row>
    <row r="28657" spans="1:38">
      <c r="A28657" s="182"/>
      <c r="Q28657" s="183"/>
      <c r="R28657" s="183"/>
      <c r="S28657" s="183"/>
      <c r="AJ28657" s="183"/>
      <c r="AK28657" s="183"/>
      <c r="AL28657" s="183"/>
    </row>
    <row r="28658" spans="1:38">
      <c r="A28658" s="182"/>
      <c r="Q28658" s="183"/>
      <c r="R28658" s="183"/>
      <c r="S28658" s="183"/>
      <c r="AJ28658" s="183"/>
      <c r="AK28658" s="183"/>
      <c r="AL28658" s="183"/>
    </row>
    <row r="28659" spans="1:38">
      <c r="A28659" s="182"/>
      <c r="Q28659" s="183"/>
      <c r="R28659" s="183"/>
      <c r="S28659" s="183"/>
      <c r="AJ28659" s="183"/>
      <c r="AK28659" s="183"/>
      <c r="AL28659" s="183"/>
    </row>
    <row r="28660" spans="1:38">
      <c r="A28660" s="182"/>
      <c r="Q28660" s="183"/>
      <c r="R28660" s="183"/>
      <c r="S28660" s="183"/>
      <c r="AJ28660" s="183"/>
      <c r="AK28660" s="183"/>
      <c r="AL28660" s="183"/>
    </row>
    <row r="28661" spans="1:38">
      <c r="A28661" s="182"/>
      <c r="Q28661" s="183"/>
      <c r="R28661" s="183"/>
      <c r="S28661" s="183"/>
      <c r="AJ28661" s="183"/>
      <c r="AK28661" s="183"/>
      <c r="AL28661" s="183"/>
    </row>
    <row r="28662" spans="1:38">
      <c r="A28662" s="182"/>
      <c r="Q28662" s="183"/>
      <c r="R28662" s="183"/>
      <c r="S28662" s="183"/>
      <c r="AJ28662" s="183"/>
      <c r="AK28662" s="183"/>
      <c r="AL28662" s="183"/>
    </row>
    <row r="28663" spans="1:38">
      <c r="A28663" s="182"/>
      <c r="Q28663" s="183"/>
      <c r="R28663" s="183"/>
      <c r="S28663" s="183"/>
      <c r="AJ28663" s="183"/>
    </row>
    <row r="28664" spans="1:38">
      <c r="A28664" s="182"/>
      <c r="Q28664" s="183"/>
      <c r="R28664" s="183"/>
      <c r="S28664" s="183"/>
    </row>
    <row r="28665" spans="1:38">
      <c r="A28665" s="182"/>
      <c r="Q28665" s="183"/>
      <c r="R28665" s="183"/>
      <c r="S28665" s="183"/>
    </row>
    <row r="28666" spans="1:38">
      <c r="A28666" s="182"/>
      <c r="Q28666" s="183"/>
      <c r="R28666" s="183"/>
      <c r="S28666" s="183"/>
    </row>
    <row r="28667" spans="1:38">
      <c r="A28667" s="182"/>
      <c r="Q28667" s="183"/>
      <c r="R28667" s="183"/>
      <c r="S28667" s="183"/>
      <c r="AK28667" s="183"/>
      <c r="AL28667" s="183"/>
    </row>
    <row r="28668" spans="1:38">
      <c r="A28668" s="182"/>
      <c r="Q28668" s="183"/>
      <c r="R28668" s="183"/>
      <c r="S28668" s="183"/>
      <c r="AJ28668" s="183"/>
      <c r="AK28668" s="183"/>
      <c r="AL28668" s="183"/>
    </row>
    <row r="28669" spans="1:38">
      <c r="A28669" s="182"/>
      <c r="Q28669" s="183"/>
      <c r="R28669" s="183"/>
      <c r="S28669" s="183"/>
      <c r="AJ28669" s="183"/>
      <c r="AK28669" s="183"/>
      <c r="AL28669" s="183"/>
    </row>
    <row r="28670" spans="1:38">
      <c r="A28670" s="182"/>
      <c r="Q28670" s="183"/>
      <c r="R28670" s="183"/>
      <c r="S28670" s="183"/>
      <c r="AJ28670" s="183"/>
      <c r="AK28670" s="183"/>
      <c r="AL28670" s="183"/>
    </row>
    <row r="28671" spans="1:38">
      <c r="A28671" s="182"/>
      <c r="Q28671" s="183"/>
      <c r="R28671" s="183"/>
      <c r="S28671" s="183"/>
      <c r="AJ28671" s="183"/>
    </row>
    <row r="28672" spans="1:38">
      <c r="A28672" s="182"/>
      <c r="Q28672" s="183"/>
      <c r="R28672" s="183"/>
      <c r="S28672" s="183"/>
    </row>
    <row r="28673" spans="1:38">
      <c r="A28673" s="182"/>
      <c r="Q28673" s="183"/>
      <c r="R28673" s="183"/>
      <c r="S28673" s="183"/>
    </row>
    <row r="28674" spans="1:38">
      <c r="A28674" s="182"/>
      <c r="Q28674" s="183"/>
      <c r="R28674" s="183"/>
      <c r="S28674" s="183"/>
    </row>
    <row r="28675" spans="1:38">
      <c r="A28675" s="182"/>
      <c r="Q28675" s="183"/>
      <c r="R28675" s="183"/>
      <c r="S28675" s="183"/>
    </row>
    <row r="28676" spans="1:38">
      <c r="A28676" s="182"/>
      <c r="Q28676" s="183"/>
      <c r="R28676" s="183"/>
      <c r="S28676" s="183"/>
    </row>
    <row r="28677" spans="1:38">
      <c r="A28677" s="182"/>
      <c r="Q28677" s="183"/>
      <c r="R28677" s="183"/>
      <c r="S28677" s="183"/>
    </row>
    <row r="28678" spans="1:38">
      <c r="A28678" s="182"/>
      <c r="Q28678" s="183"/>
      <c r="R28678" s="183"/>
      <c r="S28678" s="183"/>
    </row>
    <row r="28679" spans="1:38">
      <c r="A28679" s="182"/>
      <c r="Q28679" s="183"/>
      <c r="R28679" s="183"/>
      <c r="S28679" s="183"/>
    </row>
    <row r="28680" spans="1:38">
      <c r="A28680" s="182"/>
      <c r="Q28680" s="183"/>
      <c r="R28680" s="183"/>
      <c r="S28680" s="183"/>
    </row>
    <row r="28681" spans="1:38">
      <c r="A28681" s="182"/>
      <c r="Q28681" s="183"/>
      <c r="R28681" s="183"/>
      <c r="S28681" s="183"/>
    </row>
    <row r="28682" spans="1:38">
      <c r="A28682" s="182"/>
      <c r="Q28682" s="183"/>
      <c r="R28682" s="183"/>
      <c r="S28682" s="183"/>
    </row>
    <row r="28683" spans="1:38">
      <c r="A28683" s="182"/>
      <c r="Q28683" s="183"/>
      <c r="R28683" s="183"/>
      <c r="S28683" s="183"/>
      <c r="AK28683" s="183"/>
      <c r="AL28683" s="183"/>
    </row>
    <row r="28684" spans="1:38">
      <c r="A28684" s="182"/>
      <c r="Q28684" s="183"/>
      <c r="R28684" s="183"/>
      <c r="S28684" s="183"/>
      <c r="AJ28684" s="183"/>
      <c r="AK28684" s="183"/>
      <c r="AL28684" s="183"/>
    </row>
    <row r="28685" spans="1:38">
      <c r="A28685" s="182"/>
      <c r="Q28685" s="183"/>
      <c r="R28685" s="183"/>
      <c r="S28685" s="183"/>
      <c r="AJ28685" s="183"/>
      <c r="AK28685" s="183"/>
      <c r="AL28685" s="183"/>
    </row>
    <row r="28686" spans="1:38">
      <c r="A28686" s="182"/>
      <c r="Q28686" s="183"/>
      <c r="R28686" s="183"/>
      <c r="S28686" s="183"/>
      <c r="AJ28686" s="183"/>
      <c r="AK28686" s="183"/>
      <c r="AL28686" s="183"/>
    </row>
    <row r="28687" spans="1:38">
      <c r="A28687" s="182"/>
      <c r="Q28687" s="183"/>
      <c r="R28687" s="183"/>
      <c r="S28687" s="183"/>
      <c r="AJ28687" s="183"/>
    </row>
    <row r="28688" spans="1:38">
      <c r="A28688" s="182"/>
      <c r="Q28688" s="183"/>
      <c r="R28688" s="183"/>
      <c r="S28688" s="183"/>
    </row>
    <row r="28689" spans="1:38">
      <c r="A28689" s="182"/>
      <c r="Q28689" s="183"/>
      <c r="R28689" s="183"/>
      <c r="S28689" s="183"/>
    </row>
    <row r="28690" spans="1:38">
      <c r="A28690" s="182"/>
      <c r="Q28690" s="183"/>
      <c r="R28690" s="183"/>
      <c r="S28690" s="183"/>
    </row>
    <row r="28691" spans="1:38">
      <c r="A28691" s="182"/>
      <c r="Q28691" s="183"/>
      <c r="R28691" s="183"/>
      <c r="S28691" s="183"/>
      <c r="AK28691" s="183"/>
      <c r="AL28691" s="183"/>
    </row>
    <row r="28692" spans="1:38">
      <c r="A28692" s="182"/>
      <c r="Q28692" s="183"/>
      <c r="R28692" s="183"/>
      <c r="S28692" s="183"/>
      <c r="AJ28692" s="183"/>
      <c r="AK28692" s="183"/>
      <c r="AL28692" s="183"/>
    </row>
    <row r="28693" spans="1:38">
      <c r="A28693" s="182"/>
      <c r="Q28693" s="183"/>
      <c r="R28693" s="183"/>
      <c r="S28693" s="183"/>
      <c r="AJ28693" s="183"/>
      <c r="AK28693" s="183"/>
      <c r="AL28693" s="183"/>
    </row>
    <row r="28694" spans="1:38">
      <c r="A28694" s="182"/>
      <c r="Q28694" s="183"/>
      <c r="R28694" s="183"/>
      <c r="S28694" s="183"/>
      <c r="AJ28694" s="183"/>
      <c r="AK28694" s="183"/>
      <c r="AL28694" s="183"/>
    </row>
    <row r="28695" spans="1:38">
      <c r="A28695" s="182"/>
      <c r="Q28695" s="183"/>
      <c r="R28695" s="183"/>
      <c r="S28695" s="183"/>
      <c r="AJ28695" s="183"/>
      <c r="AK28695" s="183"/>
      <c r="AL28695" s="183"/>
    </row>
    <row r="28696" spans="1:38">
      <c r="A28696" s="182"/>
      <c r="Q28696" s="183"/>
      <c r="R28696" s="183"/>
      <c r="S28696" s="183"/>
      <c r="AJ28696" s="183"/>
      <c r="AK28696" s="183"/>
      <c r="AL28696" s="183"/>
    </row>
    <row r="28697" spans="1:38">
      <c r="A28697" s="182"/>
      <c r="Q28697" s="183"/>
      <c r="R28697" s="183"/>
      <c r="S28697" s="183"/>
      <c r="AJ28697" s="183"/>
      <c r="AK28697" s="183"/>
      <c r="AL28697" s="183"/>
    </row>
    <row r="28698" spans="1:38">
      <c r="A28698" s="182"/>
      <c r="Q28698" s="183"/>
      <c r="R28698" s="183"/>
      <c r="S28698" s="183"/>
      <c r="AJ28698" s="183"/>
      <c r="AK28698" s="183"/>
      <c r="AL28698" s="183"/>
    </row>
    <row r="28699" spans="1:38">
      <c r="A28699" s="182"/>
      <c r="Q28699" s="183"/>
      <c r="R28699" s="183"/>
      <c r="S28699" s="183"/>
      <c r="AJ28699" s="183"/>
      <c r="AK28699" s="183"/>
      <c r="AL28699" s="183"/>
    </row>
    <row r="28700" spans="1:38">
      <c r="A28700" s="182"/>
      <c r="Q28700" s="183"/>
      <c r="R28700" s="183"/>
      <c r="S28700" s="183"/>
      <c r="AJ28700" s="183"/>
      <c r="AK28700" s="183"/>
      <c r="AL28700" s="183"/>
    </row>
    <row r="28701" spans="1:38">
      <c r="A28701" s="182"/>
      <c r="Q28701" s="183"/>
      <c r="R28701" s="183"/>
      <c r="S28701" s="183"/>
      <c r="AJ28701" s="183"/>
      <c r="AK28701" s="183"/>
      <c r="AL28701" s="183"/>
    </row>
    <row r="28702" spans="1:38">
      <c r="A28702" s="182"/>
      <c r="Q28702" s="183"/>
      <c r="R28702" s="183"/>
      <c r="S28702" s="183"/>
      <c r="AJ28702" s="183"/>
      <c r="AK28702" s="183"/>
      <c r="AL28702" s="183"/>
    </row>
    <row r="28703" spans="1:38">
      <c r="A28703" s="182"/>
      <c r="Q28703" s="183"/>
      <c r="R28703" s="183"/>
      <c r="S28703" s="183"/>
      <c r="AJ28703" s="183"/>
      <c r="AK28703" s="183"/>
      <c r="AL28703" s="183"/>
    </row>
    <row r="28704" spans="1:38">
      <c r="A28704" s="182"/>
      <c r="Q28704" s="183"/>
      <c r="R28704" s="183"/>
      <c r="S28704" s="183"/>
      <c r="AJ28704" s="183"/>
      <c r="AK28704" s="183"/>
      <c r="AL28704" s="183"/>
    </row>
    <row r="28705" spans="1:38">
      <c r="A28705" s="182"/>
      <c r="Q28705" s="183"/>
      <c r="R28705" s="183"/>
      <c r="S28705" s="183"/>
      <c r="AJ28705" s="183"/>
      <c r="AK28705" s="183"/>
      <c r="AL28705" s="183"/>
    </row>
    <row r="28706" spans="1:38">
      <c r="A28706" s="182"/>
      <c r="Q28706" s="183"/>
      <c r="R28706" s="183"/>
      <c r="S28706" s="183"/>
      <c r="AJ28706" s="183"/>
      <c r="AK28706" s="183"/>
      <c r="AL28706" s="183"/>
    </row>
    <row r="28707" spans="1:38">
      <c r="A28707" s="182"/>
      <c r="Q28707" s="183"/>
      <c r="R28707" s="183"/>
      <c r="S28707" s="183"/>
      <c r="AJ28707" s="183"/>
    </row>
    <row r="28708" spans="1:38">
      <c r="A28708" s="182"/>
      <c r="Q28708" s="183"/>
      <c r="R28708" s="183"/>
      <c r="S28708" s="183"/>
    </row>
    <row r="28709" spans="1:38">
      <c r="A28709" s="182"/>
      <c r="Q28709" s="183"/>
      <c r="R28709" s="183"/>
      <c r="S28709" s="183"/>
    </row>
    <row r="28710" spans="1:38">
      <c r="A28710" s="182"/>
      <c r="Q28710" s="183"/>
      <c r="R28710" s="183"/>
      <c r="S28710" s="183"/>
    </row>
    <row r="28711" spans="1:38">
      <c r="A28711" s="182"/>
      <c r="Q28711" s="183"/>
      <c r="R28711" s="183"/>
      <c r="S28711" s="183"/>
      <c r="AK28711" s="183"/>
      <c r="AL28711" s="183"/>
    </row>
    <row r="28712" spans="1:38">
      <c r="A28712" s="182"/>
      <c r="Q28712" s="183"/>
      <c r="R28712" s="183"/>
      <c r="S28712" s="183"/>
      <c r="AJ28712" s="183"/>
      <c r="AK28712" s="183"/>
      <c r="AL28712" s="183"/>
    </row>
    <row r="28713" spans="1:38">
      <c r="A28713" s="182"/>
      <c r="Q28713" s="183"/>
      <c r="R28713" s="183"/>
      <c r="S28713" s="183"/>
      <c r="AJ28713" s="183"/>
      <c r="AK28713" s="183"/>
      <c r="AL28713" s="183"/>
    </row>
    <row r="28714" spans="1:38">
      <c r="A28714" s="182"/>
      <c r="Q28714" s="183"/>
      <c r="R28714" s="183"/>
      <c r="S28714" s="183"/>
      <c r="AJ28714" s="183"/>
      <c r="AK28714" s="183"/>
      <c r="AL28714" s="183"/>
    </row>
    <row r="28715" spans="1:38">
      <c r="A28715" s="182"/>
      <c r="Q28715" s="183"/>
      <c r="R28715" s="183"/>
      <c r="S28715" s="183"/>
      <c r="AJ28715" s="183"/>
      <c r="AK28715" s="183"/>
      <c r="AL28715" s="183"/>
    </row>
    <row r="28716" spans="1:38">
      <c r="A28716" s="182"/>
      <c r="Q28716" s="183"/>
      <c r="R28716" s="183"/>
      <c r="S28716" s="183"/>
      <c r="AJ28716" s="183"/>
      <c r="AK28716" s="183"/>
      <c r="AL28716" s="183"/>
    </row>
    <row r="28717" spans="1:38">
      <c r="A28717" s="182"/>
      <c r="Q28717" s="183"/>
      <c r="R28717" s="183"/>
      <c r="S28717" s="183"/>
      <c r="AJ28717" s="183"/>
      <c r="AK28717" s="183"/>
      <c r="AL28717" s="183"/>
    </row>
    <row r="28718" spans="1:38">
      <c r="A28718" s="182"/>
      <c r="Q28718" s="183"/>
      <c r="R28718" s="183"/>
      <c r="S28718" s="183"/>
      <c r="AJ28718" s="183"/>
      <c r="AK28718" s="183"/>
      <c r="AL28718" s="183"/>
    </row>
    <row r="28719" spans="1:38">
      <c r="A28719" s="182"/>
      <c r="Q28719" s="183"/>
      <c r="R28719" s="183"/>
      <c r="S28719" s="183"/>
      <c r="AJ28719" s="183"/>
      <c r="AK28719" s="183"/>
      <c r="AL28719" s="183"/>
    </row>
    <row r="28720" spans="1:38">
      <c r="A28720" s="182"/>
      <c r="Q28720" s="183"/>
      <c r="R28720" s="183"/>
      <c r="S28720" s="183"/>
      <c r="AJ28720" s="183"/>
      <c r="AK28720" s="183"/>
      <c r="AL28720" s="183"/>
    </row>
    <row r="28721" spans="1:38">
      <c r="A28721" s="182"/>
      <c r="Q28721" s="183"/>
      <c r="R28721" s="183"/>
      <c r="S28721" s="183"/>
      <c r="AJ28721" s="183"/>
      <c r="AK28721" s="183"/>
      <c r="AL28721" s="183"/>
    </row>
    <row r="28722" spans="1:38">
      <c r="A28722" s="182"/>
      <c r="Q28722" s="183"/>
      <c r="R28722" s="183"/>
      <c r="S28722" s="183"/>
      <c r="AJ28722" s="183"/>
      <c r="AK28722" s="183"/>
      <c r="AL28722" s="183"/>
    </row>
    <row r="28723" spans="1:38">
      <c r="A28723" s="182"/>
      <c r="Q28723" s="183"/>
      <c r="R28723" s="183"/>
      <c r="S28723" s="183"/>
      <c r="AJ28723" s="183"/>
      <c r="AK28723" s="183"/>
      <c r="AL28723" s="183"/>
    </row>
    <row r="28724" spans="1:38">
      <c r="A28724" s="182"/>
      <c r="Q28724" s="183"/>
      <c r="R28724" s="183"/>
      <c r="S28724" s="183"/>
      <c r="AJ28724" s="183"/>
      <c r="AK28724" s="183"/>
      <c r="AL28724" s="183"/>
    </row>
    <row r="28725" spans="1:38">
      <c r="A28725" s="182"/>
      <c r="Q28725" s="183"/>
      <c r="R28725" s="183"/>
      <c r="S28725" s="183"/>
      <c r="AJ28725" s="183"/>
      <c r="AK28725" s="183"/>
      <c r="AL28725" s="183"/>
    </row>
    <row r="28726" spans="1:38">
      <c r="A28726" s="182"/>
      <c r="Q28726" s="183"/>
      <c r="R28726" s="183"/>
      <c r="S28726" s="183"/>
      <c r="AJ28726" s="183"/>
      <c r="AK28726" s="183"/>
      <c r="AL28726" s="183"/>
    </row>
    <row r="28727" spans="1:38">
      <c r="A28727" s="182"/>
      <c r="Q28727" s="183"/>
      <c r="R28727" s="183"/>
      <c r="S28727" s="183"/>
      <c r="AJ28727" s="183"/>
    </row>
    <row r="28728" spans="1:38">
      <c r="A28728" s="182"/>
      <c r="Q28728" s="183"/>
      <c r="R28728" s="183"/>
      <c r="S28728" s="183"/>
    </row>
    <row r="28729" spans="1:38">
      <c r="A28729" s="182"/>
      <c r="Q28729" s="183"/>
      <c r="R28729" s="183"/>
      <c r="S28729" s="183"/>
    </row>
    <row r="28730" spans="1:38">
      <c r="A28730" s="182"/>
      <c r="Q28730" s="183"/>
      <c r="R28730" s="183"/>
      <c r="S28730" s="183"/>
    </row>
    <row r="28731" spans="1:38">
      <c r="A28731" s="182"/>
      <c r="Q28731" s="183"/>
      <c r="R28731" s="183"/>
      <c r="S28731" s="183"/>
    </row>
    <row r="28732" spans="1:38">
      <c r="A28732" s="182"/>
      <c r="Q28732" s="183"/>
      <c r="R28732" s="183"/>
      <c r="S28732" s="183"/>
    </row>
    <row r="28733" spans="1:38">
      <c r="A28733" s="182"/>
      <c r="Q28733" s="183"/>
      <c r="R28733" s="183"/>
      <c r="S28733" s="183"/>
    </row>
    <row r="28734" spans="1:38">
      <c r="A28734" s="182"/>
      <c r="Q28734" s="183"/>
      <c r="R28734" s="183"/>
      <c r="S28734" s="183"/>
    </row>
    <row r="28735" spans="1:38">
      <c r="A28735" s="182"/>
      <c r="Q28735" s="183"/>
      <c r="R28735" s="183"/>
      <c r="S28735" s="183"/>
    </row>
    <row r="28736" spans="1:38">
      <c r="A28736" s="182"/>
      <c r="Q28736" s="183"/>
      <c r="R28736" s="183"/>
      <c r="S28736" s="183"/>
    </row>
    <row r="28737" spans="1:19">
      <c r="A28737" s="182"/>
      <c r="Q28737" s="183"/>
      <c r="R28737" s="183"/>
      <c r="S28737" s="183"/>
    </row>
    <row r="28738" spans="1:19">
      <c r="A28738" s="182"/>
      <c r="Q28738" s="183"/>
      <c r="R28738" s="183"/>
      <c r="S28738" s="183"/>
    </row>
    <row r="28739" spans="1:19">
      <c r="A28739" s="182"/>
      <c r="Q28739" s="183"/>
      <c r="R28739" s="183"/>
      <c r="S28739" s="183"/>
    </row>
    <row r="28740" spans="1:19">
      <c r="A28740" s="182"/>
      <c r="Q28740" s="183"/>
      <c r="R28740" s="183"/>
      <c r="S28740" s="183"/>
    </row>
    <row r="28741" spans="1:19">
      <c r="A28741" s="182"/>
      <c r="Q28741" s="183"/>
      <c r="R28741" s="183"/>
      <c r="S28741" s="183"/>
    </row>
    <row r="28742" spans="1:19">
      <c r="A28742" s="182"/>
      <c r="Q28742" s="183"/>
      <c r="R28742" s="183"/>
      <c r="S28742" s="183"/>
    </row>
    <row r="28743" spans="1:19">
      <c r="A28743" s="182"/>
      <c r="Q28743" s="183"/>
      <c r="R28743" s="183"/>
      <c r="S28743" s="183"/>
    </row>
    <row r="28744" spans="1:19">
      <c r="A28744" s="182"/>
      <c r="Q28744" s="183"/>
      <c r="R28744" s="183"/>
      <c r="S28744" s="183"/>
    </row>
    <row r="28745" spans="1:19">
      <c r="A28745" s="182"/>
      <c r="Q28745" s="183"/>
      <c r="R28745" s="183"/>
      <c r="S28745" s="183"/>
    </row>
    <row r="28746" spans="1:19">
      <c r="A28746" s="182"/>
      <c r="Q28746" s="183"/>
      <c r="R28746" s="183"/>
      <c r="S28746" s="183"/>
    </row>
    <row r="28747" spans="1:19">
      <c r="A28747" s="182"/>
      <c r="Q28747" s="183"/>
      <c r="R28747" s="183"/>
      <c r="S28747" s="183"/>
    </row>
    <row r="28748" spans="1:19">
      <c r="A28748" s="182"/>
      <c r="Q28748" s="183"/>
      <c r="R28748" s="183"/>
      <c r="S28748" s="183"/>
    </row>
    <row r="28749" spans="1:19">
      <c r="A28749" s="182"/>
      <c r="Q28749" s="183"/>
      <c r="R28749" s="183"/>
      <c r="S28749" s="183"/>
    </row>
    <row r="28750" spans="1:19">
      <c r="A28750" s="182"/>
      <c r="Q28750" s="183"/>
      <c r="R28750" s="183"/>
      <c r="S28750" s="183"/>
    </row>
    <row r="28751" spans="1:19">
      <c r="A28751" s="182"/>
      <c r="Q28751" s="183"/>
      <c r="R28751" s="183"/>
      <c r="S28751" s="183"/>
    </row>
    <row r="28752" spans="1:19">
      <c r="A28752" s="182"/>
      <c r="N28752" s="183"/>
      <c r="O28752" s="183"/>
      <c r="Q28752" s="183"/>
      <c r="R28752" s="183"/>
      <c r="S28752" s="183"/>
    </row>
    <row r="28753" spans="1:38">
      <c r="A28753" s="182"/>
      <c r="M28753" s="183"/>
      <c r="Q28753" s="183"/>
      <c r="R28753" s="183"/>
      <c r="S28753" s="183"/>
    </row>
    <row r="28754" spans="1:38">
      <c r="A28754" s="182"/>
      <c r="Q28754" s="183"/>
      <c r="R28754" s="183"/>
      <c r="S28754" s="183"/>
    </row>
    <row r="28755" spans="1:38">
      <c r="A28755" s="182"/>
      <c r="Q28755" s="183"/>
      <c r="R28755" s="183"/>
      <c r="S28755" s="183"/>
    </row>
    <row r="28756" spans="1:38">
      <c r="A28756" s="182"/>
      <c r="Q28756" s="183"/>
      <c r="R28756" s="183"/>
      <c r="S28756" s="183"/>
    </row>
    <row r="28757" spans="1:38">
      <c r="A28757" s="182"/>
      <c r="Q28757" s="183"/>
      <c r="R28757" s="183"/>
      <c r="S28757" s="183"/>
      <c r="AK28757" s="183"/>
      <c r="AL28757" s="183"/>
    </row>
    <row r="28758" spans="1:38">
      <c r="A28758" s="182"/>
      <c r="Q28758" s="183"/>
      <c r="R28758" s="183"/>
      <c r="S28758" s="183"/>
      <c r="AJ28758" s="183"/>
      <c r="AK28758" s="183"/>
      <c r="AL28758" s="183"/>
    </row>
    <row r="28759" spans="1:38">
      <c r="A28759" s="182"/>
      <c r="Q28759" s="183"/>
      <c r="R28759" s="183"/>
      <c r="S28759" s="183"/>
      <c r="AJ28759" s="183"/>
      <c r="AK28759" s="183"/>
      <c r="AL28759" s="183"/>
    </row>
    <row r="28760" spans="1:38">
      <c r="A28760" s="182"/>
      <c r="Q28760" s="183"/>
      <c r="R28760" s="183"/>
      <c r="S28760" s="183"/>
      <c r="AJ28760" s="183"/>
      <c r="AK28760" s="183"/>
      <c r="AL28760" s="183"/>
    </row>
    <row r="28761" spans="1:38">
      <c r="A28761" s="182"/>
      <c r="Q28761" s="183"/>
      <c r="R28761" s="183"/>
      <c r="S28761" s="183"/>
      <c r="AJ28761" s="183"/>
    </row>
    <row r="28762" spans="1:38">
      <c r="A28762" s="182"/>
      <c r="Q28762" s="183"/>
      <c r="R28762" s="183"/>
      <c r="S28762" s="183"/>
    </row>
    <row r="28763" spans="1:38">
      <c r="A28763" s="182"/>
      <c r="Q28763" s="183"/>
      <c r="R28763" s="183"/>
      <c r="S28763" s="183"/>
    </row>
    <row r="28764" spans="1:38">
      <c r="A28764" s="182"/>
      <c r="Q28764" s="183"/>
      <c r="R28764" s="183"/>
      <c r="S28764" s="183"/>
    </row>
    <row r="28765" spans="1:38">
      <c r="A28765" s="182"/>
      <c r="Q28765" s="183"/>
      <c r="R28765" s="183"/>
      <c r="S28765" s="183"/>
    </row>
    <row r="28766" spans="1:38">
      <c r="A28766" s="182"/>
      <c r="Q28766" s="183"/>
      <c r="R28766" s="183"/>
      <c r="S28766" s="183"/>
    </row>
    <row r="28767" spans="1:38">
      <c r="A28767" s="182"/>
      <c r="Q28767" s="183"/>
      <c r="R28767" s="183"/>
      <c r="S28767" s="183"/>
    </row>
    <row r="28768" spans="1:38">
      <c r="A28768" s="182"/>
      <c r="Q28768" s="183"/>
      <c r="R28768" s="183"/>
      <c r="S28768" s="183"/>
    </row>
    <row r="28769" spans="1:38">
      <c r="A28769" s="182"/>
      <c r="Q28769" s="183"/>
      <c r="R28769" s="183"/>
      <c r="S28769" s="183"/>
    </row>
    <row r="28770" spans="1:38">
      <c r="A28770" s="182"/>
      <c r="Q28770" s="183"/>
      <c r="R28770" s="183"/>
      <c r="S28770" s="183"/>
    </row>
    <row r="28771" spans="1:38">
      <c r="A28771" s="182"/>
      <c r="Q28771" s="183"/>
      <c r="R28771" s="183"/>
      <c r="S28771" s="183"/>
    </row>
    <row r="28772" spans="1:38">
      <c r="A28772" s="182"/>
      <c r="Q28772" s="183"/>
      <c r="R28772" s="183"/>
      <c r="S28772" s="183"/>
    </row>
    <row r="28773" spans="1:38">
      <c r="A28773" s="182"/>
      <c r="Q28773" s="183"/>
      <c r="R28773" s="183"/>
      <c r="S28773" s="183"/>
    </row>
    <row r="28774" spans="1:38">
      <c r="A28774" s="182"/>
      <c r="Q28774" s="183"/>
      <c r="R28774" s="183"/>
      <c r="S28774" s="183"/>
    </row>
    <row r="28775" spans="1:38">
      <c r="A28775" s="182"/>
      <c r="Q28775" s="183"/>
      <c r="R28775" s="183"/>
      <c r="S28775" s="183"/>
    </row>
    <row r="28776" spans="1:38">
      <c r="A28776" s="182"/>
      <c r="Q28776" s="183"/>
      <c r="R28776" s="183"/>
      <c r="S28776" s="183"/>
    </row>
    <row r="28777" spans="1:38">
      <c r="A28777" s="182"/>
      <c r="Q28777" s="183"/>
      <c r="R28777" s="183"/>
      <c r="S28777" s="183"/>
    </row>
    <row r="28778" spans="1:38">
      <c r="A28778" s="182"/>
      <c r="Q28778" s="183"/>
      <c r="R28778" s="183"/>
      <c r="S28778" s="183"/>
    </row>
    <row r="28779" spans="1:38">
      <c r="A28779" s="182"/>
      <c r="Q28779" s="183"/>
      <c r="R28779" s="183"/>
      <c r="S28779" s="183"/>
    </row>
    <row r="28780" spans="1:38">
      <c r="A28780" s="182"/>
      <c r="Q28780" s="183"/>
      <c r="R28780" s="183"/>
      <c r="S28780" s="183"/>
    </row>
    <row r="28781" spans="1:38">
      <c r="A28781" s="182"/>
      <c r="Q28781" s="183"/>
      <c r="R28781" s="183"/>
      <c r="S28781" s="183"/>
      <c r="AK28781" s="183"/>
      <c r="AL28781" s="183"/>
    </row>
    <row r="28782" spans="1:38">
      <c r="A28782" s="182"/>
      <c r="Q28782" s="183"/>
      <c r="R28782" s="183"/>
      <c r="S28782" s="183"/>
      <c r="AJ28782" s="183"/>
      <c r="AK28782" s="183"/>
      <c r="AL28782" s="183"/>
    </row>
    <row r="28783" spans="1:38">
      <c r="A28783" s="182"/>
      <c r="Q28783" s="183"/>
      <c r="R28783" s="183"/>
      <c r="S28783" s="183"/>
      <c r="AJ28783" s="183"/>
      <c r="AK28783" s="183"/>
      <c r="AL28783" s="183"/>
    </row>
    <row r="28784" spans="1:38">
      <c r="A28784" s="182"/>
      <c r="Q28784" s="183"/>
      <c r="R28784" s="183"/>
      <c r="S28784" s="183"/>
      <c r="AJ28784" s="183"/>
      <c r="AK28784" s="183"/>
      <c r="AL28784" s="183"/>
    </row>
    <row r="28785" spans="1:36">
      <c r="A28785" s="182"/>
      <c r="Q28785" s="183"/>
      <c r="R28785" s="183"/>
      <c r="S28785" s="183"/>
      <c r="AJ28785" s="183"/>
    </row>
    <row r="28786" spans="1:36">
      <c r="A28786" s="182"/>
      <c r="Q28786" s="183"/>
      <c r="R28786" s="183"/>
      <c r="S28786" s="183"/>
    </row>
    <row r="28787" spans="1:36">
      <c r="A28787" s="182"/>
      <c r="Q28787" s="183"/>
      <c r="R28787" s="183"/>
      <c r="S28787" s="183"/>
    </row>
    <row r="28788" spans="1:36">
      <c r="A28788" s="182"/>
      <c r="Q28788" s="183"/>
      <c r="R28788" s="183"/>
      <c r="S28788" s="183"/>
    </row>
    <row r="28789" spans="1:36">
      <c r="A28789" s="182"/>
      <c r="Q28789" s="183"/>
      <c r="R28789" s="183"/>
      <c r="S28789" s="183"/>
    </row>
    <row r="28790" spans="1:36">
      <c r="A28790" s="182"/>
      <c r="Q28790" s="183"/>
      <c r="R28790" s="183"/>
      <c r="S28790" s="183"/>
    </row>
    <row r="28791" spans="1:36">
      <c r="A28791" s="182"/>
      <c r="Q28791" s="183"/>
      <c r="R28791" s="183"/>
      <c r="S28791" s="183"/>
    </row>
    <row r="28792" spans="1:36">
      <c r="A28792" s="182"/>
      <c r="Q28792" s="183"/>
      <c r="R28792" s="183"/>
      <c r="S28792" s="183"/>
    </row>
    <row r="28793" spans="1:36">
      <c r="A28793" s="182"/>
      <c r="Q28793" s="183"/>
      <c r="R28793" s="183"/>
      <c r="S28793" s="183"/>
    </row>
    <row r="28794" spans="1:36">
      <c r="A28794" s="182"/>
      <c r="Q28794" s="183"/>
      <c r="R28794" s="183"/>
      <c r="S28794" s="183"/>
    </row>
    <row r="28795" spans="1:36">
      <c r="A28795" s="182"/>
      <c r="Q28795" s="183"/>
      <c r="R28795" s="183"/>
      <c r="S28795" s="183"/>
    </row>
    <row r="28796" spans="1:36">
      <c r="A28796" s="182"/>
      <c r="Q28796" s="183"/>
      <c r="R28796" s="183"/>
      <c r="S28796" s="183"/>
    </row>
    <row r="28797" spans="1:36">
      <c r="A28797" s="182"/>
      <c r="Q28797" s="183"/>
      <c r="R28797" s="183"/>
      <c r="S28797" s="183"/>
    </row>
    <row r="28798" spans="1:36">
      <c r="A28798" s="182"/>
      <c r="Q28798" s="183"/>
      <c r="R28798" s="183"/>
      <c r="S28798" s="183"/>
    </row>
    <row r="28799" spans="1:36">
      <c r="A28799" s="182"/>
      <c r="Q28799" s="183"/>
      <c r="R28799" s="183"/>
      <c r="S28799" s="183"/>
    </row>
    <row r="28800" spans="1:36">
      <c r="A28800" s="182"/>
      <c r="Q28800" s="183"/>
      <c r="R28800" s="183"/>
      <c r="S28800" s="183"/>
    </row>
    <row r="28801" spans="1:38">
      <c r="A28801" s="182"/>
      <c r="Q28801" s="183"/>
      <c r="R28801" s="183"/>
      <c r="S28801" s="183"/>
      <c r="AK28801" s="183"/>
      <c r="AL28801" s="183"/>
    </row>
    <row r="28802" spans="1:38">
      <c r="A28802" s="182"/>
      <c r="Q28802" s="183"/>
      <c r="R28802" s="183"/>
      <c r="S28802" s="183"/>
      <c r="AJ28802" s="183"/>
      <c r="AK28802" s="183"/>
      <c r="AL28802" s="183"/>
    </row>
    <row r="28803" spans="1:38">
      <c r="A28803" s="182"/>
      <c r="Q28803" s="183"/>
      <c r="R28803" s="183"/>
      <c r="S28803" s="183"/>
      <c r="AJ28803" s="183"/>
      <c r="AK28803" s="183"/>
      <c r="AL28803" s="183"/>
    </row>
    <row r="28804" spans="1:38">
      <c r="A28804" s="182"/>
      <c r="Q28804" s="183"/>
      <c r="R28804" s="183"/>
      <c r="S28804" s="183"/>
      <c r="AJ28804" s="183"/>
      <c r="AK28804" s="183"/>
      <c r="AL28804" s="183"/>
    </row>
    <row r="28805" spans="1:38">
      <c r="A28805" s="182"/>
      <c r="Q28805" s="183"/>
      <c r="R28805" s="183"/>
      <c r="S28805" s="183"/>
      <c r="AJ28805" s="183"/>
      <c r="AK28805" s="183"/>
      <c r="AL28805" s="183"/>
    </row>
    <row r="28806" spans="1:38">
      <c r="A28806" s="182"/>
      <c r="Q28806" s="183"/>
      <c r="R28806" s="183"/>
      <c r="S28806" s="183"/>
      <c r="AJ28806" s="183"/>
      <c r="AK28806" s="183"/>
      <c r="AL28806" s="183"/>
    </row>
    <row r="28807" spans="1:38">
      <c r="A28807" s="182"/>
      <c r="Q28807" s="183"/>
      <c r="R28807" s="183"/>
      <c r="S28807" s="183"/>
      <c r="AJ28807" s="183"/>
      <c r="AK28807" s="183"/>
      <c r="AL28807" s="183"/>
    </row>
    <row r="28808" spans="1:38">
      <c r="A28808" s="182"/>
      <c r="Q28808" s="183"/>
      <c r="R28808" s="183"/>
      <c r="S28808" s="183"/>
      <c r="AJ28808" s="183"/>
      <c r="AK28808" s="183"/>
      <c r="AL28808" s="183"/>
    </row>
    <row r="28809" spans="1:38">
      <c r="A28809" s="182"/>
      <c r="Q28809" s="183"/>
      <c r="R28809" s="183"/>
      <c r="S28809" s="183"/>
      <c r="AJ28809" s="183"/>
      <c r="AK28809" s="183"/>
      <c r="AL28809" s="183"/>
    </row>
    <row r="28810" spans="1:38">
      <c r="A28810" s="182"/>
      <c r="Q28810" s="183"/>
      <c r="R28810" s="183"/>
      <c r="S28810" s="183"/>
      <c r="AJ28810" s="183"/>
      <c r="AK28810" s="183"/>
      <c r="AL28810" s="183"/>
    </row>
    <row r="28811" spans="1:38">
      <c r="A28811" s="182"/>
      <c r="Q28811" s="183"/>
      <c r="R28811" s="183"/>
      <c r="S28811" s="183"/>
      <c r="AJ28811" s="183"/>
      <c r="AK28811" s="183"/>
      <c r="AL28811" s="183"/>
    </row>
    <row r="28812" spans="1:38">
      <c r="A28812" s="182"/>
      <c r="Q28812" s="183"/>
      <c r="R28812" s="183"/>
      <c r="S28812" s="183"/>
      <c r="AJ28812" s="183"/>
      <c r="AK28812" s="183"/>
      <c r="AL28812" s="183"/>
    </row>
    <row r="28813" spans="1:38">
      <c r="A28813" s="182"/>
      <c r="Q28813" s="183"/>
      <c r="R28813" s="183"/>
      <c r="S28813" s="183"/>
      <c r="AJ28813" s="183"/>
    </row>
    <row r="28814" spans="1:38">
      <c r="A28814" s="182"/>
      <c r="Q28814" s="183"/>
      <c r="R28814" s="183"/>
      <c r="S28814" s="183"/>
    </row>
    <row r="28815" spans="1:38">
      <c r="A28815" s="182"/>
      <c r="Q28815" s="183"/>
      <c r="R28815" s="183"/>
      <c r="S28815" s="183"/>
    </row>
    <row r="28816" spans="1:38">
      <c r="A28816" s="182"/>
      <c r="Q28816" s="183"/>
      <c r="R28816" s="183"/>
      <c r="S28816" s="183"/>
    </row>
    <row r="28817" spans="1:38">
      <c r="A28817" s="182"/>
      <c r="Q28817" s="183"/>
      <c r="R28817" s="183"/>
      <c r="S28817" s="183"/>
      <c r="AK28817" s="183"/>
      <c r="AL28817" s="183"/>
    </row>
    <row r="28818" spans="1:38">
      <c r="A28818" s="182"/>
      <c r="Q28818" s="183"/>
      <c r="R28818" s="183"/>
      <c r="S28818" s="183"/>
      <c r="AJ28818" s="183"/>
      <c r="AK28818" s="183"/>
      <c r="AL28818" s="183"/>
    </row>
    <row r="28819" spans="1:38">
      <c r="A28819" s="182"/>
      <c r="Q28819" s="183"/>
      <c r="R28819" s="183"/>
      <c r="S28819" s="183"/>
      <c r="AJ28819" s="183"/>
      <c r="AK28819" s="183"/>
      <c r="AL28819" s="183"/>
    </row>
    <row r="28820" spans="1:38">
      <c r="A28820" s="182"/>
      <c r="Q28820" s="183"/>
      <c r="R28820" s="183"/>
      <c r="S28820" s="183"/>
      <c r="AJ28820" s="183"/>
      <c r="AK28820" s="183"/>
      <c r="AL28820" s="183"/>
    </row>
    <row r="28821" spans="1:38">
      <c r="A28821" s="182"/>
      <c r="Q28821" s="183"/>
      <c r="R28821" s="183"/>
      <c r="S28821" s="183"/>
      <c r="AJ28821" s="183"/>
    </row>
    <row r="28822" spans="1:38">
      <c r="A28822" s="182"/>
      <c r="Q28822" s="183"/>
      <c r="R28822" s="183"/>
      <c r="S28822" s="183"/>
    </row>
    <row r="28823" spans="1:38">
      <c r="A28823" s="182"/>
      <c r="Q28823" s="183"/>
      <c r="R28823" s="183"/>
      <c r="S28823" s="183"/>
    </row>
    <row r="28824" spans="1:38">
      <c r="A28824" s="182"/>
      <c r="Q28824" s="183"/>
      <c r="R28824" s="183"/>
      <c r="S28824" s="183"/>
    </row>
    <row r="28825" spans="1:38">
      <c r="A28825" s="182"/>
      <c r="Q28825" s="183"/>
      <c r="R28825" s="183"/>
      <c r="S28825" s="183"/>
      <c r="AK28825" s="183"/>
      <c r="AL28825" s="183"/>
    </row>
    <row r="28826" spans="1:38">
      <c r="A28826" s="182"/>
      <c r="Q28826" s="183"/>
      <c r="R28826" s="183"/>
      <c r="S28826" s="183"/>
      <c r="AJ28826" s="183"/>
      <c r="AK28826" s="183"/>
      <c r="AL28826" s="183"/>
    </row>
    <row r="28827" spans="1:38">
      <c r="A28827" s="182"/>
      <c r="Q28827" s="183"/>
      <c r="R28827" s="183"/>
      <c r="S28827" s="183"/>
      <c r="AJ28827" s="183"/>
      <c r="AK28827" s="183"/>
      <c r="AL28827" s="183"/>
    </row>
    <row r="28828" spans="1:38">
      <c r="A28828" s="182"/>
      <c r="Q28828" s="183"/>
      <c r="R28828" s="183"/>
      <c r="S28828" s="183"/>
      <c r="AJ28828" s="183"/>
      <c r="AK28828" s="183"/>
      <c r="AL28828" s="183"/>
    </row>
    <row r="28829" spans="1:38">
      <c r="A28829" s="182"/>
      <c r="Q28829" s="183"/>
      <c r="R28829" s="183"/>
      <c r="S28829" s="183"/>
      <c r="AJ28829" s="183"/>
    </row>
    <row r="28830" spans="1:38">
      <c r="A28830" s="182"/>
      <c r="Q28830" s="183"/>
      <c r="R28830" s="183"/>
      <c r="S28830" s="183"/>
    </row>
    <row r="28831" spans="1:38">
      <c r="A28831" s="182"/>
      <c r="Q28831" s="183"/>
      <c r="R28831" s="183"/>
      <c r="S28831" s="183"/>
    </row>
    <row r="28832" spans="1:38">
      <c r="A28832" s="182"/>
      <c r="Q28832" s="183"/>
      <c r="R28832" s="183"/>
      <c r="S28832" s="183"/>
    </row>
    <row r="28833" spans="1:38">
      <c r="A28833" s="182"/>
      <c r="Q28833" s="183"/>
      <c r="R28833" s="183"/>
      <c r="S28833" s="183"/>
    </row>
    <row r="28834" spans="1:38">
      <c r="A28834" s="182"/>
      <c r="Q28834" s="183"/>
      <c r="R28834" s="183"/>
      <c r="S28834" s="183"/>
    </row>
    <row r="28835" spans="1:38">
      <c r="A28835" s="182"/>
      <c r="Q28835" s="183"/>
      <c r="R28835" s="183"/>
      <c r="S28835" s="183"/>
    </row>
    <row r="28836" spans="1:38">
      <c r="A28836" s="182"/>
      <c r="Q28836" s="183"/>
      <c r="R28836" s="183"/>
      <c r="S28836" s="183"/>
    </row>
    <row r="28837" spans="1:38">
      <c r="A28837" s="182"/>
      <c r="Q28837" s="183"/>
      <c r="R28837" s="183"/>
      <c r="S28837" s="183"/>
    </row>
    <row r="28838" spans="1:38">
      <c r="A28838" s="182"/>
      <c r="Q28838" s="183"/>
      <c r="R28838" s="183"/>
      <c r="S28838" s="183"/>
    </row>
    <row r="28839" spans="1:38">
      <c r="A28839" s="182"/>
      <c r="Q28839" s="183"/>
      <c r="R28839" s="183"/>
      <c r="S28839" s="183"/>
    </row>
    <row r="28840" spans="1:38">
      <c r="A28840" s="182"/>
      <c r="Q28840" s="183"/>
      <c r="R28840" s="183"/>
      <c r="S28840" s="183"/>
    </row>
    <row r="28841" spans="1:38">
      <c r="A28841" s="182"/>
      <c r="Q28841" s="183"/>
      <c r="R28841" s="183"/>
      <c r="S28841" s="183"/>
    </row>
    <row r="28842" spans="1:38">
      <c r="A28842" s="182"/>
      <c r="Q28842" s="183"/>
      <c r="R28842" s="183"/>
      <c r="S28842" s="183"/>
    </row>
    <row r="28843" spans="1:38">
      <c r="A28843" s="182"/>
      <c r="Q28843" s="183"/>
      <c r="R28843" s="183"/>
      <c r="S28843" s="183"/>
    </row>
    <row r="28844" spans="1:38">
      <c r="A28844" s="182"/>
      <c r="Q28844" s="183"/>
      <c r="R28844" s="183"/>
      <c r="S28844" s="183"/>
    </row>
    <row r="28845" spans="1:38">
      <c r="A28845" s="182"/>
      <c r="Q28845" s="183"/>
      <c r="R28845" s="183"/>
      <c r="S28845" s="183"/>
      <c r="AK28845" s="183"/>
      <c r="AL28845" s="183"/>
    </row>
    <row r="28846" spans="1:38">
      <c r="A28846" s="182"/>
      <c r="Q28846" s="183"/>
      <c r="R28846" s="183"/>
      <c r="S28846" s="183"/>
      <c r="AJ28846" s="183"/>
      <c r="AK28846" s="183"/>
      <c r="AL28846" s="183"/>
    </row>
    <row r="28847" spans="1:38">
      <c r="A28847" s="182"/>
      <c r="Q28847" s="183"/>
      <c r="R28847" s="183"/>
      <c r="S28847" s="183"/>
      <c r="AJ28847" s="183"/>
      <c r="AK28847" s="183"/>
      <c r="AL28847" s="183"/>
    </row>
    <row r="28848" spans="1:38">
      <c r="A28848" s="182"/>
      <c r="Q28848" s="183"/>
      <c r="R28848" s="183"/>
      <c r="S28848" s="183"/>
      <c r="AJ28848" s="183"/>
      <c r="AK28848" s="183"/>
      <c r="AL28848" s="183"/>
    </row>
    <row r="28849" spans="1:36">
      <c r="A28849" s="182"/>
      <c r="Q28849" s="183"/>
      <c r="R28849" s="183"/>
      <c r="S28849" s="183"/>
      <c r="AJ28849" s="183"/>
    </row>
    <row r="28850" spans="1:36">
      <c r="A28850" s="182"/>
      <c r="Q28850" s="183"/>
      <c r="R28850" s="183"/>
      <c r="S28850" s="183"/>
    </row>
    <row r="28851" spans="1:36">
      <c r="A28851" s="182"/>
      <c r="Q28851" s="183"/>
      <c r="R28851" s="183"/>
      <c r="S28851" s="183"/>
    </row>
    <row r="28852" spans="1:36">
      <c r="A28852" s="182"/>
      <c r="Q28852" s="183"/>
      <c r="R28852" s="183"/>
      <c r="S28852" s="183"/>
    </row>
    <row r="28853" spans="1:36">
      <c r="A28853" s="182"/>
      <c r="Q28853" s="183"/>
      <c r="R28853" s="183"/>
      <c r="S28853" s="183"/>
    </row>
    <row r="28854" spans="1:36">
      <c r="A28854" s="182"/>
      <c r="Q28854" s="183"/>
      <c r="R28854" s="183"/>
      <c r="S28854" s="183"/>
    </row>
    <row r="28855" spans="1:36">
      <c r="A28855" s="182"/>
      <c r="Q28855" s="183"/>
      <c r="R28855" s="183"/>
      <c r="S28855" s="183"/>
    </row>
    <row r="28856" spans="1:36">
      <c r="A28856" s="182"/>
      <c r="Q28856" s="183"/>
      <c r="R28856" s="183"/>
      <c r="S28856" s="183"/>
    </row>
    <row r="28857" spans="1:36">
      <c r="A28857" s="182"/>
      <c r="Q28857" s="183"/>
      <c r="R28857" s="183"/>
      <c r="S28857" s="183"/>
    </row>
    <row r="28858" spans="1:36">
      <c r="A28858" s="182"/>
      <c r="Q28858" s="183"/>
      <c r="R28858" s="183"/>
      <c r="S28858" s="183"/>
    </row>
    <row r="28859" spans="1:36">
      <c r="A28859" s="182"/>
      <c r="Q28859" s="183"/>
      <c r="R28859" s="183"/>
      <c r="S28859" s="183"/>
    </row>
    <row r="28860" spans="1:36">
      <c r="A28860" s="182"/>
      <c r="Q28860" s="183"/>
      <c r="R28860" s="183"/>
      <c r="S28860" s="183"/>
    </row>
    <row r="28861" spans="1:36">
      <c r="A28861" s="182"/>
      <c r="Q28861" s="183"/>
      <c r="R28861" s="183"/>
      <c r="S28861" s="183"/>
    </row>
    <row r="28862" spans="1:36">
      <c r="A28862" s="182"/>
      <c r="Q28862" s="183"/>
      <c r="R28862" s="183"/>
      <c r="S28862" s="183"/>
    </row>
    <row r="28863" spans="1:36">
      <c r="A28863" s="182"/>
      <c r="Q28863" s="183"/>
      <c r="R28863" s="183"/>
      <c r="S28863" s="183"/>
    </row>
    <row r="28864" spans="1:36">
      <c r="A28864" s="182"/>
      <c r="Q28864" s="183"/>
      <c r="R28864" s="183"/>
      <c r="S28864" s="183"/>
    </row>
    <row r="28865" spans="1:38">
      <c r="A28865" s="182"/>
      <c r="Q28865" s="183"/>
      <c r="R28865" s="183"/>
      <c r="S28865" s="183"/>
    </row>
    <row r="28866" spans="1:38">
      <c r="A28866" s="182"/>
      <c r="Q28866" s="183"/>
      <c r="R28866" s="183"/>
      <c r="S28866" s="183"/>
    </row>
    <row r="28867" spans="1:38">
      <c r="A28867" s="182"/>
      <c r="Q28867" s="183"/>
      <c r="R28867" s="183"/>
      <c r="S28867" s="183"/>
    </row>
    <row r="28868" spans="1:38">
      <c r="A28868" s="182"/>
      <c r="Q28868" s="183"/>
      <c r="R28868" s="183"/>
      <c r="S28868" s="183"/>
    </row>
    <row r="28869" spans="1:38">
      <c r="A28869" s="182"/>
      <c r="Q28869" s="183"/>
      <c r="R28869" s="183"/>
      <c r="S28869" s="183"/>
    </row>
    <row r="28870" spans="1:38">
      <c r="A28870" s="182"/>
      <c r="Q28870" s="183"/>
      <c r="R28870" s="183"/>
      <c r="S28870" s="183"/>
    </row>
    <row r="28871" spans="1:38">
      <c r="A28871" s="182"/>
      <c r="Q28871" s="183"/>
      <c r="R28871" s="183"/>
      <c r="S28871" s="183"/>
    </row>
    <row r="28872" spans="1:38">
      <c r="A28872" s="182"/>
      <c r="Q28872" s="183"/>
      <c r="R28872" s="183"/>
      <c r="S28872" s="183"/>
    </row>
    <row r="28873" spans="1:38">
      <c r="A28873" s="182"/>
      <c r="Q28873" s="183"/>
      <c r="R28873" s="183"/>
      <c r="S28873" s="183"/>
      <c r="AK28873" s="183"/>
      <c r="AL28873" s="183"/>
    </row>
    <row r="28874" spans="1:38">
      <c r="A28874" s="182"/>
      <c r="Q28874" s="183"/>
      <c r="R28874" s="183"/>
      <c r="S28874" s="183"/>
      <c r="AJ28874" s="183"/>
      <c r="AK28874" s="183"/>
      <c r="AL28874" s="183"/>
    </row>
    <row r="28875" spans="1:38">
      <c r="A28875" s="182"/>
      <c r="Q28875" s="183"/>
      <c r="R28875" s="183"/>
      <c r="S28875" s="183"/>
      <c r="AJ28875" s="183"/>
      <c r="AK28875" s="183"/>
      <c r="AL28875" s="183"/>
    </row>
    <row r="28876" spans="1:38">
      <c r="A28876" s="182"/>
      <c r="Q28876" s="183"/>
      <c r="R28876" s="183"/>
      <c r="S28876" s="183"/>
      <c r="AJ28876" s="183"/>
      <c r="AK28876" s="183"/>
      <c r="AL28876" s="183"/>
    </row>
    <row r="28877" spans="1:38">
      <c r="A28877" s="182"/>
      <c r="Q28877" s="183"/>
      <c r="R28877" s="183"/>
      <c r="S28877" s="183"/>
      <c r="AJ28877" s="183"/>
    </row>
    <row r="28878" spans="1:38">
      <c r="A28878" s="182"/>
      <c r="M28878" s="183"/>
      <c r="N28878" s="183"/>
      <c r="Q28878" s="183"/>
      <c r="R28878" s="183"/>
      <c r="S28878" s="183"/>
    </row>
    <row r="28879" spans="1:38">
      <c r="A28879" s="182"/>
      <c r="L28879" s="183"/>
      <c r="Q28879" s="183"/>
      <c r="R28879" s="183"/>
      <c r="S28879" s="183"/>
    </row>
    <row r="28880" spans="1:38">
      <c r="A28880" s="182"/>
      <c r="Q28880" s="183"/>
      <c r="R28880" s="183"/>
      <c r="S28880" s="183"/>
    </row>
    <row r="28881" spans="1:38">
      <c r="A28881" s="182"/>
      <c r="Q28881" s="183"/>
      <c r="R28881" s="183"/>
      <c r="S28881" s="183"/>
    </row>
    <row r="28882" spans="1:38">
      <c r="A28882" s="182"/>
      <c r="Q28882" s="183"/>
      <c r="R28882" s="183"/>
      <c r="S28882" s="183"/>
    </row>
    <row r="28883" spans="1:38">
      <c r="A28883" s="182"/>
      <c r="Q28883" s="183"/>
      <c r="R28883" s="183"/>
      <c r="S28883" s="183"/>
    </row>
    <row r="28884" spans="1:38">
      <c r="A28884" s="182"/>
      <c r="Q28884" s="183"/>
      <c r="R28884" s="183"/>
      <c r="S28884" s="183"/>
    </row>
    <row r="28885" spans="1:38">
      <c r="A28885" s="182"/>
      <c r="Q28885" s="183"/>
      <c r="R28885" s="183"/>
      <c r="S28885" s="183"/>
    </row>
    <row r="28886" spans="1:38">
      <c r="A28886" s="182"/>
      <c r="Q28886" s="183"/>
      <c r="R28886" s="183"/>
      <c r="S28886" s="183"/>
    </row>
    <row r="28887" spans="1:38">
      <c r="A28887" s="182"/>
      <c r="Q28887" s="183"/>
      <c r="R28887" s="183"/>
      <c r="S28887" s="183"/>
    </row>
    <row r="28888" spans="1:38">
      <c r="A28888" s="182"/>
      <c r="Q28888" s="183"/>
      <c r="R28888" s="183"/>
      <c r="S28888" s="183"/>
    </row>
    <row r="28889" spans="1:38">
      <c r="A28889" s="182"/>
      <c r="Q28889" s="183"/>
      <c r="R28889" s="183"/>
      <c r="S28889" s="183"/>
    </row>
    <row r="28890" spans="1:38">
      <c r="A28890" s="182"/>
      <c r="Q28890" s="183"/>
      <c r="R28890" s="183"/>
      <c r="S28890" s="183"/>
    </row>
    <row r="28891" spans="1:38">
      <c r="A28891" s="182"/>
      <c r="Q28891" s="183"/>
      <c r="R28891" s="183"/>
      <c r="S28891" s="183"/>
    </row>
    <row r="28892" spans="1:38">
      <c r="A28892" s="182"/>
      <c r="Q28892" s="183"/>
      <c r="R28892" s="183"/>
      <c r="S28892" s="183"/>
    </row>
    <row r="28893" spans="1:38">
      <c r="A28893" s="182"/>
      <c r="Q28893" s="183"/>
      <c r="R28893" s="183"/>
      <c r="S28893" s="183"/>
      <c r="AK28893" s="183"/>
      <c r="AL28893" s="183"/>
    </row>
    <row r="28894" spans="1:38">
      <c r="A28894" s="182"/>
      <c r="Q28894" s="183"/>
      <c r="R28894" s="183"/>
      <c r="S28894" s="183"/>
      <c r="AJ28894" s="183"/>
      <c r="AK28894" s="183"/>
      <c r="AL28894" s="183"/>
    </row>
    <row r="28895" spans="1:38">
      <c r="A28895" s="182"/>
      <c r="Q28895" s="183"/>
      <c r="R28895" s="183"/>
      <c r="S28895" s="183"/>
      <c r="AJ28895" s="183"/>
      <c r="AK28895" s="183"/>
      <c r="AL28895" s="183"/>
    </row>
    <row r="28896" spans="1:38">
      <c r="A28896" s="182"/>
      <c r="Q28896" s="183"/>
      <c r="R28896" s="183"/>
      <c r="S28896" s="183"/>
      <c r="AJ28896" s="183"/>
      <c r="AK28896" s="183"/>
      <c r="AL28896" s="183"/>
    </row>
    <row r="28897" spans="1:36">
      <c r="A28897" s="182"/>
      <c r="Q28897" s="183"/>
      <c r="R28897" s="183"/>
      <c r="S28897" s="183"/>
      <c r="AJ28897" s="183"/>
    </row>
    <row r="28898" spans="1:36">
      <c r="A28898" s="182"/>
      <c r="Q28898" s="183"/>
      <c r="R28898" s="183"/>
      <c r="S28898" s="183"/>
    </row>
    <row r="28899" spans="1:36">
      <c r="A28899" s="182"/>
      <c r="Q28899" s="183"/>
      <c r="R28899" s="183"/>
      <c r="S28899" s="183"/>
    </row>
    <row r="28900" spans="1:36">
      <c r="A28900" s="182"/>
      <c r="Q28900" s="183"/>
      <c r="R28900" s="183"/>
      <c r="S28900" s="183"/>
    </row>
    <row r="28901" spans="1:36">
      <c r="A28901" s="182"/>
      <c r="Q28901" s="183"/>
      <c r="R28901" s="183"/>
      <c r="S28901" s="183"/>
    </row>
    <row r="28902" spans="1:36">
      <c r="A28902" s="182"/>
      <c r="Q28902" s="183"/>
      <c r="R28902" s="183"/>
      <c r="S28902" s="183"/>
    </row>
    <row r="28903" spans="1:36">
      <c r="A28903" s="182"/>
      <c r="Q28903" s="183"/>
      <c r="R28903" s="183"/>
      <c r="S28903" s="183"/>
    </row>
    <row r="28904" spans="1:36">
      <c r="A28904" s="182"/>
      <c r="Q28904" s="183"/>
      <c r="R28904" s="183"/>
      <c r="S28904" s="183"/>
    </row>
    <row r="28905" spans="1:36">
      <c r="A28905" s="182"/>
      <c r="Q28905" s="183"/>
      <c r="R28905" s="183"/>
      <c r="S28905" s="183"/>
    </row>
    <row r="28906" spans="1:36">
      <c r="A28906" s="182"/>
      <c r="Q28906" s="183"/>
      <c r="R28906" s="183"/>
      <c r="S28906" s="183"/>
    </row>
    <row r="28907" spans="1:36">
      <c r="A28907" s="182"/>
      <c r="Q28907" s="183"/>
      <c r="R28907" s="183"/>
      <c r="S28907" s="183"/>
    </row>
    <row r="28908" spans="1:36">
      <c r="A28908" s="182"/>
      <c r="Q28908" s="183"/>
      <c r="R28908" s="183"/>
      <c r="S28908" s="183"/>
    </row>
    <row r="28909" spans="1:36">
      <c r="A28909" s="182"/>
      <c r="Q28909" s="183"/>
      <c r="R28909" s="183"/>
      <c r="S28909" s="183"/>
    </row>
    <row r="28910" spans="1:36">
      <c r="A28910" s="182"/>
      <c r="Q28910" s="183"/>
      <c r="R28910" s="183"/>
      <c r="S28910" s="183"/>
    </row>
    <row r="28911" spans="1:36">
      <c r="A28911" s="182"/>
      <c r="Q28911" s="183"/>
      <c r="R28911" s="183"/>
      <c r="S28911" s="183"/>
    </row>
    <row r="28912" spans="1:36">
      <c r="A28912" s="182"/>
      <c r="Q28912" s="183"/>
      <c r="R28912" s="183"/>
      <c r="S28912" s="183"/>
    </row>
    <row r="28913" spans="1:38">
      <c r="A28913" s="182"/>
      <c r="Q28913" s="183"/>
      <c r="R28913" s="183"/>
      <c r="S28913" s="183"/>
    </row>
    <row r="28914" spans="1:38">
      <c r="A28914" s="182"/>
      <c r="Q28914" s="183"/>
      <c r="R28914" s="183"/>
      <c r="S28914" s="183"/>
    </row>
    <row r="28915" spans="1:38">
      <c r="A28915" s="182"/>
      <c r="Q28915" s="183"/>
      <c r="R28915" s="183"/>
      <c r="S28915" s="183"/>
    </row>
    <row r="28916" spans="1:38">
      <c r="A28916" s="182"/>
      <c r="Q28916" s="183"/>
      <c r="R28916" s="183"/>
      <c r="S28916" s="183"/>
    </row>
    <row r="28917" spans="1:38">
      <c r="A28917" s="182"/>
      <c r="Q28917" s="183"/>
      <c r="R28917" s="183"/>
      <c r="S28917" s="183"/>
    </row>
    <row r="28918" spans="1:38">
      <c r="A28918" s="182"/>
      <c r="Q28918" s="183"/>
      <c r="R28918" s="183"/>
      <c r="S28918" s="183"/>
    </row>
    <row r="28919" spans="1:38">
      <c r="A28919" s="182"/>
      <c r="Q28919" s="183"/>
      <c r="R28919" s="183"/>
      <c r="S28919" s="183"/>
    </row>
    <row r="28920" spans="1:38">
      <c r="A28920" s="182"/>
      <c r="Q28920" s="183"/>
      <c r="R28920" s="183"/>
      <c r="S28920" s="183"/>
    </row>
    <row r="28921" spans="1:38">
      <c r="A28921" s="182"/>
      <c r="Q28921" s="183"/>
      <c r="R28921" s="183"/>
      <c r="S28921" s="183"/>
      <c r="AK28921" s="183"/>
      <c r="AL28921" s="183"/>
    </row>
    <row r="28922" spans="1:38">
      <c r="A28922" s="182"/>
      <c r="Q28922" s="183"/>
      <c r="R28922" s="183"/>
      <c r="S28922" s="183"/>
      <c r="AJ28922" s="183"/>
      <c r="AK28922" s="183"/>
      <c r="AL28922" s="183"/>
    </row>
    <row r="28923" spans="1:38">
      <c r="A28923" s="182"/>
      <c r="Q28923" s="183"/>
      <c r="R28923" s="183"/>
      <c r="S28923" s="183"/>
      <c r="AJ28923" s="183"/>
      <c r="AK28923" s="183"/>
      <c r="AL28923" s="183"/>
    </row>
    <row r="28924" spans="1:38">
      <c r="A28924" s="182"/>
      <c r="Q28924" s="183"/>
      <c r="R28924" s="183"/>
      <c r="S28924" s="183"/>
      <c r="AJ28924" s="183"/>
      <c r="AK28924" s="183"/>
      <c r="AL28924" s="183"/>
    </row>
    <row r="28925" spans="1:38">
      <c r="A28925" s="182"/>
      <c r="Q28925" s="183"/>
      <c r="R28925" s="183"/>
      <c r="S28925" s="183"/>
      <c r="AJ28925" s="183"/>
    </row>
    <row r="28926" spans="1:38">
      <c r="A28926" s="182"/>
      <c r="Q28926" s="183"/>
      <c r="R28926" s="183"/>
      <c r="S28926" s="183"/>
    </row>
    <row r="28927" spans="1:38">
      <c r="A28927" s="182"/>
      <c r="Q28927" s="183"/>
      <c r="R28927" s="183"/>
      <c r="S28927" s="183"/>
    </row>
    <row r="28928" spans="1:38">
      <c r="A28928" s="182"/>
      <c r="Q28928" s="183"/>
      <c r="R28928" s="183"/>
      <c r="S28928" s="183"/>
    </row>
    <row r="28929" spans="1:38">
      <c r="A28929" s="182"/>
      <c r="Q28929" s="183"/>
      <c r="R28929" s="183"/>
      <c r="S28929" s="183"/>
    </row>
    <row r="28930" spans="1:38">
      <c r="A28930" s="182"/>
      <c r="Q28930" s="183"/>
      <c r="R28930" s="183"/>
      <c r="S28930" s="183"/>
    </row>
    <row r="28931" spans="1:38">
      <c r="A28931" s="182"/>
      <c r="Q28931" s="183"/>
      <c r="R28931" s="183"/>
      <c r="S28931" s="183"/>
    </row>
    <row r="28932" spans="1:38">
      <c r="A28932" s="182"/>
      <c r="Q28932" s="183"/>
      <c r="R28932" s="183"/>
      <c r="S28932" s="183"/>
    </row>
    <row r="28933" spans="1:38">
      <c r="A28933" s="182"/>
      <c r="Q28933" s="183"/>
      <c r="R28933" s="183"/>
      <c r="S28933" s="183"/>
    </row>
    <row r="28934" spans="1:38">
      <c r="A28934" s="182"/>
      <c r="Q28934" s="183"/>
      <c r="R28934" s="183"/>
      <c r="S28934" s="183"/>
    </row>
    <row r="28935" spans="1:38">
      <c r="A28935" s="182"/>
      <c r="Q28935" s="183"/>
      <c r="R28935" s="183"/>
      <c r="S28935" s="183"/>
    </row>
    <row r="28936" spans="1:38">
      <c r="A28936" s="182"/>
      <c r="Q28936" s="183"/>
      <c r="R28936" s="183"/>
      <c r="S28936" s="183"/>
    </row>
    <row r="28937" spans="1:38">
      <c r="A28937" s="182"/>
      <c r="Q28937" s="183"/>
      <c r="R28937" s="183"/>
      <c r="S28937" s="183"/>
      <c r="AK28937" s="183"/>
      <c r="AL28937" s="183"/>
    </row>
    <row r="28938" spans="1:38">
      <c r="A28938" s="182"/>
      <c r="Q28938" s="183"/>
      <c r="R28938" s="183"/>
      <c r="S28938" s="183"/>
      <c r="AJ28938" s="183"/>
      <c r="AK28938" s="183"/>
      <c r="AL28938" s="183"/>
    </row>
    <row r="28939" spans="1:38">
      <c r="A28939" s="182"/>
      <c r="Q28939" s="183"/>
      <c r="R28939" s="183"/>
      <c r="S28939" s="183"/>
      <c r="AJ28939" s="183"/>
      <c r="AK28939" s="183"/>
      <c r="AL28939" s="183"/>
    </row>
    <row r="28940" spans="1:38">
      <c r="A28940" s="182"/>
      <c r="Q28940" s="183"/>
      <c r="R28940" s="183"/>
      <c r="S28940" s="183"/>
      <c r="AJ28940" s="183"/>
      <c r="AK28940" s="183"/>
      <c r="AL28940" s="183"/>
    </row>
    <row r="28941" spans="1:38">
      <c r="A28941" s="182"/>
      <c r="Q28941" s="183"/>
      <c r="R28941" s="183"/>
      <c r="S28941" s="183"/>
      <c r="AJ28941" s="183"/>
    </row>
    <row r="28942" spans="1:38">
      <c r="A28942" s="182"/>
      <c r="Q28942" s="183"/>
      <c r="R28942" s="183"/>
      <c r="S28942" s="183"/>
    </row>
    <row r="28943" spans="1:38">
      <c r="A28943" s="182"/>
      <c r="Q28943" s="183"/>
      <c r="R28943" s="183"/>
      <c r="S28943" s="183"/>
    </row>
    <row r="28944" spans="1:38">
      <c r="A28944" s="182"/>
      <c r="Q28944" s="183"/>
      <c r="R28944" s="183"/>
      <c r="S28944" s="183"/>
    </row>
    <row r="28945" spans="1:19">
      <c r="A28945" s="182"/>
      <c r="Q28945" s="183"/>
      <c r="R28945" s="183"/>
      <c r="S28945" s="183"/>
    </row>
    <row r="28946" spans="1:19">
      <c r="A28946" s="182"/>
      <c r="Q28946" s="183"/>
      <c r="R28946" s="183"/>
      <c r="S28946" s="183"/>
    </row>
    <row r="28947" spans="1:19">
      <c r="A28947" s="182"/>
      <c r="Q28947" s="183"/>
      <c r="R28947" s="183"/>
      <c r="S28947" s="183"/>
    </row>
    <row r="28948" spans="1:19">
      <c r="A28948" s="182"/>
      <c r="Q28948" s="183"/>
      <c r="R28948" s="183"/>
      <c r="S28948" s="183"/>
    </row>
    <row r="28949" spans="1:19">
      <c r="A28949" s="182"/>
      <c r="Q28949" s="183"/>
      <c r="R28949" s="183"/>
      <c r="S28949" s="183"/>
    </row>
    <row r="28950" spans="1:19">
      <c r="A28950" s="182"/>
      <c r="Q28950" s="183"/>
      <c r="R28950" s="183"/>
      <c r="S28950" s="183"/>
    </row>
    <row r="28951" spans="1:19">
      <c r="A28951" s="182"/>
      <c r="Q28951" s="183"/>
      <c r="R28951" s="183"/>
      <c r="S28951" s="183"/>
    </row>
    <row r="28952" spans="1:19">
      <c r="A28952" s="182"/>
      <c r="Q28952" s="183"/>
      <c r="R28952" s="183"/>
      <c r="S28952" s="183"/>
    </row>
    <row r="28953" spans="1:19">
      <c r="A28953" s="182"/>
      <c r="Q28953" s="183"/>
      <c r="R28953" s="183"/>
      <c r="S28953" s="183"/>
    </row>
    <row r="28954" spans="1:19">
      <c r="A28954" s="182"/>
      <c r="Q28954" s="183"/>
      <c r="R28954" s="183"/>
      <c r="S28954" s="183"/>
    </row>
    <row r="28955" spans="1:19">
      <c r="A28955" s="182"/>
      <c r="Q28955" s="183"/>
      <c r="R28955" s="183"/>
      <c r="S28955" s="183"/>
    </row>
    <row r="28956" spans="1:19">
      <c r="A28956" s="182"/>
      <c r="Q28956" s="183"/>
      <c r="R28956" s="183"/>
      <c r="S28956" s="183"/>
    </row>
    <row r="28957" spans="1:19">
      <c r="A28957" s="182"/>
      <c r="Q28957" s="183"/>
      <c r="R28957" s="183"/>
      <c r="S28957" s="183"/>
    </row>
    <row r="28958" spans="1:19">
      <c r="A28958" s="182"/>
      <c r="Q28958" s="183"/>
      <c r="R28958" s="183"/>
      <c r="S28958" s="183"/>
    </row>
    <row r="28959" spans="1:19">
      <c r="A28959" s="182"/>
      <c r="Q28959" s="183"/>
      <c r="R28959" s="183"/>
      <c r="S28959" s="183"/>
    </row>
    <row r="28960" spans="1:19">
      <c r="A28960" s="182"/>
      <c r="Q28960" s="183"/>
      <c r="R28960" s="183"/>
      <c r="S28960" s="183"/>
    </row>
    <row r="28961" spans="1:19">
      <c r="A28961" s="182"/>
      <c r="Q28961" s="183"/>
      <c r="R28961" s="183"/>
      <c r="S28961" s="183"/>
    </row>
    <row r="28962" spans="1:19">
      <c r="A28962" s="182"/>
      <c r="Q28962" s="183"/>
      <c r="R28962" s="183"/>
      <c r="S28962" s="183"/>
    </row>
    <row r="28963" spans="1:19">
      <c r="A28963" s="182"/>
      <c r="Q28963" s="183"/>
      <c r="R28963" s="183"/>
      <c r="S28963" s="183"/>
    </row>
    <row r="28964" spans="1:19">
      <c r="A28964" s="182"/>
      <c r="Q28964" s="183"/>
      <c r="R28964" s="183"/>
      <c r="S28964" s="183"/>
    </row>
    <row r="28965" spans="1:19">
      <c r="A28965" s="182"/>
      <c r="Q28965" s="183"/>
      <c r="R28965" s="183"/>
      <c r="S28965" s="183"/>
    </row>
    <row r="28966" spans="1:19">
      <c r="A28966" s="182"/>
      <c r="Q28966" s="183"/>
      <c r="R28966" s="183"/>
      <c r="S28966" s="183"/>
    </row>
    <row r="28967" spans="1:19">
      <c r="A28967" s="182"/>
      <c r="Q28967" s="183"/>
      <c r="R28967" s="183"/>
      <c r="S28967" s="183"/>
    </row>
    <row r="28968" spans="1:19">
      <c r="A28968" s="182"/>
      <c r="Q28968" s="183"/>
      <c r="R28968" s="183"/>
      <c r="S28968" s="183"/>
    </row>
    <row r="28969" spans="1:19">
      <c r="A28969" s="182"/>
      <c r="Q28969" s="183"/>
      <c r="R28969" s="183"/>
      <c r="S28969" s="183"/>
    </row>
    <row r="28970" spans="1:19">
      <c r="A28970" s="182"/>
      <c r="Q28970" s="183"/>
      <c r="R28970" s="183"/>
      <c r="S28970" s="183"/>
    </row>
    <row r="28971" spans="1:19">
      <c r="A28971" s="182"/>
      <c r="Q28971" s="183"/>
      <c r="R28971" s="183"/>
      <c r="S28971" s="183"/>
    </row>
    <row r="28972" spans="1:19">
      <c r="A28972" s="182"/>
      <c r="Q28972" s="183"/>
      <c r="R28972" s="183"/>
      <c r="S28972" s="183"/>
    </row>
    <row r="28973" spans="1:19">
      <c r="A28973" s="182"/>
      <c r="Q28973" s="183"/>
      <c r="R28973" s="183"/>
      <c r="S28973" s="183"/>
    </row>
    <row r="28974" spans="1:19">
      <c r="A28974" s="182"/>
      <c r="Q28974" s="183"/>
      <c r="R28974" s="183"/>
      <c r="S28974" s="183"/>
    </row>
    <row r="28975" spans="1:19">
      <c r="A28975" s="182"/>
      <c r="Q28975" s="183"/>
      <c r="R28975" s="183"/>
      <c r="S28975" s="183"/>
    </row>
    <row r="28976" spans="1:19">
      <c r="A28976" s="182"/>
      <c r="Q28976" s="183"/>
      <c r="R28976" s="183"/>
      <c r="S28976" s="183"/>
    </row>
    <row r="28977" spans="1:38">
      <c r="A28977" s="182"/>
      <c r="Q28977" s="183"/>
      <c r="R28977" s="183"/>
      <c r="S28977" s="183"/>
      <c r="AK28977" s="183"/>
      <c r="AL28977" s="183"/>
    </row>
    <row r="28978" spans="1:38">
      <c r="A28978" s="182"/>
      <c r="Q28978" s="183"/>
      <c r="R28978" s="183"/>
      <c r="S28978" s="183"/>
      <c r="AJ28978" s="183"/>
      <c r="AK28978" s="183"/>
      <c r="AL28978" s="183"/>
    </row>
    <row r="28979" spans="1:38">
      <c r="A28979" s="182"/>
      <c r="Q28979" s="183"/>
      <c r="R28979" s="183"/>
      <c r="S28979" s="183"/>
      <c r="AJ28979" s="183"/>
      <c r="AK28979" s="183"/>
      <c r="AL28979" s="183"/>
    </row>
    <row r="28980" spans="1:38">
      <c r="A28980" s="182"/>
      <c r="Q28980" s="183"/>
      <c r="R28980" s="183"/>
      <c r="S28980" s="183"/>
      <c r="AJ28980" s="183"/>
      <c r="AK28980" s="183"/>
      <c r="AL28980" s="183"/>
    </row>
    <row r="28981" spans="1:38">
      <c r="A28981" s="182"/>
      <c r="Q28981" s="183"/>
      <c r="R28981" s="183"/>
      <c r="S28981" s="183"/>
      <c r="AJ28981" s="183"/>
    </row>
    <row r="28982" spans="1:38">
      <c r="A28982" s="182"/>
      <c r="Q28982" s="183"/>
      <c r="R28982" s="183"/>
      <c r="S28982" s="183"/>
    </row>
    <row r="28983" spans="1:38">
      <c r="A28983" s="182"/>
      <c r="Q28983" s="183"/>
      <c r="R28983" s="183"/>
      <c r="S28983" s="183"/>
    </row>
    <row r="28984" spans="1:38">
      <c r="A28984" s="182"/>
      <c r="Q28984" s="183"/>
      <c r="R28984" s="183"/>
      <c r="S28984" s="183"/>
    </row>
    <row r="28985" spans="1:38">
      <c r="A28985" s="182"/>
      <c r="Q28985" s="183"/>
      <c r="R28985" s="183"/>
      <c r="S28985" s="183"/>
    </row>
    <row r="28986" spans="1:38">
      <c r="A28986" s="182"/>
      <c r="Q28986" s="183"/>
      <c r="R28986" s="183"/>
      <c r="S28986" s="183"/>
    </row>
    <row r="28987" spans="1:38">
      <c r="A28987" s="182"/>
      <c r="Q28987" s="183"/>
      <c r="R28987" s="183"/>
      <c r="S28987" s="183"/>
    </row>
    <row r="28988" spans="1:38">
      <c r="A28988" s="182"/>
      <c r="Q28988" s="183"/>
      <c r="R28988" s="183"/>
      <c r="S28988" s="183"/>
    </row>
    <row r="28989" spans="1:38">
      <c r="A28989" s="182"/>
      <c r="Q28989" s="183"/>
      <c r="R28989" s="183"/>
      <c r="S28989" s="183"/>
    </row>
    <row r="28990" spans="1:38">
      <c r="A28990" s="182"/>
      <c r="Q28990" s="183"/>
      <c r="R28990" s="183"/>
      <c r="S28990" s="183"/>
    </row>
    <row r="28991" spans="1:38">
      <c r="A28991" s="182"/>
      <c r="Q28991" s="183"/>
      <c r="R28991" s="183"/>
      <c r="S28991" s="183"/>
    </row>
    <row r="28992" spans="1:38">
      <c r="A28992" s="182"/>
      <c r="Q28992" s="183"/>
      <c r="R28992" s="183"/>
      <c r="S28992" s="183"/>
    </row>
    <row r="28993" spans="1:38">
      <c r="A28993" s="182"/>
      <c r="Q28993" s="183"/>
      <c r="R28993" s="183"/>
      <c r="S28993" s="183"/>
    </row>
    <row r="28994" spans="1:38">
      <c r="A28994" s="182"/>
      <c r="Q28994" s="183"/>
      <c r="R28994" s="183"/>
      <c r="S28994" s="183"/>
    </row>
    <row r="28995" spans="1:38">
      <c r="A28995" s="182"/>
      <c r="Q28995" s="183"/>
      <c r="R28995" s="183"/>
      <c r="S28995" s="183"/>
    </row>
    <row r="28996" spans="1:38">
      <c r="A28996" s="182"/>
      <c r="Q28996" s="183"/>
      <c r="R28996" s="183"/>
      <c r="S28996" s="183"/>
    </row>
    <row r="28997" spans="1:38">
      <c r="A28997" s="182"/>
      <c r="Q28997" s="183"/>
      <c r="R28997" s="183"/>
      <c r="S28997" s="183"/>
    </row>
    <row r="28998" spans="1:38">
      <c r="A28998" s="182"/>
      <c r="Q28998" s="183"/>
      <c r="R28998" s="183"/>
      <c r="S28998" s="183"/>
    </row>
    <row r="28999" spans="1:38">
      <c r="A28999" s="182"/>
      <c r="Q28999" s="183"/>
      <c r="R28999" s="183"/>
      <c r="S28999" s="183"/>
    </row>
    <row r="29000" spans="1:38">
      <c r="A29000" s="182"/>
      <c r="Q29000" s="183"/>
      <c r="R29000" s="183"/>
      <c r="S29000" s="183"/>
    </row>
    <row r="29001" spans="1:38">
      <c r="A29001" s="182"/>
      <c r="Q29001" s="183"/>
      <c r="R29001" s="183"/>
      <c r="S29001" s="183"/>
      <c r="AK29001" s="183"/>
      <c r="AL29001" s="183"/>
    </row>
    <row r="29002" spans="1:38">
      <c r="A29002" s="182"/>
      <c r="Q29002" s="183"/>
      <c r="R29002" s="183"/>
      <c r="S29002" s="183"/>
      <c r="AJ29002" s="183"/>
      <c r="AK29002" s="183"/>
      <c r="AL29002" s="183"/>
    </row>
    <row r="29003" spans="1:38">
      <c r="A29003" s="182"/>
      <c r="Q29003" s="183"/>
      <c r="R29003" s="183"/>
      <c r="S29003" s="183"/>
      <c r="AJ29003" s="183"/>
      <c r="AK29003" s="183"/>
      <c r="AL29003" s="183"/>
    </row>
    <row r="29004" spans="1:38">
      <c r="A29004" s="182"/>
      <c r="Q29004" s="183"/>
      <c r="R29004" s="183"/>
      <c r="S29004" s="183"/>
      <c r="AJ29004" s="183"/>
      <c r="AK29004" s="183"/>
      <c r="AL29004" s="183"/>
    </row>
    <row r="29005" spans="1:38">
      <c r="A29005" s="182"/>
      <c r="Q29005" s="183"/>
      <c r="R29005" s="183"/>
      <c r="S29005" s="183"/>
      <c r="AJ29005" s="183"/>
      <c r="AK29005" s="183"/>
      <c r="AL29005" s="183"/>
    </row>
    <row r="29006" spans="1:38">
      <c r="A29006" s="182"/>
      <c r="Q29006" s="183"/>
      <c r="R29006" s="183"/>
      <c r="S29006" s="183"/>
      <c r="AJ29006" s="183"/>
      <c r="AK29006" s="183"/>
      <c r="AL29006" s="183"/>
    </row>
    <row r="29007" spans="1:38">
      <c r="A29007" s="182"/>
      <c r="Q29007" s="183"/>
      <c r="R29007" s="183"/>
      <c r="S29007" s="183"/>
      <c r="AJ29007" s="183"/>
      <c r="AK29007" s="183"/>
      <c r="AL29007" s="183"/>
    </row>
    <row r="29008" spans="1:38">
      <c r="A29008" s="182"/>
      <c r="Q29008" s="183"/>
      <c r="R29008" s="183"/>
      <c r="S29008" s="183"/>
      <c r="AJ29008" s="183"/>
      <c r="AK29008" s="183"/>
      <c r="AL29008" s="183"/>
    </row>
    <row r="29009" spans="1:38">
      <c r="A29009" s="182"/>
      <c r="Q29009" s="183"/>
      <c r="R29009" s="183"/>
      <c r="S29009" s="183"/>
      <c r="AJ29009" s="183"/>
      <c r="AK29009" s="183"/>
      <c r="AL29009" s="183"/>
    </row>
    <row r="29010" spans="1:38">
      <c r="A29010" s="182"/>
      <c r="Q29010" s="183"/>
      <c r="R29010" s="183"/>
      <c r="S29010" s="183"/>
      <c r="AJ29010" s="183"/>
      <c r="AK29010" s="183"/>
      <c r="AL29010" s="183"/>
    </row>
    <row r="29011" spans="1:38">
      <c r="A29011" s="182"/>
      <c r="Q29011" s="183"/>
      <c r="R29011" s="183"/>
      <c r="S29011" s="183"/>
      <c r="AJ29011" s="183"/>
      <c r="AK29011" s="183"/>
      <c r="AL29011" s="183"/>
    </row>
    <row r="29012" spans="1:38">
      <c r="A29012" s="182"/>
      <c r="Q29012" s="183"/>
      <c r="R29012" s="183"/>
      <c r="S29012" s="183"/>
      <c r="AJ29012" s="183"/>
      <c r="AK29012" s="183"/>
      <c r="AL29012" s="183"/>
    </row>
    <row r="29013" spans="1:38">
      <c r="A29013" s="182"/>
      <c r="Q29013" s="183"/>
      <c r="R29013" s="183"/>
      <c r="S29013" s="183"/>
      <c r="AJ29013" s="183"/>
    </row>
    <row r="29014" spans="1:38">
      <c r="A29014" s="182"/>
      <c r="Q29014" s="183"/>
      <c r="R29014" s="183"/>
      <c r="S29014" s="183"/>
    </row>
    <row r="29015" spans="1:38">
      <c r="A29015" s="182"/>
      <c r="Q29015" s="183"/>
      <c r="R29015" s="183"/>
      <c r="S29015" s="183"/>
    </row>
    <row r="29016" spans="1:38">
      <c r="A29016" s="182"/>
      <c r="Q29016" s="183"/>
      <c r="R29016" s="183"/>
      <c r="S29016" s="183"/>
    </row>
    <row r="29017" spans="1:38">
      <c r="A29017" s="182"/>
      <c r="Q29017" s="183"/>
      <c r="R29017" s="183"/>
      <c r="S29017" s="183"/>
      <c r="AK29017" s="183"/>
      <c r="AL29017" s="183"/>
    </row>
    <row r="29018" spans="1:38">
      <c r="A29018" s="182"/>
      <c r="Q29018" s="183"/>
      <c r="R29018" s="183"/>
      <c r="S29018" s="183"/>
      <c r="AJ29018" s="183"/>
      <c r="AK29018" s="183"/>
      <c r="AL29018" s="183"/>
    </row>
    <row r="29019" spans="1:38">
      <c r="A29019" s="182"/>
      <c r="Q29019" s="183"/>
      <c r="R29019" s="183"/>
      <c r="S29019" s="183"/>
      <c r="AJ29019" s="183"/>
      <c r="AK29019" s="183"/>
      <c r="AL29019" s="183"/>
    </row>
    <row r="29020" spans="1:38">
      <c r="A29020" s="182"/>
      <c r="Q29020" s="183"/>
      <c r="R29020" s="183"/>
      <c r="S29020" s="183"/>
      <c r="AJ29020" s="183"/>
      <c r="AK29020" s="183"/>
      <c r="AL29020" s="183"/>
    </row>
    <row r="29021" spans="1:38">
      <c r="A29021" s="182"/>
      <c r="Q29021" s="183"/>
      <c r="R29021" s="183"/>
      <c r="S29021" s="183"/>
      <c r="AJ29021" s="183"/>
      <c r="AK29021" s="183"/>
      <c r="AL29021" s="183"/>
    </row>
    <row r="29022" spans="1:38">
      <c r="A29022" s="182"/>
      <c r="Q29022" s="183"/>
      <c r="R29022" s="183"/>
      <c r="S29022" s="183"/>
      <c r="AJ29022" s="183"/>
      <c r="AK29022" s="183"/>
      <c r="AL29022" s="183"/>
    </row>
    <row r="29023" spans="1:38">
      <c r="A29023" s="182"/>
      <c r="Q29023" s="183"/>
      <c r="R29023" s="183"/>
      <c r="S29023" s="183"/>
      <c r="AJ29023" s="183"/>
      <c r="AK29023" s="183"/>
      <c r="AL29023" s="183"/>
    </row>
    <row r="29024" spans="1:38">
      <c r="A29024" s="182"/>
      <c r="Q29024" s="183"/>
      <c r="R29024" s="183"/>
      <c r="S29024" s="183"/>
      <c r="AJ29024" s="183"/>
      <c r="AK29024" s="183"/>
      <c r="AL29024" s="183"/>
    </row>
    <row r="29025" spans="1:38">
      <c r="A29025" s="182"/>
      <c r="Q29025" s="183"/>
      <c r="R29025" s="183"/>
      <c r="S29025" s="183"/>
      <c r="AJ29025" s="183"/>
      <c r="AK29025" s="183"/>
      <c r="AL29025" s="183"/>
    </row>
    <row r="29026" spans="1:38">
      <c r="A29026" s="182"/>
      <c r="Q29026" s="183"/>
      <c r="R29026" s="183"/>
      <c r="S29026" s="183"/>
      <c r="AJ29026" s="183"/>
      <c r="AK29026" s="183"/>
      <c r="AL29026" s="183"/>
    </row>
    <row r="29027" spans="1:38">
      <c r="A29027" s="182"/>
      <c r="Q29027" s="183"/>
      <c r="R29027" s="183"/>
      <c r="S29027" s="183"/>
      <c r="AJ29027" s="183"/>
      <c r="AK29027" s="183"/>
      <c r="AL29027" s="183"/>
    </row>
    <row r="29028" spans="1:38">
      <c r="A29028" s="182"/>
      <c r="Q29028" s="183"/>
      <c r="R29028" s="183"/>
      <c r="S29028" s="183"/>
      <c r="AJ29028" s="183"/>
      <c r="AK29028" s="183"/>
      <c r="AL29028" s="183"/>
    </row>
    <row r="29029" spans="1:38">
      <c r="A29029" s="182"/>
      <c r="Q29029" s="183"/>
      <c r="R29029" s="183"/>
      <c r="S29029" s="183"/>
      <c r="AJ29029" s="183"/>
    </row>
    <row r="29030" spans="1:38">
      <c r="A29030" s="182"/>
      <c r="Q29030" s="183"/>
      <c r="R29030" s="183"/>
      <c r="S29030" s="183"/>
    </row>
    <row r="29031" spans="1:38">
      <c r="A29031" s="182"/>
      <c r="Q29031" s="183"/>
      <c r="R29031" s="183"/>
      <c r="S29031" s="183"/>
    </row>
    <row r="29032" spans="1:38">
      <c r="A29032" s="182"/>
      <c r="Q29032" s="183"/>
      <c r="R29032" s="183"/>
      <c r="S29032" s="183"/>
    </row>
    <row r="29033" spans="1:38">
      <c r="A29033" s="182"/>
      <c r="Q29033" s="183"/>
      <c r="R29033" s="183"/>
      <c r="S29033" s="183"/>
    </row>
    <row r="29034" spans="1:38">
      <c r="A29034" s="182"/>
      <c r="Q29034" s="183"/>
      <c r="R29034" s="183"/>
      <c r="S29034" s="183"/>
    </row>
    <row r="29035" spans="1:38">
      <c r="A29035" s="182"/>
      <c r="Q29035" s="183"/>
      <c r="R29035" s="183"/>
      <c r="S29035" s="183"/>
    </row>
    <row r="29036" spans="1:38">
      <c r="A29036" s="182"/>
      <c r="Q29036" s="183"/>
      <c r="R29036" s="183"/>
      <c r="S29036" s="183"/>
    </row>
    <row r="29037" spans="1:38">
      <c r="A29037" s="182"/>
      <c r="Q29037" s="183"/>
      <c r="R29037" s="183"/>
      <c r="S29037" s="183"/>
    </row>
    <row r="29038" spans="1:38">
      <c r="A29038" s="182"/>
      <c r="Q29038" s="183"/>
      <c r="R29038" s="183"/>
      <c r="S29038" s="183"/>
    </row>
    <row r="29039" spans="1:38">
      <c r="A29039" s="182"/>
      <c r="Q29039" s="183"/>
      <c r="R29039" s="183"/>
      <c r="S29039" s="183"/>
    </row>
    <row r="29040" spans="1:38">
      <c r="A29040" s="182"/>
      <c r="Q29040" s="183"/>
      <c r="R29040" s="183"/>
      <c r="S29040" s="183"/>
    </row>
    <row r="29041" spans="1:38">
      <c r="A29041" s="182"/>
      <c r="Q29041" s="183"/>
      <c r="R29041" s="183"/>
      <c r="S29041" s="183"/>
    </row>
    <row r="29042" spans="1:38">
      <c r="A29042" s="182"/>
      <c r="Q29042" s="183"/>
      <c r="R29042" s="183"/>
      <c r="S29042" s="183"/>
    </row>
    <row r="29043" spans="1:38">
      <c r="A29043" s="182"/>
      <c r="Q29043" s="183"/>
      <c r="R29043" s="183"/>
      <c r="S29043" s="183"/>
    </row>
    <row r="29044" spans="1:38">
      <c r="A29044" s="182"/>
      <c r="Q29044" s="183"/>
      <c r="R29044" s="183"/>
      <c r="S29044" s="183"/>
    </row>
    <row r="29045" spans="1:38">
      <c r="A29045" s="182"/>
      <c r="Q29045" s="183"/>
      <c r="R29045" s="183"/>
      <c r="S29045" s="183"/>
    </row>
    <row r="29046" spans="1:38">
      <c r="A29046" s="182"/>
      <c r="Q29046" s="183"/>
      <c r="R29046" s="183"/>
      <c r="S29046" s="183"/>
    </row>
    <row r="29047" spans="1:38">
      <c r="A29047" s="182"/>
      <c r="Q29047" s="183"/>
      <c r="R29047" s="183"/>
      <c r="S29047" s="183"/>
    </row>
    <row r="29048" spans="1:38">
      <c r="A29048" s="182"/>
      <c r="Q29048" s="183"/>
      <c r="R29048" s="183"/>
      <c r="S29048" s="183"/>
    </row>
    <row r="29049" spans="1:38">
      <c r="A29049" s="182"/>
      <c r="Q29049" s="183"/>
      <c r="R29049" s="183"/>
      <c r="S29049" s="183"/>
    </row>
    <row r="29050" spans="1:38">
      <c r="A29050" s="182"/>
      <c r="Q29050" s="183"/>
      <c r="R29050" s="183"/>
      <c r="S29050" s="183"/>
    </row>
    <row r="29051" spans="1:38">
      <c r="A29051" s="182"/>
      <c r="Q29051" s="183"/>
      <c r="R29051" s="183"/>
      <c r="S29051" s="183"/>
    </row>
    <row r="29052" spans="1:38">
      <c r="A29052" s="182"/>
      <c r="Q29052" s="183"/>
      <c r="R29052" s="183"/>
      <c r="S29052" s="183"/>
    </row>
    <row r="29053" spans="1:38">
      <c r="A29053" s="182"/>
      <c r="Q29053" s="183"/>
      <c r="R29053" s="183"/>
      <c r="S29053" s="183"/>
      <c r="AK29053" s="183"/>
      <c r="AL29053" s="183"/>
    </row>
    <row r="29054" spans="1:38">
      <c r="A29054" s="182"/>
      <c r="Q29054" s="183"/>
      <c r="R29054" s="183"/>
      <c r="S29054" s="183"/>
      <c r="AJ29054" s="183"/>
      <c r="AK29054" s="183"/>
      <c r="AL29054" s="183"/>
    </row>
    <row r="29055" spans="1:38">
      <c r="A29055" s="182"/>
      <c r="Q29055" s="183"/>
      <c r="R29055" s="183"/>
      <c r="S29055" s="183"/>
      <c r="AJ29055" s="183"/>
      <c r="AK29055" s="183"/>
      <c r="AL29055" s="183"/>
    </row>
    <row r="29056" spans="1:38">
      <c r="A29056" s="182"/>
      <c r="Q29056" s="183"/>
      <c r="R29056" s="183"/>
      <c r="S29056" s="183"/>
      <c r="AJ29056" s="183"/>
      <c r="AK29056" s="183"/>
      <c r="AL29056" s="183"/>
    </row>
    <row r="29057" spans="1:38">
      <c r="A29057" s="182"/>
      <c r="Q29057" s="183"/>
      <c r="R29057" s="183"/>
      <c r="S29057" s="183"/>
      <c r="AJ29057" s="183"/>
      <c r="AK29057" s="183"/>
      <c r="AL29057" s="183"/>
    </row>
    <row r="29058" spans="1:38">
      <c r="A29058" s="182"/>
      <c r="Q29058" s="183"/>
      <c r="R29058" s="183"/>
      <c r="S29058" s="183"/>
      <c r="AJ29058" s="183"/>
      <c r="AK29058" s="183"/>
      <c r="AL29058" s="183"/>
    </row>
    <row r="29059" spans="1:38">
      <c r="A29059" s="182"/>
      <c r="Q29059" s="183"/>
      <c r="R29059" s="183"/>
      <c r="S29059" s="183"/>
      <c r="AJ29059" s="183"/>
      <c r="AK29059" s="183"/>
      <c r="AL29059" s="183"/>
    </row>
    <row r="29060" spans="1:38">
      <c r="A29060" s="182"/>
      <c r="Q29060" s="183"/>
      <c r="R29060" s="183"/>
      <c r="S29060" s="183"/>
      <c r="AJ29060" s="183"/>
      <c r="AK29060" s="183"/>
      <c r="AL29060" s="183"/>
    </row>
    <row r="29061" spans="1:38">
      <c r="A29061" s="182"/>
      <c r="Q29061" s="183"/>
      <c r="R29061" s="183"/>
      <c r="S29061" s="183"/>
      <c r="AJ29061" s="183"/>
    </row>
    <row r="29062" spans="1:38">
      <c r="A29062" s="182"/>
      <c r="Q29062" s="183"/>
      <c r="R29062" s="183"/>
      <c r="S29062" s="183"/>
    </row>
    <row r="29063" spans="1:38">
      <c r="A29063" s="182"/>
      <c r="Q29063" s="183"/>
      <c r="R29063" s="183"/>
      <c r="S29063" s="183"/>
    </row>
    <row r="29064" spans="1:38">
      <c r="A29064" s="182"/>
      <c r="Q29064" s="183"/>
      <c r="R29064" s="183"/>
      <c r="S29064" s="183"/>
    </row>
    <row r="29065" spans="1:38">
      <c r="A29065" s="182"/>
      <c r="Q29065" s="183"/>
      <c r="R29065" s="183"/>
      <c r="S29065" s="183"/>
      <c r="AK29065" s="183"/>
      <c r="AL29065" s="183"/>
    </row>
    <row r="29066" spans="1:38">
      <c r="A29066" s="182"/>
      <c r="Q29066" s="183"/>
      <c r="R29066" s="183"/>
      <c r="S29066" s="183"/>
      <c r="AJ29066" s="183"/>
      <c r="AK29066" s="183"/>
      <c r="AL29066" s="183"/>
    </row>
    <row r="29067" spans="1:38">
      <c r="A29067" s="182"/>
      <c r="Q29067" s="183"/>
      <c r="R29067" s="183"/>
      <c r="S29067" s="183"/>
      <c r="AJ29067" s="183"/>
      <c r="AK29067" s="183"/>
      <c r="AL29067" s="183"/>
    </row>
    <row r="29068" spans="1:38">
      <c r="A29068" s="182"/>
      <c r="Q29068" s="183"/>
      <c r="R29068" s="183"/>
      <c r="S29068" s="183"/>
      <c r="AJ29068" s="183"/>
      <c r="AK29068" s="183"/>
      <c r="AL29068" s="183"/>
    </row>
    <row r="29069" spans="1:38">
      <c r="A29069" s="182"/>
      <c r="Q29069" s="183"/>
      <c r="R29069" s="183"/>
      <c r="S29069" s="183"/>
      <c r="AJ29069" s="183"/>
    </row>
    <row r="29070" spans="1:38">
      <c r="A29070" s="182"/>
      <c r="Q29070" s="183"/>
      <c r="R29070" s="183"/>
      <c r="S29070" s="183"/>
    </row>
    <row r="29071" spans="1:38">
      <c r="A29071" s="182"/>
      <c r="Q29071" s="183"/>
      <c r="R29071" s="183"/>
      <c r="S29071" s="183"/>
    </row>
    <row r="29072" spans="1:38">
      <c r="A29072" s="182"/>
      <c r="Q29072" s="183"/>
      <c r="R29072" s="183"/>
      <c r="S29072" s="183"/>
    </row>
    <row r="29073" spans="1:38">
      <c r="A29073" s="182"/>
      <c r="Q29073" s="183"/>
      <c r="R29073" s="183"/>
      <c r="S29073" s="183"/>
    </row>
    <row r="29074" spans="1:38">
      <c r="A29074" s="182"/>
      <c r="Q29074" s="183"/>
      <c r="R29074" s="183"/>
      <c r="S29074" s="183"/>
    </row>
    <row r="29075" spans="1:38">
      <c r="A29075" s="182"/>
      <c r="Q29075" s="183"/>
      <c r="R29075" s="183"/>
      <c r="S29075" s="183"/>
    </row>
    <row r="29076" spans="1:38">
      <c r="A29076" s="182"/>
      <c r="Q29076" s="183"/>
      <c r="R29076" s="183"/>
      <c r="S29076" s="183"/>
    </row>
    <row r="29077" spans="1:38">
      <c r="A29077" s="182"/>
      <c r="Q29077" s="183"/>
      <c r="R29077" s="183"/>
      <c r="S29077" s="183"/>
    </row>
    <row r="29078" spans="1:38">
      <c r="A29078" s="182"/>
      <c r="Q29078" s="183"/>
      <c r="R29078" s="183"/>
      <c r="S29078" s="183"/>
    </row>
    <row r="29079" spans="1:38">
      <c r="A29079" s="182"/>
      <c r="Q29079" s="183"/>
      <c r="R29079" s="183"/>
      <c r="S29079" s="183"/>
    </row>
    <row r="29080" spans="1:38">
      <c r="A29080" s="182"/>
      <c r="Q29080" s="183"/>
      <c r="R29080" s="183"/>
      <c r="S29080" s="183"/>
    </row>
    <row r="29081" spans="1:38">
      <c r="A29081" s="182"/>
      <c r="Q29081" s="183"/>
      <c r="R29081" s="183"/>
      <c r="S29081" s="183"/>
      <c r="AK29081" s="183"/>
      <c r="AL29081" s="183"/>
    </row>
    <row r="29082" spans="1:38">
      <c r="A29082" s="182"/>
      <c r="Q29082" s="183"/>
      <c r="R29082" s="183"/>
      <c r="S29082" s="183"/>
      <c r="AJ29082" s="183"/>
      <c r="AK29082" s="183"/>
      <c r="AL29082" s="183"/>
    </row>
    <row r="29083" spans="1:38">
      <c r="A29083" s="182"/>
      <c r="Q29083" s="183"/>
      <c r="R29083" s="183"/>
      <c r="S29083" s="183"/>
      <c r="AJ29083" s="183"/>
      <c r="AK29083" s="183"/>
      <c r="AL29083" s="183"/>
    </row>
    <row r="29084" spans="1:38">
      <c r="A29084" s="182"/>
      <c r="Q29084" s="183"/>
      <c r="R29084" s="183"/>
      <c r="S29084" s="183"/>
      <c r="AJ29084" s="183"/>
      <c r="AK29084" s="183"/>
      <c r="AL29084" s="183"/>
    </row>
    <row r="29085" spans="1:38">
      <c r="A29085" s="182"/>
      <c r="Q29085" s="183"/>
      <c r="R29085" s="183"/>
      <c r="S29085" s="183"/>
      <c r="AJ29085" s="183"/>
    </row>
    <row r="29086" spans="1:38">
      <c r="A29086" s="182"/>
      <c r="Q29086" s="183"/>
      <c r="R29086" s="183"/>
      <c r="S29086" s="183"/>
    </row>
    <row r="29087" spans="1:38">
      <c r="A29087" s="182"/>
      <c r="Q29087" s="183"/>
      <c r="R29087" s="183"/>
      <c r="S29087" s="183"/>
    </row>
    <row r="29088" spans="1:38">
      <c r="A29088" s="182"/>
      <c r="Q29088" s="183"/>
      <c r="R29088" s="183"/>
      <c r="S29088" s="183"/>
    </row>
    <row r="29089" spans="1:38">
      <c r="A29089" s="182"/>
      <c r="Q29089" s="183"/>
      <c r="R29089" s="183"/>
      <c r="S29089" s="183"/>
    </row>
    <row r="29090" spans="1:38">
      <c r="A29090" s="182"/>
      <c r="Q29090" s="183"/>
      <c r="R29090" s="183"/>
      <c r="S29090" s="183"/>
    </row>
    <row r="29091" spans="1:38">
      <c r="A29091" s="182"/>
      <c r="Q29091" s="183"/>
      <c r="R29091" s="183"/>
      <c r="S29091" s="183"/>
    </row>
    <row r="29092" spans="1:38">
      <c r="A29092" s="182"/>
      <c r="Q29092" s="183"/>
      <c r="R29092" s="183"/>
      <c r="S29092" s="183"/>
    </row>
    <row r="29093" spans="1:38">
      <c r="A29093" s="182"/>
      <c r="Q29093" s="183"/>
      <c r="R29093" s="183"/>
      <c r="S29093" s="183"/>
    </row>
    <row r="29094" spans="1:38">
      <c r="A29094" s="182"/>
      <c r="Q29094" s="183"/>
      <c r="R29094" s="183"/>
      <c r="S29094" s="183"/>
    </row>
    <row r="29095" spans="1:38">
      <c r="A29095" s="182"/>
      <c r="Q29095" s="183"/>
      <c r="R29095" s="183"/>
      <c r="S29095" s="183"/>
    </row>
    <row r="29096" spans="1:38">
      <c r="A29096" s="182"/>
      <c r="Q29096" s="183"/>
      <c r="R29096" s="183"/>
      <c r="S29096" s="183"/>
    </row>
    <row r="29097" spans="1:38">
      <c r="A29097" s="182"/>
      <c r="Q29097" s="183"/>
      <c r="R29097" s="183"/>
      <c r="S29097" s="183"/>
      <c r="AK29097" s="183"/>
      <c r="AL29097" s="183"/>
    </row>
    <row r="29098" spans="1:38">
      <c r="A29098" s="182"/>
      <c r="Q29098" s="183"/>
      <c r="R29098" s="183"/>
      <c r="S29098" s="183"/>
      <c r="AJ29098" s="183"/>
      <c r="AK29098" s="183"/>
      <c r="AL29098" s="183"/>
    </row>
    <row r="29099" spans="1:38">
      <c r="A29099" s="182"/>
      <c r="Q29099" s="183"/>
      <c r="R29099" s="183"/>
      <c r="S29099" s="183"/>
      <c r="AJ29099" s="183"/>
      <c r="AK29099" s="183"/>
      <c r="AL29099" s="183"/>
    </row>
    <row r="29100" spans="1:38">
      <c r="A29100" s="182"/>
      <c r="M29100" s="183"/>
      <c r="N29100" s="183"/>
      <c r="Q29100" s="183"/>
      <c r="R29100" s="183"/>
      <c r="S29100" s="183"/>
      <c r="AJ29100" s="183"/>
      <c r="AK29100" s="183"/>
      <c r="AL29100" s="183"/>
    </row>
    <row r="29101" spans="1:38">
      <c r="A29101" s="182"/>
      <c r="L29101" s="183"/>
      <c r="M29101" s="183"/>
      <c r="N29101" s="183"/>
      <c r="Q29101" s="183"/>
      <c r="R29101" s="183"/>
      <c r="S29101" s="183"/>
      <c r="AJ29101" s="183"/>
    </row>
    <row r="29102" spans="1:38">
      <c r="A29102" s="182"/>
      <c r="L29102" s="183"/>
      <c r="M29102" s="183"/>
      <c r="N29102" s="183"/>
      <c r="Q29102" s="183"/>
      <c r="R29102" s="183"/>
      <c r="S29102" s="183"/>
    </row>
    <row r="29103" spans="1:38">
      <c r="A29103" s="182"/>
      <c r="L29103" s="183"/>
      <c r="Q29103" s="183"/>
      <c r="R29103" s="183"/>
      <c r="S29103" s="183"/>
    </row>
    <row r="29104" spans="1:38">
      <c r="A29104" s="182"/>
      <c r="Q29104" s="183"/>
      <c r="R29104" s="183"/>
      <c r="S29104" s="183"/>
    </row>
    <row r="29105" spans="1:38">
      <c r="A29105" s="182"/>
      <c r="Q29105" s="183"/>
      <c r="R29105" s="183"/>
      <c r="S29105" s="183"/>
      <c r="AK29105" s="183"/>
      <c r="AL29105" s="183"/>
    </row>
    <row r="29106" spans="1:38">
      <c r="A29106" s="182"/>
      <c r="Q29106" s="183"/>
      <c r="R29106" s="183"/>
      <c r="S29106" s="183"/>
      <c r="AJ29106" s="183"/>
      <c r="AK29106" s="183"/>
      <c r="AL29106" s="183"/>
    </row>
    <row r="29107" spans="1:38">
      <c r="A29107" s="182"/>
      <c r="Q29107" s="183"/>
      <c r="R29107" s="183"/>
      <c r="S29107" s="183"/>
      <c r="AJ29107" s="183"/>
      <c r="AK29107" s="183"/>
      <c r="AL29107" s="183"/>
    </row>
    <row r="29108" spans="1:38">
      <c r="A29108" s="182"/>
      <c r="Q29108" s="183"/>
      <c r="R29108" s="183"/>
      <c r="S29108" s="183"/>
      <c r="AJ29108" s="183"/>
      <c r="AK29108" s="183"/>
      <c r="AL29108" s="183"/>
    </row>
    <row r="29109" spans="1:38">
      <c r="A29109" s="182"/>
      <c r="Q29109" s="183"/>
      <c r="R29109" s="183"/>
      <c r="S29109" s="183"/>
      <c r="AJ29109" s="183"/>
    </row>
    <row r="29110" spans="1:38">
      <c r="A29110" s="182"/>
      <c r="Q29110" s="183"/>
      <c r="R29110" s="183"/>
      <c r="S29110" s="183"/>
    </row>
    <row r="29111" spans="1:38">
      <c r="A29111" s="182"/>
      <c r="Q29111" s="183"/>
      <c r="R29111" s="183"/>
      <c r="S29111" s="183"/>
    </row>
    <row r="29112" spans="1:38">
      <c r="A29112" s="182"/>
      <c r="Q29112" s="183"/>
      <c r="R29112" s="183"/>
      <c r="S29112" s="183"/>
    </row>
    <row r="29113" spans="1:38">
      <c r="A29113" s="182"/>
      <c r="Q29113" s="183"/>
      <c r="R29113" s="183"/>
      <c r="S29113" s="183"/>
      <c r="AK29113" s="183"/>
      <c r="AL29113" s="183"/>
    </row>
    <row r="29114" spans="1:38">
      <c r="A29114" s="182"/>
      <c r="Q29114" s="183"/>
      <c r="R29114" s="183"/>
      <c r="S29114" s="183"/>
      <c r="AJ29114" s="183"/>
      <c r="AK29114" s="183"/>
      <c r="AL29114" s="183"/>
    </row>
    <row r="29115" spans="1:38">
      <c r="A29115" s="182"/>
      <c r="Q29115" s="183"/>
      <c r="R29115" s="183"/>
      <c r="S29115" s="183"/>
      <c r="AJ29115" s="183"/>
      <c r="AK29115" s="183"/>
      <c r="AL29115" s="183"/>
    </row>
    <row r="29116" spans="1:38">
      <c r="A29116" s="182"/>
      <c r="Q29116" s="183"/>
      <c r="R29116" s="183"/>
      <c r="S29116" s="183"/>
      <c r="AJ29116" s="183"/>
      <c r="AK29116" s="183"/>
      <c r="AL29116" s="183"/>
    </row>
    <row r="29117" spans="1:38">
      <c r="A29117" s="182"/>
      <c r="Q29117" s="183"/>
      <c r="R29117" s="183"/>
      <c r="S29117" s="183"/>
      <c r="AJ29117" s="183"/>
    </row>
    <row r="29118" spans="1:38">
      <c r="A29118" s="182"/>
      <c r="Q29118" s="183"/>
      <c r="R29118" s="183"/>
      <c r="S29118" s="183"/>
    </row>
    <row r="29119" spans="1:38">
      <c r="A29119" s="182"/>
      <c r="Q29119" s="183"/>
      <c r="R29119" s="183"/>
      <c r="S29119" s="183"/>
    </row>
    <row r="29120" spans="1:38">
      <c r="A29120" s="182"/>
      <c r="Q29120" s="183"/>
      <c r="R29120" s="183"/>
      <c r="S29120" s="183"/>
    </row>
    <row r="29121" spans="1:19">
      <c r="A29121" s="182"/>
      <c r="Q29121" s="183"/>
      <c r="R29121" s="183"/>
      <c r="S29121" s="183"/>
    </row>
    <row r="29122" spans="1:19">
      <c r="A29122" s="182"/>
      <c r="Q29122" s="183"/>
      <c r="R29122" s="183"/>
      <c r="S29122" s="183"/>
    </row>
    <row r="29123" spans="1:19">
      <c r="A29123" s="182"/>
      <c r="Q29123" s="183"/>
      <c r="R29123" s="183"/>
      <c r="S29123" s="183"/>
    </row>
    <row r="29124" spans="1:19">
      <c r="A29124" s="182"/>
      <c r="Q29124" s="183"/>
      <c r="R29124" s="183"/>
      <c r="S29124" s="183"/>
    </row>
    <row r="29125" spans="1:19">
      <c r="A29125" s="182"/>
      <c r="Q29125" s="183"/>
      <c r="R29125" s="183"/>
      <c r="S29125" s="183"/>
    </row>
    <row r="29126" spans="1:19">
      <c r="A29126" s="182"/>
      <c r="Q29126" s="183"/>
      <c r="R29126" s="183"/>
      <c r="S29126" s="183"/>
    </row>
    <row r="29127" spans="1:19">
      <c r="A29127" s="182"/>
      <c r="Q29127" s="183"/>
      <c r="R29127" s="183"/>
      <c r="S29127" s="183"/>
    </row>
    <row r="29128" spans="1:19">
      <c r="A29128" s="182"/>
      <c r="Q29128" s="183"/>
      <c r="R29128" s="183"/>
      <c r="S29128" s="183"/>
    </row>
    <row r="29129" spans="1:19">
      <c r="A29129" s="182"/>
      <c r="Q29129" s="183"/>
      <c r="R29129" s="183"/>
      <c r="S29129" s="183"/>
    </row>
    <row r="29130" spans="1:19">
      <c r="A29130" s="182"/>
      <c r="Q29130" s="183"/>
      <c r="R29130" s="183"/>
      <c r="S29130" s="183"/>
    </row>
    <row r="29131" spans="1:19">
      <c r="A29131" s="182"/>
      <c r="Q29131" s="183"/>
      <c r="R29131" s="183"/>
      <c r="S29131" s="183"/>
    </row>
    <row r="29132" spans="1:19">
      <c r="A29132" s="182"/>
      <c r="Q29132" s="183"/>
      <c r="R29132" s="183"/>
      <c r="S29132" s="183"/>
    </row>
    <row r="29133" spans="1:19">
      <c r="A29133" s="182"/>
      <c r="Q29133" s="183"/>
      <c r="R29133" s="183"/>
      <c r="S29133" s="183"/>
    </row>
    <row r="29134" spans="1:19">
      <c r="A29134" s="182"/>
      <c r="Q29134" s="183"/>
      <c r="R29134" s="183"/>
      <c r="S29134" s="183"/>
    </row>
    <row r="29135" spans="1:19">
      <c r="A29135" s="182"/>
      <c r="Q29135" s="183"/>
      <c r="R29135" s="183"/>
      <c r="S29135" s="183"/>
    </row>
    <row r="29136" spans="1:19">
      <c r="A29136" s="182"/>
      <c r="Q29136" s="183"/>
      <c r="R29136" s="183"/>
      <c r="S29136" s="183"/>
    </row>
    <row r="29137" spans="1:38">
      <c r="A29137" s="182"/>
      <c r="Q29137" s="183"/>
      <c r="R29137" s="183"/>
      <c r="S29137" s="183"/>
      <c r="AK29137" s="183"/>
      <c r="AL29137" s="183"/>
    </row>
    <row r="29138" spans="1:38">
      <c r="A29138" s="182"/>
      <c r="Q29138" s="183"/>
      <c r="R29138" s="183"/>
      <c r="S29138" s="183"/>
      <c r="AJ29138" s="183"/>
      <c r="AK29138" s="183"/>
      <c r="AL29138" s="183"/>
    </row>
    <row r="29139" spans="1:38">
      <c r="A29139" s="182"/>
      <c r="Q29139" s="183"/>
      <c r="R29139" s="183"/>
      <c r="S29139" s="183"/>
      <c r="AJ29139" s="183"/>
      <c r="AK29139" s="183"/>
      <c r="AL29139" s="183"/>
    </row>
    <row r="29140" spans="1:38">
      <c r="A29140" s="182"/>
      <c r="Q29140" s="183"/>
      <c r="R29140" s="183"/>
      <c r="S29140" s="183"/>
      <c r="AJ29140" s="183"/>
      <c r="AK29140" s="183"/>
      <c r="AL29140" s="183"/>
    </row>
    <row r="29141" spans="1:38">
      <c r="A29141" s="182"/>
      <c r="Q29141" s="183"/>
      <c r="R29141" s="183"/>
      <c r="S29141" s="183"/>
      <c r="AJ29141" s="183"/>
      <c r="AK29141" s="183"/>
      <c r="AL29141" s="183"/>
    </row>
    <row r="29142" spans="1:38">
      <c r="A29142" s="182"/>
      <c r="Q29142" s="183"/>
      <c r="R29142" s="183"/>
      <c r="S29142" s="183"/>
      <c r="AJ29142" s="183"/>
      <c r="AK29142" s="183"/>
      <c r="AL29142" s="183"/>
    </row>
    <row r="29143" spans="1:38">
      <c r="A29143" s="182"/>
      <c r="Q29143" s="183"/>
      <c r="R29143" s="183"/>
      <c r="S29143" s="183"/>
      <c r="AJ29143" s="183"/>
      <c r="AK29143" s="183"/>
      <c r="AL29143" s="183"/>
    </row>
    <row r="29144" spans="1:38">
      <c r="A29144" s="182"/>
      <c r="Q29144" s="183"/>
      <c r="R29144" s="183"/>
      <c r="S29144" s="183"/>
      <c r="AJ29144" s="183"/>
      <c r="AK29144" s="183"/>
      <c r="AL29144" s="183"/>
    </row>
    <row r="29145" spans="1:38">
      <c r="A29145" s="182"/>
      <c r="Q29145" s="183"/>
      <c r="R29145" s="183"/>
      <c r="S29145" s="183"/>
      <c r="AJ29145" s="183"/>
    </row>
    <row r="29146" spans="1:38">
      <c r="A29146" s="182"/>
      <c r="M29146" s="183"/>
      <c r="N29146" s="183"/>
      <c r="Q29146" s="183"/>
      <c r="R29146" s="183"/>
      <c r="S29146" s="183"/>
    </row>
    <row r="29147" spans="1:38">
      <c r="A29147" s="182"/>
      <c r="L29147" s="183"/>
      <c r="Q29147" s="183"/>
      <c r="R29147" s="183"/>
      <c r="S29147" s="183"/>
    </row>
    <row r="29148" spans="1:38">
      <c r="A29148" s="182"/>
      <c r="Q29148" s="183"/>
      <c r="R29148" s="183"/>
      <c r="S29148" s="183"/>
    </row>
    <row r="29149" spans="1:38">
      <c r="A29149" s="182"/>
      <c r="Q29149" s="183"/>
      <c r="R29149" s="183"/>
      <c r="S29149" s="183"/>
    </row>
    <row r="29150" spans="1:38">
      <c r="A29150" s="182"/>
      <c r="Q29150" s="183"/>
      <c r="R29150" s="183"/>
      <c r="S29150" s="183"/>
    </row>
    <row r="29151" spans="1:38">
      <c r="A29151" s="182"/>
      <c r="Q29151" s="183"/>
      <c r="R29151" s="183"/>
      <c r="S29151" s="183"/>
    </row>
    <row r="29152" spans="1:38">
      <c r="A29152" s="182"/>
      <c r="Q29152" s="183"/>
      <c r="R29152" s="183"/>
      <c r="S29152" s="183"/>
    </row>
    <row r="29153" spans="1:38">
      <c r="A29153" s="182"/>
      <c r="Q29153" s="183"/>
      <c r="R29153" s="183"/>
      <c r="S29153" s="183"/>
      <c r="AK29153" s="183"/>
      <c r="AL29153" s="183"/>
    </row>
    <row r="29154" spans="1:38">
      <c r="A29154" s="182"/>
      <c r="Q29154" s="183"/>
      <c r="R29154" s="183"/>
      <c r="S29154" s="183"/>
      <c r="AJ29154" s="183"/>
      <c r="AK29154" s="183"/>
      <c r="AL29154" s="183"/>
    </row>
    <row r="29155" spans="1:38">
      <c r="A29155" s="182"/>
      <c r="Q29155" s="183"/>
      <c r="R29155" s="183"/>
      <c r="S29155" s="183"/>
      <c r="AJ29155" s="183"/>
      <c r="AK29155" s="183"/>
      <c r="AL29155" s="183"/>
    </row>
    <row r="29156" spans="1:38">
      <c r="A29156" s="182"/>
      <c r="Q29156" s="183"/>
      <c r="R29156" s="183"/>
      <c r="S29156" s="183"/>
      <c r="AJ29156" s="183"/>
      <c r="AK29156" s="183"/>
      <c r="AL29156" s="183"/>
    </row>
    <row r="29157" spans="1:38">
      <c r="A29157" s="182"/>
      <c r="Q29157" s="183"/>
      <c r="R29157" s="183"/>
      <c r="S29157" s="183"/>
      <c r="AJ29157" s="183"/>
      <c r="AK29157" s="183"/>
      <c r="AL29157" s="183"/>
    </row>
    <row r="29158" spans="1:38">
      <c r="A29158" s="182"/>
      <c r="Q29158" s="183"/>
      <c r="R29158" s="183"/>
      <c r="S29158" s="183"/>
      <c r="AJ29158" s="183"/>
      <c r="AK29158" s="183"/>
      <c r="AL29158" s="183"/>
    </row>
    <row r="29159" spans="1:38">
      <c r="A29159" s="182"/>
      <c r="Q29159" s="183"/>
      <c r="R29159" s="183"/>
      <c r="S29159" s="183"/>
      <c r="AJ29159" s="183"/>
      <c r="AK29159" s="183"/>
      <c r="AL29159" s="183"/>
    </row>
    <row r="29160" spans="1:38">
      <c r="A29160" s="182"/>
      <c r="Q29160" s="183"/>
      <c r="R29160" s="183"/>
      <c r="S29160" s="183"/>
      <c r="AJ29160" s="183"/>
      <c r="AK29160" s="183"/>
      <c r="AL29160" s="183"/>
    </row>
    <row r="29161" spans="1:38">
      <c r="A29161" s="182"/>
      <c r="Q29161" s="183"/>
      <c r="R29161" s="183"/>
      <c r="S29161" s="183"/>
      <c r="AJ29161" s="183"/>
    </row>
    <row r="29162" spans="1:38">
      <c r="A29162" s="182"/>
      <c r="Q29162" s="183"/>
      <c r="R29162" s="183"/>
      <c r="S29162" s="183"/>
    </row>
    <row r="29163" spans="1:38">
      <c r="A29163" s="182"/>
      <c r="Q29163" s="183"/>
      <c r="R29163" s="183"/>
      <c r="S29163" s="183"/>
    </row>
    <row r="29164" spans="1:38">
      <c r="A29164" s="182"/>
      <c r="Q29164" s="183"/>
      <c r="R29164" s="183"/>
      <c r="S29164" s="183"/>
    </row>
    <row r="29165" spans="1:38">
      <c r="A29165" s="182"/>
      <c r="Q29165" s="183"/>
      <c r="R29165" s="183"/>
      <c r="S29165" s="183"/>
      <c r="AK29165" s="183"/>
      <c r="AL29165" s="183"/>
    </row>
    <row r="29166" spans="1:38">
      <c r="A29166" s="182"/>
      <c r="Q29166" s="183"/>
      <c r="R29166" s="183"/>
      <c r="S29166" s="183"/>
      <c r="AJ29166" s="183"/>
      <c r="AK29166" s="183"/>
      <c r="AL29166" s="183"/>
    </row>
    <row r="29167" spans="1:38">
      <c r="A29167" s="182"/>
      <c r="Q29167" s="183"/>
      <c r="R29167" s="183"/>
      <c r="S29167" s="183"/>
      <c r="AJ29167" s="183"/>
      <c r="AK29167" s="183"/>
      <c r="AL29167" s="183"/>
    </row>
    <row r="29168" spans="1:38">
      <c r="A29168" s="182"/>
      <c r="Q29168" s="183"/>
      <c r="R29168" s="183"/>
      <c r="S29168" s="183"/>
      <c r="AJ29168" s="183"/>
      <c r="AK29168" s="183"/>
      <c r="AL29168" s="183"/>
    </row>
    <row r="29169" spans="1:38">
      <c r="A29169" s="182"/>
      <c r="Q29169" s="183"/>
      <c r="R29169" s="183"/>
      <c r="S29169" s="183"/>
      <c r="AJ29169" s="183"/>
    </row>
    <row r="29170" spans="1:38">
      <c r="A29170" s="182"/>
      <c r="Q29170" s="183"/>
      <c r="R29170" s="183"/>
      <c r="S29170" s="183"/>
    </row>
    <row r="29171" spans="1:38">
      <c r="A29171" s="182"/>
      <c r="Q29171" s="183"/>
      <c r="R29171" s="183"/>
      <c r="S29171" s="183"/>
    </row>
    <row r="29172" spans="1:38">
      <c r="A29172" s="182"/>
      <c r="Q29172" s="183"/>
      <c r="R29172" s="183"/>
      <c r="S29172" s="183"/>
    </row>
    <row r="29173" spans="1:38">
      <c r="A29173" s="182"/>
      <c r="Q29173" s="183"/>
      <c r="R29173" s="183"/>
      <c r="S29173" s="183"/>
    </row>
    <row r="29174" spans="1:38">
      <c r="A29174" s="182"/>
      <c r="Q29174" s="183"/>
      <c r="R29174" s="183"/>
      <c r="S29174" s="183"/>
    </row>
    <row r="29175" spans="1:38">
      <c r="A29175" s="182"/>
      <c r="Q29175" s="183"/>
      <c r="R29175" s="183"/>
      <c r="S29175" s="183"/>
    </row>
    <row r="29176" spans="1:38">
      <c r="A29176" s="182"/>
      <c r="Q29176" s="183"/>
      <c r="R29176" s="183"/>
      <c r="S29176" s="183"/>
    </row>
    <row r="29177" spans="1:38">
      <c r="A29177" s="182"/>
      <c r="Q29177" s="183"/>
      <c r="R29177" s="183"/>
      <c r="S29177" s="183"/>
      <c r="AK29177" s="183"/>
      <c r="AL29177" s="183"/>
    </row>
    <row r="29178" spans="1:38">
      <c r="A29178" s="182"/>
      <c r="Q29178" s="183"/>
      <c r="R29178" s="183"/>
      <c r="S29178" s="183"/>
      <c r="AJ29178" s="183"/>
      <c r="AK29178" s="183"/>
      <c r="AL29178" s="183"/>
    </row>
    <row r="29179" spans="1:38">
      <c r="A29179" s="182"/>
      <c r="Q29179" s="183"/>
      <c r="R29179" s="183"/>
      <c r="S29179" s="183"/>
      <c r="AJ29179" s="183"/>
      <c r="AK29179" s="183"/>
      <c r="AL29179" s="183"/>
    </row>
    <row r="29180" spans="1:38">
      <c r="A29180" s="182"/>
      <c r="Q29180" s="183"/>
      <c r="R29180" s="183"/>
      <c r="S29180" s="183"/>
      <c r="AJ29180" s="183"/>
      <c r="AK29180" s="183"/>
      <c r="AL29180" s="183"/>
    </row>
    <row r="29181" spans="1:38">
      <c r="A29181" s="182"/>
      <c r="Q29181" s="183"/>
      <c r="R29181" s="183"/>
      <c r="S29181" s="183"/>
      <c r="AJ29181" s="183"/>
      <c r="AK29181" s="183"/>
      <c r="AL29181" s="183"/>
    </row>
    <row r="29182" spans="1:38">
      <c r="A29182" s="182"/>
      <c r="Q29182" s="183"/>
      <c r="R29182" s="183"/>
      <c r="S29182" s="183"/>
      <c r="AJ29182" s="183"/>
      <c r="AK29182" s="183"/>
      <c r="AL29182" s="183"/>
    </row>
    <row r="29183" spans="1:38">
      <c r="A29183" s="182"/>
      <c r="Q29183" s="183"/>
      <c r="R29183" s="183"/>
      <c r="S29183" s="183"/>
      <c r="AJ29183" s="183"/>
      <c r="AK29183" s="183"/>
      <c r="AL29183" s="183"/>
    </row>
    <row r="29184" spans="1:38">
      <c r="A29184" s="182"/>
      <c r="Q29184" s="183"/>
      <c r="R29184" s="183"/>
      <c r="S29184" s="183"/>
      <c r="AJ29184" s="183"/>
      <c r="AK29184" s="183"/>
      <c r="AL29184" s="183"/>
    </row>
    <row r="29185" spans="1:38">
      <c r="A29185" s="182"/>
      <c r="Q29185" s="183"/>
      <c r="R29185" s="183"/>
      <c r="S29185" s="183"/>
      <c r="AJ29185" s="183"/>
      <c r="AK29185" s="183"/>
      <c r="AL29185" s="183"/>
    </row>
    <row r="29186" spans="1:38">
      <c r="A29186" s="182"/>
      <c r="Q29186" s="183"/>
      <c r="R29186" s="183"/>
      <c r="S29186" s="183"/>
      <c r="AJ29186" s="183"/>
      <c r="AK29186" s="183"/>
      <c r="AL29186" s="183"/>
    </row>
    <row r="29187" spans="1:38">
      <c r="A29187" s="182"/>
      <c r="Q29187" s="183"/>
      <c r="R29187" s="183"/>
      <c r="S29187" s="183"/>
      <c r="AJ29187" s="183"/>
      <c r="AK29187" s="183"/>
      <c r="AL29187" s="183"/>
    </row>
    <row r="29188" spans="1:38">
      <c r="A29188" s="182"/>
      <c r="Q29188" s="183"/>
      <c r="R29188" s="183"/>
      <c r="S29188" s="183"/>
      <c r="AJ29188" s="183"/>
      <c r="AK29188" s="183"/>
      <c r="AL29188" s="183"/>
    </row>
    <row r="29189" spans="1:38">
      <c r="A29189" s="182"/>
      <c r="Q29189" s="183"/>
      <c r="R29189" s="183"/>
      <c r="S29189" s="183"/>
      <c r="AJ29189" s="183"/>
    </row>
    <row r="29190" spans="1:38">
      <c r="A29190" s="182"/>
      <c r="Q29190" s="183"/>
      <c r="R29190" s="183"/>
      <c r="S29190" s="183"/>
    </row>
    <row r="29191" spans="1:38">
      <c r="A29191" s="182"/>
      <c r="Q29191" s="183"/>
      <c r="R29191" s="183"/>
      <c r="S29191" s="183"/>
    </row>
    <row r="29192" spans="1:38">
      <c r="A29192" s="182"/>
      <c r="Q29192" s="183"/>
      <c r="R29192" s="183"/>
      <c r="S29192" s="183"/>
    </row>
    <row r="29193" spans="1:38">
      <c r="A29193" s="182"/>
      <c r="Q29193" s="183"/>
      <c r="R29193" s="183"/>
      <c r="S29193" s="183"/>
    </row>
    <row r="29194" spans="1:38">
      <c r="A29194" s="182"/>
      <c r="Q29194" s="183"/>
      <c r="R29194" s="183"/>
      <c r="S29194" s="183"/>
    </row>
    <row r="29195" spans="1:38">
      <c r="A29195" s="182"/>
      <c r="Q29195" s="183"/>
      <c r="R29195" s="183"/>
      <c r="S29195" s="183"/>
    </row>
    <row r="29196" spans="1:38">
      <c r="A29196" s="182"/>
      <c r="Q29196" s="183"/>
      <c r="R29196" s="183"/>
      <c r="S29196" s="183"/>
    </row>
    <row r="29197" spans="1:38">
      <c r="A29197" s="182"/>
      <c r="Q29197" s="183"/>
      <c r="R29197" s="183"/>
      <c r="S29197" s="183"/>
      <c r="AK29197" s="183"/>
      <c r="AL29197" s="183"/>
    </row>
    <row r="29198" spans="1:38">
      <c r="A29198" s="182"/>
      <c r="Q29198" s="183"/>
      <c r="R29198" s="183"/>
      <c r="S29198" s="183"/>
      <c r="AJ29198" s="183"/>
      <c r="AK29198" s="183"/>
      <c r="AL29198" s="183"/>
    </row>
    <row r="29199" spans="1:38">
      <c r="A29199" s="182"/>
      <c r="Q29199" s="183"/>
      <c r="R29199" s="183"/>
      <c r="S29199" s="183"/>
      <c r="AJ29199" s="183"/>
      <c r="AK29199" s="183"/>
      <c r="AL29199" s="183"/>
    </row>
    <row r="29200" spans="1:38">
      <c r="A29200" s="182"/>
      <c r="Q29200" s="183"/>
      <c r="R29200" s="183"/>
      <c r="S29200" s="183"/>
      <c r="AJ29200" s="183"/>
      <c r="AK29200" s="183"/>
      <c r="AL29200" s="183"/>
    </row>
    <row r="29201" spans="1:36">
      <c r="A29201" s="182"/>
      <c r="Q29201" s="183"/>
      <c r="R29201" s="183"/>
      <c r="S29201" s="183"/>
      <c r="AJ29201" s="183"/>
    </row>
    <row r="29202" spans="1:36">
      <c r="A29202" s="182"/>
      <c r="Q29202" s="183"/>
      <c r="R29202" s="183"/>
      <c r="S29202" s="183"/>
    </row>
    <row r="29203" spans="1:36">
      <c r="A29203" s="182"/>
      <c r="Q29203" s="183"/>
      <c r="R29203" s="183"/>
      <c r="S29203" s="183"/>
    </row>
    <row r="29204" spans="1:36">
      <c r="A29204" s="182"/>
      <c r="Q29204" s="183"/>
      <c r="R29204" s="183"/>
      <c r="S29204" s="183"/>
    </row>
    <row r="29205" spans="1:36">
      <c r="A29205" s="182"/>
      <c r="Q29205" s="183"/>
      <c r="R29205" s="183"/>
      <c r="S29205" s="183"/>
    </row>
    <row r="29206" spans="1:36">
      <c r="A29206" s="182"/>
      <c r="Q29206" s="183"/>
      <c r="R29206" s="183"/>
      <c r="S29206" s="183"/>
    </row>
    <row r="29207" spans="1:36">
      <c r="A29207" s="182"/>
      <c r="Q29207" s="183"/>
      <c r="R29207" s="183"/>
      <c r="S29207" s="183"/>
    </row>
    <row r="29208" spans="1:36">
      <c r="A29208" s="182"/>
      <c r="Q29208" s="183"/>
      <c r="R29208" s="183"/>
      <c r="S29208" s="183"/>
    </row>
    <row r="29209" spans="1:36">
      <c r="A29209" s="182"/>
      <c r="Q29209" s="183"/>
      <c r="R29209" s="183"/>
      <c r="S29209" s="183"/>
    </row>
    <row r="29210" spans="1:36">
      <c r="A29210" s="182"/>
      <c r="Q29210" s="183"/>
      <c r="R29210" s="183"/>
      <c r="S29210" s="183"/>
    </row>
    <row r="29211" spans="1:36">
      <c r="A29211" s="182"/>
      <c r="Q29211" s="183"/>
      <c r="R29211" s="183"/>
      <c r="S29211" s="183"/>
    </row>
    <row r="29212" spans="1:36">
      <c r="A29212" s="182"/>
      <c r="Q29212" s="183"/>
      <c r="R29212" s="183"/>
      <c r="S29212" s="183"/>
    </row>
    <row r="29213" spans="1:36">
      <c r="A29213" s="182"/>
      <c r="Q29213" s="183"/>
      <c r="R29213" s="183"/>
      <c r="S29213" s="183"/>
    </row>
    <row r="29214" spans="1:36">
      <c r="A29214" s="182"/>
      <c r="Q29214" s="183"/>
      <c r="R29214" s="183"/>
      <c r="S29214" s="183"/>
    </row>
    <row r="29215" spans="1:36">
      <c r="A29215" s="182"/>
      <c r="Q29215" s="183"/>
      <c r="R29215" s="183"/>
      <c r="S29215" s="183"/>
    </row>
    <row r="29216" spans="1:36">
      <c r="A29216" s="182"/>
      <c r="Q29216" s="183"/>
      <c r="R29216" s="183"/>
      <c r="S29216" s="183"/>
    </row>
    <row r="29217" spans="1:19">
      <c r="A29217" s="182"/>
      <c r="Q29217" s="183"/>
      <c r="R29217" s="183"/>
      <c r="S29217" s="183"/>
    </row>
    <row r="29218" spans="1:19">
      <c r="A29218" s="182"/>
      <c r="Q29218" s="183"/>
      <c r="R29218" s="183"/>
      <c r="S29218" s="183"/>
    </row>
    <row r="29219" spans="1:19">
      <c r="A29219" s="182"/>
      <c r="Q29219" s="183"/>
      <c r="R29219" s="183"/>
      <c r="S29219" s="183"/>
    </row>
    <row r="29220" spans="1:19">
      <c r="A29220" s="182"/>
      <c r="Q29220" s="183"/>
      <c r="R29220" s="183"/>
      <c r="S29220" s="183"/>
    </row>
    <row r="29221" spans="1:19">
      <c r="A29221" s="182"/>
      <c r="Q29221" s="183"/>
      <c r="R29221" s="183"/>
      <c r="S29221" s="183"/>
    </row>
    <row r="29222" spans="1:19">
      <c r="A29222" s="182"/>
      <c r="Q29222" s="183"/>
      <c r="R29222" s="183"/>
      <c r="S29222" s="183"/>
    </row>
    <row r="29223" spans="1:19">
      <c r="A29223" s="182"/>
      <c r="Q29223" s="183"/>
      <c r="R29223" s="183"/>
      <c r="S29223" s="183"/>
    </row>
    <row r="29224" spans="1:19">
      <c r="A29224" s="182"/>
      <c r="Q29224" s="183"/>
      <c r="R29224" s="183"/>
      <c r="S29224" s="183"/>
    </row>
    <row r="29225" spans="1:19">
      <c r="A29225" s="182"/>
      <c r="Q29225" s="183"/>
      <c r="R29225" s="183"/>
      <c r="S29225" s="183"/>
    </row>
    <row r="29226" spans="1:19">
      <c r="A29226" s="182"/>
      <c r="Q29226" s="183"/>
      <c r="R29226" s="183"/>
      <c r="S29226" s="183"/>
    </row>
    <row r="29227" spans="1:19">
      <c r="A29227" s="182"/>
      <c r="Q29227" s="183"/>
      <c r="R29227" s="183"/>
      <c r="S29227" s="183"/>
    </row>
    <row r="29228" spans="1:19">
      <c r="A29228" s="182"/>
      <c r="Q29228" s="183"/>
      <c r="R29228" s="183"/>
      <c r="S29228" s="183"/>
    </row>
    <row r="29229" spans="1:19">
      <c r="A29229" s="182"/>
      <c r="Q29229" s="183"/>
      <c r="R29229" s="183"/>
      <c r="S29229" s="183"/>
    </row>
    <row r="29230" spans="1:19">
      <c r="A29230" s="182"/>
      <c r="Q29230" s="183"/>
      <c r="R29230" s="183"/>
      <c r="S29230" s="183"/>
    </row>
    <row r="29231" spans="1:19">
      <c r="A29231" s="182"/>
      <c r="Q29231" s="183"/>
      <c r="R29231" s="183"/>
      <c r="S29231" s="183"/>
    </row>
    <row r="29232" spans="1:19">
      <c r="A29232" s="182"/>
      <c r="Q29232" s="183"/>
      <c r="R29232" s="183"/>
      <c r="S29232" s="183"/>
    </row>
    <row r="29233" spans="1:19">
      <c r="A29233" s="182"/>
      <c r="Q29233" s="183"/>
      <c r="R29233" s="183"/>
      <c r="S29233" s="183"/>
    </row>
    <row r="29234" spans="1:19">
      <c r="A29234" s="182"/>
      <c r="Q29234" s="183"/>
      <c r="R29234" s="183"/>
      <c r="S29234" s="183"/>
    </row>
    <row r="29235" spans="1:19">
      <c r="A29235" s="182"/>
      <c r="Q29235" s="183"/>
      <c r="R29235" s="183"/>
      <c r="S29235" s="183"/>
    </row>
    <row r="29236" spans="1:19">
      <c r="A29236" s="182"/>
      <c r="Q29236" s="183"/>
      <c r="R29236" s="183"/>
      <c r="S29236" s="183"/>
    </row>
    <row r="29237" spans="1:19">
      <c r="A29237" s="182"/>
      <c r="Q29237" s="183"/>
      <c r="R29237" s="183"/>
      <c r="S29237" s="183"/>
    </row>
    <row r="29238" spans="1:19">
      <c r="A29238" s="182"/>
      <c r="Q29238" s="183"/>
      <c r="R29238" s="183"/>
      <c r="S29238" s="183"/>
    </row>
    <row r="29239" spans="1:19">
      <c r="A29239" s="182"/>
      <c r="Q29239" s="183"/>
      <c r="R29239" s="183"/>
      <c r="S29239" s="183"/>
    </row>
    <row r="29240" spans="1:19">
      <c r="A29240" s="182"/>
      <c r="Q29240" s="183"/>
      <c r="R29240" s="183"/>
      <c r="S29240" s="183"/>
    </row>
    <row r="29241" spans="1:19">
      <c r="A29241" s="182"/>
      <c r="Q29241" s="183"/>
      <c r="R29241" s="183"/>
      <c r="S29241" s="183"/>
    </row>
    <row r="29242" spans="1:19">
      <c r="A29242" s="182"/>
      <c r="Q29242" s="183"/>
      <c r="R29242" s="183"/>
      <c r="S29242" s="183"/>
    </row>
    <row r="29243" spans="1:19">
      <c r="A29243" s="182"/>
      <c r="Q29243" s="183"/>
      <c r="R29243" s="183"/>
      <c r="S29243" s="183"/>
    </row>
    <row r="29244" spans="1:19">
      <c r="A29244" s="182"/>
      <c r="Q29244" s="183"/>
      <c r="R29244" s="183"/>
      <c r="S29244" s="183"/>
    </row>
    <row r="29245" spans="1:19">
      <c r="A29245" s="182"/>
      <c r="Q29245" s="183"/>
      <c r="R29245" s="183"/>
      <c r="S29245" s="183"/>
    </row>
    <row r="29246" spans="1:19">
      <c r="A29246" s="182"/>
      <c r="Q29246" s="183"/>
      <c r="R29246" s="183"/>
      <c r="S29246" s="183"/>
    </row>
    <row r="29247" spans="1:19">
      <c r="A29247" s="182"/>
      <c r="Q29247" s="183"/>
      <c r="R29247" s="183"/>
      <c r="S29247" s="183"/>
    </row>
    <row r="29248" spans="1:19">
      <c r="A29248" s="182"/>
      <c r="Q29248" s="183"/>
      <c r="R29248" s="183"/>
      <c r="S29248" s="183"/>
    </row>
    <row r="29249" spans="1:38">
      <c r="A29249" s="182"/>
      <c r="Q29249" s="183"/>
      <c r="R29249" s="183"/>
      <c r="S29249" s="183"/>
    </row>
    <row r="29250" spans="1:38">
      <c r="A29250" s="182"/>
      <c r="Q29250" s="183"/>
      <c r="R29250" s="183"/>
      <c r="S29250" s="183"/>
    </row>
    <row r="29251" spans="1:38">
      <c r="A29251" s="182"/>
      <c r="Q29251" s="183"/>
      <c r="R29251" s="183"/>
      <c r="S29251" s="183"/>
    </row>
    <row r="29252" spans="1:38">
      <c r="A29252" s="182"/>
      <c r="Q29252" s="183"/>
      <c r="R29252" s="183"/>
      <c r="S29252" s="183"/>
    </row>
    <row r="29253" spans="1:38">
      <c r="A29253" s="182"/>
      <c r="Q29253" s="183"/>
      <c r="R29253" s="183"/>
      <c r="S29253" s="183"/>
    </row>
    <row r="29254" spans="1:38">
      <c r="A29254" s="182"/>
      <c r="Q29254" s="183"/>
      <c r="R29254" s="183"/>
      <c r="S29254" s="183"/>
    </row>
    <row r="29255" spans="1:38">
      <c r="A29255" s="182"/>
      <c r="Q29255" s="183"/>
      <c r="R29255" s="183"/>
      <c r="S29255" s="183"/>
    </row>
    <row r="29256" spans="1:38">
      <c r="A29256" s="182"/>
      <c r="Q29256" s="183"/>
      <c r="R29256" s="183"/>
      <c r="S29256" s="183"/>
    </row>
    <row r="29257" spans="1:38">
      <c r="A29257" s="182"/>
      <c r="Q29257" s="183"/>
      <c r="R29257" s="183"/>
      <c r="S29257" s="183"/>
      <c r="AK29257" s="183"/>
      <c r="AL29257" s="183"/>
    </row>
    <row r="29258" spans="1:38">
      <c r="A29258" s="182"/>
      <c r="Q29258" s="183"/>
      <c r="R29258" s="183"/>
      <c r="S29258" s="183"/>
      <c r="AJ29258" s="183"/>
      <c r="AK29258" s="183"/>
      <c r="AL29258" s="183"/>
    </row>
    <row r="29259" spans="1:38">
      <c r="A29259" s="182"/>
      <c r="Q29259" s="183"/>
      <c r="R29259" s="183"/>
      <c r="S29259" s="183"/>
      <c r="AJ29259" s="183"/>
      <c r="AK29259" s="183"/>
      <c r="AL29259" s="183"/>
    </row>
    <row r="29260" spans="1:38">
      <c r="A29260" s="182"/>
      <c r="Q29260" s="183"/>
      <c r="R29260" s="183"/>
      <c r="S29260" s="183"/>
      <c r="AJ29260" s="183"/>
      <c r="AK29260" s="183"/>
      <c r="AL29260" s="183"/>
    </row>
    <row r="29261" spans="1:38">
      <c r="A29261" s="182"/>
      <c r="Q29261" s="183"/>
      <c r="R29261" s="183"/>
      <c r="S29261" s="183"/>
      <c r="AJ29261" s="183"/>
    </row>
    <row r="29262" spans="1:38">
      <c r="A29262" s="182"/>
      <c r="Q29262" s="183"/>
      <c r="R29262" s="183"/>
      <c r="S29262" s="183"/>
    </row>
    <row r="29263" spans="1:38">
      <c r="A29263" s="182"/>
      <c r="Q29263" s="183"/>
      <c r="R29263" s="183"/>
      <c r="S29263" s="183"/>
    </row>
    <row r="29264" spans="1:38">
      <c r="A29264" s="182"/>
      <c r="Q29264" s="183"/>
      <c r="R29264" s="183"/>
      <c r="S29264" s="183"/>
    </row>
    <row r="29265" spans="1:38">
      <c r="A29265" s="182"/>
      <c r="Q29265" s="183"/>
      <c r="R29265" s="183"/>
      <c r="S29265" s="183"/>
    </row>
    <row r="29266" spans="1:38">
      <c r="A29266" s="182"/>
      <c r="Q29266" s="183"/>
      <c r="R29266" s="183"/>
      <c r="S29266" s="183"/>
    </row>
    <row r="29267" spans="1:38">
      <c r="A29267" s="182"/>
      <c r="Q29267" s="183"/>
      <c r="R29267" s="183"/>
      <c r="S29267" s="183"/>
    </row>
    <row r="29268" spans="1:38">
      <c r="A29268" s="182"/>
      <c r="Q29268" s="183"/>
      <c r="R29268" s="183"/>
      <c r="S29268" s="183"/>
    </row>
    <row r="29269" spans="1:38">
      <c r="A29269" s="182"/>
      <c r="Q29269" s="183"/>
      <c r="R29269" s="183"/>
      <c r="S29269" s="183"/>
      <c r="AK29269" s="183"/>
      <c r="AL29269" s="183"/>
    </row>
    <row r="29270" spans="1:38">
      <c r="A29270" s="182"/>
      <c r="Q29270" s="183"/>
      <c r="R29270" s="183"/>
      <c r="S29270" s="183"/>
      <c r="AJ29270" s="183"/>
      <c r="AK29270" s="183"/>
      <c r="AL29270" s="183"/>
    </row>
    <row r="29271" spans="1:38">
      <c r="A29271" s="182"/>
      <c r="Q29271" s="183"/>
      <c r="R29271" s="183"/>
      <c r="S29271" s="183"/>
      <c r="AJ29271" s="183"/>
      <c r="AK29271" s="183"/>
      <c r="AL29271" s="183"/>
    </row>
    <row r="29272" spans="1:38">
      <c r="A29272" s="182"/>
      <c r="Q29272" s="183"/>
      <c r="R29272" s="183"/>
      <c r="S29272" s="183"/>
      <c r="AJ29272" s="183"/>
      <c r="AK29272" s="183"/>
      <c r="AL29272" s="183"/>
    </row>
    <row r="29273" spans="1:38">
      <c r="A29273" s="182"/>
      <c r="Q29273" s="183"/>
      <c r="R29273" s="183"/>
      <c r="S29273" s="183"/>
      <c r="AJ29273" s="183"/>
    </row>
    <row r="29274" spans="1:38">
      <c r="A29274" s="182"/>
      <c r="Q29274" s="183"/>
      <c r="R29274" s="183"/>
      <c r="S29274" s="183"/>
    </row>
    <row r="29275" spans="1:38">
      <c r="A29275" s="182"/>
      <c r="Q29275" s="183"/>
      <c r="R29275" s="183"/>
      <c r="S29275" s="183"/>
    </row>
    <row r="29276" spans="1:38">
      <c r="A29276" s="182"/>
      <c r="Q29276" s="183"/>
      <c r="R29276" s="183"/>
      <c r="S29276" s="183"/>
    </row>
    <row r="29277" spans="1:38">
      <c r="A29277" s="182"/>
      <c r="Q29277" s="183"/>
      <c r="R29277" s="183"/>
      <c r="S29277" s="183"/>
      <c r="AK29277" s="183"/>
      <c r="AL29277" s="183"/>
    </row>
    <row r="29278" spans="1:38">
      <c r="A29278" s="182"/>
      <c r="Q29278" s="183"/>
      <c r="R29278" s="183"/>
      <c r="S29278" s="183"/>
      <c r="AJ29278" s="183"/>
      <c r="AK29278" s="183"/>
      <c r="AL29278" s="183"/>
    </row>
    <row r="29279" spans="1:38">
      <c r="A29279" s="182"/>
      <c r="Q29279" s="183"/>
      <c r="R29279" s="183"/>
      <c r="S29279" s="183"/>
      <c r="AJ29279" s="183"/>
      <c r="AK29279" s="183"/>
      <c r="AL29279" s="183"/>
    </row>
    <row r="29280" spans="1:38">
      <c r="A29280" s="182"/>
      <c r="Q29280" s="183"/>
      <c r="R29280" s="183"/>
      <c r="S29280" s="183"/>
      <c r="AJ29280" s="183"/>
      <c r="AK29280" s="183"/>
      <c r="AL29280" s="183"/>
    </row>
    <row r="29281" spans="1:38">
      <c r="A29281" s="182"/>
      <c r="Q29281" s="183"/>
      <c r="R29281" s="183"/>
      <c r="S29281" s="183"/>
      <c r="AJ29281" s="183"/>
    </row>
    <row r="29282" spans="1:38">
      <c r="A29282" s="182"/>
      <c r="Q29282" s="183"/>
      <c r="R29282" s="183"/>
      <c r="S29282" s="183"/>
    </row>
    <row r="29283" spans="1:38">
      <c r="A29283" s="182"/>
      <c r="Q29283" s="183"/>
      <c r="R29283" s="183"/>
      <c r="S29283" s="183"/>
    </row>
    <row r="29284" spans="1:38">
      <c r="A29284" s="182"/>
      <c r="Q29284" s="183"/>
      <c r="R29284" s="183"/>
      <c r="S29284" s="183"/>
    </row>
    <row r="29285" spans="1:38">
      <c r="A29285" s="182"/>
      <c r="Q29285" s="183"/>
      <c r="R29285" s="183"/>
      <c r="S29285" s="183"/>
      <c r="AK29285" s="183"/>
      <c r="AL29285" s="183"/>
    </row>
    <row r="29286" spans="1:38">
      <c r="A29286" s="182"/>
      <c r="Q29286" s="183"/>
      <c r="R29286" s="183"/>
      <c r="S29286" s="183"/>
      <c r="AJ29286" s="183"/>
      <c r="AK29286" s="183"/>
      <c r="AL29286" s="183"/>
    </row>
    <row r="29287" spans="1:38">
      <c r="A29287" s="182"/>
      <c r="Q29287" s="183"/>
      <c r="R29287" s="183"/>
      <c r="S29287" s="183"/>
      <c r="AJ29287" s="183"/>
      <c r="AK29287" s="183"/>
      <c r="AL29287" s="183"/>
    </row>
    <row r="29288" spans="1:38">
      <c r="A29288" s="182"/>
      <c r="Q29288" s="183"/>
      <c r="R29288" s="183"/>
      <c r="S29288" s="183"/>
      <c r="AJ29288" s="183"/>
      <c r="AK29288" s="183"/>
      <c r="AL29288" s="183"/>
    </row>
    <row r="29289" spans="1:38">
      <c r="A29289" s="182"/>
      <c r="Q29289" s="183"/>
      <c r="R29289" s="183"/>
      <c r="S29289" s="183"/>
      <c r="AJ29289" s="183"/>
      <c r="AK29289" s="183"/>
      <c r="AL29289" s="183"/>
    </row>
    <row r="29290" spans="1:38">
      <c r="A29290" s="182"/>
      <c r="Q29290" s="183"/>
      <c r="R29290" s="183"/>
      <c r="S29290" s="183"/>
      <c r="AJ29290" s="183"/>
      <c r="AK29290" s="183"/>
      <c r="AL29290" s="183"/>
    </row>
    <row r="29291" spans="1:38">
      <c r="A29291" s="182"/>
      <c r="Q29291" s="183"/>
      <c r="R29291" s="183"/>
      <c r="S29291" s="183"/>
      <c r="AJ29291" s="183"/>
      <c r="AK29291" s="183"/>
      <c r="AL29291" s="183"/>
    </row>
    <row r="29292" spans="1:38">
      <c r="A29292" s="182"/>
      <c r="Q29292" s="183"/>
      <c r="R29292" s="183"/>
      <c r="S29292" s="183"/>
      <c r="AJ29292" s="183"/>
      <c r="AK29292" s="183"/>
      <c r="AL29292" s="183"/>
    </row>
    <row r="29293" spans="1:38">
      <c r="A29293" s="182"/>
      <c r="Q29293" s="183"/>
      <c r="R29293" s="183"/>
      <c r="S29293" s="183"/>
      <c r="AJ29293" s="183"/>
    </row>
    <row r="29294" spans="1:38">
      <c r="A29294" s="182"/>
      <c r="Q29294" s="183"/>
      <c r="R29294" s="183"/>
      <c r="S29294" s="183"/>
    </row>
    <row r="29295" spans="1:38">
      <c r="A29295" s="182"/>
      <c r="Q29295" s="183"/>
      <c r="R29295" s="183"/>
      <c r="S29295" s="183"/>
    </row>
    <row r="29296" spans="1:38">
      <c r="A29296" s="182"/>
      <c r="Q29296" s="183"/>
      <c r="R29296" s="183"/>
      <c r="S29296" s="183"/>
    </row>
    <row r="29297" spans="1:19">
      <c r="A29297" s="182"/>
      <c r="Q29297" s="183"/>
      <c r="R29297" s="183"/>
      <c r="S29297" s="183"/>
    </row>
    <row r="29298" spans="1:19">
      <c r="A29298" s="182"/>
      <c r="Q29298" s="183"/>
      <c r="R29298" s="183"/>
      <c r="S29298" s="183"/>
    </row>
    <row r="29299" spans="1:19">
      <c r="A29299" s="182"/>
      <c r="Q29299" s="183"/>
      <c r="R29299" s="183"/>
      <c r="S29299" s="183"/>
    </row>
    <row r="29300" spans="1:19">
      <c r="A29300" s="182"/>
      <c r="Q29300" s="183"/>
      <c r="R29300" s="183"/>
      <c r="S29300" s="183"/>
    </row>
    <row r="29301" spans="1:19">
      <c r="A29301" s="182"/>
      <c r="Q29301" s="183"/>
      <c r="R29301" s="183"/>
      <c r="S29301" s="183"/>
    </row>
    <row r="29302" spans="1:19">
      <c r="A29302" s="182"/>
      <c r="Q29302" s="183"/>
      <c r="R29302" s="183"/>
      <c r="S29302" s="183"/>
    </row>
    <row r="29303" spans="1:19">
      <c r="A29303" s="182"/>
      <c r="Q29303" s="183"/>
      <c r="R29303" s="183"/>
      <c r="S29303" s="183"/>
    </row>
    <row r="29304" spans="1:19">
      <c r="A29304" s="182"/>
      <c r="Q29304" s="183"/>
      <c r="R29304" s="183"/>
      <c r="S29304" s="183"/>
    </row>
    <row r="29305" spans="1:19">
      <c r="A29305" s="182"/>
      <c r="Q29305" s="183"/>
      <c r="R29305" s="183"/>
      <c r="S29305" s="183"/>
    </row>
    <row r="29306" spans="1:19">
      <c r="A29306" s="182"/>
      <c r="Q29306" s="183"/>
      <c r="R29306" s="183"/>
      <c r="S29306" s="183"/>
    </row>
    <row r="29307" spans="1:19">
      <c r="A29307" s="182"/>
      <c r="Q29307" s="183"/>
      <c r="R29307" s="183"/>
      <c r="S29307" s="183"/>
    </row>
    <row r="29308" spans="1:19">
      <c r="A29308" s="182"/>
      <c r="Q29308" s="183"/>
      <c r="R29308" s="183"/>
      <c r="S29308" s="183"/>
    </row>
    <row r="29309" spans="1:19">
      <c r="A29309" s="182"/>
      <c r="Q29309" s="183"/>
      <c r="R29309" s="183"/>
      <c r="S29309" s="183"/>
    </row>
    <row r="29310" spans="1:19">
      <c r="A29310" s="182"/>
      <c r="Q29310" s="183"/>
      <c r="R29310" s="183"/>
      <c r="S29310" s="183"/>
    </row>
    <row r="29311" spans="1:19">
      <c r="A29311" s="182"/>
      <c r="Q29311" s="183"/>
      <c r="R29311" s="183"/>
      <c r="S29311" s="183"/>
    </row>
    <row r="29312" spans="1:19">
      <c r="A29312" s="182"/>
      <c r="Q29312" s="183"/>
      <c r="R29312" s="183"/>
      <c r="S29312" s="183"/>
    </row>
    <row r="29313" spans="1:19">
      <c r="A29313" s="182"/>
      <c r="Q29313" s="183"/>
      <c r="R29313" s="183"/>
      <c r="S29313" s="183"/>
    </row>
    <row r="29314" spans="1:19">
      <c r="A29314" s="182"/>
      <c r="Q29314" s="183"/>
      <c r="R29314" s="183"/>
      <c r="S29314" s="183"/>
    </row>
    <row r="29315" spans="1:19">
      <c r="A29315" s="182"/>
      <c r="Q29315" s="183"/>
      <c r="R29315" s="183"/>
      <c r="S29315" s="183"/>
    </row>
    <row r="29316" spans="1:19">
      <c r="A29316" s="182"/>
      <c r="Q29316" s="183"/>
      <c r="R29316" s="183"/>
      <c r="S29316" s="183"/>
    </row>
    <row r="29317" spans="1:19">
      <c r="A29317" s="182"/>
      <c r="Q29317" s="183"/>
      <c r="R29317" s="183"/>
      <c r="S29317" s="183"/>
    </row>
    <row r="29318" spans="1:19">
      <c r="A29318" s="182"/>
      <c r="Q29318" s="183"/>
      <c r="R29318" s="183"/>
      <c r="S29318" s="183"/>
    </row>
    <row r="29319" spans="1:19">
      <c r="A29319" s="182"/>
      <c r="Q29319" s="183"/>
      <c r="R29319" s="183"/>
      <c r="S29319" s="183"/>
    </row>
    <row r="29320" spans="1:19">
      <c r="A29320" s="182"/>
      <c r="Q29320" s="183"/>
      <c r="R29320" s="183"/>
      <c r="S29320" s="183"/>
    </row>
    <row r="29321" spans="1:19">
      <c r="A29321" s="182"/>
      <c r="Q29321" s="183"/>
      <c r="R29321" s="183"/>
      <c r="S29321" s="183"/>
    </row>
    <row r="29322" spans="1:19">
      <c r="A29322" s="182"/>
      <c r="Q29322" s="183"/>
      <c r="R29322" s="183"/>
      <c r="S29322" s="183"/>
    </row>
    <row r="29323" spans="1:19">
      <c r="A29323" s="182"/>
      <c r="Q29323" s="183"/>
      <c r="R29323" s="183"/>
      <c r="S29323" s="183"/>
    </row>
    <row r="29324" spans="1:19">
      <c r="A29324" s="182"/>
      <c r="Q29324" s="183"/>
      <c r="R29324" s="183"/>
      <c r="S29324" s="183"/>
    </row>
    <row r="29325" spans="1:19">
      <c r="A29325" s="182"/>
      <c r="Q29325" s="183"/>
      <c r="R29325" s="183"/>
      <c r="S29325" s="183"/>
    </row>
    <row r="29326" spans="1:19">
      <c r="A29326" s="182"/>
      <c r="Q29326" s="183"/>
      <c r="R29326" s="183"/>
      <c r="S29326" s="183"/>
    </row>
    <row r="29327" spans="1:19">
      <c r="A29327" s="182"/>
      <c r="Q29327" s="183"/>
      <c r="R29327" s="183"/>
      <c r="S29327" s="183"/>
    </row>
    <row r="29328" spans="1:19">
      <c r="A29328" s="182"/>
      <c r="Q29328" s="183"/>
      <c r="R29328" s="183"/>
      <c r="S29328" s="183"/>
    </row>
    <row r="29329" spans="1:19">
      <c r="A29329" s="182"/>
      <c r="Q29329" s="183"/>
      <c r="R29329" s="183"/>
      <c r="S29329" s="183"/>
    </row>
    <row r="29330" spans="1:19">
      <c r="A29330" s="182"/>
      <c r="Q29330" s="183"/>
      <c r="R29330" s="183"/>
      <c r="S29330" s="183"/>
    </row>
    <row r="29331" spans="1:19">
      <c r="A29331" s="182"/>
      <c r="Q29331" s="183"/>
      <c r="R29331" s="183"/>
      <c r="S29331" s="183"/>
    </row>
    <row r="29332" spans="1:19">
      <c r="A29332" s="182"/>
      <c r="Q29332" s="183"/>
      <c r="R29332" s="183"/>
      <c r="S29332" s="183"/>
    </row>
    <row r="29333" spans="1:19">
      <c r="A29333" s="182"/>
      <c r="Q29333" s="183"/>
      <c r="R29333" s="183"/>
      <c r="S29333" s="183"/>
    </row>
    <row r="29334" spans="1:19">
      <c r="A29334" s="182"/>
      <c r="Q29334" s="183"/>
      <c r="R29334" s="183"/>
      <c r="S29334" s="183"/>
    </row>
    <row r="29335" spans="1:19">
      <c r="A29335" s="182"/>
      <c r="Q29335" s="183"/>
      <c r="R29335" s="183"/>
      <c r="S29335" s="183"/>
    </row>
    <row r="29336" spans="1:19">
      <c r="A29336" s="182"/>
      <c r="Q29336" s="183"/>
      <c r="R29336" s="183"/>
      <c r="S29336" s="183"/>
    </row>
    <row r="29337" spans="1:19">
      <c r="A29337" s="182"/>
      <c r="Q29337" s="183"/>
      <c r="R29337" s="183"/>
      <c r="S29337" s="183"/>
    </row>
    <row r="29338" spans="1:19">
      <c r="A29338" s="182"/>
      <c r="Q29338" s="183"/>
      <c r="R29338" s="183"/>
      <c r="S29338" s="183"/>
    </row>
    <row r="29339" spans="1:19">
      <c r="A29339" s="182"/>
      <c r="Q29339" s="183"/>
      <c r="R29339" s="183"/>
      <c r="S29339" s="183"/>
    </row>
    <row r="29340" spans="1:19">
      <c r="A29340" s="182"/>
      <c r="Q29340" s="183"/>
      <c r="R29340" s="183"/>
      <c r="S29340" s="183"/>
    </row>
    <row r="29341" spans="1:19">
      <c r="A29341" s="182"/>
      <c r="Q29341" s="183"/>
      <c r="R29341" s="183"/>
      <c r="S29341" s="183"/>
    </row>
    <row r="29342" spans="1:19">
      <c r="A29342" s="182"/>
      <c r="Q29342" s="183"/>
      <c r="R29342" s="183"/>
      <c r="S29342" s="183"/>
    </row>
    <row r="29343" spans="1:19">
      <c r="A29343" s="182"/>
      <c r="Q29343" s="183"/>
      <c r="R29343" s="183"/>
      <c r="S29343" s="183"/>
    </row>
    <row r="29344" spans="1:19">
      <c r="A29344" s="182"/>
      <c r="Q29344" s="183"/>
      <c r="R29344" s="183"/>
      <c r="S29344" s="183"/>
    </row>
    <row r="29345" spans="1:38">
      <c r="A29345" s="182"/>
      <c r="Q29345" s="183"/>
      <c r="R29345" s="183"/>
      <c r="S29345" s="183"/>
    </row>
    <row r="29346" spans="1:38">
      <c r="A29346" s="182"/>
      <c r="Q29346" s="183"/>
      <c r="R29346" s="183"/>
      <c r="S29346" s="183"/>
    </row>
    <row r="29347" spans="1:38">
      <c r="A29347" s="182"/>
      <c r="Q29347" s="183"/>
      <c r="R29347" s="183"/>
      <c r="S29347" s="183"/>
    </row>
    <row r="29348" spans="1:38">
      <c r="A29348" s="182"/>
      <c r="Q29348" s="183"/>
      <c r="R29348" s="183"/>
      <c r="S29348" s="183"/>
    </row>
    <row r="29349" spans="1:38">
      <c r="A29349" s="182"/>
      <c r="Q29349" s="183"/>
      <c r="R29349" s="183"/>
      <c r="S29349" s="183"/>
    </row>
    <row r="29350" spans="1:38">
      <c r="A29350" s="182"/>
      <c r="Q29350" s="183"/>
      <c r="R29350" s="183"/>
      <c r="S29350" s="183"/>
    </row>
    <row r="29351" spans="1:38">
      <c r="A29351" s="182"/>
      <c r="Q29351" s="183"/>
      <c r="R29351" s="183"/>
      <c r="S29351" s="183"/>
    </row>
    <row r="29352" spans="1:38">
      <c r="A29352" s="182"/>
      <c r="Q29352" s="183"/>
      <c r="R29352" s="183"/>
      <c r="S29352" s="183"/>
    </row>
    <row r="29353" spans="1:38">
      <c r="A29353" s="182"/>
      <c r="Q29353" s="183"/>
      <c r="R29353" s="183"/>
      <c r="S29353" s="183"/>
    </row>
    <row r="29354" spans="1:38">
      <c r="A29354" s="182"/>
      <c r="Q29354" s="183"/>
      <c r="R29354" s="183"/>
      <c r="S29354" s="183"/>
    </row>
    <row r="29355" spans="1:38">
      <c r="A29355" s="182"/>
      <c r="Q29355" s="183"/>
      <c r="R29355" s="183"/>
      <c r="S29355" s="183"/>
    </row>
    <row r="29356" spans="1:38">
      <c r="A29356" s="182"/>
      <c r="Q29356" s="183"/>
      <c r="R29356" s="183"/>
      <c r="S29356" s="183"/>
    </row>
    <row r="29357" spans="1:38">
      <c r="A29357" s="182"/>
      <c r="Q29357" s="183"/>
      <c r="R29357" s="183"/>
      <c r="S29357" s="183"/>
      <c r="AK29357" s="183"/>
      <c r="AL29357" s="183"/>
    </row>
    <row r="29358" spans="1:38">
      <c r="A29358" s="182"/>
      <c r="Q29358" s="183"/>
      <c r="R29358" s="183"/>
      <c r="S29358" s="183"/>
      <c r="AJ29358" s="183"/>
      <c r="AK29358" s="183"/>
      <c r="AL29358" s="183"/>
    </row>
    <row r="29359" spans="1:38">
      <c r="A29359" s="182"/>
      <c r="Q29359" s="183"/>
      <c r="R29359" s="183"/>
      <c r="S29359" s="183"/>
      <c r="AJ29359" s="183"/>
      <c r="AK29359" s="183"/>
      <c r="AL29359" s="183"/>
    </row>
    <row r="29360" spans="1:38">
      <c r="A29360" s="182"/>
      <c r="Q29360" s="183"/>
      <c r="R29360" s="183"/>
      <c r="S29360" s="183"/>
      <c r="AJ29360" s="183"/>
      <c r="AK29360" s="183"/>
      <c r="AL29360" s="183"/>
    </row>
    <row r="29361" spans="1:38">
      <c r="A29361" s="182"/>
      <c r="Q29361" s="183"/>
      <c r="R29361" s="183"/>
      <c r="S29361" s="183"/>
      <c r="AJ29361" s="183"/>
    </row>
    <row r="29362" spans="1:38">
      <c r="A29362" s="182"/>
      <c r="Q29362" s="183"/>
      <c r="R29362" s="183"/>
      <c r="S29362" s="183"/>
    </row>
    <row r="29363" spans="1:38">
      <c r="A29363" s="182"/>
      <c r="Q29363" s="183"/>
      <c r="R29363" s="183"/>
      <c r="S29363" s="183"/>
    </row>
    <row r="29364" spans="1:38">
      <c r="A29364" s="182"/>
      <c r="Q29364" s="183"/>
      <c r="R29364" s="183"/>
      <c r="S29364" s="183"/>
    </row>
    <row r="29365" spans="1:38">
      <c r="A29365" s="182"/>
      <c r="Q29365" s="183"/>
      <c r="R29365" s="183"/>
      <c r="S29365" s="183"/>
      <c r="AK29365" s="183"/>
      <c r="AL29365" s="183"/>
    </row>
    <row r="29366" spans="1:38">
      <c r="A29366" s="182"/>
      <c r="Q29366" s="183"/>
      <c r="R29366" s="183"/>
      <c r="S29366" s="183"/>
      <c r="AJ29366" s="183"/>
      <c r="AK29366" s="183"/>
      <c r="AL29366" s="183"/>
    </row>
    <row r="29367" spans="1:38">
      <c r="A29367" s="182"/>
      <c r="Q29367" s="183"/>
      <c r="R29367" s="183"/>
      <c r="S29367" s="183"/>
      <c r="AJ29367" s="183"/>
      <c r="AK29367" s="183"/>
      <c r="AL29367" s="183"/>
    </row>
    <row r="29368" spans="1:38">
      <c r="A29368" s="182"/>
      <c r="Q29368" s="183"/>
      <c r="R29368" s="183"/>
      <c r="S29368" s="183"/>
      <c r="AJ29368" s="183"/>
      <c r="AK29368" s="183"/>
      <c r="AL29368" s="183"/>
    </row>
    <row r="29369" spans="1:38">
      <c r="A29369" s="182"/>
      <c r="Q29369" s="183"/>
      <c r="R29369" s="183"/>
      <c r="S29369" s="183"/>
      <c r="AJ29369" s="183"/>
      <c r="AK29369" s="183"/>
      <c r="AL29369" s="183"/>
    </row>
    <row r="29370" spans="1:38">
      <c r="A29370" s="182"/>
      <c r="Q29370" s="183"/>
      <c r="R29370" s="183"/>
      <c r="S29370" s="183"/>
      <c r="AJ29370" s="183"/>
      <c r="AK29370" s="183"/>
      <c r="AL29370" s="183"/>
    </row>
    <row r="29371" spans="1:38">
      <c r="A29371" s="182"/>
      <c r="Q29371" s="183"/>
      <c r="R29371" s="183"/>
      <c r="S29371" s="183"/>
      <c r="AJ29371" s="183"/>
      <c r="AK29371" s="183"/>
      <c r="AL29371" s="183"/>
    </row>
    <row r="29372" spans="1:38">
      <c r="A29372" s="182"/>
      <c r="Q29372" s="183"/>
      <c r="R29372" s="183"/>
      <c r="S29372" s="183"/>
      <c r="AJ29372" s="183"/>
      <c r="AK29372" s="183"/>
      <c r="AL29372" s="183"/>
    </row>
    <row r="29373" spans="1:38">
      <c r="A29373" s="182"/>
      <c r="Q29373" s="183"/>
      <c r="R29373" s="183"/>
      <c r="S29373" s="183"/>
      <c r="AJ29373" s="183"/>
    </row>
    <row r="29374" spans="1:38">
      <c r="A29374" s="182"/>
      <c r="Q29374" s="183"/>
      <c r="R29374" s="183"/>
      <c r="S29374" s="183"/>
    </row>
    <row r="29375" spans="1:38">
      <c r="A29375" s="182"/>
      <c r="Q29375" s="183"/>
      <c r="R29375" s="183"/>
      <c r="S29375" s="183"/>
    </row>
    <row r="29376" spans="1:38">
      <c r="A29376" s="182"/>
      <c r="Q29376" s="183"/>
      <c r="R29376" s="183"/>
      <c r="S29376" s="183"/>
    </row>
    <row r="29377" spans="1:19">
      <c r="A29377" s="182"/>
      <c r="Q29377" s="183"/>
      <c r="R29377" s="183"/>
      <c r="S29377" s="183"/>
    </row>
    <row r="29378" spans="1:19">
      <c r="A29378" s="182"/>
      <c r="Q29378" s="183"/>
      <c r="R29378" s="183"/>
      <c r="S29378" s="183"/>
    </row>
    <row r="29379" spans="1:19">
      <c r="A29379" s="182"/>
      <c r="Q29379" s="183"/>
      <c r="R29379" s="183"/>
      <c r="S29379" s="183"/>
    </row>
    <row r="29380" spans="1:19">
      <c r="A29380" s="182"/>
      <c r="Q29380" s="183"/>
      <c r="R29380" s="183"/>
      <c r="S29380" s="183"/>
    </row>
    <row r="29381" spans="1:19">
      <c r="A29381" s="182"/>
      <c r="Q29381" s="183"/>
      <c r="R29381" s="183"/>
      <c r="S29381" s="183"/>
    </row>
    <row r="29382" spans="1:19">
      <c r="A29382" s="182"/>
      <c r="Q29382" s="183"/>
      <c r="R29382" s="183"/>
      <c r="S29382" s="183"/>
    </row>
    <row r="29383" spans="1:19">
      <c r="A29383" s="182"/>
      <c r="Q29383" s="183"/>
      <c r="R29383" s="183"/>
      <c r="S29383" s="183"/>
    </row>
    <row r="29384" spans="1:19">
      <c r="A29384" s="182"/>
      <c r="Q29384" s="183"/>
      <c r="R29384" s="183"/>
      <c r="S29384" s="183"/>
    </row>
    <row r="29385" spans="1:19">
      <c r="A29385" s="182"/>
      <c r="Q29385" s="183"/>
      <c r="R29385" s="183"/>
      <c r="S29385" s="183"/>
    </row>
    <row r="29386" spans="1:19">
      <c r="A29386" s="182"/>
      <c r="Q29386" s="183"/>
      <c r="R29386" s="183"/>
      <c r="S29386" s="183"/>
    </row>
    <row r="29387" spans="1:19">
      <c r="A29387" s="182"/>
      <c r="Q29387" s="183"/>
      <c r="R29387" s="183"/>
      <c r="S29387" s="183"/>
    </row>
    <row r="29388" spans="1:19">
      <c r="A29388" s="182"/>
      <c r="Q29388" s="183"/>
      <c r="R29388" s="183"/>
      <c r="S29388" s="183"/>
    </row>
    <row r="29389" spans="1:19">
      <c r="A29389" s="182"/>
      <c r="Q29389" s="183"/>
      <c r="R29389" s="183"/>
      <c r="S29389" s="183"/>
    </row>
    <row r="29390" spans="1:19">
      <c r="A29390" s="182"/>
      <c r="Q29390" s="183"/>
      <c r="R29390" s="183"/>
      <c r="S29390" s="183"/>
    </row>
    <row r="29391" spans="1:19">
      <c r="A29391" s="182"/>
      <c r="Q29391" s="183"/>
      <c r="R29391" s="183"/>
      <c r="S29391" s="183"/>
    </row>
    <row r="29392" spans="1:19">
      <c r="A29392" s="182"/>
      <c r="Q29392" s="183"/>
      <c r="R29392" s="183"/>
      <c r="S29392" s="183"/>
    </row>
    <row r="29393" spans="1:38">
      <c r="A29393" s="182"/>
      <c r="Q29393" s="183"/>
      <c r="R29393" s="183"/>
      <c r="S29393" s="183"/>
      <c r="AK29393" s="183"/>
      <c r="AL29393" s="183"/>
    </row>
    <row r="29394" spans="1:38">
      <c r="A29394" s="182"/>
      <c r="Q29394" s="183"/>
      <c r="R29394" s="183"/>
      <c r="S29394" s="183"/>
      <c r="AJ29394" s="183"/>
      <c r="AK29394" s="183"/>
      <c r="AL29394" s="183"/>
    </row>
    <row r="29395" spans="1:38">
      <c r="A29395" s="182"/>
      <c r="Q29395" s="183"/>
      <c r="R29395" s="183"/>
      <c r="S29395" s="183"/>
      <c r="AJ29395" s="183"/>
      <c r="AK29395" s="183"/>
      <c r="AL29395" s="183"/>
    </row>
    <row r="29396" spans="1:38">
      <c r="A29396" s="182"/>
      <c r="Q29396" s="183"/>
      <c r="R29396" s="183"/>
      <c r="S29396" s="183"/>
      <c r="AJ29396" s="183"/>
      <c r="AK29396" s="183"/>
      <c r="AL29396" s="183"/>
    </row>
    <row r="29397" spans="1:38">
      <c r="A29397" s="182"/>
      <c r="Q29397" s="183"/>
      <c r="R29397" s="183"/>
      <c r="S29397" s="183"/>
      <c r="AJ29397" s="183"/>
    </row>
    <row r="29398" spans="1:38">
      <c r="A29398" s="182"/>
      <c r="Q29398" s="183"/>
      <c r="R29398" s="183"/>
      <c r="S29398" s="183"/>
    </row>
    <row r="29399" spans="1:38">
      <c r="A29399" s="182"/>
      <c r="Q29399" s="183"/>
      <c r="R29399" s="183"/>
      <c r="S29399" s="183"/>
    </row>
    <row r="29400" spans="1:38">
      <c r="A29400" s="182"/>
      <c r="Q29400" s="183"/>
      <c r="R29400" s="183"/>
      <c r="S29400" s="183"/>
    </row>
    <row r="29401" spans="1:38">
      <c r="A29401" s="182"/>
      <c r="Q29401" s="183"/>
      <c r="R29401" s="183"/>
      <c r="S29401" s="183"/>
    </row>
    <row r="29402" spans="1:38">
      <c r="A29402" s="182"/>
      <c r="Q29402" s="183"/>
      <c r="R29402" s="183"/>
      <c r="S29402" s="183"/>
    </row>
    <row r="29403" spans="1:38">
      <c r="A29403" s="182"/>
      <c r="Q29403" s="183"/>
      <c r="R29403" s="183"/>
      <c r="S29403" s="183"/>
    </row>
    <row r="29404" spans="1:38">
      <c r="A29404" s="182"/>
      <c r="Q29404" s="183"/>
      <c r="R29404" s="183"/>
      <c r="S29404" s="183"/>
    </row>
    <row r="29405" spans="1:38">
      <c r="A29405" s="182"/>
      <c r="Q29405" s="183"/>
      <c r="R29405" s="183"/>
      <c r="S29405" s="183"/>
      <c r="AK29405" s="183"/>
      <c r="AL29405" s="183"/>
    </row>
    <row r="29406" spans="1:38">
      <c r="A29406" s="182"/>
      <c r="Q29406" s="183"/>
      <c r="R29406" s="183"/>
      <c r="S29406" s="183"/>
      <c r="AJ29406" s="183"/>
      <c r="AK29406" s="183"/>
      <c r="AL29406" s="183"/>
    </row>
    <row r="29407" spans="1:38">
      <c r="A29407" s="182"/>
      <c r="Q29407" s="183"/>
      <c r="R29407" s="183"/>
      <c r="S29407" s="183"/>
      <c r="AJ29407" s="183"/>
      <c r="AK29407" s="183"/>
      <c r="AL29407" s="183"/>
    </row>
    <row r="29408" spans="1:38">
      <c r="A29408" s="182"/>
      <c r="Q29408" s="183"/>
      <c r="R29408" s="183"/>
      <c r="S29408" s="183"/>
      <c r="AJ29408" s="183"/>
      <c r="AK29408" s="183"/>
      <c r="AL29408" s="183"/>
    </row>
    <row r="29409" spans="1:36">
      <c r="A29409" s="182"/>
      <c r="Q29409" s="183"/>
      <c r="R29409" s="183"/>
      <c r="S29409" s="183"/>
      <c r="AJ29409" s="183"/>
    </row>
    <row r="29410" spans="1:36">
      <c r="A29410" s="182"/>
      <c r="Q29410" s="183"/>
      <c r="R29410" s="183"/>
      <c r="S29410" s="183"/>
    </row>
    <row r="29411" spans="1:36">
      <c r="A29411" s="182"/>
      <c r="Q29411" s="183"/>
      <c r="R29411" s="183"/>
      <c r="S29411" s="183"/>
    </row>
    <row r="29412" spans="1:36">
      <c r="A29412" s="182"/>
      <c r="Q29412" s="183"/>
      <c r="R29412" s="183"/>
      <c r="S29412" s="183"/>
    </row>
    <row r="29413" spans="1:36">
      <c r="A29413" s="182"/>
      <c r="Q29413" s="183"/>
      <c r="R29413" s="183"/>
      <c r="S29413" s="183"/>
    </row>
    <row r="29414" spans="1:36">
      <c r="A29414" s="182"/>
      <c r="Q29414" s="183"/>
      <c r="R29414" s="183"/>
      <c r="S29414" s="183"/>
    </row>
    <row r="29415" spans="1:36">
      <c r="A29415" s="182"/>
      <c r="Q29415" s="183"/>
      <c r="R29415" s="183"/>
      <c r="S29415" s="183"/>
    </row>
    <row r="29416" spans="1:36">
      <c r="A29416" s="182"/>
      <c r="Q29416" s="183"/>
      <c r="R29416" s="183"/>
      <c r="S29416" s="183"/>
    </row>
    <row r="29417" spans="1:36">
      <c r="A29417" s="182"/>
      <c r="Q29417" s="183"/>
      <c r="R29417" s="183"/>
      <c r="S29417" s="183"/>
    </row>
    <row r="29418" spans="1:36">
      <c r="A29418" s="182"/>
      <c r="Q29418" s="183"/>
      <c r="R29418" s="183"/>
      <c r="S29418" s="183"/>
    </row>
    <row r="29419" spans="1:36">
      <c r="A29419" s="182"/>
      <c r="Q29419" s="183"/>
      <c r="R29419" s="183"/>
      <c r="S29419" s="183"/>
    </row>
    <row r="29420" spans="1:36">
      <c r="A29420" s="182"/>
      <c r="Q29420" s="183"/>
      <c r="R29420" s="183"/>
      <c r="S29420" s="183"/>
    </row>
    <row r="29421" spans="1:36">
      <c r="A29421" s="182"/>
      <c r="Q29421" s="183"/>
      <c r="R29421" s="183"/>
      <c r="S29421" s="183"/>
    </row>
    <row r="29422" spans="1:36">
      <c r="A29422" s="182"/>
      <c r="Q29422" s="183"/>
      <c r="R29422" s="183"/>
      <c r="S29422" s="183"/>
    </row>
    <row r="29423" spans="1:36">
      <c r="A29423" s="182"/>
      <c r="Q29423" s="183"/>
      <c r="R29423" s="183"/>
      <c r="S29423" s="183"/>
    </row>
    <row r="29424" spans="1:36">
      <c r="A29424" s="182"/>
      <c r="Q29424" s="183"/>
      <c r="R29424" s="183"/>
      <c r="S29424" s="183"/>
    </row>
    <row r="29425" spans="1:38">
      <c r="A29425" s="182"/>
      <c r="Q29425" s="183"/>
      <c r="R29425" s="183"/>
      <c r="S29425" s="183"/>
    </row>
    <row r="29426" spans="1:38">
      <c r="A29426" s="182"/>
      <c r="Q29426" s="183"/>
      <c r="R29426" s="183"/>
      <c r="S29426" s="183"/>
    </row>
    <row r="29427" spans="1:38">
      <c r="A29427" s="182"/>
      <c r="Q29427" s="183"/>
      <c r="R29427" s="183"/>
      <c r="S29427" s="183"/>
    </row>
    <row r="29428" spans="1:38">
      <c r="A29428" s="182"/>
      <c r="Q29428" s="183"/>
      <c r="R29428" s="183"/>
      <c r="S29428" s="183"/>
    </row>
    <row r="29429" spans="1:38">
      <c r="A29429" s="182"/>
      <c r="Q29429" s="183"/>
      <c r="R29429" s="183"/>
      <c r="S29429" s="183"/>
      <c r="AK29429" s="183"/>
      <c r="AL29429" s="183"/>
    </row>
    <row r="29430" spans="1:38">
      <c r="A29430" s="182"/>
      <c r="Q29430" s="183"/>
      <c r="R29430" s="183"/>
      <c r="S29430" s="183"/>
      <c r="AJ29430" s="183"/>
      <c r="AK29430" s="183"/>
      <c r="AL29430" s="183"/>
    </row>
    <row r="29431" spans="1:38">
      <c r="A29431" s="182"/>
      <c r="Q29431" s="183"/>
      <c r="R29431" s="183"/>
      <c r="S29431" s="183"/>
      <c r="AJ29431" s="183"/>
      <c r="AK29431" s="183"/>
      <c r="AL29431" s="183"/>
    </row>
    <row r="29432" spans="1:38">
      <c r="A29432" s="182"/>
      <c r="Q29432" s="183"/>
      <c r="R29432" s="183"/>
      <c r="S29432" s="183"/>
      <c r="AJ29432" s="183"/>
      <c r="AK29432" s="183"/>
      <c r="AL29432" s="183"/>
    </row>
    <row r="29433" spans="1:38">
      <c r="A29433" s="182"/>
      <c r="N29433" s="183"/>
      <c r="O29433" s="183"/>
      <c r="Q29433" s="183"/>
      <c r="R29433" s="183"/>
      <c r="S29433" s="183"/>
      <c r="AJ29433" s="183"/>
    </row>
    <row r="29434" spans="1:38">
      <c r="A29434" s="182"/>
      <c r="M29434" s="183"/>
      <c r="Q29434" s="183"/>
      <c r="R29434" s="183"/>
      <c r="S29434" s="183"/>
    </row>
    <row r="29435" spans="1:38">
      <c r="A29435" s="182"/>
      <c r="Q29435" s="183"/>
      <c r="R29435" s="183"/>
      <c r="S29435" s="183"/>
    </row>
    <row r="29436" spans="1:38">
      <c r="A29436" s="182"/>
      <c r="Q29436" s="183"/>
      <c r="R29436" s="183"/>
      <c r="S29436" s="183"/>
    </row>
    <row r="29437" spans="1:38">
      <c r="A29437" s="182"/>
      <c r="Q29437" s="183"/>
      <c r="R29437" s="183"/>
      <c r="S29437" s="183"/>
    </row>
    <row r="29438" spans="1:38">
      <c r="A29438" s="182"/>
      <c r="Q29438" s="183"/>
      <c r="R29438" s="183"/>
      <c r="S29438" s="183"/>
    </row>
    <row r="29439" spans="1:38">
      <c r="A29439" s="182"/>
      <c r="Q29439" s="183"/>
      <c r="R29439" s="183"/>
      <c r="S29439" s="183"/>
    </row>
    <row r="29440" spans="1:38">
      <c r="A29440" s="182"/>
      <c r="Q29440" s="183"/>
      <c r="R29440" s="183"/>
      <c r="S29440" s="183"/>
    </row>
    <row r="29441" spans="1:38">
      <c r="A29441" s="182"/>
      <c r="Q29441" s="183"/>
      <c r="R29441" s="183"/>
      <c r="S29441" s="183"/>
    </row>
    <row r="29442" spans="1:38">
      <c r="A29442" s="182"/>
      <c r="Q29442" s="183"/>
      <c r="R29442" s="183"/>
      <c r="S29442" s="183"/>
    </row>
    <row r="29443" spans="1:38">
      <c r="A29443" s="182"/>
      <c r="Q29443" s="183"/>
      <c r="R29443" s="183"/>
      <c r="S29443" s="183"/>
    </row>
    <row r="29444" spans="1:38">
      <c r="A29444" s="182"/>
      <c r="Q29444" s="183"/>
      <c r="R29444" s="183"/>
      <c r="S29444" s="183"/>
    </row>
    <row r="29445" spans="1:38">
      <c r="A29445" s="182"/>
      <c r="Q29445" s="183"/>
      <c r="R29445" s="183"/>
      <c r="S29445" s="183"/>
    </row>
    <row r="29446" spans="1:38">
      <c r="A29446" s="182"/>
      <c r="Q29446" s="183"/>
      <c r="R29446" s="183"/>
      <c r="S29446" s="183"/>
    </row>
    <row r="29447" spans="1:38">
      <c r="A29447" s="182"/>
      <c r="Q29447" s="183"/>
      <c r="R29447" s="183"/>
      <c r="S29447" s="183"/>
    </row>
    <row r="29448" spans="1:38">
      <c r="A29448" s="182"/>
      <c r="Q29448" s="183"/>
      <c r="R29448" s="183"/>
      <c r="S29448" s="183"/>
    </row>
    <row r="29449" spans="1:38">
      <c r="A29449" s="182"/>
      <c r="Q29449" s="183"/>
      <c r="R29449" s="183"/>
      <c r="S29449" s="183"/>
    </row>
    <row r="29450" spans="1:38">
      <c r="A29450" s="182"/>
      <c r="Q29450" s="183"/>
      <c r="R29450" s="183"/>
      <c r="S29450" s="183"/>
    </row>
    <row r="29451" spans="1:38">
      <c r="A29451" s="182"/>
      <c r="Q29451" s="183"/>
      <c r="R29451" s="183"/>
      <c r="S29451" s="183"/>
    </row>
    <row r="29452" spans="1:38">
      <c r="A29452" s="182"/>
      <c r="Q29452" s="183"/>
      <c r="R29452" s="183"/>
      <c r="S29452" s="183"/>
    </row>
    <row r="29453" spans="1:38">
      <c r="A29453" s="182"/>
      <c r="Q29453" s="183"/>
      <c r="R29453" s="183"/>
      <c r="S29453" s="183"/>
      <c r="AK29453" s="183"/>
      <c r="AL29453" s="183"/>
    </row>
    <row r="29454" spans="1:38">
      <c r="A29454" s="182"/>
      <c r="Q29454" s="183"/>
      <c r="R29454" s="183"/>
      <c r="S29454" s="183"/>
      <c r="AJ29454" s="183"/>
      <c r="AK29454" s="183"/>
      <c r="AL29454" s="183"/>
    </row>
    <row r="29455" spans="1:38">
      <c r="A29455" s="182"/>
      <c r="Q29455" s="183"/>
      <c r="R29455" s="183"/>
      <c r="S29455" s="183"/>
      <c r="AJ29455" s="183"/>
      <c r="AK29455" s="183"/>
      <c r="AL29455" s="183"/>
    </row>
    <row r="29456" spans="1:38">
      <c r="A29456" s="182"/>
      <c r="Q29456" s="183"/>
      <c r="R29456" s="183"/>
      <c r="S29456" s="183"/>
      <c r="AJ29456" s="183"/>
      <c r="AK29456" s="183"/>
      <c r="AL29456" s="183"/>
    </row>
    <row r="29457" spans="1:38">
      <c r="A29457" s="182"/>
      <c r="Q29457" s="183"/>
      <c r="R29457" s="183"/>
      <c r="S29457" s="183"/>
      <c r="AJ29457" s="183"/>
    </row>
    <row r="29458" spans="1:38">
      <c r="A29458" s="182"/>
      <c r="Q29458" s="183"/>
      <c r="R29458" s="183"/>
      <c r="S29458" s="183"/>
    </row>
    <row r="29459" spans="1:38">
      <c r="A29459" s="182"/>
      <c r="Q29459" s="183"/>
      <c r="R29459" s="183"/>
      <c r="S29459" s="183"/>
    </row>
    <row r="29460" spans="1:38">
      <c r="A29460" s="182"/>
      <c r="Q29460" s="183"/>
      <c r="R29460" s="183"/>
      <c r="S29460" s="183"/>
    </row>
    <row r="29461" spans="1:38">
      <c r="A29461" s="182"/>
      <c r="Q29461" s="183"/>
      <c r="R29461" s="183"/>
      <c r="S29461" s="183"/>
    </row>
    <row r="29462" spans="1:38">
      <c r="A29462" s="182"/>
      <c r="Q29462" s="183"/>
      <c r="R29462" s="183"/>
      <c r="S29462" s="183"/>
    </row>
    <row r="29463" spans="1:38">
      <c r="A29463" s="182"/>
      <c r="Q29463" s="183"/>
      <c r="R29463" s="183"/>
      <c r="S29463" s="183"/>
    </row>
    <row r="29464" spans="1:38">
      <c r="A29464" s="182"/>
      <c r="Q29464" s="183"/>
      <c r="R29464" s="183"/>
      <c r="S29464" s="183"/>
    </row>
    <row r="29465" spans="1:38">
      <c r="A29465" s="182"/>
      <c r="Q29465" s="183"/>
      <c r="R29465" s="183"/>
      <c r="S29465" s="183"/>
    </row>
    <row r="29466" spans="1:38">
      <c r="A29466" s="182"/>
      <c r="Q29466" s="183"/>
      <c r="R29466" s="183"/>
      <c r="S29466" s="183"/>
    </row>
    <row r="29467" spans="1:38">
      <c r="A29467" s="182"/>
      <c r="Q29467" s="183"/>
      <c r="R29467" s="183"/>
      <c r="S29467" s="183"/>
    </row>
    <row r="29468" spans="1:38">
      <c r="A29468" s="182"/>
      <c r="Q29468" s="183"/>
      <c r="R29468" s="183"/>
      <c r="S29468" s="183"/>
    </row>
    <row r="29469" spans="1:38">
      <c r="A29469" s="182"/>
      <c r="Q29469" s="183"/>
      <c r="R29469" s="183"/>
      <c r="S29469" s="183"/>
      <c r="AK29469" s="183"/>
      <c r="AL29469" s="183"/>
    </row>
    <row r="29470" spans="1:38">
      <c r="A29470" s="182"/>
      <c r="Q29470" s="183"/>
      <c r="R29470" s="183"/>
      <c r="S29470" s="183"/>
      <c r="AJ29470" s="183"/>
      <c r="AK29470" s="183"/>
      <c r="AL29470" s="183"/>
    </row>
    <row r="29471" spans="1:38">
      <c r="A29471" s="182"/>
      <c r="Q29471" s="183"/>
      <c r="R29471" s="183"/>
      <c r="S29471" s="183"/>
      <c r="AJ29471" s="183"/>
      <c r="AK29471" s="183"/>
      <c r="AL29471" s="183"/>
    </row>
    <row r="29472" spans="1:38">
      <c r="A29472" s="182"/>
      <c r="Q29472" s="183"/>
      <c r="R29472" s="183"/>
      <c r="S29472" s="183"/>
      <c r="AJ29472" s="183"/>
      <c r="AK29472" s="183"/>
      <c r="AL29472" s="183"/>
    </row>
    <row r="29473" spans="1:38">
      <c r="A29473" s="182"/>
      <c r="Q29473" s="183"/>
      <c r="R29473" s="183"/>
      <c r="S29473" s="183"/>
      <c r="AJ29473" s="183"/>
    </row>
    <row r="29474" spans="1:38">
      <c r="A29474" s="182"/>
      <c r="Q29474" s="183"/>
      <c r="R29474" s="183"/>
      <c r="S29474" s="183"/>
    </row>
    <row r="29475" spans="1:38">
      <c r="A29475" s="182"/>
      <c r="Q29475" s="183"/>
      <c r="R29475" s="183"/>
      <c r="S29475" s="183"/>
    </row>
    <row r="29476" spans="1:38">
      <c r="A29476" s="182"/>
      <c r="Q29476" s="183"/>
      <c r="R29476" s="183"/>
      <c r="S29476" s="183"/>
    </row>
    <row r="29477" spans="1:38">
      <c r="A29477" s="182"/>
      <c r="Q29477" s="183"/>
      <c r="R29477" s="183"/>
      <c r="S29477" s="183"/>
      <c r="AK29477" s="183"/>
      <c r="AL29477" s="183"/>
    </row>
    <row r="29478" spans="1:38">
      <c r="A29478" s="182"/>
      <c r="Q29478" s="183"/>
      <c r="R29478" s="183"/>
      <c r="S29478" s="183"/>
      <c r="AJ29478" s="183"/>
      <c r="AK29478" s="183"/>
      <c r="AL29478" s="183"/>
    </row>
    <row r="29479" spans="1:38">
      <c r="A29479" s="182"/>
      <c r="Q29479" s="183"/>
      <c r="R29479" s="183"/>
      <c r="S29479" s="183"/>
      <c r="AJ29479" s="183"/>
      <c r="AK29479" s="183"/>
      <c r="AL29479" s="183"/>
    </row>
    <row r="29480" spans="1:38">
      <c r="A29480" s="182"/>
      <c r="Q29480" s="183"/>
      <c r="R29480" s="183"/>
      <c r="S29480" s="183"/>
      <c r="AJ29480" s="183"/>
      <c r="AK29480" s="183"/>
      <c r="AL29480" s="183"/>
    </row>
    <row r="29481" spans="1:38">
      <c r="A29481" s="182"/>
      <c r="Q29481" s="183"/>
      <c r="R29481" s="183"/>
      <c r="S29481" s="183"/>
      <c r="AJ29481" s="183"/>
      <c r="AK29481" s="183"/>
      <c r="AL29481" s="183"/>
    </row>
    <row r="29482" spans="1:38">
      <c r="A29482" s="182"/>
      <c r="Q29482" s="183"/>
      <c r="R29482" s="183"/>
      <c r="S29482" s="183"/>
      <c r="AJ29482" s="183"/>
      <c r="AK29482" s="183"/>
      <c r="AL29482" s="183"/>
    </row>
    <row r="29483" spans="1:38">
      <c r="A29483" s="182"/>
      <c r="Q29483" s="183"/>
      <c r="R29483" s="183"/>
      <c r="S29483" s="183"/>
      <c r="AJ29483" s="183"/>
      <c r="AK29483" s="183"/>
      <c r="AL29483" s="183"/>
    </row>
    <row r="29484" spans="1:38">
      <c r="A29484" s="182"/>
      <c r="Q29484" s="183"/>
      <c r="R29484" s="183"/>
      <c r="S29484" s="183"/>
      <c r="AJ29484" s="183"/>
      <c r="AK29484" s="183"/>
      <c r="AL29484" s="183"/>
    </row>
    <row r="29485" spans="1:38">
      <c r="A29485" s="182"/>
      <c r="Q29485" s="183"/>
      <c r="R29485" s="183"/>
      <c r="S29485" s="183"/>
      <c r="AJ29485" s="183"/>
    </row>
    <row r="29486" spans="1:38">
      <c r="A29486" s="182"/>
      <c r="Q29486" s="183"/>
      <c r="R29486" s="183"/>
      <c r="S29486" s="183"/>
    </row>
    <row r="29487" spans="1:38">
      <c r="A29487" s="182"/>
      <c r="Q29487" s="183"/>
      <c r="R29487" s="183"/>
      <c r="S29487" s="183"/>
    </row>
    <row r="29488" spans="1:38">
      <c r="A29488" s="182"/>
      <c r="Q29488" s="183"/>
      <c r="R29488" s="183"/>
      <c r="S29488" s="183"/>
    </row>
    <row r="29489" spans="1:38">
      <c r="A29489" s="182"/>
      <c r="Q29489" s="183"/>
      <c r="R29489" s="183"/>
      <c r="S29489" s="183"/>
    </row>
    <row r="29490" spans="1:38">
      <c r="A29490" s="182"/>
      <c r="Q29490" s="183"/>
      <c r="R29490" s="183"/>
      <c r="S29490" s="183"/>
    </row>
    <row r="29491" spans="1:38">
      <c r="A29491" s="182"/>
      <c r="Q29491" s="183"/>
      <c r="R29491" s="183"/>
      <c r="S29491" s="183"/>
    </row>
    <row r="29492" spans="1:38">
      <c r="A29492" s="182"/>
      <c r="Q29492" s="183"/>
      <c r="R29492" s="183"/>
      <c r="S29492" s="183"/>
    </row>
    <row r="29493" spans="1:38">
      <c r="A29493" s="182"/>
      <c r="Q29493" s="183"/>
      <c r="R29493" s="183"/>
      <c r="S29493" s="183"/>
      <c r="AK29493" s="183"/>
      <c r="AL29493" s="183"/>
    </row>
    <row r="29494" spans="1:38">
      <c r="A29494" s="182"/>
      <c r="Q29494" s="183"/>
      <c r="R29494" s="183"/>
      <c r="S29494" s="183"/>
      <c r="AJ29494" s="183"/>
      <c r="AK29494" s="183"/>
      <c r="AL29494" s="183"/>
    </row>
    <row r="29495" spans="1:38">
      <c r="A29495" s="182"/>
      <c r="Q29495" s="183"/>
      <c r="R29495" s="183"/>
      <c r="S29495" s="183"/>
      <c r="AJ29495" s="183"/>
      <c r="AK29495" s="183"/>
      <c r="AL29495" s="183"/>
    </row>
    <row r="29496" spans="1:38">
      <c r="A29496" s="182"/>
      <c r="Q29496" s="183"/>
      <c r="R29496" s="183"/>
      <c r="S29496" s="183"/>
      <c r="AJ29496" s="183"/>
      <c r="AK29496" s="183"/>
      <c r="AL29496" s="183"/>
    </row>
    <row r="29497" spans="1:38">
      <c r="A29497" s="182"/>
      <c r="Q29497" s="183"/>
      <c r="R29497" s="183"/>
      <c r="S29497" s="183"/>
      <c r="AJ29497" s="183"/>
    </row>
    <row r="29498" spans="1:38">
      <c r="A29498" s="182"/>
      <c r="Q29498" s="183"/>
      <c r="R29498" s="183"/>
      <c r="S29498" s="183"/>
    </row>
    <row r="29499" spans="1:38">
      <c r="A29499" s="182"/>
      <c r="Q29499" s="183"/>
      <c r="R29499" s="183"/>
      <c r="S29499" s="183"/>
    </row>
    <row r="29500" spans="1:38">
      <c r="A29500" s="182"/>
      <c r="Q29500" s="183"/>
      <c r="R29500" s="183"/>
      <c r="S29500" s="183"/>
    </row>
    <row r="29501" spans="1:38">
      <c r="A29501" s="182"/>
      <c r="Q29501" s="183"/>
      <c r="R29501" s="183"/>
      <c r="S29501" s="183"/>
    </row>
    <row r="29502" spans="1:38">
      <c r="A29502" s="182"/>
      <c r="Q29502" s="183"/>
      <c r="R29502" s="183"/>
      <c r="S29502" s="183"/>
    </row>
    <row r="29503" spans="1:38">
      <c r="A29503" s="182"/>
      <c r="Q29503" s="183"/>
      <c r="R29503" s="183"/>
      <c r="S29503" s="183"/>
    </row>
    <row r="29504" spans="1:38">
      <c r="A29504" s="182"/>
      <c r="Q29504" s="183"/>
      <c r="R29504" s="183"/>
      <c r="S29504" s="183"/>
    </row>
    <row r="29505" spans="1:19">
      <c r="A29505" s="182"/>
      <c r="Q29505" s="183"/>
      <c r="R29505" s="183"/>
      <c r="S29505" s="183"/>
    </row>
    <row r="29506" spans="1:19">
      <c r="A29506" s="182"/>
      <c r="Q29506" s="183"/>
      <c r="R29506" s="183"/>
      <c r="S29506" s="183"/>
    </row>
    <row r="29507" spans="1:19">
      <c r="A29507" s="182"/>
      <c r="Q29507" s="183"/>
      <c r="R29507" s="183"/>
      <c r="S29507" s="183"/>
    </row>
    <row r="29508" spans="1:19">
      <c r="A29508" s="182"/>
      <c r="Q29508" s="183"/>
      <c r="R29508" s="183"/>
      <c r="S29508" s="183"/>
    </row>
    <row r="29509" spans="1:19">
      <c r="A29509" s="182"/>
      <c r="Q29509" s="183"/>
    </row>
    <row r="29510" spans="1:19">
      <c r="A29510" s="182"/>
      <c r="R29510" s="183"/>
      <c r="S29510" s="183"/>
    </row>
    <row r="29511" spans="1:19">
      <c r="A29511" s="182"/>
      <c r="Q29511" s="183"/>
      <c r="R29511" s="183"/>
      <c r="S29511" s="183"/>
    </row>
    <row r="29512" spans="1:19">
      <c r="A29512" s="182"/>
      <c r="Q29512" s="183"/>
      <c r="R29512" s="183"/>
      <c r="S29512" s="183"/>
    </row>
    <row r="29513" spans="1:19">
      <c r="A29513" s="182"/>
      <c r="Q29513" s="183"/>
      <c r="R29513" s="183"/>
      <c r="S29513" s="183"/>
    </row>
    <row r="29514" spans="1:19">
      <c r="A29514" s="182"/>
      <c r="Q29514" s="183"/>
      <c r="R29514" s="183"/>
      <c r="S29514" s="183"/>
    </row>
    <row r="29515" spans="1:19">
      <c r="A29515" s="182"/>
      <c r="Q29515" s="183"/>
      <c r="R29515" s="183"/>
      <c r="S29515" s="183"/>
    </row>
    <row r="29516" spans="1:19">
      <c r="A29516" s="182"/>
      <c r="Q29516" s="183"/>
      <c r="R29516" s="183"/>
      <c r="S29516" s="183"/>
    </row>
    <row r="29517" spans="1:19">
      <c r="A29517" s="182"/>
      <c r="Q29517" s="183"/>
      <c r="R29517" s="183"/>
      <c r="S29517" s="183"/>
    </row>
    <row r="29518" spans="1:19">
      <c r="A29518" s="182"/>
      <c r="Q29518" s="183"/>
      <c r="R29518" s="183"/>
      <c r="S29518" s="183"/>
    </row>
    <row r="29519" spans="1:19">
      <c r="A29519" s="182"/>
      <c r="Q29519" s="183"/>
      <c r="R29519" s="183"/>
      <c r="S29519" s="183"/>
    </row>
    <row r="29520" spans="1:19">
      <c r="A29520" s="182"/>
      <c r="Q29520" s="183"/>
      <c r="R29520" s="183"/>
      <c r="S29520" s="183"/>
    </row>
    <row r="29521" spans="1:19">
      <c r="A29521" s="182"/>
      <c r="Q29521" s="183"/>
      <c r="R29521" s="183"/>
      <c r="S29521" s="183"/>
    </row>
    <row r="29522" spans="1:19">
      <c r="A29522" s="182"/>
      <c r="Q29522" s="183"/>
      <c r="R29522" s="183"/>
      <c r="S29522" s="183"/>
    </row>
    <row r="29523" spans="1:19">
      <c r="A29523" s="182"/>
      <c r="Q29523" s="183"/>
      <c r="R29523" s="183"/>
      <c r="S29523" s="183"/>
    </row>
    <row r="29524" spans="1:19">
      <c r="A29524" s="182"/>
      <c r="Q29524" s="183"/>
      <c r="R29524" s="183"/>
      <c r="S29524" s="183"/>
    </row>
    <row r="29525" spans="1:19">
      <c r="A29525" s="182"/>
      <c r="Q29525" s="183"/>
      <c r="R29525" s="183"/>
      <c r="S29525" s="183"/>
    </row>
    <row r="29526" spans="1:19">
      <c r="A29526" s="182"/>
      <c r="Q29526" s="183"/>
      <c r="R29526" s="183"/>
      <c r="S29526" s="183"/>
    </row>
    <row r="29527" spans="1:19">
      <c r="A29527" s="182"/>
      <c r="Q29527" s="183"/>
      <c r="R29527" s="183"/>
      <c r="S29527" s="183"/>
    </row>
    <row r="29528" spans="1:19">
      <c r="A29528" s="182"/>
      <c r="Q29528" s="183"/>
      <c r="R29528" s="183"/>
      <c r="S29528" s="183"/>
    </row>
    <row r="29529" spans="1:19">
      <c r="A29529" s="182"/>
      <c r="Q29529" s="183"/>
      <c r="R29529" s="183"/>
      <c r="S29529" s="183"/>
    </row>
    <row r="29530" spans="1:19">
      <c r="A29530" s="182"/>
      <c r="Q29530" s="183"/>
      <c r="R29530" s="183"/>
      <c r="S29530" s="183"/>
    </row>
    <row r="29531" spans="1:19">
      <c r="A29531" s="182"/>
      <c r="Q29531" s="183"/>
      <c r="R29531" s="183"/>
      <c r="S29531" s="183"/>
    </row>
    <row r="29532" spans="1:19">
      <c r="A29532" s="182"/>
      <c r="Q29532" s="183"/>
      <c r="R29532" s="183"/>
      <c r="S29532" s="183"/>
    </row>
    <row r="29533" spans="1:19">
      <c r="A29533" s="182"/>
      <c r="Q29533" s="183"/>
      <c r="R29533" s="183"/>
      <c r="S29533" s="183"/>
    </row>
    <row r="29534" spans="1:19">
      <c r="A29534" s="182"/>
      <c r="Q29534" s="183"/>
      <c r="R29534" s="183"/>
      <c r="S29534" s="183"/>
    </row>
    <row r="29535" spans="1:19">
      <c r="A29535" s="182"/>
      <c r="Q29535" s="183"/>
      <c r="R29535" s="183"/>
      <c r="S29535" s="183"/>
    </row>
    <row r="29536" spans="1:19">
      <c r="A29536" s="182"/>
      <c r="Q29536" s="183"/>
      <c r="R29536" s="183"/>
      <c r="S29536" s="183"/>
    </row>
    <row r="29537" spans="1:38">
      <c r="A29537" s="182"/>
      <c r="Q29537" s="183"/>
      <c r="R29537" s="183"/>
      <c r="S29537" s="183"/>
    </row>
    <row r="29538" spans="1:38">
      <c r="A29538" s="182"/>
      <c r="Q29538" s="183"/>
      <c r="R29538" s="183"/>
      <c r="S29538" s="183"/>
    </row>
    <row r="29539" spans="1:38">
      <c r="A29539" s="182"/>
      <c r="Q29539" s="183"/>
      <c r="R29539" s="183"/>
      <c r="S29539" s="183"/>
    </row>
    <row r="29540" spans="1:38">
      <c r="A29540" s="182"/>
      <c r="Q29540" s="183"/>
      <c r="R29540" s="183"/>
      <c r="S29540" s="183"/>
    </row>
    <row r="29541" spans="1:38">
      <c r="A29541" s="182"/>
      <c r="Q29541" s="183"/>
      <c r="R29541" s="183"/>
      <c r="S29541" s="183"/>
      <c r="AK29541" s="183"/>
      <c r="AL29541" s="183"/>
    </row>
    <row r="29542" spans="1:38">
      <c r="A29542" s="182"/>
      <c r="Q29542" s="183"/>
      <c r="R29542" s="183"/>
      <c r="S29542" s="183"/>
      <c r="AJ29542" s="183"/>
      <c r="AK29542" s="183"/>
      <c r="AL29542" s="183"/>
    </row>
    <row r="29543" spans="1:38">
      <c r="A29543" s="182"/>
      <c r="Q29543" s="183"/>
      <c r="R29543" s="183"/>
      <c r="S29543" s="183"/>
      <c r="AJ29543" s="183"/>
      <c r="AK29543" s="183"/>
      <c r="AL29543" s="183"/>
    </row>
    <row r="29544" spans="1:38">
      <c r="A29544" s="182"/>
      <c r="Q29544" s="183"/>
      <c r="R29544" s="183"/>
      <c r="S29544" s="183"/>
      <c r="AJ29544" s="183"/>
      <c r="AK29544" s="183"/>
      <c r="AL29544" s="183"/>
    </row>
    <row r="29545" spans="1:38">
      <c r="A29545" s="182"/>
      <c r="Q29545" s="183"/>
      <c r="R29545" s="183"/>
      <c r="S29545" s="183"/>
      <c r="AJ29545" s="183"/>
    </row>
    <row r="29546" spans="1:38">
      <c r="A29546" s="182"/>
      <c r="Q29546" s="183"/>
      <c r="R29546" s="183"/>
      <c r="S29546" s="183"/>
    </row>
    <row r="29547" spans="1:38">
      <c r="A29547" s="182"/>
      <c r="Q29547" s="183"/>
      <c r="R29547" s="183"/>
      <c r="S29547" s="183"/>
    </row>
    <row r="29548" spans="1:38">
      <c r="A29548" s="182"/>
      <c r="Q29548" s="183"/>
      <c r="R29548" s="183"/>
      <c r="S29548" s="183"/>
    </row>
    <row r="29549" spans="1:38">
      <c r="A29549" s="182"/>
      <c r="Q29549" s="183"/>
      <c r="R29549" s="183"/>
      <c r="S29549" s="183"/>
    </row>
    <row r="29550" spans="1:38">
      <c r="A29550" s="182"/>
      <c r="Q29550" s="183"/>
      <c r="R29550" s="183"/>
      <c r="S29550" s="183"/>
    </row>
    <row r="29551" spans="1:38">
      <c r="A29551" s="182"/>
      <c r="Q29551" s="183"/>
      <c r="R29551" s="183"/>
      <c r="S29551" s="183"/>
    </row>
    <row r="29552" spans="1:38">
      <c r="A29552" s="182"/>
      <c r="Q29552" s="183"/>
      <c r="R29552" s="183"/>
      <c r="S29552" s="183"/>
    </row>
    <row r="29553" spans="1:38">
      <c r="A29553" s="182"/>
      <c r="Q29553" s="183"/>
      <c r="R29553" s="183"/>
      <c r="S29553" s="183"/>
    </row>
    <row r="29554" spans="1:38">
      <c r="A29554" s="182"/>
      <c r="Q29554" s="183"/>
      <c r="R29554" s="183"/>
      <c r="S29554" s="183"/>
    </row>
    <row r="29555" spans="1:38">
      <c r="A29555" s="182"/>
      <c r="Q29555" s="183"/>
      <c r="R29555" s="183"/>
      <c r="S29555" s="183"/>
    </row>
    <row r="29556" spans="1:38">
      <c r="A29556" s="182"/>
      <c r="Q29556" s="183"/>
      <c r="R29556" s="183"/>
      <c r="S29556" s="183"/>
    </row>
    <row r="29557" spans="1:38">
      <c r="A29557" s="182"/>
      <c r="Q29557" s="183"/>
      <c r="R29557" s="183"/>
      <c r="S29557" s="183"/>
      <c r="AK29557" s="183"/>
      <c r="AL29557" s="183"/>
    </row>
    <row r="29558" spans="1:38">
      <c r="A29558" s="182"/>
      <c r="Q29558" s="183"/>
      <c r="R29558" s="183"/>
      <c r="S29558" s="183"/>
      <c r="AJ29558" s="183"/>
      <c r="AK29558" s="183"/>
      <c r="AL29558" s="183"/>
    </row>
    <row r="29559" spans="1:38">
      <c r="A29559" s="182"/>
      <c r="Q29559" s="183"/>
      <c r="R29559" s="183"/>
      <c r="S29559" s="183"/>
      <c r="AJ29559" s="183"/>
      <c r="AK29559" s="183"/>
      <c r="AL29559" s="183"/>
    </row>
    <row r="29560" spans="1:38">
      <c r="A29560" s="182"/>
      <c r="Q29560" s="183"/>
      <c r="R29560" s="183"/>
      <c r="S29560" s="183"/>
      <c r="AJ29560" s="183"/>
      <c r="AK29560" s="183"/>
      <c r="AL29560" s="183"/>
    </row>
    <row r="29561" spans="1:38">
      <c r="A29561" s="182"/>
      <c r="Q29561" s="183"/>
      <c r="R29561" s="183"/>
      <c r="S29561" s="183"/>
      <c r="AJ29561" s="183"/>
    </row>
    <row r="29562" spans="1:38">
      <c r="A29562" s="182"/>
      <c r="Q29562" s="183"/>
      <c r="R29562" s="183"/>
      <c r="S29562" s="183"/>
    </row>
    <row r="29563" spans="1:38">
      <c r="A29563" s="182"/>
      <c r="Q29563" s="183"/>
      <c r="R29563" s="183"/>
      <c r="S29563" s="183"/>
    </row>
    <row r="29564" spans="1:38">
      <c r="A29564" s="182"/>
      <c r="Q29564" s="183"/>
      <c r="R29564" s="183"/>
      <c r="S29564" s="183"/>
    </row>
    <row r="29565" spans="1:38">
      <c r="A29565" s="182"/>
      <c r="Q29565" s="183"/>
      <c r="R29565" s="183"/>
      <c r="S29565" s="183"/>
    </row>
    <row r="29566" spans="1:38">
      <c r="A29566" s="182"/>
      <c r="Q29566" s="183"/>
      <c r="R29566" s="183"/>
      <c r="S29566" s="183"/>
    </row>
    <row r="29567" spans="1:38">
      <c r="A29567" s="182"/>
      <c r="Q29567" s="183"/>
      <c r="R29567" s="183"/>
      <c r="S29567" s="183"/>
    </row>
    <row r="29568" spans="1:38">
      <c r="A29568" s="182"/>
      <c r="Q29568" s="183"/>
      <c r="R29568" s="183"/>
      <c r="S29568" s="183"/>
    </row>
    <row r="29569" spans="1:38">
      <c r="A29569" s="182"/>
      <c r="Q29569" s="183"/>
      <c r="R29569" s="183"/>
      <c r="S29569" s="183"/>
    </row>
    <row r="29570" spans="1:38">
      <c r="A29570" s="182"/>
      <c r="Q29570" s="183"/>
      <c r="R29570" s="183"/>
      <c r="S29570" s="183"/>
    </row>
    <row r="29571" spans="1:38">
      <c r="A29571" s="182"/>
      <c r="Q29571" s="183"/>
      <c r="R29571" s="183"/>
      <c r="S29571" s="183"/>
    </row>
    <row r="29572" spans="1:38">
      <c r="A29572" s="182"/>
      <c r="Q29572" s="183"/>
      <c r="R29572" s="183"/>
      <c r="S29572" s="183"/>
    </row>
    <row r="29573" spans="1:38">
      <c r="A29573" s="182"/>
      <c r="Q29573" s="183"/>
      <c r="R29573" s="183"/>
      <c r="S29573" s="183"/>
      <c r="AK29573" s="183"/>
      <c r="AL29573" s="183"/>
    </row>
    <row r="29574" spans="1:38">
      <c r="A29574" s="182"/>
      <c r="Q29574" s="183"/>
      <c r="R29574" s="183"/>
      <c r="S29574" s="183"/>
      <c r="AJ29574" s="183"/>
      <c r="AK29574" s="183"/>
      <c r="AL29574" s="183"/>
    </row>
    <row r="29575" spans="1:38">
      <c r="A29575" s="182"/>
      <c r="Q29575" s="183"/>
      <c r="R29575" s="183"/>
      <c r="S29575" s="183"/>
      <c r="AJ29575" s="183"/>
      <c r="AK29575" s="183"/>
      <c r="AL29575" s="183"/>
    </row>
    <row r="29576" spans="1:38">
      <c r="A29576" s="182"/>
      <c r="Q29576" s="183"/>
      <c r="R29576" s="183"/>
      <c r="S29576" s="183"/>
      <c r="AJ29576" s="183"/>
      <c r="AK29576" s="183"/>
      <c r="AL29576" s="183"/>
    </row>
    <row r="29577" spans="1:38">
      <c r="A29577" s="182"/>
      <c r="Q29577" s="183"/>
      <c r="R29577" s="183"/>
      <c r="S29577" s="183"/>
      <c r="AJ29577" s="183"/>
    </row>
    <row r="29578" spans="1:38">
      <c r="A29578" s="182"/>
      <c r="Q29578" s="183"/>
      <c r="R29578" s="183"/>
      <c r="S29578" s="183"/>
    </row>
    <row r="29579" spans="1:38">
      <c r="A29579" s="182"/>
      <c r="Q29579" s="183"/>
      <c r="R29579" s="183"/>
      <c r="S29579" s="183"/>
    </row>
    <row r="29580" spans="1:38">
      <c r="A29580" s="182"/>
      <c r="Q29580" s="183"/>
      <c r="R29580" s="183"/>
      <c r="S29580" s="183"/>
    </row>
    <row r="29581" spans="1:38">
      <c r="A29581" s="182"/>
      <c r="Q29581" s="183"/>
      <c r="R29581" s="183"/>
      <c r="S29581" s="183"/>
    </row>
    <row r="29582" spans="1:38">
      <c r="A29582" s="182"/>
      <c r="Q29582" s="183"/>
      <c r="R29582" s="183"/>
      <c r="S29582" s="183"/>
    </row>
    <row r="29583" spans="1:38">
      <c r="A29583" s="182"/>
      <c r="Q29583" s="183"/>
      <c r="R29583" s="183"/>
      <c r="S29583" s="183"/>
    </row>
    <row r="29584" spans="1:38">
      <c r="A29584" s="182"/>
      <c r="Q29584" s="183"/>
      <c r="R29584" s="183"/>
      <c r="S29584" s="183"/>
    </row>
    <row r="29585" spans="1:38">
      <c r="A29585" s="182"/>
      <c r="Q29585" s="183"/>
      <c r="R29585" s="183"/>
      <c r="S29585" s="183"/>
    </row>
    <row r="29586" spans="1:38">
      <c r="A29586" s="182"/>
      <c r="Q29586" s="183"/>
      <c r="R29586" s="183"/>
      <c r="S29586" s="183"/>
    </row>
    <row r="29587" spans="1:38">
      <c r="A29587" s="182"/>
      <c r="Q29587" s="183"/>
      <c r="R29587" s="183"/>
      <c r="S29587" s="183"/>
    </row>
    <row r="29588" spans="1:38">
      <c r="A29588" s="182"/>
      <c r="Q29588" s="183"/>
      <c r="R29588" s="183"/>
      <c r="S29588" s="183"/>
    </row>
    <row r="29589" spans="1:38">
      <c r="A29589" s="182"/>
      <c r="Q29589" s="183"/>
      <c r="R29589" s="183"/>
      <c r="S29589" s="183"/>
    </row>
    <row r="29590" spans="1:38">
      <c r="A29590" s="182"/>
      <c r="Q29590" s="183"/>
      <c r="R29590" s="183"/>
      <c r="S29590" s="183"/>
    </row>
    <row r="29591" spans="1:38">
      <c r="A29591" s="182"/>
      <c r="Q29591" s="183"/>
      <c r="R29591" s="183"/>
      <c r="S29591" s="183"/>
    </row>
    <row r="29592" spans="1:38">
      <c r="A29592" s="182"/>
      <c r="Q29592" s="183"/>
      <c r="R29592" s="183"/>
      <c r="S29592" s="183"/>
    </row>
    <row r="29593" spans="1:38">
      <c r="A29593" s="182"/>
      <c r="Q29593" s="183"/>
      <c r="R29593" s="183"/>
      <c r="S29593" s="183"/>
      <c r="AK29593" s="183"/>
      <c r="AL29593" s="183"/>
    </row>
    <row r="29594" spans="1:38">
      <c r="A29594" s="182"/>
      <c r="Q29594" s="183"/>
      <c r="R29594" s="183"/>
      <c r="S29594" s="183"/>
      <c r="AJ29594" s="183"/>
      <c r="AK29594" s="183"/>
      <c r="AL29594" s="183"/>
    </row>
    <row r="29595" spans="1:38">
      <c r="A29595" s="182"/>
      <c r="Q29595" s="183"/>
      <c r="R29595" s="183"/>
      <c r="S29595" s="183"/>
      <c r="AJ29595" s="183"/>
      <c r="AK29595" s="183"/>
      <c r="AL29595" s="183"/>
    </row>
    <row r="29596" spans="1:38">
      <c r="A29596" s="182"/>
      <c r="Q29596" s="183"/>
      <c r="R29596" s="183"/>
      <c r="S29596" s="183"/>
      <c r="AJ29596" s="183"/>
      <c r="AK29596" s="183"/>
      <c r="AL29596" s="183"/>
    </row>
    <row r="29597" spans="1:38">
      <c r="A29597" s="182"/>
      <c r="Q29597" s="183"/>
      <c r="R29597" s="183"/>
      <c r="S29597" s="183"/>
      <c r="AJ29597" s="183"/>
    </row>
    <row r="29598" spans="1:38">
      <c r="A29598" s="182"/>
      <c r="Q29598" s="183"/>
      <c r="R29598" s="183"/>
      <c r="S29598" s="183"/>
    </row>
    <row r="29599" spans="1:38">
      <c r="A29599" s="182"/>
      <c r="Q29599" s="183"/>
      <c r="R29599" s="183"/>
      <c r="S29599" s="183"/>
    </row>
    <row r="29600" spans="1:38">
      <c r="A29600" s="182"/>
      <c r="Q29600" s="183"/>
      <c r="R29600" s="183"/>
      <c r="S29600" s="183"/>
    </row>
    <row r="29601" spans="1:19">
      <c r="A29601" s="182"/>
      <c r="Q29601" s="183"/>
      <c r="R29601" s="183"/>
      <c r="S29601" s="183"/>
    </row>
    <row r="29602" spans="1:19">
      <c r="A29602" s="182"/>
      <c r="Q29602" s="183"/>
      <c r="R29602" s="183"/>
      <c r="S29602" s="183"/>
    </row>
    <row r="29603" spans="1:19">
      <c r="A29603" s="182"/>
      <c r="Q29603" s="183"/>
      <c r="R29603" s="183"/>
      <c r="S29603" s="183"/>
    </row>
    <row r="29604" spans="1:19">
      <c r="A29604" s="182"/>
      <c r="Q29604" s="183"/>
      <c r="R29604" s="183"/>
      <c r="S29604" s="183"/>
    </row>
    <row r="29605" spans="1:19">
      <c r="A29605" s="182"/>
      <c r="Q29605" s="183"/>
      <c r="R29605" s="183"/>
      <c r="S29605" s="183"/>
    </row>
    <row r="29606" spans="1:19">
      <c r="A29606" s="182"/>
      <c r="Q29606" s="183"/>
      <c r="R29606" s="183"/>
      <c r="S29606" s="183"/>
    </row>
    <row r="29607" spans="1:19">
      <c r="A29607" s="182"/>
      <c r="Q29607" s="183"/>
      <c r="R29607" s="183"/>
      <c r="S29607" s="183"/>
    </row>
    <row r="29608" spans="1:19">
      <c r="A29608" s="182"/>
      <c r="Q29608" s="183"/>
      <c r="R29608" s="183"/>
      <c r="S29608" s="183"/>
    </row>
    <row r="29609" spans="1:19">
      <c r="A29609" s="182"/>
      <c r="Q29609" s="183"/>
      <c r="R29609" s="183"/>
      <c r="S29609" s="183"/>
    </row>
    <row r="29610" spans="1:19">
      <c r="A29610" s="182"/>
      <c r="Q29610" s="183"/>
      <c r="R29610" s="183"/>
      <c r="S29610" s="183"/>
    </row>
    <row r="29611" spans="1:19">
      <c r="A29611" s="182"/>
      <c r="Q29611" s="183"/>
      <c r="R29611" s="183"/>
      <c r="S29611" s="183"/>
    </row>
    <row r="29612" spans="1:19">
      <c r="A29612" s="182"/>
      <c r="Q29612" s="183"/>
      <c r="R29612" s="183"/>
      <c r="S29612" s="183"/>
    </row>
    <row r="29613" spans="1:19">
      <c r="A29613" s="182"/>
      <c r="Q29613" s="183"/>
      <c r="R29613" s="183"/>
      <c r="S29613" s="183"/>
    </row>
    <row r="29614" spans="1:19">
      <c r="A29614" s="182"/>
      <c r="Q29614" s="183"/>
      <c r="R29614" s="183"/>
      <c r="S29614" s="183"/>
    </row>
    <row r="29615" spans="1:19">
      <c r="A29615" s="182"/>
      <c r="Q29615" s="183"/>
      <c r="R29615" s="183"/>
      <c r="S29615" s="183"/>
    </row>
    <row r="29616" spans="1:19">
      <c r="A29616" s="182"/>
      <c r="Q29616" s="183"/>
      <c r="R29616" s="183"/>
      <c r="S29616" s="183"/>
    </row>
    <row r="29617" spans="1:38">
      <c r="A29617" s="182"/>
      <c r="Q29617" s="183"/>
      <c r="R29617" s="183"/>
      <c r="S29617" s="183"/>
      <c r="AK29617" s="183"/>
      <c r="AL29617" s="183"/>
    </row>
    <row r="29618" spans="1:38">
      <c r="A29618" s="182"/>
      <c r="Q29618" s="183"/>
      <c r="R29618" s="183"/>
      <c r="S29618" s="183"/>
      <c r="AJ29618" s="183"/>
      <c r="AK29618" s="183"/>
      <c r="AL29618" s="183"/>
    </row>
    <row r="29619" spans="1:38">
      <c r="A29619" s="182"/>
      <c r="Q29619" s="183"/>
      <c r="R29619" s="183"/>
      <c r="S29619" s="183"/>
      <c r="AJ29619" s="183"/>
      <c r="AK29619" s="183"/>
      <c r="AL29619" s="183"/>
    </row>
    <row r="29620" spans="1:38">
      <c r="A29620" s="182"/>
      <c r="Q29620" s="183"/>
      <c r="R29620" s="183"/>
      <c r="S29620" s="183"/>
      <c r="AJ29620" s="183"/>
      <c r="AK29620" s="183"/>
      <c r="AL29620" s="183"/>
    </row>
    <row r="29621" spans="1:38">
      <c r="A29621" s="182"/>
      <c r="Q29621" s="183"/>
      <c r="R29621" s="183"/>
      <c r="S29621" s="183"/>
      <c r="AJ29621" s="183"/>
    </row>
    <row r="29622" spans="1:38">
      <c r="A29622" s="182"/>
      <c r="Q29622" s="183"/>
      <c r="R29622" s="183"/>
      <c r="S29622" s="183"/>
    </row>
    <row r="29623" spans="1:38">
      <c r="A29623" s="182"/>
      <c r="Q29623" s="183"/>
      <c r="R29623" s="183"/>
      <c r="S29623" s="183"/>
    </row>
    <row r="29624" spans="1:38">
      <c r="A29624" s="182"/>
      <c r="Q29624" s="183"/>
      <c r="R29624" s="183"/>
      <c r="S29624" s="183"/>
    </row>
    <row r="29625" spans="1:38">
      <c r="A29625" s="182"/>
      <c r="Q29625" s="183"/>
      <c r="R29625" s="183"/>
      <c r="S29625" s="183"/>
    </row>
    <row r="29626" spans="1:38">
      <c r="A29626" s="182"/>
      <c r="Q29626" s="183"/>
      <c r="R29626" s="183"/>
      <c r="S29626" s="183"/>
    </row>
    <row r="29627" spans="1:38">
      <c r="A29627" s="182"/>
      <c r="Q29627" s="183"/>
      <c r="R29627" s="183"/>
      <c r="S29627" s="183"/>
    </row>
    <row r="29628" spans="1:38">
      <c r="A29628" s="182"/>
      <c r="Q29628" s="183"/>
      <c r="R29628" s="183"/>
      <c r="S29628" s="183"/>
    </row>
    <row r="29629" spans="1:38">
      <c r="A29629" s="182"/>
      <c r="Q29629" s="183"/>
      <c r="R29629" s="183"/>
      <c r="S29629" s="183"/>
    </row>
    <row r="29630" spans="1:38">
      <c r="A29630" s="182"/>
      <c r="Q29630" s="183"/>
      <c r="R29630" s="183"/>
      <c r="S29630" s="183"/>
    </row>
    <row r="29631" spans="1:38">
      <c r="A29631" s="182"/>
      <c r="Q29631" s="183"/>
      <c r="R29631" s="183"/>
      <c r="S29631" s="183"/>
    </row>
    <row r="29632" spans="1:38">
      <c r="A29632" s="182"/>
      <c r="Q29632" s="183"/>
      <c r="R29632" s="183"/>
      <c r="S29632" s="183"/>
    </row>
    <row r="29633" spans="1:38">
      <c r="A29633" s="182"/>
      <c r="Q29633" s="183"/>
      <c r="R29633" s="183"/>
      <c r="S29633" s="183"/>
      <c r="AK29633" s="183"/>
      <c r="AL29633" s="183"/>
    </row>
    <row r="29634" spans="1:38">
      <c r="A29634" s="182"/>
      <c r="M29634" s="183"/>
      <c r="N29634" s="183"/>
      <c r="Q29634" s="183"/>
      <c r="R29634" s="183"/>
      <c r="S29634" s="183"/>
      <c r="AJ29634" s="183"/>
      <c r="AK29634" s="183"/>
      <c r="AL29634" s="183"/>
    </row>
    <row r="29635" spans="1:38">
      <c r="A29635" s="182"/>
      <c r="L29635" s="183"/>
      <c r="N29635" s="183"/>
      <c r="O29635" s="183"/>
      <c r="Q29635" s="183"/>
      <c r="R29635" s="183"/>
      <c r="S29635" s="183"/>
      <c r="AJ29635" s="183"/>
      <c r="AK29635" s="183"/>
      <c r="AL29635" s="183"/>
    </row>
    <row r="29636" spans="1:38">
      <c r="A29636" s="182"/>
      <c r="M29636" s="183"/>
      <c r="Q29636" s="183"/>
      <c r="R29636" s="183"/>
      <c r="S29636" s="183"/>
      <c r="AJ29636" s="183"/>
      <c r="AK29636" s="183"/>
      <c r="AL29636" s="183"/>
    </row>
    <row r="29637" spans="1:38">
      <c r="A29637" s="182"/>
      <c r="Q29637" s="183"/>
      <c r="R29637" s="183"/>
      <c r="S29637" s="183"/>
      <c r="AJ29637" s="183"/>
    </row>
    <row r="29638" spans="1:38">
      <c r="A29638" s="182"/>
      <c r="Q29638" s="183"/>
      <c r="R29638" s="183"/>
      <c r="S29638" s="183"/>
    </row>
    <row r="29639" spans="1:38">
      <c r="A29639" s="182"/>
      <c r="Q29639" s="183"/>
      <c r="R29639" s="183"/>
      <c r="S29639" s="183"/>
    </row>
    <row r="29640" spans="1:38">
      <c r="A29640" s="182"/>
      <c r="Q29640" s="183"/>
      <c r="R29640" s="183"/>
      <c r="S29640" s="183"/>
    </row>
    <row r="29641" spans="1:38">
      <c r="A29641" s="182"/>
      <c r="Q29641" s="183"/>
      <c r="R29641" s="183"/>
      <c r="S29641" s="183"/>
      <c r="AK29641" s="183"/>
      <c r="AL29641" s="183"/>
    </row>
    <row r="29642" spans="1:38">
      <c r="A29642" s="182"/>
      <c r="Q29642" s="183"/>
      <c r="R29642" s="183"/>
      <c r="S29642" s="183"/>
      <c r="AJ29642" s="183"/>
      <c r="AK29642" s="183"/>
      <c r="AL29642" s="183"/>
    </row>
    <row r="29643" spans="1:38">
      <c r="A29643" s="182"/>
      <c r="Q29643" s="183"/>
      <c r="R29643" s="183"/>
      <c r="S29643" s="183"/>
      <c r="AJ29643" s="183"/>
      <c r="AK29643" s="183"/>
      <c r="AL29643" s="183"/>
    </row>
    <row r="29644" spans="1:38">
      <c r="A29644" s="182"/>
      <c r="Q29644" s="183"/>
      <c r="R29644" s="183"/>
      <c r="S29644" s="183"/>
      <c r="AJ29644" s="183"/>
      <c r="AK29644" s="183"/>
      <c r="AL29644" s="183"/>
    </row>
    <row r="29645" spans="1:38">
      <c r="A29645" s="182"/>
      <c r="N29645" s="183"/>
      <c r="O29645" s="183"/>
      <c r="Q29645" s="183"/>
      <c r="R29645" s="183"/>
      <c r="S29645" s="183"/>
      <c r="AJ29645" s="183"/>
    </row>
    <row r="29646" spans="1:38">
      <c r="A29646" s="182"/>
      <c r="M29646" s="183"/>
      <c r="Q29646" s="183"/>
      <c r="R29646" s="183"/>
      <c r="S29646" s="183"/>
    </row>
    <row r="29647" spans="1:38">
      <c r="A29647" s="182"/>
      <c r="Q29647" s="183"/>
      <c r="R29647" s="183"/>
      <c r="S29647" s="183"/>
    </row>
    <row r="29648" spans="1:38">
      <c r="A29648" s="182"/>
      <c r="Q29648" s="183"/>
      <c r="R29648" s="183"/>
      <c r="S29648" s="183"/>
    </row>
    <row r="29649" spans="1:38">
      <c r="A29649" s="182"/>
      <c r="Q29649" s="183"/>
      <c r="R29649" s="183"/>
      <c r="S29649" s="183"/>
    </row>
    <row r="29650" spans="1:38">
      <c r="A29650" s="182"/>
      <c r="Q29650" s="183"/>
      <c r="R29650" s="183"/>
      <c r="S29650" s="183"/>
    </row>
    <row r="29651" spans="1:38">
      <c r="A29651" s="182"/>
      <c r="Q29651" s="183"/>
      <c r="R29651" s="183"/>
      <c r="S29651" s="183"/>
    </row>
    <row r="29652" spans="1:38">
      <c r="A29652" s="182"/>
      <c r="Q29652" s="183"/>
      <c r="R29652" s="183"/>
      <c r="S29652" s="183"/>
    </row>
    <row r="29653" spans="1:38">
      <c r="A29653" s="182"/>
      <c r="Q29653" s="183"/>
      <c r="R29653" s="183"/>
      <c r="S29653" s="183"/>
      <c r="AK29653" s="183"/>
      <c r="AL29653" s="183"/>
    </row>
    <row r="29654" spans="1:38">
      <c r="A29654" s="182"/>
      <c r="Q29654" s="183"/>
      <c r="R29654" s="183"/>
      <c r="S29654" s="183"/>
      <c r="AJ29654" s="183"/>
      <c r="AK29654" s="183"/>
      <c r="AL29654" s="183"/>
    </row>
    <row r="29655" spans="1:38">
      <c r="A29655" s="182"/>
      <c r="Q29655" s="183"/>
      <c r="R29655" s="183"/>
      <c r="S29655" s="183"/>
      <c r="AJ29655" s="183"/>
      <c r="AK29655" s="183"/>
      <c r="AL29655" s="183"/>
    </row>
    <row r="29656" spans="1:38">
      <c r="A29656" s="182"/>
      <c r="Q29656" s="183"/>
      <c r="R29656" s="183"/>
      <c r="S29656" s="183"/>
      <c r="AJ29656" s="183"/>
      <c r="AK29656" s="183"/>
      <c r="AL29656" s="183"/>
    </row>
    <row r="29657" spans="1:38">
      <c r="A29657" s="182"/>
      <c r="Q29657" s="183"/>
      <c r="R29657" s="183"/>
      <c r="S29657" s="183"/>
      <c r="AJ29657" s="183"/>
    </row>
    <row r="29658" spans="1:38">
      <c r="A29658" s="182"/>
      <c r="Q29658" s="183"/>
      <c r="R29658" s="183"/>
      <c r="S29658" s="183"/>
    </row>
    <row r="29659" spans="1:38">
      <c r="A29659" s="182"/>
      <c r="Q29659" s="183"/>
      <c r="R29659" s="183"/>
      <c r="S29659" s="183"/>
    </row>
    <row r="29660" spans="1:38">
      <c r="A29660" s="182"/>
      <c r="Q29660" s="183"/>
      <c r="R29660" s="183"/>
      <c r="S29660" s="183"/>
    </row>
    <row r="29661" spans="1:38">
      <c r="A29661" s="182"/>
      <c r="Q29661" s="183"/>
      <c r="R29661" s="183"/>
      <c r="S29661" s="183"/>
    </row>
    <row r="29662" spans="1:38">
      <c r="A29662" s="182"/>
      <c r="Q29662" s="183"/>
      <c r="R29662" s="183"/>
      <c r="S29662" s="183"/>
    </row>
    <row r="29663" spans="1:38">
      <c r="A29663" s="182"/>
      <c r="Q29663" s="183"/>
      <c r="R29663" s="183"/>
      <c r="S29663" s="183"/>
    </row>
    <row r="29664" spans="1:38">
      <c r="A29664" s="182"/>
      <c r="Q29664" s="183"/>
      <c r="R29664" s="183"/>
      <c r="S29664" s="183"/>
    </row>
    <row r="29665" spans="1:38">
      <c r="A29665" s="182"/>
      <c r="Q29665" s="183"/>
      <c r="R29665" s="183"/>
      <c r="S29665" s="183"/>
    </row>
    <row r="29666" spans="1:38">
      <c r="A29666" s="182"/>
      <c r="Q29666" s="183"/>
      <c r="R29666" s="183"/>
      <c r="S29666" s="183"/>
    </row>
    <row r="29667" spans="1:38">
      <c r="A29667" s="182"/>
      <c r="Q29667" s="183"/>
      <c r="R29667" s="183"/>
      <c r="S29667" s="183"/>
    </row>
    <row r="29668" spans="1:38">
      <c r="A29668" s="182"/>
      <c r="Q29668" s="183"/>
      <c r="R29668" s="183"/>
      <c r="S29668" s="183"/>
    </row>
    <row r="29669" spans="1:38">
      <c r="A29669" s="182"/>
      <c r="Q29669" s="183"/>
      <c r="R29669" s="183"/>
      <c r="S29669" s="183"/>
    </row>
    <row r="29670" spans="1:38">
      <c r="A29670" s="182"/>
      <c r="Q29670" s="183"/>
      <c r="R29670" s="183"/>
      <c r="S29670" s="183"/>
    </row>
    <row r="29671" spans="1:38">
      <c r="A29671" s="182"/>
      <c r="Q29671" s="183"/>
      <c r="R29671" s="183"/>
      <c r="S29671" s="183"/>
    </row>
    <row r="29672" spans="1:38">
      <c r="A29672" s="182"/>
      <c r="Q29672" s="183"/>
      <c r="R29672" s="183"/>
      <c r="S29672" s="183"/>
    </row>
    <row r="29673" spans="1:38">
      <c r="A29673" s="182"/>
      <c r="Q29673" s="183"/>
      <c r="R29673" s="183"/>
      <c r="S29673" s="183"/>
      <c r="AK29673" s="183"/>
      <c r="AL29673" s="183"/>
    </row>
    <row r="29674" spans="1:38">
      <c r="A29674" s="182"/>
      <c r="Q29674" s="183"/>
      <c r="R29674" s="183"/>
      <c r="S29674" s="183"/>
      <c r="AJ29674" s="183"/>
      <c r="AK29674" s="183"/>
      <c r="AL29674" s="183"/>
    </row>
    <row r="29675" spans="1:38">
      <c r="A29675" s="182"/>
      <c r="Q29675" s="183"/>
      <c r="R29675" s="183"/>
      <c r="S29675" s="183"/>
      <c r="AJ29675" s="183"/>
      <c r="AK29675" s="183"/>
      <c r="AL29675" s="183"/>
    </row>
    <row r="29676" spans="1:38">
      <c r="A29676" s="182"/>
      <c r="Q29676" s="183"/>
      <c r="R29676" s="183"/>
      <c r="S29676" s="183"/>
      <c r="AJ29676" s="183"/>
      <c r="AK29676" s="183"/>
      <c r="AL29676" s="183"/>
    </row>
    <row r="29677" spans="1:38">
      <c r="A29677" s="182"/>
      <c r="Q29677" s="183"/>
      <c r="R29677" s="183"/>
      <c r="S29677" s="183"/>
      <c r="AJ29677" s="183"/>
      <c r="AK29677" s="183"/>
      <c r="AL29677" s="183"/>
    </row>
    <row r="29678" spans="1:38">
      <c r="A29678" s="182"/>
      <c r="Q29678" s="183"/>
      <c r="R29678" s="183"/>
      <c r="S29678" s="183"/>
      <c r="AJ29678" s="183"/>
      <c r="AK29678" s="183"/>
      <c r="AL29678" s="183"/>
    </row>
    <row r="29679" spans="1:38">
      <c r="A29679" s="182"/>
      <c r="Q29679" s="183"/>
      <c r="R29679" s="183"/>
      <c r="S29679" s="183"/>
      <c r="AJ29679" s="183"/>
      <c r="AK29679" s="183"/>
      <c r="AL29679" s="183"/>
    </row>
    <row r="29680" spans="1:38">
      <c r="A29680" s="182"/>
      <c r="Q29680" s="183"/>
      <c r="R29680" s="183"/>
      <c r="S29680" s="183"/>
      <c r="AJ29680" s="183"/>
      <c r="AK29680" s="183"/>
      <c r="AL29680" s="183"/>
    </row>
    <row r="29681" spans="1:38">
      <c r="A29681" s="182"/>
      <c r="Q29681" s="183"/>
      <c r="R29681" s="183"/>
      <c r="S29681" s="183"/>
      <c r="AJ29681" s="183"/>
      <c r="AK29681" s="183"/>
      <c r="AL29681" s="183"/>
    </row>
    <row r="29682" spans="1:38">
      <c r="A29682" s="182"/>
      <c r="Q29682" s="183"/>
      <c r="R29682" s="183"/>
      <c r="S29682" s="183"/>
      <c r="AJ29682" s="183"/>
      <c r="AK29682" s="183"/>
      <c r="AL29682" s="183"/>
    </row>
    <row r="29683" spans="1:38">
      <c r="A29683" s="182"/>
      <c r="Q29683" s="183"/>
      <c r="R29683" s="183"/>
      <c r="S29683" s="183"/>
      <c r="AJ29683" s="183"/>
      <c r="AK29683" s="183"/>
      <c r="AL29683" s="183"/>
    </row>
    <row r="29684" spans="1:38">
      <c r="A29684" s="182"/>
      <c r="Q29684" s="183"/>
      <c r="R29684" s="183"/>
      <c r="S29684" s="183"/>
      <c r="AJ29684" s="183"/>
      <c r="AK29684" s="183"/>
      <c r="AL29684" s="183"/>
    </row>
    <row r="29685" spans="1:38">
      <c r="A29685" s="182"/>
      <c r="Q29685" s="183"/>
      <c r="R29685" s="183"/>
      <c r="S29685" s="183"/>
      <c r="AJ29685" s="183"/>
    </row>
    <row r="29686" spans="1:38">
      <c r="A29686" s="182"/>
      <c r="Q29686" s="183"/>
      <c r="R29686" s="183"/>
      <c r="S29686" s="183"/>
    </row>
    <row r="29687" spans="1:38">
      <c r="A29687" s="182"/>
      <c r="Q29687" s="183"/>
      <c r="R29687" s="183"/>
      <c r="S29687" s="183"/>
    </row>
    <row r="29688" spans="1:38">
      <c r="A29688" s="182"/>
      <c r="Q29688" s="183"/>
      <c r="R29688" s="183"/>
      <c r="S29688" s="183"/>
    </row>
    <row r="29689" spans="1:38">
      <c r="A29689" s="182"/>
      <c r="Q29689" s="183"/>
      <c r="R29689" s="183"/>
      <c r="S29689" s="183"/>
    </row>
    <row r="29690" spans="1:38">
      <c r="A29690" s="182"/>
      <c r="Q29690" s="183"/>
      <c r="R29690" s="183"/>
      <c r="S29690" s="183"/>
    </row>
    <row r="29691" spans="1:38">
      <c r="A29691" s="182"/>
      <c r="Q29691" s="183"/>
      <c r="R29691" s="183"/>
      <c r="S29691" s="183"/>
    </row>
    <row r="29692" spans="1:38">
      <c r="A29692" s="182"/>
      <c r="Q29692" s="183"/>
      <c r="R29692" s="183"/>
      <c r="S29692" s="183"/>
    </row>
    <row r="29693" spans="1:38">
      <c r="A29693" s="182"/>
      <c r="Q29693" s="183"/>
      <c r="R29693" s="183"/>
      <c r="S29693" s="183"/>
    </row>
    <row r="29694" spans="1:38">
      <c r="A29694" s="182"/>
      <c r="Q29694" s="183"/>
      <c r="R29694" s="183"/>
      <c r="S29694" s="183"/>
    </row>
    <row r="29695" spans="1:38">
      <c r="A29695" s="182"/>
      <c r="Q29695" s="183"/>
      <c r="R29695" s="183"/>
      <c r="S29695" s="183"/>
    </row>
    <row r="29696" spans="1:38">
      <c r="A29696" s="182"/>
      <c r="Q29696" s="183"/>
      <c r="R29696" s="183"/>
      <c r="S29696" s="183"/>
    </row>
    <row r="29697" spans="1:38">
      <c r="A29697" s="182"/>
      <c r="Q29697" s="183"/>
      <c r="R29697" s="183"/>
      <c r="S29697" s="183"/>
    </row>
    <row r="29698" spans="1:38">
      <c r="A29698" s="182"/>
      <c r="Q29698" s="183"/>
      <c r="R29698" s="183"/>
      <c r="S29698" s="183"/>
    </row>
    <row r="29699" spans="1:38">
      <c r="A29699" s="182"/>
      <c r="Q29699" s="183"/>
      <c r="R29699" s="183"/>
      <c r="S29699" s="183"/>
    </row>
    <row r="29700" spans="1:38">
      <c r="A29700" s="182"/>
      <c r="Q29700" s="183"/>
      <c r="R29700" s="183"/>
      <c r="S29700" s="183"/>
    </row>
    <row r="29701" spans="1:38">
      <c r="A29701" s="182"/>
      <c r="Q29701" s="183"/>
      <c r="R29701" s="183"/>
      <c r="S29701" s="183"/>
    </row>
    <row r="29702" spans="1:38">
      <c r="A29702" s="182"/>
      <c r="Q29702" s="183"/>
      <c r="R29702" s="183"/>
      <c r="S29702" s="183"/>
    </row>
    <row r="29703" spans="1:38">
      <c r="A29703" s="182"/>
      <c r="Q29703" s="183"/>
      <c r="R29703" s="183"/>
      <c r="S29703" s="183"/>
    </row>
    <row r="29704" spans="1:38">
      <c r="A29704" s="182"/>
      <c r="Q29704" s="183"/>
      <c r="R29704" s="183"/>
      <c r="S29704" s="183"/>
    </row>
    <row r="29705" spans="1:38">
      <c r="A29705" s="182"/>
      <c r="Q29705" s="183"/>
      <c r="R29705" s="183"/>
      <c r="S29705" s="183"/>
      <c r="AK29705" s="183"/>
      <c r="AL29705" s="183"/>
    </row>
    <row r="29706" spans="1:38">
      <c r="A29706" s="182"/>
      <c r="Q29706" s="183"/>
      <c r="R29706" s="183"/>
      <c r="S29706" s="183"/>
      <c r="AJ29706" s="183"/>
      <c r="AK29706" s="183"/>
      <c r="AL29706" s="183"/>
    </row>
    <row r="29707" spans="1:38">
      <c r="A29707" s="182"/>
      <c r="Q29707" s="183"/>
      <c r="R29707" s="183"/>
      <c r="S29707" s="183"/>
      <c r="AJ29707" s="183"/>
      <c r="AK29707" s="183"/>
      <c r="AL29707" s="183"/>
    </row>
    <row r="29708" spans="1:38">
      <c r="A29708" s="182"/>
      <c r="Q29708" s="183"/>
      <c r="R29708" s="183"/>
      <c r="S29708" s="183"/>
      <c r="AJ29708" s="183"/>
      <c r="AK29708" s="183"/>
      <c r="AL29708" s="183"/>
    </row>
    <row r="29709" spans="1:38">
      <c r="A29709" s="182"/>
      <c r="Q29709" s="183"/>
      <c r="R29709" s="183"/>
      <c r="S29709" s="183"/>
      <c r="AJ29709" s="183"/>
    </row>
    <row r="29710" spans="1:38">
      <c r="A29710" s="182"/>
      <c r="Q29710" s="183"/>
      <c r="R29710" s="183"/>
      <c r="S29710" s="183"/>
    </row>
    <row r="29711" spans="1:38">
      <c r="A29711" s="182"/>
      <c r="Q29711" s="183"/>
      <c r="R29711" s="183"/>
      <c r="S29711" s="183"/>
    </row>
    <row r="29712" spans="1:38">
      <c r="A29712" s="182"/>
      <c r="Q29712" s="183"/>
      <c r="R29712" s="183"/>
      <c r="S29712" s="183"/>
    </row>
    <row r="29713" spans="1:19">
      <c r="A29713" s="182"/>
      <c r="Q29713" s="183"/>
      <c r="R29713" s="183"/>
      <c r="S29713" s="183"/>
    </row>
    <row r="29714" spans="1:19">
      <c r="A29714" s="182"/>
      <c r="Q29714" s="183"/>
      <c r="R29714" s="183"/>
      <c r="S29714" s="183"/>
    </row>
    <row r="29715" spans="1:19">
      <c r="A29715" s="182"/>
      <c r="Q29715" s="183"/>
      <c r="R29715" s="183"/>
      <c r="S29715" s="183"/>
    </row>
    <row r="29716" spans="1:19">
      <c r="A29716" s="182"/>
      <c r="Q29716" s="183"/>
      <c r="R29716" s="183"/>
      <c r="S29716" s="183"/>
    </row>
    <row r="29717" spans="1:19">
      <c r="A29717" s="182"/>
      <c r="Q29717" s="183"/>
      <c r="R29717" s="183"/>
      <c r="S29717" s="183"/>
    </row>
    <row r="29718" spans="1:19">
      <c r="A29718" s="182"/>
      <c r="Q29718" s="183"/>
      <c r="R29718" s="183"/>
      <c r="S29718" s="183"/>
    </row>
    <row r="29719" spans="1:19">
      <c r="A29719" s="182"/>
      <c r="Q29719" s="183"/>
      <c r="R29719" s="183"/>
      <c r="S29719" s="183"/>
    </row>
    <row r="29720" spans="1:19">
      <c r="A29720" s="182"/>
      <c r="Q29720" s="183"/>
      <c r="R29720" s="183"/>
      <c r="S29720" s="183"/>
    </row>
    <row r="29721" spans="1:19">
      <c r="A29721" s="182"/>
      <c r="Q29721" s="183"/>
      <c r="R29721" s="183"/>
      <c r="S29721" s="183"/>
    </row>
    <row r="29722" spans="1:19">
      <c r="A29722" s="182"/>
      <c r="Q29722" s="183"/>
      <c r="R29722" s="183"/>
      <c r="S29722" s="183"/>
    </row>
    <row r="29723" spans="1:19">
      <c r="A29723" s="182"/>
      <c r="Q29723" s="183"/>
      <c r="R29723" s="183"/>
      <c r="S29723" s="183"/>
    </row>
    <row r="29724" spans="1:19">
      <c r="A29724" s="182"/>
      <c r="Q29724" s="183"/>
      <c r="R29724" s="183"/>
      <c r="S29724" s="183"/>
    </row>
    <row r="29725" spans="1:19">
      <c r="A29725" s="182"/>
      <c r="Q29725" s="183"/>
      <c r="R29725" s="183"/>
      <c r="S29725" s="183"/>
    </row>
    <row r="29726" spans="1:19">
      <c r="A29726" s="182"/>
      <c r="Q29726" s="183"/>
      <c r="R29726" s="183"/>
      <c r="S29726" s="183"/>
    </row>
    <row r="29727" spans="1:19">
      <c r="A29727" s="182"/>
      <c r="Q29727" s="183"/>
      <c r="R29727" s="183"/>
      <c r="S29727" s="183"/>
    </row>
    <row r="29728" spans="1:19">
      <c r="A29728" s="182"/>
      <c r="Q29728" s="183"/>
      <c r="R29728" s="183"/>
      <c r="S29728" s="183"/>
    </row>
    <row r="29729" spans="1:38">
      <c r="A29729" s="182"/>
      <c r="Q29729" s="183"/>
      <c r="R29729" s="183"/>
      <c r="S29729" s="183"/>
    </row>
    <row r="29730" spans="1:38">
      <c r="A29730" s="182"/>
      <c r="Q29730" s="183"/>
      <c r="R29730" s="183"/>
      <c r="S29730" s="183"/>
    </row>
    <row r="29731" spans="1:38">
      <c r="A29731" s="182"/>
      <c r="Q29731" s="183"/>
      <c r="R29731" s="183"/>
      <c r="S29731" s="183"/>
    </row>
    <row r="29732" spans="1:38">
      <c r="A29732" s="182"/>
      <c r="Q29732" s="183"/>
      <c r="R29732" s="183"/>
      <c r="S29732" s="183"/>
    </row>
    <row r="29733" spans="1:38">
      <c r="A29733" s="182"/>
      <c r="N29733" s="183"/>
      <c r="O29733" s="183"/>
      <c r="Q29733" s="183"/>
      <c r="R29733" s="183"/>
      <c r="S29733" s="183"/>
    </row>
    <row r="29734" spans="1:38">
      <c r="A29734" s="182"/>
      <c r="M29734" s="183"/>
      <c r="Q29734" s="183"/>
      <c r="R29734" s="183"/>
      <c r="S29734" s="183"/>
    </row>
    <row r="29735" spans="1:38">
      <c r="A29735" s="182"/>
      <c r="Q29735" s="183"/>
      <c r="R29735" s="183"/>
      <c r="S29735" s="183"/>
    </row>
    <row r="29736" spans="1:38">
      <c r="A29736" s="182"/>
      <c r="Q29736" s="183"/>
      <c r="R29736" s="183"/>
      <c r="S29736" s="183"/>
    </row>
    <row r="29737" spans="1:38">
      <c r="A29737" s="182"/>
      <c r="Q29737" s="183"/>
      <c r="R29737" s="183"/>
      <c r="S29737" s="183"/>
      <c r="AK29737" s="183"/>
      <c r="AL29737" s="183"/>
    </row>
    <row r="29738" spans="1:38">
      <c r="A29738" s="182"/>
      <c r="Q29738" s="183"/>
      <c r="R29738" s="183"/>
      <c r="S29738" s="183"/>
      <c r="AJ29738" s="183"/>
      <c r="AK29738" s="183"/>
      <c r="AL29738" s="183"/>
    </row>
    <row r="29739" spans="1:38">
      <c r="A29739" s="182"/>
      <c r="Q29739" s="183"/>
      <c r="R29739" s="183"/>
      <c r="S29739" s="183"/>
      <c r="AJ29739" s="183"/>
      <c r="AK29739" s="183"/>
      <c r="AL29739" s="183"/>
    </row>
    <row r="29740" spans="1:38">
      <c r="A29740" s="182"/>
      <c r="Q29740" s="183"/>
      <c r="R29740" s="183"/>
      <c r="S29740" s="183"/>
      <c r="AJ29740" s="183"/>
      <c r="AK29740" s="183"/>
      <c r="AL29740" s="183"/>
    </row>
    <row r="29741" spans="1:38">
      <c r="A29741" s="182"/>
      <c r="Q29741" s="183"/>
      <c r="R29741" s="183"/>
      <c r="S29741" s="183"/>
      <c r="AJ29741" s="183"/>
    </row>
    <row r="29742" spans="1:38">
      <c r="A29742" s="182"/>
      <c r="Q29742" s="183"/>
      <c r="R29742" s="183"/>
      <c r="S29742" s="183"/>
    </row>
    <row r="29743" spans="1:38">
      <c r="A29743" s="182"/>
      <c r="Q29743" s="183"/>
      <c r="R29743" s="183"/>
      <c r="S29743" s="183"/>
    </row>
    <row r="29744" spans="1:38">
      <c r="A29744" s="182"/>
      <c r="Q29744" s="183"/>
      <c r="R29744" s="183"/>
      <c r="S29744" s="183"/>
    </row>
    <row r="29745" spans="1:38">
      <c r="A29745" s="182"/>
      <c r="Q29745" s="183"/>
      <c r="R29745" s="183"/>
      <c r="S29745" s="183"/>
      <c r="AK29745" s="183"/>
      <c r="AL29745" s="183"/>
    </row>
    <row r="29746" spans="1:38">
      <c r="A29746" s="182"/>
      <c r="Q29746" s="183"/>
      <c r="R29746" s="183"/>
      <c r="S29746" s="183"/>
      <c r="AJ29746" s="183"/>
      <c r="AK29746" s="183"/>
      <c r="AL29746" s="183"/>
    </row>
    <row r="29747" spans="1:38">
      <c r="A29747" s="182"/>
      <c r="Q29747" s="183"/>
      <c r="R29747" s="183"/>
      <c r="S29747" s="183"/>
      <c r="AJ29747" s="183"/>
      <c r="AK29747" s="183"/>
      <c r="AL29747" s="183"/>
    </row>
    <row r="29748" spans="1:38">
      <c r="A29748" s="182"/>
      <c r="Q29748" s="183"/>
      <c r="R29748" s="183"/>
      <c r="S29748" s="183"/>
      <c r="AJ29748" s="183"/>
      <c r="AK29748" s="183"/>
      <c r="AL29748" s="183"/>
    </row>
    <row r="29749" spans="1:38">
      <c r="A29749" s="182"/>
      <c r="Q29749" s="183"/>
      <c r="R29749" s="183"/>
      <c r="S29749" s="183"/>
      <c r="AJ29749" s="183"/>
      <c r="AK29749" s="183"/>
      <c r="AL29749" s="183"/>
    </row>
    <row r="29750" spans="1:38">
      <c r="A29750" s="182"/>
      <c r="Q29750" s="183"/>
      <c r="R29750" s="183"/>
      <c r="S29750" s="183"/>
      <c r="AJ29750" s="183"/>
      <c r="AK29750" s="183"/>
      <c r="AL29750" s="183"/>
    </row>
    <row r="29751" spans="1:38">
      <c r="A29751" s="182"/>
      <c r="Q29751" s="183"/>
      <c r="R29751" s="183"/>
      <c r="S29751" s="183"/>
      <c r="AJ29751" s="183"/>
      <c r="AK29751" s="183"/>
      <c r="AL29751" s="183"/>
    </row>
    <row r="29752" spans="1:38">
      <c r="A29752" s="182"/>
      <c r="Q29752" s="183"/>
      <c r="R29752" s="183"/>
      <c r="S29752" s="183"/>
      <c r="AJ29752" s="183"/>
      <c r="AK29752" s="183"/>
      <c r="AL29752" s="183"/>
    </row>
    <row r="29753" spans="1:38">
      <c r="A29753" s="182"/>
      <c r="Q29753" s="183"/>
      <c r="R29753" s="183"/>
      <c r="S29753" s="183"/>
      <c r="AJ29753" s="183"/>
    </row>
    <row r="29754" spans="1:38">
      <c r="A29754" s="182"/>
      <c r="Q29754" s="183"/>
      <c r="R29754" s="183"/>
      <c r="S29754" s="183"/>
    </row>
    <row r="29755" spans="1:38">
      <c r="A29755" s="182"/>
      <c r="Q29755" s="183"/>
      <c r="R29755" s="183"/>
      <c r="S29755" s="183"/>
    </row>
    <row r="29756" spans="1:38">
      <c r="A29756" s="182"/>
      <c r="Q29756" s="183"/>
      <c r="R29756" s="183"/>
      <c r="S29756" s="183"/>
    </row>
    <row r="29757" spans="1:38">
      <c r="A29757" s="182"/>
      <c r="Q29757" s="183"/>
      <c r="R29757" s="183"/>
      <c r="S29757" s="183"/>
    </row>
    <row r="29758" spans="1:38">
      <c r="A29758" s="182"/>
      <c r="Q29758" s="183"/>
      <c r="R29758" s="183"/>
      <c r="S29758" s="183"/>
    </row>
    <row r="29759" spans="1:38">
      <c r="A29759" s="182"/>
      <c r="Q29759" s="183"/>
      <c r="R29759" s="183"/>
      <c r="S29759" s="183"/>
    </row>
    <row r="29760" spans="1:38">
      <c r="A29760" s="182"/>
      <c r="Q29760" s="183"/>
      <c r="R29760" s="183"/>
      <c r="S29760" s="183"/>
    </row>
    <row r="29761" spans="1:38">
      <c r="A29761" s="182"/>
      <c r="Q29761" s="183"/>
      <c r="R29761" s="183"/>
      <c r="S29761" s="183"/>
    </row>
    <row r="29762" spans="1:38">
      <c r="A29762" s="182"/>
      <c r="Q29762" s="183"/>
      <c r="R29762" s="183"/>
      <c r="S29762" s="183"/>
    </row>
    <row r="29763" spans="1:38">
      <c r="A29763" s="182"/>
      <c r="Q29763" s="183"/>
      <c r="R29763" s="183"/>
      <c r="S29763" s="183"/>
    </row>
    <row r="29764" spans="1:38">
      <c r="A29764" s="182"/>
      <c r="Q29764" s="183"/>
      <c r="R29764" s="183"/>
      <c r="S29764" s="183"/>
    </row>
    <row r="29765" spans="1:38">
      <c r="A29765" s="182"/>
      <c r="Q29765" s="183"/>
      <c r="R29765" s="183"/>
      <c r="S29765" s="183"/>
    </row>
    <row r="29766" spans="1:38">
      <c r="A29766" s="182"/>
      <c r="Q29766" s="183"/>
      <c r="R29766" s="183"/>
      <c r="S29766" s="183"/>
    </row>
    <row r="29767" spans="1:38">
      <c r="A29767" s="182"/>
      <c r="Q29767" s="183"/>
      <c r="R29767" s="183"/>
      <c r="S29767" s="183"/>
    </row>
    <row r="29768" spans="1:38">
      <c r="A29768" s="182"/>
      <c r="Q29768" s="183"/>
      <c r="R29768" s="183"/>
      <c r="S29768" s="183"/>
    </row>
    <row r="29769" spans="1:38">
      <c r="A29769" s="182"/>
      <c r="Q29769" s="183"/>
      <c r="R29769" s="183"/>
      <c r="S29769" s="183"/>
      <c r="AK29769" s="183"/>
      <c r="AL29769" s="183"/>
    </row>
    <row r="29770" spans="1:38">
      <c r="A29770" s="182"/>
      <c r="Q29770" s="183"/>
      <c r="R29770" s="183"/>
      <c r="S29770" s="183"/>
      <c r="AJ29770" s="183"/>
      <c r="AK29770" s="183"/>
      <c r="AL29770" s="183"/>
    </row>
    <row r="29771" spans="1:38">
      <c r="A29771" s="182"/>
      <c r="Q29771" s="183"/>
      <c r="R29771" s="183"/>
      <c r="S29771" s="183"/>
      <c r="AJ29771" s="183"/>
      <c r="AK29771" s="183"/>
      <c r="AL29771" s="183"/>
    </row>
    <row r="29772" spans="1:38">
      <c r="A29772" s="182"/>
      <c r="Q29772" s="183"/>
      <c r="R29772" s="183"/>
      <c r="S29772" s="183"/>
      <c r="AJ29772" s="183"/>
      <c r="AK29772" s="183"/>
      <c r="AL29772" s="183"/>
    </row>
    <row r="29773" spans="1:38">
      <c r="A29773" s="182"/>
      <c r="Q29773" s="183"/>
      <c r="R29773" s="183"/>
      <c r="S29773" s="183"/>
      <c r="AJ29773" s="183"/>
    </row>
    <row r="29774" spans="1:38">
      <c r="A29774" s="182"/>
      <c r="Q29774" s="183"/>
      <c r="R29774" s="183"/>
      <c r="S29774" s="183"/>
    </row>
    <row r="29775" spans="1:38">
      <c r="A29775" s="182"/>
      <c r="Q29775" s="183"/>
      <c r="R29775" s="183"/>
      <c r="S29775" s="183"/>
    </row>
    <row r="29776" spans="1:38">
      <c r="A29776" s="182"/>
      <c r="Q29776" s="183"/>
      <c r="R29776" s="183"/>
      <c r="S29776" s="183"/>
    </row>
    <row r="29777" spans="1:19">
      <c r="A29777" s="182"/>
      <c r="Q29777" s="183"/>
      <c r="R29777" s="183"/>
      <c r="S29777" s="183"/>
    </row>
    <row r="29778" spans="1:19">
      <c r="A29778" s="182"/>
      <c r="Q29778" s="183"/>
      <c r="R29778" s="183"/>
      <c r="S29778" s="183"/>
    </row>
    <row r="29779" spans="1:19">
      <c r="A29779" s="182"/>
      <c r="Q29779" s="183"/>
      <c r="R29779" s="183"/>
      <c r="S29779" s="183"/>
    </row>
    <row r="29780" spans="1:19">
      <c r="A29780" s="182"/>
      <c r="Q29780" s="183"/>
      <c r="R29780" s="183"/>
      <c r="S29780" s="183"/>
    </row>
    <row r="29781" spans="1:19">
      <c r="A29781" s="182"/>
      <c r="Q29781" s="183"/>
      <c r="R29781" s="183"/>
      <c r="S29781" s="183"/>
    </row>
    <row r="29782" spans="1:19">
      <c r="A29782" s="182"/>
      <c r="Q29782" s="183"/>
      <c r="R29782" s="183"/>
      <c r="S29782" s="183"/>
    </row>
    <row r="29783" spans="1:19">
      <c r="A29783" s="182"/>
      <c r="Q29783" s="183"/>
      <c r="R29783" s="183"/>
      <c r="S29783" s="183"/>
    </row>
    <row r="29784" spans="1:19">
      <c r="A29784" s="182"/>
      <c r="Q29784" s="183"/>
      <c r="R29784" s="183"/>
      <c r="S29784" s="183"/>
    </row>
    <row r="29785" spans="1:19">
      <c r="A29785" s="182"/>
      <c r="Q29785" s="183"/>
      <c r="R29785" s="183"/>
      <c r="S29785" s="183"/>
    </row>
    <row r="29786" spans="1:19">
      <c r="A29786" s="182"/>
      <c r="Q29786" s="183"/>
      <c r="R29786" s="183"/>
      <c r="S29786" s="183"/>
    </row>
    <row r="29787" spans="1:19">
      <c r="A29787" s="182"/>
      <c r="Q29787" s="183"/>
      <c r="R29787" s="183"/>
      <c r="S29787" s="183"/>
    </row>
    <row r="29788" spans="1:19">
      <c r="A29788" s="182"/>
      <c r="Q29788" s="183"/>
      <c r="R29788" s="183"/>
      <c r="S29788" s="183"/>
    </row>
    <row r="29789" spans="1:19">
      <c r="A29789" s="182"/>
      <c r="Q29789" s="183"/>
      <c r="R29789" s="183"/>
      <c r="S29789" s="183"/>
    </row>
    <row r="29790" spans="1:19">
      <c r="A29790" s="182"/>
      <c r="Q29790" s="183"/>
      <c r="R29790" s="183"/>
      <c r="S29790" s="183"/>
    </row>
    <row r="29791" spans="1:19">
      <c r="A29791" s="182"/>
      <c r="Q29791" s="183"/>
      <c r="R29791" s="183"/>
      <c r="S29791" s="183"/>
    </row>
    <row r="29792" spans="1:19">
      <c r="A29792" s="182"/>
      <c r="Q29792" s="183"/>
      <c r="R29792" s="183"/>
      <c r="S29792" s="183"/>
    </row>
    <row r="29793" spans="1:19">
      <c r="A29793" s="182"/>
      <c r="Q29793" s="183"/>
      <c r="R29793" s="183"/>
      <c r="S29793" s="183"/>
    </row>
    <row r="29794" spans="1:19">
      <c r="A29794" s="182"/>
      <c r="Q29794" s="183"/>
      <c r="R29794" s="183"/>
      <c r="S29794" s="183"/>
    </row>
    <row r="29795" spans="1:19">
      <c r="A29795" s="182"/>
      <c r="Q29795" s="183"/>
      <c r="R29795" s="183"/>
      <c r="S29795" s="183"/>
    </row>
    <row r="29796" spans="1:19">
      <c r="A29796" s="182"/>
      <c r="Q29796" s="183"/>
      <c r="R29796" s="183"/>
      <c r="S29796" s="183"/>
    </row>
    <row r="29797" spans="1:19">
      <c r="A29797" s="182"/>
      <c r="Q29797" s="183"/>
      <c r="R29797" s="183"/>
      <c r="S29797" s="183"/>
    </row>
    <row r="29798" spans="1:19">
      <c r="A29798" s="182"/>
      <c r="Q29798" s="183"/>
      <c r="R29798" s="183"/>
      <c r="S29798" s="183"/>
    </row>
    <row r="29799" spans="1:19">
      <c r="A29799" s="182"/>
      <c r="Q29799" s="183"/>
      <c r="R29799" s="183"/>
      <c r="S29799" s="183"/>
    </row>
    <row r="29800" spans="1:19">
      <c r="A29800" s="182"/>
      <c r="Q29800" s="183"/>
      <c r="R29800" s="183"/>
      <c r="S29800" s="183"/>
    </row>
    <row r="29801" spans="1:19">
      <c r="A29801" s="182"/>
      <c r="Q29801" s="183"/>
      <c r="R29801" s="183"/>
      <c r="S29801" s="183"/>
    </row>
    <row r="29802" spans="1:19">
      <c r="A29802" s="182"/>
      <c r="Q29802" s="183"/>
      <c r="R29802" s="183"/>
      <c r="S29802" s="183"/>
    </row>
    <row r="29803" spans="1:19">
      <c r="A29803" s="182"/>
      <c r="Q29803" s="183"/>
    </row>
    <row r="29804" spans="1:19">
      <c r="A29804" s="182"/>
    </row>
    <row r="29805" spans="1:19">
      <c r="A29805" s="182"/>
    </row>
    <row r="29806" spans="1:19">
      <c r="A29806" s="182"/>
    </row>
    <row r="29807" spans="1:19">
      <c r="A29807" s="182"/>
    </row>
    <row r="29808" spans="1:19">
      <c r="A29808" s="182"/>
    </row>
    <row r="29809" spans="1:1">
      <c r="A29809" s="182"/>
    </row>
    <row r="29810" spans="1:1">
      <c r="A29810" s="182"/>
    </row>
    <row r="29811" spans="1:1">
      <c r="A29811" s="182"/>
    </row>
    <row r="29812" spans="1:1">
      <c r="A29812" s="182"/>
    </row>
    <row r="29813" spans="1:1">
      <c r="A29813" s="182"/>
    </row>
    <row r="29814" spans="1:1">
      <c r="A29814" s="182"/>
    </row>
    <row r="29815" spans="1:1">
      <c r="A29815" s="182"/>
    </row>
    <row r="29816" spans="1:1">
      <c r="A29816" s="182"/>
    </row>
    <row r="29817" spans="1:1">
      <c r="A29817" s="182"/>
    </row>
    <row r="29818" spans="1:1">
      <c r="A29818" s="182"/>
    </row>
    <row r="29819" spans="1:1">
      <c r="A29819" s="182"/>
    </row>
    <row r="29820" spans="1:1">
      <c r="A29820" s="182"/>
    </row>
    <row r="29821" spans="1:1">
      <c r="A29821" s="182"/>
    </row>
    <row r="29822" spans="1:1">
      <c r="A29822" s="182"/>
    </row>
    <row r="29823" spans="1:1">
      <c r="A29823" s="182"/>
    </row>
    <row r="29824" spans="1:1">
      <c r="A29824" s="182"/>
    </row>
    <row r="29825" spans="1:38">
      <c r="A29825" s="182"/>
    </row>
    <row r="29826" spans="1:38">
      <c r="A29826" s="182"/>
    </row>
    <row r="29827" spans="1:38">
      <c r="A29827" s="182"/>
    </row>
    <row r="29828" spans="1:38">
      <c r="A29828" s="182"/>
    </row>
    <row r="29829" spans="1:38">
      <c r="A29829" s="182"/>
    </row>
    <row r="29830" spans="1:38">
      <c r="A29830" s="182"/>
    </row>
    <row r="29831" spans="1:38">
      <c r="A29831" s="182"/>
    </row>
    <row r="29832" spans="1:38">
      <c r="A29832" s="182"/>
    </row>
    <row r="29833" spans="1:38">
      <c r="A29833" s="182"/>
      <c r="AK29833" s="183"/>
      <c r="AL29833" s="183"/>
    </row>
    <row r="29834" spans="1:38">
      <c r="A29834" s="182"/>
      <c r="AJ29834" s="183"/>
      <c r="AK29834" s="183"/>
      <c r="AL29834" s="183"/>
    </row>
    <row r="29835" spans="1:38">
      <c r="A29835" s="182"/>
      <c r="AJ29835" s="183"/>
      <c r="AK29835" s="183"/>
      <c r="AL29835" s="183"/>
    </row>
    <row r="29836" spans="1:38">
      <c r="A29836" s="182"/>
      <c r="AJ29836" s="183"/>
      <c r="AK29836" s="183"/>
      <c r="AL29836" s="183"/>
    </row>
    <row r="29837" spans="1:38">
      <c r="A29837" s="182"/>
      <c r="AJ29837" s="183"/>
    </row>
    <row r="29838" spans="1:38">
      <c r="A29838" s="182"/>
    </row>
    <row r="29839" spans="1:38">
      <c r="A29839" s="182"/>
    </row>
    <row r="29840" spans="1:38">
      <c r="A29840" s="182"/>
    </row>
    <row r="29841" spans="1:38">
      <c r="A29841" s="182"/>
    </row>
    <row r="29842" spans="1:38">
      <c r="A29842" s="182"/>
    </row>
    <row r="29843" spans="1:38">
      <c r="A29843" s="182"/>
    </row>
    <row r="29844" spans="1:38">
      <c r="A29844" s="182"/>
    </row>
    <row r="29845" spans="1:38">
      <c r="A29845" s="182"/>
    </row>
    <row r="29846" spans="1:38">
      <c r="A29846" s="182"/>
    </row>
    <row r="29847" spans="1:38">
      <c r="A29847" s="182"/>
    </row>
    <row r="29848" spans="1:38">
      <c r="A29848" s="182"/>
    </row>
    <row r="29849" spans="1:38">
      <c r="A29849" s="182"/>
      <c r="AK29849" s="183"/>
      <c r="AL29849" s="183"/>
    </row>
    <row r="29850" spans="1:38">
      <c r="A29850" s="182"/>
      <c r="AJ29850" s="183"/>
      <c r="AK29850" s="183"/>
      <c r="AL29850" s="183"/>
    </row>
    <row r="29851" spans="1:38">
      <c r="A29851" s="182"/>
      <c r="AJ29851" s="183"/>
      <c r="AK29851" s="183"/>
      <c r="AL29851" s="183"/>
    </row>
    <row r="29852" spans="1:38">
      <c r="A29852" s="182"/>
      <c r="AJ29852" s="183"/>
      <c r="AK29852" s="183"/>
      <c r="AL29852" s="183"/>
    </row>
    <row r="29853" spans="1:38">
      <c r="A29853" s="182"/>
      <c r="AJ29853" s="183"/>
    </row>
    <row r="29854" spans="1:38">
      <c r="A29854" s="182"/>
    </row>
    <row r="29855" spans="1:38">
      <c r="A29855" s="182"/>
    </row>
    <row r="29856" spans="1:38">
      <c r="A29856" s="182"/>
    </row>
    <row r="29857" spans="1:38">
      <c r="A29857" s="182"/>
      <c r="AK29857" s="183"/>
      <c r="AL29857" s="183"/>
    </row>
    <row r="29858" spans="1:38">
      <c r="A29858" s="182"/>
      <c r="AJ29858" s="183"/>
      <c r="AK29858" s="183"/>
      <c r="AL29858" s="183"/>
    </row>
    <row r="29859" spans="1:38">
      <c r="A29859" s="182"/>
      <c r="AJ29859" s="183"/>
      <c r="AK29859" s="183"/>
      <c r="AL29859" s="183"/>
    </row>
    <row r="29860" spans="1:38">
      <c r="A29860" s="182"/>
      <c r="AJ29860" s="183"/>
      <c r="AK29860" s="183"/>
      <c r="AL29860" s="183"/>
    </row>
    <row r="29861" spans="1:38">
      <c r="A29861" s="182"/>
      <c r="AJ29861" s="183"/>
      <c r="AK29861" s="183"/>
      <c r="AL29861" s="183"/>
    </row>
    <row r="29862" spans="1:38">
      <c r="A29862" s="182"/>
      <c r="AJ29862" s="183"/>
      <c r="AK29862" s="183"/>
      <c r="AL29862" s="183"/>
    </row>
    <row r="29863" spans="1:38">
      <c r="A29863" s="182"/>
      <c r="AJ29863" s="183"/>
      <c r="AK29863" s="183"/>
      <c r="AL29863" s="183"/>
    </row>
    <row r="29864" spans="1:38">
      <c r="A29864" s="182"/>
      <c r="AJ29864" s="183"/>
      <c r="AK29864" s="183"/>
      <c r="AL29864" s="183"/>
    </row>
    <row r="29865" spans="1:38">
      <c r="A29865" s="182"/>
      <c r="AJ29865" s="183"/>
    </row>
    <row r="29866" spans="1:38">
      <c r="A29866" s="182"/>
    </row>
    <row r="29867" spans="1:38">
      <c r="A29867" s="182"/>
    </row>
    <row r="29868" spans="1:38">
      <c r="A29868" s="182"/>
    </row>
    <row r="29869" spans="1:38">
      <c r="A29869" s="182"/>
    </row>
    <row r="29870" spans="1:38">
      <c r="A29870" s="182"/>
    </row>
    <row r="29871" spans="1:38">
      <c r="A29871" s="182"/>
    </row>
    <row r="29872" spans="1:38">
      <c r="A29872" s="182"/>
    </row>
    <row r="29873" spans="1:38">
      <c r="A29873" s="182"/>
      <c r="AK29873" s="183"/>
      <c r="AL29873" s="183"/>
    </row>
    <row r="29874" spans="1:38">
      <c r="A29874" s="182"/>
      <c r="AJ29874" s="183"/>
      <c r="AK29874" s="183"/>
      <c r="AL29874" s="183"/>
    </row>
    <row r="29875" spans="1:38">
      <c r="A29875" s="182"/>
      <c r="AJ29875" s="183"/>
      <c r="AK29875" s="183"/>
      <c r="AL29875" s="183"/>
    </row>
    <row r="29876" spans="1:38">
      <c r="A29876" s="182"/>
      <c r="AJ29876" s="183"/>
      <c r="AK29876" s="183"/>
      <c r="AL29876" s="183"/>
    </row>
    <row r="29877" spans="1:38">
      <c r="A29877" s="182"/>
      <c r="AJ29877" s="183"/>
    </row>
    <row r="29878" spans="1:38">
      <c r="A29878" s="182"/>
    </row>
    <row r="29879" spans="1:38">
      <c r="A29879" s="182"/>
    </row>
    <row r="29880" spans="1:38">
      <c r="A29880" s="182"/>
    </row>
    <row r="29881" spans="1:38">
      <c r="A29881" s="182"/>
    </row>
    <row r="29882" spans="1:38">
      <c r="A29882" s="182"/>
    </row>
    <row r="29883" spans="1:38">
      <c r="A29883" s="182"/>
    </row>
    <row r="29884" spans="1:38">
      <c r="A29884" s="182"/>
    </row>
    <row r="29885" spans="1:38">
      <c r="A29885" s="182"/>
      <c r="AK29885" s="183"/>
      <c r="AL29885" s="183"/>
    </row>
    <row r="29886" spans="1:38">
      <c r="A29886" s="182"/>
      <c r="AJ29886" s="183"/>
      <c r="AK29886" s="183"/>
      <c r="AL29886" s="183"/>
    </row>
    <row r="29887" spans="1:38">
      <c r="A29887" s="182"/>
      <c r="AJ29887" s="183"/>
      <c r="AK29887" s="183"/>
      <c r="AL29887" s="183"/>
    </row>
    <row r="29888" spans="1:38">
      <c r="A29888" s="182"/>
      <c r="AJ29888" s="183"/>
      <c r="AK29888" s="183"/>
      <c r="AL29888" s="183"/>
    </row>
    <row r="29889" spans="1:36">
      <c r="A29889" s="182"/>
      <c r="AJ29889" s="183"/>
    </row>
    <row r="29890" spans="1:36">
      <c r="A29890" s="182"/>
    </row>
    <row r="29891" spans="1:36">
      <c r="A29891" s="182"/>
    </row>
    <row r="29892" spans="1:36">
      <c r="A29892" s="182"/>
    </row>
    <row r="29893" spans="1:36">
      <c r="A29893" s="182"/>
    </row>
    <row r="29894" spans="1:36">
      <c r="A29894" s="182"/>
    </row>
    <row r="29895" spans="1:36">
      <c r="A29895" s="182"/>
    </row>
    <row r="29896" spans="1:36">
      <c r="A29896" s="182"/>
    </row>
    <row r="29897" spans="1:36">
      <c r="A29897" s="182"/>
    </row>
    <row r="29898" spans="1:36">
      <c r="A29898" s="182"/>
    </row>
    <row r="29899" spans="1:36">
      <c r="A29899" s="182"/>
    </row>
    <row r="29900" spans="1:36">
      <c r="A29900" s="182"/>
    </row>
    <row r="29901" spans="1:36">
      <c r="A29901" s="182"/>
    </row>
    <row r="29902" spans="1:36">
      <c r="A29902" s="182"/>
    </row>
    <row r="29903" spans="1:36">
      <c r="A29903" s="182"/>
    </row>
    <row r="29904" spans="1:36">
      <c r="A29904" s="182"/>
    </row>
    <row r="29905" spans="1:38">
      <c r="A29905" s="182"/>
      <c r="AK29905" s="183"/>
      <c r="AL29905" s="183"/>
    </row>
    <row r="29906" spans="1:38">
      <c r="A29906" s="182"/>
      <c r="AJ29906" s="183"/>
      <c r="AK29906" s="183"/>
      <c r="AL29906" s="183"/>
    </row>
    <row r="29907" spans="1:38">
      <c r="A29907" s="182"/>
      <c r="AJ29907" s="183"/>
      <c r="AK29907" s="183"/>
      <c r="AL29907" s="183"/>
    </row>
    <row r="29908" spans="1:38">
      <c r="A29908" s="182"/>
      <c r="AJ29908" s="183"/>
      <c r="AK29908" s="183"/>
      <c r="AL29908" s="183"/>
    </row>
    <row r="29909" spans="1:38">
      <c r="A29909" s="182"/>
      <c r="AJ29909" s="183"/>
    </row>
    <row r="29910" spans="1:38">
      <c r="A29910" s="182"/>
    </row>
    <row r="29911" spans="1:38">
      <c r="A29911" s="182"/>
    </row>
    <row r="29912" spans="1:38">
      <c r="A29912" s="182"/>
    </row>
    <row r="29913" spans="1:38">
      <c r="A29913" s="182"/>
    </row>
    <row r="29914" spans="1:38">
      <c r="A29914" s="182"/>
    </row>
    <row r="29915" spans="1:38">
      <c r="A29915" s="182"/>
    </row>
    <row r="29916" spans="1:38">
      <c r="A29916" s="182"/>
    </row>
    <row r="29917" spans="1:38">
      <c r="A29917" s="182"/>
    </row>
    <row r="29918" spans="1:38">
      <c r="A29918" s="182"/>
    </row>
    <row r="29919" spans="1:38">
      <c r="A29919" s="182"/>
    </row>
    <row r="29920" spans="1:38">
      <c r="A29920" s="182"/>
    </row>
    <row r="29921" spans="1:38">
      <c r="A29921" s="182"/>
    </row>
    <row r="29922" spans="1:38">
      <c r="A29922" s="182"/>
    </row>
    <row r="29923" spans="1:38">
      <c r="A29923" s="182"/>
    </row>
    <row r="29924" spans="1:38">
      <c r="A29924" s="182"/>
    </row>
    <row r="29925" spans="1:38">
      <c r="A29925" s="182"/>
      <c r="AK29925" s="183"/>
      <c r="AL29925" s="183"/>
    </row>
    <row r="29926" spans="1:38">
      <c r="A29926" s="182"/>
      <c r="AJ29926" s="183"/>
      <c r="AK29926" s="183"/>
      <c r="AL29926" s="183"/>
    </row>
    <row r="29927" spans="1:38">
      <c r="A29927" s="182"/>
      <c r="AJ29927" s="183"/>
      <c r="AK29927" s="183"/>
      <c r="AL29927" s="183"/>
    </row>
    <row r="29928" spans="1:38">
      <c r="A29928" s="182"/>
      <c r="AJ29928" s="183"/>
      <c r="AK29928" s="183"/>
      <c r="AL29928" s="183"/>
    </row>
    <row r="29929" spans="1:38">
      <c r="A29929" s="182"/>
      <c r="AJ29929" s="183"/>
      <c r="AK29929" s="183"/>
      <c r="AL29929" s="183"/>
    </row>
    <row r="29930" spans="1:38">
      <c r="A29930" s="182"/>
      <c r="AJ29930" s="183"/>
      <c r="AK29930" s="183"/>
      <c r="AL29930" s="183"/>
    </row>
    <row r="29931" spans="1:38">
      <c r="A29931" s="182"/>
      <c r="AJ29931" s="183"/>
      <c r="AK29931" s="183"/>
      <c r="AL29931" s="183"/>
    </row>
    <row r="29932" spans="1:38">
      <c r="A29932" s="182"/>
      <c r="AJ29932" s="183"/>
      <c r="AK29932" s="183"/>
      <c r="AL29932" s="183"/>
    </row>
    <row r="29933" spans="1:38">
      <c r="A29933" s="182"/>
      <c r="AJ29933" s="183"/>
      <c r="AK29933" s="183"/>
      <c r="AL29933" s="183"/>
    </row>
    <row r="29934" spans="1:38">
      <c r="A29934" s="182"/>
      <c r="AJ29934" s="183"/>
      <c r="AK29934" s="183"/>
      <c r="AL29934" s="183"/>
    </row>
    <row r="29935" spans="1:38">
      <c r="A29935" s="182"/>
      <c r="AJ29935" s="183"/>
      <c r="AK29935" s="183"/>
      <c r="AL29935" s="183"/>
    </row>
    <row r="29936" spans="1:38">
      <c r="A29936" s="182"/>
      <c r="AJ29936" s="183"/>
      <c r="AK29936" s="183"/>
      <c r="AL29936" s="183"/>
    </row>
    <row r="29937" spans="1:38">
      <c r="A29937" s="182"/>
      <c r="AJ29937" s="183"/>
      <c r="AK29937" s="183"/>
      <c r="AL29937" s="183"/>
    </row>
    <row r="29938" spans="1:38">
      <c r="A29938" s="182"/>
      <c r="AJ29938" s="183"/>
      <c r="AK29938" s="183"/>
      <c r="AL29938" s="183"/>
    </row>
    <row r="29939" spans="1:38">
      <c r="A29939" s="182"/>
      <c r="AJ29939" s="183"/>
      <c r="AK29939" s="183"/>
      <c r="AL29939" s="183"/>
    </row>
    <row r="29940" spans="1:38">
      <c r="A29940" s="182"/>
      <c r="AJ29940" s="183"/>
      <c r="AK29940" s="183"/>
      <c r="AL29940" s="183"/>
    </row>
    <row r="29941" spans="1:38">
      <c r="A29941" s="182"/>
      <c r="AJ29941" s="183"/>
    </row>
    <row r="29942" spans="1:38">
      <c r="A29942" s="182"/>
    </row>
    <row r="29943" spans="1:38">
      <c r="A29943" s="182"/>
    </row>
    <row r="29944" spans="1:38">
      <c r="A29944" s="182"/>
    </row>
    <row r="29945" spans="1:38">
      <c r="A29945" s="182"/>
      <c r="AK29945" s="183"/>
      <c r="AL29945" s="183"/>
    </row>
    <row r="29946" spans="1:38">
      <c r="A29946" s="182"/>
      <c r="AJ29946" s="183"/>
      <c r="AK29946" s="183"/>
      <c r="AL29946" s="183"/>
    </row>
    <row r="29947" spans="1:38">
      <c r="A29947" s="182"/>
      <c r="AJ29947" s="183"/>
      <c r="AK29947" s="183"/>
      <c r="AL29947" s="183"/>
    </row>
    <row r="29948" spans="1:38">
      <c r="A29948" s="182"/>
      <c r="AJ29948" s="183"/>
      <c r="AK29948" s="183"/>
      <c r="AL29948" s="183"/>
    </row>
    <row r="29949" spans="1:38">
      <c r="A29949" s="182"/>
      <c r="AJ29949" s="183"/>
      <c r="AK29949" s="183"/>
      <c r="AL29949" s="183"/>
    </row>
    <row r="29950" spans="1:38">
      <c r="A29950" s="182"/>
      <c r="AJ29950" s="183"/>
      <c r="AK29950" s="183"/>
      <c r="AL29950" s="183"/>
    </row>
    <row r="29951" spans="1:38">
      <c r="A29951" s="182"/>
      <c r="AJ29951" s="183"/>
      <c r="AK29951" s="183"/>
      <c r="AL29951" s="183"/>
    </row>
    <row r="29952" spans="1:38">
      <c r="A29952" s="182"/>
      <c r="AJ29952" s="183"/>
      <c r="AK29952" s="183"/>
      <c r="AL29952" s="183"/>
    </row>
    <row r="29953" spans="1:38">
      <c r="A29953" s="182"/>
      <c r="AJ29953" s="183"/>
    </row>
    <row r="29954" spans="1:38">
      <c r="A29954" s="182"/>
    </row>
    <row r="29955" spans="1:38">
      <c r="A29955" s="182"/>
    </row>
    <row r="29956" spans="1:38">
      <c r="A29956" s="182"/>
    </row>
    <row r="29957" spans="1:38">
      <c r="A29957" s="182"/>
    </row>
    <row r="29958" spans="1:38">
      <c r="A29958" s="182"/>
    </row>
    <row r="29959" spans="1:38">
      <c r="A29959" s="182"/>
    </row>
    <row r="29960" spans="1:38">
      <c r="A29960" s="182"/>
    </row>
    <row r="29961" spans="1:38">
      <c r="A29961" s="182"/>
      <c r="AK29961" s="183"/>
      <c r="AL29961" s="183"/>
    </row>
    <row r="29962" spans="1:38">
      <c r="A29962" s="182"/>
      <c r="AJ29962" s="183"/>
      <c r="AK29962" s="183"/>
      <c r="AL29962" s="183"/>
    </row>
    <row r="29963" spans="1:38">
      <c r="A29963" s="182"/>
      <c r="AJ29963" s="183"/>
      <c r="AK29963" s="183"/>
      <c r="AL29963" s="183"/>
    </row>
    <row r="29964" spans="1:38">
      <c r="A29964" s="182"/>
      <c r="AJ29964" s="183"/>
      <c r="AK29964" s="183"/>
      <c r="AL29964" s="183"/>
    </row>
    <row r="29965" spans="1:38">
      <c r="A29965" s="182"/>
      <c r="AJ29965" s="183"/>
      <c r="AK29965" s="183"/>
      <c r="AL29965" s="183"/>
    </row>
    <row r="29966" spans="1:38">
      <c r="A29966" s="182"/>
      <c r="AJ29966" s="183"/>
      <c r="AK29966" s="183"/>
      <c r="AL29966" s="183"/>
    </row>
    <row r="29967" spans="1:38">
      <c r="A29967" s="182"/>
      <c r="AJ29967" s="183"/>
      <c r="AK29967" s="183"/>
      <c r="AL29967" s="183"/>
    </row>
    <row r="29968" spans="1:38">
      <c r="A29968" s="182"/>
      <c r="AJ29968" s="183"/>
      <c r="AK29968" s="183"/>
      <c r="AL29968" s="183"/>
    </row>
    <row r="29969" spans="1:38">
      <c r="A29969" s="182"/>
      <c r="AJ29969" s="183"/>
    </row>
    <row r="29970" spans="1:38">
      <c r="A29970" s="182"/>
    </row>
    <row r="29971" spans="1:38">
      <c r="A29971" s="182"/>
    </row>
    <row r="29972" spans="1:38">
      <c r="A29972" s="182"/>
    </row>
    <row r="29973" spans="1:38">
      <c r="A29973" s="182"/>
      <c r="AK29973" s="183"/>
      <c r="AL29973" s="183"/>
    </row>
    <row r="29974" spans="1:38">
      <c r="A29974" s="182"/>
      <c r="AJ29974" s="183"/>
      <c r="AK29974" s="183"/>
      <c r="AL29974" s="183"/>
    </row>
    <row r="29975" spans="1:38">
      <c r="A29975" s="182"/>
      <c r="AJ29975" s="183"/>
      <c r="AK29975" s="183"/>
      <c r="AL29975" s="183"/>
    </row>
    <row r="29976" spans="1:38">
      <c r="A29976" s="182"/>
      <c r="AJ29976" s="183"/>
      <c r="AK29976" s="183"/>
      <c r="AL29976" s="183"/>
    </row>
    <row r="29977" spans="1:38">
      <c r="A29977" s="182"/>
      <c r="AJ29977" s="183"/>
    </row>
    <row r="29978" spans="1:38">
      <c r="A29978" s="182"/>
    </row>
    <row r="29979" spans="1:38">
      <c r="A29979" s="182"/>
    </row>
    <row r="29980" spans="1:38">
      <c r="A29980" s="182"/>
    </row>
    <row r="29981" spans="1:38">
      <c r="A29981" s="182"/>
    </row>
    <row r="29982" spans="1:38">
      <c r="A29982" s="182"/>
    </row>
    <row r="29983" spans="1:38">
      <c r="A29983" s="182"/>
    </row>
    <row r="29984" spans="1:38">
      <c r="A29984" s="182"/>
    </row>
    <row r="29985" spans="1:38">
      <c r="A29985" s="182"/>
    </row>
    <row r="29986" spans="1:38">
      <c r="A29986" s="182"/>
    </row>
    <row r="29987" spans="1:38">
      <c r="A29987" s="182"/>
    </row>
    <row r="29988" spans="1:38">
      <c r="A29988" s="182"/>
    </row>
    <row r="29989" spans="1:38">
      <c r="A29989" s="182"/>
    </row>
    <row r="29990" spans="1:38">
      <c r="A29990" s="182"/>
    </row>
    <row r="29991" spans="1:38">
      <c r="A29991" s="182"/>
    </row>
    <row r="29992" spans="1:38">
      <c r="A29992" s="182"/>
    </row>
    <row r="29993" spans="1:38">
      <c r="A29993" s="182"/>
      <c r="AK29993" s="183"/>
      <c r="AL29993" s="183"/>
    </row>
    <row r="29994" spans="1:38">
      <c r="A29994" s="182"/>
      <c r="AJ29994" s="183"/>
      <c r="AK29994" s="183"/>
      <c r="AL29994" s="183"/>
    </row>
    <row r="29995" spans="1:38">
      <c r="A29995" s="182"/>
      <c r="AJ29995" s="183"/>
      <c r="AK29995" s="183"/>
      <c r="AL29995" s="183"/>
    </row>
    <row r="29996" spans="1:38">
      <c r="A29996" s="182"/>
      <c r="AJ29996" s="183"/>
      <c r="AK29996" s="183"/>
      <c r="AL29996" s="183"/>
    </row>
    <row r="29997" spans="1:38">
      <c r="A29997" s="182"/>
      <c r="AJ29997" s="183"/>
    </row>
    <row r="29998" spans="1:38">
      <c r="A29998" s="182"/>
    </row>
    <row r="29999" spans="1:38">
      <c r="A29999" s="182"/>
    </row>
    <row r="30000" spans="1:38">
      <c r="A30000" s="182"/>
    </row>
    <row r="30001" spans="1:38">
      <c r="A30001" s="182"/>
    </row>
    <row r="30002" spans="1:38">
      <c r="A30002" s="182"/>
    </row>
    <row r="30003" spans="1:38">
      <c r="A30003" s="182"/>
    </row>
    <row r="30004" spans="1:38">
      <c r="A30004" s="182"/>
    </row>
    <row r="30005" spans="1:38">
      <c r="A30005" s="182"/>
    </row>
    <row r="30006" spans="1:38">
      <c r="A30006" s="182"/>
    </row>
    <row r="30007" spans="1:38">
      <c r="A30007" s="182"/>
    </row>
    <row r="30008" spans="1:38">
      <c r="A30008" s="182"/>
    </row>
    <row r="30009" spans="1:38">
      <c r="A30009" s="182"/>
      <c r="AK30009" s="183"/>
      <c r="AL30009" s="183"/>
    </row>
    <row r="30010" spans="1:38">
      <c r="A30010" s="182"/>
      <c r="AJ30010" s="183"/>
      <c r="AK30010" s="183"/>
      <c r="AL30010" s="183"/>
    </row>
    <row r="30011" spans="1:38">
      <c r="A30011" s="182"/>
      <c r="AJ30011" s="183"/>
      <c r="AK30011" s="183"/>
      <c r="AL30011" s="183"/>
    </row>
    <row r="30012" spans="1:38">
      <c r="A30012" s="182"/>
      <c r="AJ30012" s="183"/>
      <c r="AK30012" s="183"/>
      <c r="AL30012" s="183"/>
    </row>
    <row r="30013" spans="1:38">
      <c r="A30013" s="182"/>
      <c r="AJ30013" s="183"/>
    </row>
    <row r="30014" spans="1:38">
      <c r="A30014" s="182"/>
    </row>
    <row r="30015" spans="1:38">
      <c r="A30015" s="182"/>
    </row>
    <row r="30016" spans="1:38">
      <c r="A30016" s="182"/>
    </row>
    <row r="30017" spans="1:1">
      <c r="A30017" s="182"/>
    </row>
    <row r="30018" spans="1:1">
      <c r="A30018" s="182"/>
    </row>
    <row r="30019" spans="1:1">
      <c r="A30019" s="182"/>
    </row>
    <row r="30020" spans="1:1">
      <c r="A30020" s="182"/>
    </row>
    <row r="30021" spans="1:1">
      <c r="A30021" s="182"/>
    </row>
    <row r="30022" spans="1:1">
      <c r="A30022" s="182"/>
    </row>
    <row r="30023" spans="1:1">
      <c r="A30023" s="182"/>
    </row>
    <row r="30024" spans="1:1">
      <c r="A30024" s="182"/>
    </row>
    <row r="30025" spans="1:1">
      <c r="A30025" s="182"/>
    </row>
    <row r="30026" spans="1:1">
      <c r="A30026" s="182"/>
    </row>
    <row r="30027" spans="1:1">
      <c r="A30027" s="182"/>
    </row>
    <row r="30028" spans="1:1">
      <c r="A30028" s="182"/>
    </row>
    <row r="30029" spans="1:1">
      <c r="A30029" s="182"/>
    </row>
    <row r="30030" spans="1:1">
      <c r="A30030" s="182"/>
    </row>
    <row r="30031" spans="1:1">
      <c r="A30031" s="182"/>
    </row>
    <row r="30032" spans="1:1">
      <c r="A30032" s="182"/>
    </row>
    <row r="30033" spans="1:38">
      <c r="A30033" s="182"/>
      <c r="AK30033" s="183"/>
      <c r="AL30033" s="183"/>
    </row>
    <row r="30034" spans="1:38">
      <c r="A30034" s="182"/>
      <c r="AJ30034" s="183"/>
      <c r="AK30034" s="183"/>
      <c r="AL30034" s="183"/>
    </row>
    <row r="30035" spans="1:38">
      <c r="A30035" s="182"/>
      <c r="AJ30035" s="183"/>
      <c r="AK30035" s="183"/>
      <c r="AL30035" s="183"/>
    </row>
    <row r="30036" spans="1:38">
      <c r="A30036" s="182"/>
      <c r="AJ30036" s="183"/>
      <c r="AK30036" s="183"/>
      <c r="AL30036" s="183"/>
    </row>
    <row r="30037" spans="1:38">
      <c r="A30037" s="182"/>
      <c r="AJ30037" s="183"/>
      <c r="AK30037" s="183"/>
      <c r="AL30037" s="183"/>
    </row>
    <row r="30038" spans="1:38">
      <c r="A30038" s="182"/>
      <c r="AJ30038" s="183"/>
      <c r="AK30038" s="183"/>
      <c r="AL30038" s="183"/>
    </row>
    <row r="30039" spans="1:38">
      <c r="A30039" s="182"/>
      <c r="AJ30039" s="183"/>
      <c r="AK30039" s="183"/>
      <c r="AL30039" s="183"/>
    </row>
    <row r="30040" spans="1:38">
      <c r="A30040" s="182"/>
      <c r="AJ30040" s="183"/>
      <c r="AK30040" s="183"/>
      <c r="AL30040" s="183"/>
    </row>
    <row r="30041" spans="1:38">
      <c r="A30041" s="182"/>
      <c r="AJ30041" s="183"/>
    </row>
    <row r="30042" spans="1:38">
      <c r="A30042" s="182"/>
    </row>
    <row r="30043" spans="1:38">
      <c r="A30043" s="182"/>
    </row>
    <row r="30044" spans="1:38">
      <c r="A30044" s="182"/>
      <c r="M30044" s="183"/>
      <c r="N30044" s="183"/>
    </row>
    <row r="30045" spans="1:38">
      <c r="A30045" s="182"/>
      <c r="L30045" s="183"/>
      <c r="M30045" s="183"/>
      <c r="N30045" s="183"/>
      <c r="AK30045" s="183"/>
      <c r="AL30045" s="183"/>
    </row>
    <row r="30046" spans="1:38">
      <c r="A30046" s="182"/>
      <c r="L30046" s="183"/>
      <c r="M30046" s="183"/>
      <c r="N30046" s="183"/>
      <c r="AJ30046" s="183"/>
      <c r="AK30046" s="183"/>
      <c r="AL30046" s="183"/>
    </row>
    <row r="30047" spans="1:38">
      <c r="A30047" s="182"/>
      <c r="L30047" s="183"/>
      <c r="AJ30047" s="183"/>
      <c r="AK30047" s="183"/>
      <c r="AL30047" s="183"/>
    </row>
    <row r="30048" spans="1:38">
      <c r="A30048" s="182"/>
      <c r="AJ30048" s="183"/>
      <c r="AK30048" s="183"/>
      <c r="AL30048" s="183"/>
    </row>
    <row r="30049" spans="1:38">
      <c r="A30049" s="182"/>
      <c r="AJ30049" s="183"/>
      <c r="AK30049" s="183"/>
      <c r="AL30049" s="183"/>
    </row>
    <row r="30050" spans="1:38">
      <c r="A30050" s="182"/>
      <c r="M30050" s="183"/>
      <c r="N30050" s="183"/>
      <c r="AJ30050" s="183"/>
      <c r="AK30050" s="183"/>
      <c r="AL30050" s="183"/>
    </row>
    <row r="30051" spans="1:38">
      <c r="A30051" s="182"/>
      <c r="L30051" s="183"/>
      <c r="M30051" s="183"/>
      <c r="N30051" s="183"/>
      <c r="AJ30051" s="183"/>
      <c r="AK30051" s="183"/>
      <c r="AL30051" s="183"/>
    </row>
    <row r="30052" spans="1:38">
      <c r="A30052" s="182"/>
      <c r="L30052" s="183"/>
      <c r="M30052" s="183"/>
      <c r="N30052" s="183"/>
      <c r="AJ30052" s="183"/>
      <c r="AK30052" s="183"/>
      <c r="AL30052" s="183"/>
    </row>
    <row r="30053" spans="1:38">
      <c r="A30053" s="182"/>
      <c r="L30053" s="183"/>
      <c r="M30053" s="183"/>
      <c r="N30053" s="183"/>
      <c r="O30053" s="183"/>
      <c r="AJ30053" s="183"/>
      <c r="AK30053" s="183"/>
      <c r="AL30053" s="183"/>
    </row>
    <row r="30054" spans="1:38">
      <c r="A30054" s="182"/>
      <c r="L30054" s="183"/>
      <c r="M30054" s="183"/>
      <c r="N30054" s="183"/>
      <c r="AJ30054" s="183"/>
      <c r="AK30054" s="183"/>
      <c r="AL30054" s="183"/>
    </row>
    <row r="30055" spans="1:38">
      <c r="A30055" s="182"/>
      <c r="L30055" s="183"/>
      <c r="M30055" s="183"/>
      <c r="N30055" s="183"/>
      <c r="AJ30055" s="183"/>
      <c r="AK30055" s="183"/>
      <c r="AL30055" s="183"/>
    </row>
    <row r="30056" spans="1:38">
      <c r="A30056" s="182"/>
      <c r="L30056" s="183"/>
      <c r="M30056" s="183"/>
      <c r="N30056" s="183"/>
      <c r="AJ30056" s="183"/>
      <c r="AK30056" s="183"/>
      <c r="AL30056" s="183"/>
    </row>
    <row r="30057" spans="1:38">
      <c r="A30057" s="182"/>
      <c r="L30057" s="183"/>
      <c r="M30057" s="183"/>
      <c r="N30057" s="183"/>
      <c r="AJ30057" s="183"/>
      <c r="AK30057" s="183"/>
      <c r="AL30057" s="183"/>
    </row>
    <row r="30058" spans="1:38">
      <c r="A30058" s="182"/>
      <c r="L30058" s="183"/>
      <c r="M30058" s="183"/>
      <c r="N30058" s="183"/>
      <c r="AJ30058" s="183"/>
      <c r="AK30058" s="183"/>
      <c r="AL30058" s="183"/>
    </row>
    <row r="30059" spans="1:38">
      <c r="A30059" s="182"/>
      <c r="L30059" s="183"/>
      <c r="M30059" s="183"/>
      <c r="N30059" s="183"/>
      <c r="AJ30059" s="183"/>
      <c r="AK30059" s="183"/>
      <c r="AL30059" s="183"/>
    </row>
    <row r="30060" spans="1:38">
      <c r="A30060" s="182"/>
      <c r="L30060" s="183"/>
      <c r="M30060" s="183"/>
      <c r="N30060" s="183"/>
      <c r="AJ30060" s="183"/>
      <c r="AK30060" s="183"/>
      <c r="AL30060" s="183"/>
    </row>
    <row r="30061" spans="1:38">
      <c r="A30061" s="182"/>
      <c r="L30061" s="183"/>
      <c r="M30061" s="183"/>
      <c r="N30061" s="183"/>
      <c r="AJ30061" s="183"/>
      <c r="AK30061" s="183"/>
      <c r="AL30061" s="183"/>
    </row>
    <row r="30062" spans="1:38">
      <c r="A30062" s="182"/>
      <c r="L30062" s="183"/>
      <c r="M30062" s="183"/>
      <c r="N30062" s="183"/>
      <c r="O30062" s="183"/>
      <c r="AJ30062" s="183"/>
      <c r="AK30062" s="183"/>
      <c r="AL30062" s="183"/>
    </row>
    <row r="30063" spans="1:38">
      <c r="A30063" s="182"/>
      <c r="L30063" s="183"/>
      <c r="M30063" s="183"/>
      <c r="N30063" s="183"/>
      <c r="O30063" s="183"/>
      <c r="AJ30063" s="183"/>
      <c r="AK30063" s="183"/>
      <c r="AL30063" s="183"/>
    </row>
    <row r="30064" spans="1:38">
      <c r="A30064" s="182"/>
      <c r="L30064" s="183"/>
      <c r="M30064" s="183"/>
      <c r="N30064" s="183"/>
      <c r="AJ30064" s="183"/>
      <c r="AK30064" s="183"/>
      <c r="AL30064" s="183"/>
    </row>
    <row r="30065" spans="1:38">
      <c r="A30065" s="182"/>
      <c r="L30065" s="183"/>
      <c r="AJ30065" s="183"/>
    </row>
    <row r="30066" spans="1:38">
      <c r="A30066" s="182"/>
    </row>
    <row r="30067" spans="1:38">
      <c r="A30067" s="182"/>
    </row>
    <row r="30068" spans="1:38">
      <c r="A30068" s="182"/>
    </row>
    <row r="30069" spans="1:38">
      <c r="A30069" s="182"/>
      <c r="AK30069" s="183"/>
      <c r="AL30069" s="183"/>
    </row>
    <row r="30070" spans="1:38">
      <c r="A30070" s="182"/>
      <c r="AJ30070" s="183"/>
      <c r="AK30070" s="183"/>
      <c r="AL30070" s="183"/>
    </row>
    <row r="30071" spans="1:38">
      <c r="A30071" s="182"/>
      <c r="AJ30071" s="183"/>
      <c r="AK30071" s="183"/>
      <c r="AL30071" s="183"/>
    </row>
    <row r="30072" spans="1:38">
      <c r="A30072" s="182"/>
      <c r="AJ30072" s="183"/>
      <c r="AK30072" s="183"/>
      <c r="AL30072" s="183"/>
    </row>
    <row r="30073" spans="1:38">
      <c r="A30073" s="182"/>
      <c r="AJ30073" s="183"/>
    </row>
    <row r="30074" spans="1:38">
      <c r="A30074" s="182"/>
    </row>
    <row r="30075" spans="1:38">
      <c r="A30075" s="182"/>
    </row>
    <row r="30076" spans="1:38">
      <c r="A30076" s="182"/>
    </row>
    <row r="30077" spans="1:38">
      <c r="A30077" s="182"/>
    </row>
    <row r="30078" spans="1:38">
      <c r="A30078" s="182"/>
    </row>
    <row r="30079" spans="1:38">
      <c r="A30079" s="182"/>
    </row>
    <row r="30080" spans="1:38">
      <c r="A30080" s="182"/>
    </row>
    <row r="30081" spans="1:38">
      <c r="A30081" s="182"/>
    </row>
    <row r="30082" spans="1:38">
      <c r="A30082" s="182"/>
    </row>
    <row r="30083" spans="1:38">
      <c r="A30083" s="182"/>
    </row>
    <row r="30084" spans="1:38">
      <c r="A30084" s="182"/>
    </row>
    <row r="30085" spans="1:38">
      <c r="A30085" s="182"/>
    </row>
    <row r="30086" spans="1:38">
      <c r="A30086" s="182"/>
    </row>
    <row r="30087" spans="1:38">
      <c r="A30087" s="182"/>
    </row>
    <row r="30088" spans="1:38">
      <c r="A30088" s="182"/>
    </row>
    <row r="30089" spans="1:38">
      <c r="A30089" s="182"/>
    </row>
    <row r="30090" spans="1:38">
      <c r="A30090" s="182"/>
    </row>
    <row r="30091" spans="1:38">
      <c r="A30091" s="182"/>
    </row>
    <row r="30092" spans="1:38">
      <c r="A30092" s="182"/>
    </row>
    <row r="30093" spans="1:38">
      <c r="A30093" s="182"/>
      <c r="AK30093" s="183"/>
      <c r="AL30093" s="183"/>
    </row>
    <row r="30094" spans="1:38">
      <c r="A30094" s="182"/>
      <c r="AJ30094" s="183"/>
      <c r="AK30094" s="183"/>
      <c r="AL30094" s="183"/>
    </row>
    <row r="30095" spans="1:38">
      <c r="A30095" s="182"/>
      <c r="AJ30095" s="183"/>
      <c r="AK30095" s="183"/>
      <c r="AL30095" s="183"/>
    </row>
    <row r="30096" spans="1:38">
      <c r="A30096" s="182"/>
      <c r="AJ30096" s="183"/>
      <c r="AK30096" s="183"/>
      <c r="AL30096" s="183"/>
    </row>
    <row r="30097" spans="1:36">
      <c r="A30097" s="182"/>
      <c r="AJ30097" s="183"/>
    </row>
    <row r="30098" spans="1:36">
      <c r="A30098" s="182"/>
    </row>
    <row r="30099" spans="1:36">
      <c r="A30099" s="182"/>
    </row>
    <row r="30100" spans="1:36">
      <c r="A30100" s="182"/>
    </row>
    <row r="30101" spans="1:36">
      <c r="A30101" s="182"/>
    </row>
    <row r="30102" spans="1:36">
      <c r="A30102" s="182"/>
    </row>
    <row r="30103" spans="1:36">
      <c r="A30103" s="182"/>
    </row>
    <row r="30104" spans="1:36">
      <c r="A30104" s="182"/>
    </row>
    <row r="30105" spans="1:36">
      <c r="A30105" s="182"/>
    </row>
    <row r="30106" spans="1:36">
      <c r="A30106" s="182"/>
    </row>
    <row r="30107" spans="1:36">
      <c r="A30107" s="182"/>
    </row>
    <row r="30108" spans="1:36">
      <c r="A30108" s="182"/>
    </row>
    <row r="30109" spans="1:36">
      <c r="A30109" s="182"/>
    </row>
    <row r="30110" spans="1:36">
      <c r="A30110" s="182"/>
    </row>
    <row r="30111" spans="1:36">
      <c r="A30111" s="182"/>
    </row>
    <row r="30112" spans="1:36">
      <c r="A30112" s="182"/>
    </row>
    <row r="30113" spans="1:38">
      <c r="A30113" s="182"/>
    </row>
    <row r="30114" spans="1:38">
      <c r="A30114" s="182"/>
      <c r="M30114" s="183"/>
      <c r="N30114" s="183"/>
    </row>
    <row r="30115" spans="1:38">
      <c r="A30115" s="182"/>
      <c r="L30115" s="183"/>
    </row>
    <row r="30116" spans="1:38">
      <c r="A30116" s="182"/>
      <c r="M30116" s="183"/>
      <c r="N30116" s="183"/>
      <c r="O30116" s="183"/>
    </row>
    <row r="30117" spans="1:38">
      <c r="A30117" s="182"/>
      <c r="L30117" s="183"/>
      <c r="M30117" s="183"/>
    </row>
    <row r="30118" spans="1:38">
      <c r="A30118" s="182"/>
    </row>
    <row r="30119" spans="1:38">
      <c r="A30119" s="182"/>
    </row>
    <row r="30120" spans="1:38">
      <c r="A30120" s="182"/>
    </row>
    <row r="30121" spans="1:38">
      <c r="A30121" s="182"/>
      <c r="AK30121" s="183"/>
      <c r="AL30121" s="183"/>
    </row>
    <row r="30122" spans="1:38">
      <c r="A30122" s="182"/>
      <c r="AJ30122" s="183"/>
      <c r="AK30122" s="183"/>
      <c r="AL30122" s="183"/>
    </row>
    <row r="30123" spans="1:38">
      <c r="A30123" s="182"/>
      <c r="AJ30123" s="183"/>
      <c r="AK30123" s="183"/>
      <c r="AL30123" s="183"/>
    </row>
    <row r="30124" spans="1:38">
      <c r="A30124" s="182"/>
      <c r="AJ30124" s="183"/>
      <c r="AK30124" s="183"/>
      <c r="AL30124" s="183"/>
    </row>
    <row r="30125" spans="1:38">
      <c r="A30125" s="182"/>
      <c r="AJ30125" s="183"/>
      <c r="AK30125" s="183"/>
      <c r="AL30125" s="183"/>
    </row>
    <row r="30126" spans="1:38">
      <c r="A30126" s="182"/>
      <c r="AJ30126" s="183"/>
      <c r="AK30126" s="183"/>
      <c r="AL30126" s="183"/>
    </row>
    <row r="30127" spans="1:38">
      <c r="A30127" s="182"/>
      <c r="AJ30127" s="183"/>
      <c r="AK30127" s="183"/>
      <c r="AL30127" s="183"/>
    </row>
    <row r="30128" spans="1:38">
      <c r="A30128" s="182"/>
      <c r="AJ30128" s="183"/>
      <c r="AK30128" s="183"/>
      <c r="AL30128" s="183"/>
    </row>
    <row r="30129" spans="1:38">
      <c r="A30129" s="182"/>
      <c r="M30129" s="183"/>
      <c r="N30129" s="183"/>
      <c r="O30129" s="183"/>
      <c r="AJ30129" s="183"/>
    </row>
    <row r="30130" spans="1:38">
      <c r="A30130" s="182"/>
      <c r="L30130" s="183"/>
      <c r="M30130" s="183"/>
    </row>
    <row r="30131" spans="1:38">
      <c r="A30131" s="182"/>
    </row>
    <row r="30132" spans="1:38">
      <c r="A30132" s="182"/>
    </row>
    <row r="30133" spans="1:38">
      <c r="A30133" s="182"/>
      <c r="M30133" s="183"/>
      <c r="N30133" s="183"/>
      <c r="O30133" s="183"/>
      <c r="AK30133" s="183"/>
      <c r="AL30133" s="183"/>
    </row>
    <row r="30134" spans="1:38">
      <c r="A30134" s="182"/>
      <c r="L30134" s="183"/>
      <c r="M30134" s="183"/>
      <c r="AJ30134" s="183"/>
      <c r="AK30134" s="183"/>
      <c r="AL30134" s="183"/>
    </row>
    <row r="30135" spans="1:38">
      <c r="A30135" s="182"/>
      <c r="AJ30135" s="183"/>
      <c r="AK30135" s="183"/>
      <c r="AL30135" s="183"/>
    </row>
    <row r="30136" spans="1:38">
      <c r="A30136" s="182"/>
      <c r="M30136" s="183"/>
      <c r="N30136" s="183"/>
      <c r="O30136" s="183"/>
      <c r="AJ30136" s="183"/>
      <c r="AK30136" s="183"/>
      <c r="AL30136" s="183"/>
    </row>
    <row r="30137" spans="1:38">
      <c r="A30137" s="182"/>
      <c r="L30137" s="183"/>
      <c r="M30137" s="183"/>
      <c r="N30137" s="183"/>
      <c r="O30137" s="183"/>
      <c r="AJ30137" s="183"/>
    </row>
    <row r="30138" spans="1:38">
      <c r="A30138" s="182"/>
      <c r="L30138" s="183"/>
      <c r="M30138" s="183"/>
      <c r="N30138" s="183"/>
    </row>
    <row r="30139" spans="1:38">
      <c r="A30139" s="182"/>
      <c r="L30139" s="183"/>
    </row>
    <row r="30140" spans="1:38">
      <c r="A30140" s="182"/>
    </row>
    <row r="30141" spans="1:38">
      <c r="A30141" s="182"/>
      <c r="AK30141" s="183"/>
      <c r="AL30141" s="183"/>
    </row>
    <row r="30142" spans="1:38">
      <c r="A30142" s="182"/>
      <c r="AJ30142" s="183"/>
      <c r="AK30142" s="183"/>
      <c r="AL30142" s="183"/>
    </row>
    <row r="30143" spans="1:38">
      <c r="A30143" s="182"/>
      <c r="AJ30143" s="183"/>
      <c r="AK30143" s="183"/>
      <c r="AL30143" s="183"/>
    </row>
    <row r="30144" spans="1:38">
      <c r="A30144" s="182"/>
      <c r="AJ30144" s="183"/>
      <c r="AK30144" s="183"/>
      <c r="AL30144" s="183"/>
    </row>
    <row r="30145" spans="1:38">
      <c r="A30145" s="182"/>
      <c r="AJ30145" s="183"/>
    </row>
    <row r="30146" spans="1:38">
      <c r="A30146" s="182"/>
    </row>
    <row r="30147" spans="1:38">
      <c r="A30147" s="182"/>
      <c r="M30147" s="183"/>
      <c r="N30147" s="183"/>
      <c r="O30147" s="183"/>
    </row>
    <row r="30148" spans="1:38">
      <c r="A30148" s="182"/>
      <c r="L30148" s="183"/>
      <c r="M30148" s="183"/>
    </row>
    <row r="30149" spans="1:38">
      <c r="A30149" s="182"/>
    </row>
    <row r="30150" spans="1:38">
      <c r="A30150" s="182"/>
    </row>
    <row r="30151" spans="1:38">
      <c r="A30151" s="182"/>
    </row>
    <row r="30152" spans="1:38">
      <c r="A30152" s="182"/>
    </row>
    <row r="30153" spans="1:38">
      <c r="A30153" s="182"/>
    </row>
    <row r="30154" spans="1:38">
      <c r="A30154" s="182"/>
    </row>
    <row r="30155" spans="1:38">
      <c r="A30155" s="182"/>
    </row>
    <row r="30156" spans="1:38">
      <c r="A30156" s="182"/>
      <c r="M30156" s="183"/>
      <c r="N30156" s="183"/>
      <c r="O30156" s="183"/>
    </row>
    <row r="30157" spans="1:38">
      <c r="A30157" s="182"/>
      <c r="L30157" s="183"/>
      <c r="M30157" s="183"/>
      <c r="N30157" s="183"/>
      <c r="O30157" s="183"/>
      <c r="AK30157" s="183"/>
      <c r="AL30157" s="183"/>
    </row>
    <row r="30158" spans="1:38">
      <c r="A30158" s="182"/>
      <c r="L30158" s="183"/>
      <c r="M30158" s="183"/>
      <c r="N30158" s="183"/>
      <c r="AJ30158" s="183"/>
      <c r="AK30158" s="183"/>
      <c r="AL30158" s="183"/>
    </row>
    <row r="30159" spans="1:38">
      <c r="A30159" s="182"/>
      <c r="L30159" s="183"/>
      <c r="M30159" s="183"/>
      <c r="N30159" s="183"/>
      <c r="O30159" s="183"/>
      <c r="AJ30159" s="183"/>
      <c r="AK30159" s="183"/>
      <c r="AL30159" s="183"/>
    </row>
    <row r="30160" spans="1:38">
      <c r="A30160" s="182"/>
      <c r="L30160" s="183"/>
      <c r="M30160" s="183"/>
      <c r="AJ30160" s="183"/>
      <c r="AK30160" s="183"/>
      <c r="AL30160" s="183"/>
    </row>
    <row r="30161" spans="1:38">
      <c r="A30161" s="182"/>
      <c r="AJ30161" s="183"/>
    </row>
    <row r="30162" spans="1:38">
      <c r="A30162" s="182"/>
    </row>
    <row r="30163" spans="1:38">
      <c r="A30163" s="182"/>
    </row>
    <row r="30164" spans="1:38">
      <c r="A30164" s="182"/>
    </row>
    <row r="30165" spans="1:38">
      <c r="A30165" s="182"/>
    </row>
    <row r="30166" spans="1:38">
      <c r="A30166" s="182"/>
    </row>
    <row r="30167" spans="1:38">
      <c r="A30167" s="182"/>
    </row>
    <row r="30168" spans="1:38">
      <c r="A30168" s="182"/>
    </row>
    <row r="30169" spans="1:38">
      <c r="A30169" s="182"/>
      <c r="AK30169" s="183"/>
      <c r="AL30169" s="183"/>
    </row>
    <row r="30170" spans="1:38">
      <c r="A30170" s="182"/>
      <c r="AJ30170" s="183"/>
      <c r="AK30170" s="183"/>
      <c r="AL30170" s="183"/>
    </row>
    <row r="30171" spans="1:38">
      <c r="A30171" s="182"/>
      <c r="AJ30171" s="183"/>
      <c r="AK30171" s="183"/>
      <c r="AL30171" s="183"/>
    </row>
    <row r="30172" spans="1:38">
      <c r="A30172" s="182"/>
      <c r="AJ30172" s="183"/>
      <c r="AK30172" s="183"/>
      <c r="AL30172" s="183"/>
    </row>
    <row r="30173" spans="1:38">
      <c r="A30173" s="182"/>
      <c r="AJ30173" s="183"/>
    </row>
    <row r="30174" spans="1:38">
      <c r="A30174" s="182"/>
    </row>
    <row r="30175" spans="1:38">
      <c r="A30175" s="182"/>
    </row>
    <row r="30176" spans="1:38">
      <c r="A30176" s="182"/>
    </row>
    <row r="30177" spans="1:38">
      <c r="A30177" s="182"/>
    </row>
    <row r="30178" spans="1:38">
      <c r="A30178" s="182"/>
    </row>
    <row r="30179" spans="1:38">
      <c r="A30179" s="182"/>
    </row>
    <row r="30180" spans="1:38">
      <c r="A30180" s="182"/>
    </row>
    <row r="30181" spans="1:38">
      <c r="A30181" s="182"/>
    </row>
    <row r="30182" spans="1:38">
      <c r="A30182" s="182"/>
    </row>
    <row r="30183" spans="1:38">
      <c r="A30183" s="182"/>
    </row>
    <row r="30184" spans="1:38">
      <c r="A30184" s="182"/>
    </row>
    <row r="30185" spans="1:38">
      <c r="A30185" s="182"/>
    </row>
    <row r="30186" spans="1:38">
      <c r="A30186" s="182"/>
    </row>
    <row r="30187" spans="1:38">
      <c r="A30187" s="182"/>
    </row>
    <row r="30188" spans="1:38">
      <c r="A30188" s="182"/>
    </row>
    <row r="30189" spans="1:38">
      <c r="A30189" s="182"/>
      <c r="AK30189" s="183"/>
      <c r="AL30189" s="183"/>
    </row>
    <row r="30190" spans="1:38">
      <c r="A30190" s="182"/>
      <c r="AJ30190" s="183"/>
      <c r="AK30190" s="183"/>
      <c r="AL30190" s="183"/>
    </row>
    <row r="30191" spans="1:38">
      <c r="A30191" s="182"/>
      <c r="AJ30191" s="183"/>
      <c r="AK30191" s="183"/>
      <c r="AL30191" s="183"/>
    </row>
    <row r="30192" spans="1:38">
      <c r="A30192" s="182"/>
      <c r="AJ30192" s="183"/>
      <c r="AK30192" s="183"/>
      <c r="AL30192" s="183"/>
    </row>
    <row r="30193" spans="1:38">
      <c r="A30193" s="182"/>
      <c r="AJ30193" s="183"/>
      <c r="AK30193" s="183"/>
      <c r="AL30193" s="183"/>
    </row>
    <row r="30194" spans="1:38">
      <c r="A30194" s="182"/>
      <c r="AJ30194" s="183"/>
      <c r="AK30194" s="183"/>
      <c r="AL30194" s="183"/>
    </row>
    <row r="30195" spans="1:38">
      <c r="A30195" s="182"/>
      <c r="AJ30195" s="183"/>
      <c r="AK30195" s="183"/>
      <c r="AL30195" s="183"/>
    </row>
    <row r="30196" spans="1:38">
      <c r="A30196" s="182"/>
      <c r="AJ30196" s="183"/>
      <c r="AK30196" s="183"/>
      <c r="AL30196" s="183"/>
    </row>
    <row r="30197" spans="1:38">
      <c r="A30197" s="182"/>
      <c r="AJ30197" s="183"/>
      <c r="AK30197" s="183"/>
      <c r="AL30197" s="183"/>
    </row>
    <row r="30198" spans="1:38">
      <c r="A30198" s="182"/>
      <c r="AJ30198" s="183"/>
      <c r="AK30198" s="183"/>
      <c r="AL30198" s="183"/>
    </row>
    <row r="30199" spans="1:38">
      <c r="A30199" s="182"/>
      <c r="AJ30199" s="183"/>
      <c r="AK30199" s="183"/>
      <c r="AL30199" s="183"/>
    </row>
    <row r="30200" spans="1:38">
      <c r="A30200" s="182"/>
      <c r="AJ30200" s="183"/>
      <c r="AK30200" s="183"/>
      <c r="AL30200" s="183"/>
    </row>
    <row r="30201" spans="1:38">
      <c r="A30201" s="182"/>
      <c r="AJ30201" s="183"/>
      <c r="AK30201" s="183"/>
      <c r="AL30201" s="183"/>
    </row>
    <row r="30202" spans="1:38">
      <c r="A30202" s="182"/>
      <c r="AJ30202" s="183"/>
      <c r="AK30202" s="183"/>
      <c r="AL30202" s="183"/>
    </row>
    <row r="30203" spans="1:38">
      <c r="A30203" s="182"/>
      <c r="AJ30203" s="183"/>
      <c r="AK30203" s="183"/>
      <c r="AL30203" s="183"/>
    </row>
    <row r="30204" spans="1:38">
      <c r="A30204" s="182"/>
      <c r="AJ30204" s="183"/>
      <c r="AK30204" s="183"/>
      <c r="AL30204" s="183"/>
    </row>
    <row r="30205" spans="1:38">
      <c r="A30205" s="182"/>
      <c r="AJ30205" s="183"/>
    </row>
    <row r="30206" spans="1:38">
      <c r="A30206" s="182"/>
    </row>
    <row r="30207" spans="1:38">
      <c r="A30207" s="182"/>
    </row>
    <row r="30208" spans="1:38">
      <c r="A30208" s="182"/>
    </row>
    <row r="30209" spans="1:38">
      <c r="A30209" s="182"/>
    </row>
    <row r="30210" spans="1:38">
      <c r="A30210" s="182"/>
    </row>
    <row r="30211" spans="1:38">
      <c r="A30211" s="182"/>
    </row>
    <row r="30212" spans="1:38">
      <c r="A30212" s="182"/>
    </row>
    <row r="30213" spans="1:38">
      <c r="A30213" s="182"/>
      <c r="AK30213" s="183"/>
      <c r="AL30213" s="183"/>
    </row>
    <row r="30214" spans="1:38">
      <c r="A30214" s="182"/>
      <c r="AJ30214" s="183"/>
      <c r="AK30214" s="183"/>
      <c r="AL30214" s="183"/>
    </row>
    <row r="30215" spans="1:38">
      <c r="A30215" s="182"/>
      <c r="AJ30215" s="183"/>
      <c r="AK30215" s="183"/>
      <c r="AL30215" s="183"/>
    </row>
    <row r="30216" spans="1:38">
      <c r="A30216" s="182"/>
      <c r="AJ30216" s="183"/>
      <c r="AK30216" s="183"/>
      <c r="AL30216" s="183"/>
    </row>
    <row r="30217" spans="1:38">
      <c r="A30217" s="182"/>
      <c r="AJ30217" s="183"/>
    </row>
    <row r="30218" spans="1:38">
      <c r="A30218" s="182"/>
    </row>
    <row r="30219" spans="1:38">
      <c r="A30219" s="182"/>
    </row>
    <row r="30220" spans="1:38">
      <c r="A30220" s="182"/>
    </row>
    <row r="30221" spans="1:38">
      <c r="A30221" s="182"/>
      <c r="AK30221" s="183"/>
      <c r="AL30221" s="183"/>
    </row>
    <row r="30222" spans="1:38">
      <c r="A30222" s="182"/>
      <c r="AJ30222" s="183"/>
      <c r="AK30222" s="183"/>
      <c r="AL30222" s="183"/>
    </row>
    <row r="30223" spans="1:38">
      <c r="A30223" s="182"/>
      <c r="AJ30223" s="183"/>
      <c r="AK30223" s="183"/>
      <c r="AL30223" s="183"/>
    </row>
    <row r="30224" spans="1:38">
      <c r="A30224" s="182"/>
      <c r="AJ30224" s="183"/>
      <c r="AK30224" s="183"/>
      <c r="AL30224" s="183"/>
    </row>
    <row r="30225" spans="1:38">
      <c r="A30225" s="182"/>
      <c r="AJ30225" s="183"/>
    </row>
    <row r="30226" spans="1:38">
      <c r="A30226" s="182"/>
    </row>
    <row r="30227" spans="1:38">
      <c r="A30227" s="182"/>
    </row>
    <row r="30228" spans="1:38">
      <c r="A30228" s="182"/>
    </row>
    <row r="30229" spans="1:38">
      <c r="A30229" s="182"/>
      <c r="AK30229" s="183"/>
      <c r="AL30229" s="183"/>
    </row>
    <row r="30230" spans="1:38">
      <c r="A30230" s="182"/>
      <c r="AJ30230" s="183"/>
      <c r="AK30230" s="183"/>
      <c r="AL30230" s="183"/>
    </row>
    <row r="30231" spans="1:38">
      <c r="A30231" s="182"/>
      <c r="AJ30231" s="183"/>
      <c r="AK30231" s="183"/>
      <c r="AL30231" s="183"/>
    </row>
    <row r="30232" spans="1:38">
      <c r="A30232" s="182"/>
      <c r="AJ30232" s="183"/>
      <c r="AK30232" s="183"/>
      <c r="AL30232" s="183"/>
    </row>
    <row r="30233" spans="1:38">
      <c r="A30233" s="182"/>
      <c r="AJ30233" s="183"/>
      <c r="AK30233" s="183"/>
      <c r="AL30233" s="183"/>
    </row>
    <row r="30234" spans="1:38">
      <c r="A30234" s="182"/>
      <c r="AJ30234" s="183"/>
      <c r="AK30234" s="183"/>
      <c r="AL30234" s="183"/>
    </row>
    <row r="30235" spans="1:38">
      <c r="A30235" s="182"/>
      <c r="AJ30235" s="183"/>
      <c r="AK30235" s="183"/>
      <c r="AL30235" s="183"/>
    </row>
    <row r="30236" spans="1:38">
      <c r="A30236" s="182"/>
      <c r="AJ30236" s="183"/>
      <c r="AK30236" s="183"/>
      <c r="AL30236" s="183"/>
    </row>
    <row r="30237" spans="1:38">
      <c r="A30237" s="182"/>
      <c r="AJ30237" s="183"/>
    </row>
    <row r="30238" spans="1:38">
      <c r="A30238" s="182"/>
    </row>
    <row r="30239" spans="1:38">
      <c r="A30239" s="182"/>
      <c r="N30239" s="183"/>
      <c r="O30239" s="183"/>
    </row>
    <row r="30240" spans="1:38">
      <c r="A30240" s="182"/>
      <c r="M30240" s="183"/>
    </row>
    <row r="30241" spans="1:38">
      <c r="A30241" s="182"/>
      <c r="AK30241" s="183"/>
      <c r="AL30241" s="183"/>
    </row>
    <row r="30242" spans="1:38">
      <c r="A30242" s="182"/>
      <c r="AJ30242" s="183"/>
      <c r="AK30242" s="183"/>
      <c r="AL30242" s="183"/>
    </row>
    <row r="30243" spans="1:38">
      <c r="A30243" s="182"/>
      <c r="AJ30243" s="183"/>
      <c r="AK30243" s="183"/>
      <c r="AL30243" s="183"/>
    </row>
    <row r="30244" spans="1:38">
      <c r="A30244" s="182"/>
      <c r="AJ30244" s="183"/>
      <c r="AK30244" s="183"/>
      <c r="AL30244" s="183"/>
    </row>
    <row r="30245" spans="1:38">
      <c r="A30245" s="182"/>
      <c r="AJ30245" s="183"/>
    </row>
    <row r="30246" spans="1:38">
      <c r="A30246" s="182"/>
    </row>
    <row r="30247" spans="1:38">
      <c r="A30247" s="182"/>
    </row>
    <row r="30248" spans="1:38">
      <c r="A30248" s="182"/>
    </row>
    <row r="30249" spans="1:38">
      <c r="A30249" s="182"/>
      <c r="N30249" s="183"/>
      <c r="O30249" s="183"/>
      <c r="AK30249" s="183"/>
      <c r="AL30249" s="183"/>
    </row>
    <row r="30250" spans="1:38">
      <c r="A30250" s="182"/>
      <c r="M30250" s="183"/>
      <c r="AJ30250" s="183"/>
      <c r="AK30250" s="183"/>
      <c r="AL30250" s="183"/>
    </row>
    <row r="30251" spans="1:38">
      <c r="A30251" s="182"/>
      <c r="AJ30251" s="183"/>
      <c r="AK30251" s="183"/>
      <c r="AL30251" s="183"/>
    </row>
    <row r="30252" spans="1:38">
      <c r="A30252" s="182"/>
      <c r="AJ30252" s="183"/>
      <c r="AK30252" s="183"/>
      <c r="AL30252" s="183"/>
    </row>
    <row r="30253" spans="1:38">
      <c r="A30253" s="182"/>
      <c r="AJ30253" s="183"/>
      <c r="AK30253" s="183"/>
      <c r="AL30253" s="183"/>
    </row>
    <row r="30254" spans="1:38">
      <c r="A30254" s="182"/>
      <c r="AJ30254" s="183"/>
      <c r="AK30254" s="183"/>
      <c r="AL30254" s="183"/>
    </row>
    <row r="30255" spans="1:38">
      <c r="A30255" s="182"/>
      <c r="AJ30255" s="183"/>
      <c r="AK30255" s="183"/>
      <c r="AL30255" s="183"/>
    </row>
    <row r="30256" spans="1:38">
      <c r="A30256" s="182"/>
      <c r="AJ30256" s="183"/>
      <c r="AK30256" s="183"/>
      <c r="AL30256" s="183"/>
    </row>
    <row r="30257" spans="1:36">
      <c r="A30257" s="182"/>
      <c r="AJ30257" s="183"/>
    </row>
    <row r="30258" spans="1:36">
      <c r="A30258" s="182"/>
    </row>
    <row r="30259" spans="1:36">
      <c r="A30259" s="182"/>
    </row>
    <row r="30260" spans="1:36">
      <c r="A30260" s="182"/>
    </row>
    <row r="30261" spans="1:36">
      <c r="A30261" s="182"/>
    </row>
    <row r="30262" spans="1:36">
      <c r="A30262" s="182"/>
    </row>
    <row r="30263" spans="1:36">
      <c r="A30263" s="182"/>
    </row>
    <row r="30264" spans="1:36">
      <c r="A30264" s="182"/>
    </row>
    <row r="30265" spans="1:36">
      <c r="A30265" s="182"/>
    </row>
    <row r="30266" spans="1:36">
      <c r="A30266" s="182"/>
    </row>
    <row r="30267" spans="1:36">
      <c r="A30267" s="182"/>
    </row>
    <row r="30268" spans="1:36">
      <c r="A30268" s="182"/>
    </row>
    <row r="30269" spans="1:36">
      <c r="A30269" s="182"/>
    </row>
    <row r="30270" spans="1:36">
      <c r="A30270" s="182"/>
    </row>
    <row r="30271" spans="1:36">
      <c r="A30271" s="182"/>
    </row>
    <row r="30272" spans="1:36">
      <c r="A30272" s="182"/>
    </row>
    <row r="30273" spans="1:38">
      <c r="A30273" s="182"/>
    </row>
    <row r="30274" spans="1:38">
      <c r="A30274" s="182"/>
    </row>
    <row r="30275" spans="1:38">
      <c r="A30275" s="182"/>
    </row>
    <row r="30276" spans="1:38">
      <c r="A30276" s="182"/>
    </row>
    <row r="30277" spans="1:38">
      <c r="A30277" s="182"/>
    </row>
    <row r="30278" spans="1:38">
      <c r="A30278" s="182"/>
    </row>
    <row r="30279" spans="1:38">
      <c r="A30279" s="182"/>
    </row>
    <row r="30280" spans="1:38">
      <c r="A30280" s="182"/>
    </row>
    <row r="30281" spans="1:38">
      <c r="A30281" s="182"/>
      <c r="AK30281" s="183"/>
      <c r="AL30281" s="183"/>
    </row>
    <row r="30282" spans="1:38">
      <c r="A30282" s="182"/>
      <c r="AJ30282" s="183"/>
      <c r="AK30282" s="183"/>
      <c r="AL30282" s="183"/>
    </row>
    <row r="30283" spans="1:38">
      <c r="A30283" s="182"/>
      <c r="AJ30283" s="183"/>
      <c r="AK30283" s="183"/>
      <c r="AL30283" s="183"/>
    </row>
    <row r="30284" spans="1:38">
      <c r="A30284" s="182"/>
      <c r="AJ30284" s="183"/>
      <c r="AK30284" s="183"/>
      <c r="AL30284" s="183"/>
    </row>
    <row r="30285" spans="1:38">
      <c r="A30285" s="182"/>
      <c r="AJ30285" s="183"/>
    </row>
    <row r="30286" spans="1:38">
      <c r="A30286" s="182"/>
    </row>
    <row r="30287" spans="1:38">
      <c r="A30287" s="182"/>
    </row>
    <row r="30288" spans="1:38">
      <c r="A30288" s="182"/>
    </row>
    <row r="30289" spans="1:38">
      <c r="A30289" s="182"/>
      <c r="AK30289" s="183"/>
      <c r="AL30289" s="183"/>
    </row>
    <row r="30290" spans="1:38">
      <c r="A30290" s="182"/>
      <c r="AJ30290" s="183"/>
      <c r="AK30290" s="183"/>
      <c r="AL30290" s="183"/>
    </row>
    <row r="30291" spans="1:38">
      <c r="A30291" s="182"/>
      <c r="AJ30291" s="183"/>
      <c r="AK30291" s="183"/>
      <c r="AL30291" s="183"/>
    </row>
    <row r="30292" spans="1:38">
      <c r="A30292" s="182"/>
      <c r="AJ30292" s="183"/>
      <c r="AK30292" s="183"/>
      <c r="AL30292" s="183"/>
    </row>
    <row r="30293" spans="1:38">
      <c r="A30293" s="182"/>
      <c r="AJ30293" s="183"/>
      <c r="AK30293" s="183"/>
      <c r="AL30293" s="183"/>
    </row>
    <row r="30294" spans="1:38">
      <c r="A30294" s="182"/>
      <c r="AJ30294" s="183"/>
      <c r="AK30294" s="183"/>
      <c r="AL30294" s="183"/>
    </row>
    <row r="30295" spans="1:38">
      <c r="A30295" s="182"/>
      <c r="AJ30295" s="183"/>
      <c r="AK30295" s="183"/>
      <c r="AL30295" s="183"/>
    </row>
    <row r="30296" spans="1:38">
      <c r="A30296" s="182"/>
      <c r="AJ30296" s="183"/>
      <c r="AK30296" s="183"/>
      <c r="AL30296" s="183"/>
    </row>
    <row r="30297" spans="1:38">
      <c r="A30297" s="182"/>
      <c r="AJ30297" s="183"/>
    </row>
    <row r="30298" spans="1:38">
      <c r="A30298" s="182"/>
    </row>
    <row r="30299" spans="1:38">
      <c r="A30299" s="182"/>
    </row>
    <row r="30300" spans="1:38">
      <c r="A30300" s="182"/>
    </row>
    <row r="30301" spans="1:38">
      <c r="A30301" s="182"/>
      <c r="AK30301" s="183"/>
      <c r="AL30301" s="183"/>
    </row>
    <row r="30302" spans="1:38">
      <c r="A30302" s="182"/>
      <c r="AJ30302" s="183"/>
      <c r="AK30302" s="183"/>
      <c r="AL30302" s="183"/>
    </row>
    <row r="30303" spans="1:38">
      <c r="A30303" s="182"/>
      <c r="AJ30303" s="183"/>
      <c r="AK30303" s="183"/>
      <c r="AL30303" s="183"/>
    </row>
    <row r="30304" spans="1:38">
      <c r="A30304" s="182"/>
      <c r="AJ30304" s="183"/>
      <c r="AK30304" s="183"/>
      <c r="AL30304" s="183"/>
    </row>
    <row r="30305" spans="1:38">
      <c r="A30305" s="182"/>
      <c r="AJ30305" s="183"/>
    </row>
    <row r="30306" spans="1:38">
      <c r="A30306" s="182"/>
    </row>
    <row r="30307" spans="1:38">
      <c r="A30307" s="182"/>
    </row>
    <row r="30308" spans="1:38">
      <c r="A30308" s="182"/>
    </row>
    <row r="30309" spans="1:38">
      <c r="A30309" s="182"/>
    </row>
    <row r="30310" spans="1:38">
      <c r="A30310" s="182"/>
    </row>
    <row r="30311" spans="1:38">
      <c r="A30311" s="182"/>
    </row>
    <row r="30312" spans="1:38">
      <c r="A30312" s="182"/>
    </row>
    <row r="30313" spans="1:38">
      <c r="A30313" s="182"/>
    </row>
    <row r="30314" spans="1:38">
      <c r="A30314" s="182"/>
    </row>
    <row r="30315" spans="1:38">
      <c r="A30315" s="182"/>
    </row>
    <row r="30316" spans="1:38">
      <c r="A30316" s="182"/>
    </row>
    <row r="30317" spans="1:38">
      <c r="A30317" s="182"/>
      <c r="AK30317" s="183"/>
      <c r="AL30317" s="183"/>
    </row>
    <row r="30318" spans="1:38">
      <c r="A30318" s="182"/>
      <c r="AJ30318" s="183"/>
      <c r="AK30318" s="183"/>
      <c r="AL30318" s="183"/>
    </row>
    <row r="30319" spans="1:38">
      <c r="A30319" s="182"/>
      <c r="AJ30319" s="183"/>
      <c r="AK30319" s="183"/>
      <c r="AL30319" s="183"/>
    </row>
    <row r="30320" spans="1:38">
      <c r="A30320" s="182"/>
      <c r="AJ30320" s="183"/>
      <c r="AK30320" s="183"/>
      <c r="AL30320" s="183"/>
    </row>
    <row r="30321" spans="1:38">
      <c r="A30321" s="182"/>
      <c r="AJ30321" s="183"/>
    </row>
    <row r="30322" spans="1:38">
      <c r="A30322" s="182"/>
    </row>
    <row r="30323" spans="1:38">
      <c r="A30323" s="182"/>
    </row>
    <row r="30324" spans="1:38">
      <c r="A30324" s="182"/>
    </row>
    <row r="30325" spans="1:38">
      <c r="A30325" s="182"/>
    </row>
    <row r="30326" spans="1:38">
      <c r="A30326" s="182"/>
    </row>
    <row r="30327" spans="1:38">
      <c r="A30327" s="182"/>
    </row>
    <row r="30328" spans="1:38">
      <c r="A30328" s="182"/>
    </row>
    <row r="30329" spans="1:38">
      <c r="A30329" s="182"/>
    </row>
    <row r="30330" spans="1:38">
      <c r="A30330" s="182"/>
    </row>
    <row r="30331" spans="1:38">
      <c r="A30331" s="182"/>
    </row>
    <row r="30332" spans="1:38">
      <c r="A30332" s="182"/>
    </row>
    <row r="30333" spans="1:38">
      <c r="A30333" s="182"/>
      <c r="AK30333" s="183"/>
      <c r="AL30333" s="183"/>
    </row>
    <row r="30334" spans="1:38">
      <c r="A30334" s="182"/>
      <c r="AJ30334" s="183"/>
      <c r="AK30334" s="183"/>
      <c r="AL30334" s="183"/>
    </row>
    <row r="30335" spans="1:38">
      <c r="A30335" s="182"/>
      <c r="AJ30335" s="183"/>
      <c r="AK30335" s="183"/>
      <c r="AL30335" s="183"/>
    </row>
    <row r="30336" spans="1:38">
      <c r="A30336" s="182"/>
      <c r="AJ30336" s="183"/>
      <c r="AK30336" s="183"/>
      <c r="AL30336" s="183"/>
    </row>
    <row r="30337" spans="1:36">
      <c r="A30337" s="182"/>
      <c r="AJ30337" s="183"/>
    </row>
    <row r="30338" spans="1:36">
      <c r="A30338" s="182"/>
    </row>
    <row r="30339" spans="1:36">
      <c r="A30339" s="182"/>
    </row>
    <row r="30340" spans="1:36">
      <c r="A30340" s="182"/>
    </row>
    <row r="30341" spans="1:36">
      <c r="A30341" s="182"/>
    </row>
    <row r="30342" spans="1:36">
      <c r="A30342" s="182"/>
    </row>
    <row r="30343" spans="1:36">
      <c r="A30343" s="182"/>
    </row>
    <row r="30344" spans="1:36">
      <c r="A30344" s="182"/>
    </row>
    <row r="30345" spans="1:36">
      <c r="A30345" s="182"/>
    </row>
    <row r="30346" spans="1:36">
      <c r="A30346" s="182"/>
    </row>
    <row r="30347" spans="1:36">
      <c r="A30347" s="182"/>
    </row>
    <row r="30348" spans="1:36">
      <c r="A30348" s="182"/>
    </row>
    <row r="30349" spans="1:36">
      <c r="A30349" s="182"/>
    </row>
    <row r="30350" spans="1:36">
      <c r="A30350" s="182"/>
    </row>
    <row r="30351" spans="1:36">
      <c r="A30351" s="182"/>
    </row>
    <row r="30352" spans="1:36">
      <c r="A30352" s="182"/>
    </row>
    <row r="30353" spans="1:38">
      <c r="A30353" s="182"/>
    </row>
    <row r="30354" spans="1:38">
      <c r="A30354" s="182"/>
    </row>
    <row r="30355" spans="1:38">
      <c r="A30355" s="182"/>
    </row>
    <row r="30356" spans="1:38">
      <c r="A30356" s="182"/>
    </row>
    <row r="30357" spans="1:38">
      <c r="A30357" s="182"/>
      <c r="AK30357" s="183"/>
      <c r="AL30357" s="183"/>
    </row>
    <row r="30358" spans="1:38">
      <c r="A30358" s="182"/>
      <c r="AJ30358" s="183"/>
      <c r="AK30358" s="183"/>
      <c r="AL30358" s="183"/>
    </row>
    <row r="30359" spans="1:38">
      <c r="A30359" s="182"/>
      <c r="AJ30359" s="183"/>
      <c r="AK30359" s="183"/>
      <c r="AL30359" s="183"/>
    </row>
    <row r="30360" spans="1:38">
      <c r="A30360" s="182"/>
      <c r="AJ30360" s="183"/>
      <c r="AK30360" s="183"/>
      <c r="AL30360" s="183"/>
    </row>
    <row r="30361" spans="1:38">
      <c r="A30361" s="182"/>
      <c r="AJ30361" s="183"/>
      <c r="AK30361" s="183"/>
      <c r="AL30361" s="183"/>
    </row>
    <row r="30362" spans="1:38">
      <c r="A30362" s="182"/>
      <c r="AJ30362" s="183"/>
      <c r="AK30362" s="183"/>
      <c r="AL30362" s="183"/>
    </row>
    <row r="30363" spans="1:38">
      <c r="A30363" s="182"/>
      <c r="AJ30363" s="183"/>
      <c r="AK30363" s="183"/>
      <c r="AL30363" s="183"/>
    </row>
    <row r="30364" spans="1:38">
      <c r="A30364" s="182"/>
      <c r="AJ30364" s="183"/>
      <c r="AK30364" s="183"/>
      <c r="AL30364" s="183"/>
    </row>
    <row r="30365" spans="1:38">
      <c r="A30365" s="182"/>
      <c r="AJ30365" s="183"/>
    </row>
    <row r="30366" spans="1:38">
      <c r="A30366" s="182"/>
    </row>
    <row r="30367" spans="1:38">
      <c r="A30367" s="182"/>
    </row>
    <row r="30368" spans="1:38">
      <c r="A30368" s="182"/>
    </row>
    <row r="30369" spans="1:38">
      <c r="A30369" s="182"/>
    </row>
    <row r="30370" spans="1:38">
      <c r="A30370" s="182"/>
    </row>
    <row r="30371" spans="1:38">
      <c r="A30371" s="182"/>
    </row>
    <row r="30372" spans="1:38">
      <c r="A30372" s="182"/>
    </row>
    <row r="30373" spans="1:38">
      <c r="A30373" s="182"/>
    </row>
    <row r="30374" spans="1:38">
      <c r="A30374" s="182"/>
    </row>
    <row r="30375" spans="1:38">
      <c r="A30375" s="182"/>
    </row>
    <row r="30376" spans="1:38">
      <c r="A30376" s="182"/>
    </row>
    <row r="30377" spans="1:38">
      <c r="A30377" s="182"/>
      <c r="AK30377" s="183"/>
      <c r="AL30377" s="183"/>
    </row>
    <row r="30378" spans="1:38">
      <c r="A30378" s="182"/>
      <c r="AJ30378" s="183"/>
      <c r="AK30378" s="183"/>
      <c r="AL30378" s="183"/>
    </row>
    <row r="30379" spans="1:38">
      <c r="A30379" s="182"/>
      <c r="AJ30379" s="183"/>
      <c r="AK30379" s="183"/>
      <c r="AL30379" s="183"/>
    </row>
    <row r="30380" spans="1:38">
      <c r="A30380" s="182"/>
      <c r="AJ30380" s="183"/>
      <c r="AK30380" s="183"/>
      <c r="AL30380" s="183"/>
    </row>
    <row r="30381" spans="1:38">
      <c r="A30381" s="182"/>
      <c r="AJ30381" s="183"/>
    </row>
    <row r="30382" spans="1:38">
      <c r="A30382" s="182"/>
    </row>
    <row r="30383" spans="1:38">
      <c r="A30383" s="182"/>
    </row>
    <row r="30384" spans="1:38">
      <c r="A30384" s="182"/>
    </row>
    <row r="30385" spans="1:38">
      <c r="A30385" s="182"/>
      <c r="AK30385" s="183"/>
      <c r="AL30385" s="183"/>
    </row>
    <row r="30386" spans="1:38">
      <c r="A30386" s="182"/>
      <c r="AJ30386" s="183"/>
      <c r="AK30386" s="183"/>
      <c r="AL30386" s="183"/>
    </row>
    <row r="30387" spans="1:38">
      <c r="A30387" s="182"/>
      <c r="AJ30387" s="183"/>
      <c r="AK30387" s="183"/>
      <c r="AL30387" s="183"/>
    </row>
    <row r="30388" spans="1:38">
      <c r="A30388" s="182"/>
      <c r="AJ30388" s="183"/>
      <c r="AK30388" s="183"/>
      <c r="AL30388" s="183"/>
    </row>
    <row r="30389" spans="1:38">
      <c r="A30389" s="182"/>
      <c r="AJ30389" s="183"/>
    </row>
    <row r="30390" spans="1:38">
      <c r="A30390" s="182"/>
    </row>
    <row r="30391" spans="1:38">
      <c r="A30391" s="182"/>
    </row>
    <row r="30392" spans="1:38">
      <c r="A30392" s="182"/>
    </row>
    <row r="30393" spans="1:38">
      <c r="A30393" s="182"/>
      <c r="AK30393" s="183"/>
      <c r="AL30393" s="183"/>
    </row>
    <row r="30394" spans="1:38">
      <c r="A30394" s="182"/>
      <c r="AJ30394" s="183"/>
      <c r="AK30394" s="183"/>
      <c r="AL30394" s="183"/>
    </row>
    <row r="30395" spans="1:38">
      <c r="A30395" s="182"/>
      <c r="AJ30395" s="183"/>
      <c r="AK30395" s="183"/>
      <c r="AL30395" s="183"/>
    </row>
    <row r="30396" spans="1:38">
      <c r="A30396" s="182"/>
      <c r="AJ30396" s="183"/>
      <c r="AK30396" s="183"/>
      <c r="AL30396" s="183"/>
    </row>
    <row r="30397" spans="1:38">
      <c r="A30397" s="182"/>
      <c r="AJ30397" s="183"/>
      <c r="AK30397" s="183"/>
      <c r="AL30397" s="183"/>
    </row>
    <row r="30398" spans="1:38">
      <c r="A30398" s="182"/>
      <c r="AJ30398" s="183"/>
      <c r="AK30398" s="183"/>
      <c r="AL30398" s="183"/>
    </row>
    <row r="30399" spans="1:38">
      <c r="A30399" s="182"/>
      <c r="AJ30399" s="183"/>
      <c r="AK30399" s="183"/>
      <c r="AL30399" s="183"/>
    </row>
    <row r="30400" spans="1:38">
      <c r="A30400" s="182"/>
      <c r="AJ30400" s="183"/>
      <c r="AK30400" s="183"/>
      <c r="AL30400" s="183"/>
    </row>
    <row r="30401" spans="1:38">
      <c r="A30401" s="182"/>
      <c r="AJ30401" s="183"/>
    </row>
    <row r="30402" spans="1:38">
      <c r="A30402" s="182"/>
    </row>
    <row r="30403" spans="1:38">
      <c r="A30403" s="182"/>
    </row>
    <row r="30404" spans="1:38">
      <c r="A30404" s="182"/>
    </row>
    <row r="30405" spans="1:38">
      <c r="A30405" s="182"/>
      <c r="AK30405" s="183"/>
      <c r="AL30405" s="183"/>
    </row>
    <row r="30406" spans="1:38">
      <c r="A30406" s="182"/>
      <c r="AJ30406" s="183"/>
      <c r="AK30406" s="183"/>
      <c r="AL30406" s="183"/>
    </row>
    <row r="30407" spans="1:38">
      <c r="A30407" s="182"/>
      <c r="AJ30407" s="183"/>
      <c r="AK30407" s="183"/>
      <c r="AL30407" s="183"/>
    </row>
    <row r="30408" spans="1:38">
      <c r="A30408" s="182"/>
      <c r="AJ30408" s="183"/>
      <c r="AK30408" s="183"/>
      <c r="AL30408" s="183"/>
    </row>
    <row r="30409" spans="1:38">
      <c r="A30409" s="182"/>
      <c r="AJ30409" s="183"/>
    </row>
    <row r="30410" spans="1:38">
      <c r="A30410" s="182"/>
    </row>
    <row r="30411" spans="1:38">
      <c r="A30411" s="182"/>
    </row>
    <row r="30412" spans="1:38">
      <c r="A30412" s="182"/>
    </row>
    <row r="30413" spans="1:38">
      <c r="A30413" s="182"/>
    </row>
    <row r="30414" spans="1:38">
      <c r="A30414" s="182"/>
    </row>
    <row r="30415" spans="1:38">
      <c r="A30415" s="182"/>
    </row>
    <row r="30416" spans="1:38">
      <c r="A30416" s="182"/>
    </row>
    <row r="30417" spans="1:1">
      <c r="A30417" s="182"/>
    </row>
    <row r="30418" spans="1:1">
      <c r="A30418" s="182"/>
    </row>
    <row r="30419" spans="1:1">
      <c r="A30419" s="182"/>
    </row>
    <row r="30420" spans="1:1">
      <c r="A30420" s="182"/>
    </row>
    <row r="30421" spans="1:1">
      <c r="A30421" s="182"/>
    </row>
    <row r="30422" spans="1:1">
      <c r="A30422" s="182"/>
    </row>
    <row r="30423" spans="1:1">
      <c r="A30423" s="182"/>
    </row>
    <row r="30424" spans="1:1">
      <c r="A30424" s="182"/>
    </row>
    <row r="30425" spans="1:1">
      <c r="A30425" s="182"/>
    </row>
    <row r="30426" spans="1:1">
      <c r="A30426" s="182"/>
    </row>
    <row r="30427" spans="1:1">
      <c r="A30427" s="182"/>
    </row>
    <row r="30428" spans="1:1">
      <c r="A30428" s="182"/>
    </row>
    <row r="30429" spans="1:1">
      <c r="A30429" s="182"/>
    </row>
    <row r="30430" spans="1:1">
      <c r="A30430" s="182"/>
    </row>
    <row r="30431" spans="1:1">
      <c r="A30431" s="182"/>
    </row>
    <row r="30432" spans="1:1">
      <c r="A30432" s="182"/>
    </row>
    <row r="30433" spans="1:1">
      <c r="A30433" s="182"/>
    </row>
    <row r="30434" spans="1:1">
      <c r="A30434" s="182"/>
    </row>
    <row r="30435" spans="1:1">
      <c r="A30435" s="182"/>
    </row>
    <row r="30436" spans="1:1">
      <c r="A30436" s="182"/>
    </row>
    <row r="30437" spans="1:1">
      <c r="A30437" s="182"/>
    </row>
    <row r="30438" spans="1:1">
      <c r="A30438" s="182"/>
    </row>
    <row r="30439" spans="1:1">
      <c r="A30439" s="182"/>
    </row>
    <row r="30440" spans="1:1">
      <c r="A30440" s="182"/>
    </row>
    <row r="30441" spans="1:1">
      <c r="A30441" s="182"/>
    </row>
    <row r="30442" spans="1:1">
      <c r="A30442" s="182"/>
    </row>
    <row r="30443" spans="1:1">
      <c r="A30443" s="182"/>
    </row>
    <row r="30444" spans="1:1">
      <c r="A30444" s="182"/>
    </row>
    <row r="30445" spans="1:1">
      <c r="A30445" s="182"/>
    </row>
    <row r="30446" spans="1:1">
      <c r="A30446" s="182"/>
    </row>
    <row r="30447" spans="1:1">
      <c r="A30447" s="182"/>
    </row>
    <row r="30448" spans="1:1">
      <c r="A30448" s="182"/>
    </row>
    <row r="30449" spans="1:1">
      <c r="A30449" s="182"/>
    </row>
    <row r="30450" spans="1:1">
      <c r="A30450" s="182"/>
    </row>
    <row r="30451" spans="1:1">
      <c r="A30451" s="182"/>
    </row>
    <row r="30452" spans="1:1">
      <c r="A30452" s="182"/>
    </row>
    <row r="30453" spans="1:1">
      <c r="A30453" s="182"/>
    </row>
    <row r="30454" spans="1:1">
      <c r="A30454" s="182"/>
    </row>
    <row r="30455" spans="1:1">
      <c r="A30455" s="182"/>
    </row>
    <row r="30456" spans="1:1">
      <c r="A30456" s="182"/>
    </row>
    <row r="30457" spans="1:1">
      <c r="A30457" s="182"/>
    </row>
    <row r="30458" spans="1:1">
      <c r="A30458" s="182"/>
    </row>
    <row r="30459" spans="1:1">
      <c r="A30459" s="182"/>
    </row>
    <row r="30460" spans="1:1">
      <c r="A30460" s="182"/>
    </row>
    <row r="30461" spans="1:1">
      <c r="A30461" s="182"/>
    </row>
    <row r="30462" spans="1:1">
      <c r="A30462" s="182"/>
    </row>
    <row r="30463" spans="1:1">
      <c r="A30463" s="182"/>
    </row>
    <row r="30464" spans="1:1">
      <c r="A30464" s="182"/>
    </row>
    <row r="30465" spans="1:1">
      <c r="A30465" s="182"/>
    </row>
    <row r="30466" spans="1:1">
      <c r="A30466" s="182"/>
    </row>
    <row r="30467" spans="1:1">
      <c r="A30467" s="182"/>
    </row>
    <row r="30468" spans="1:1">
      <c r="A30468" s="182"/>
    </row>
    <row r="30469" spans="1:1">
      <c r="A30469" s="182"/>
    </row>
    <row r="30470" spans="1:1">
      <c r="A30470" s="182"/>
    </row>
    <row r="30471" spans="1:1">
      <c r="A30471" s="182"/>
    </row>
    <row r="30472" spans="1:1">
      <c r="A30472" s="182"/>
    </row>
    <row r="30473" spans="1:1">
      <c r="A30473" s="182"/>
    </row>
    <row r="30474" spans="1:1">
      <c r="A30474" s="182"/>
    </row>
    <row r="30475" spans="1:1">
      <c r="A30475" s="182"/>
    </row>
    <row r="30476" spans="1:1">
      <c r="A30476" s="182"/>
    </row>
    <row r="30477" spans="1:1">
      <c r="A30477" s="182"/>
    </row>
    <row r="30478" spans="1:1">
      <c r="A30478" s="182"/>
    </row>
    <row r="30479" spans="1:1">
      <c r="A30479" s="182"/>
    </row>
    <row r="30480" spans="1:1">
      <c r="A30480" s="182"/>
    </row>
    <row r="30481" spans="1:38">
      <c r="A30481" s="182"/>
    </row>
    <row r="30482" spans="1:38">
      <c r="A30482" s="182"/>
    </row>
    <row r="30483" spans="1:38">
      <c r="A30483" s="182"/>
    </row>
    <row r="30484" spans="1:38">
      <c r="A30484" s="182"/>
    </row>
    <row r="30485" spans="1:38">
      <c r="A30485" s="182"/>
    </row>
    <row r="30486" spans="1:38">
      <c r="A30486" s="182"/>
    </row>
    <row r="30487" spans="1:38">
      <c r="A30487" s="182"/>
    </row>
    <row r="30488" spans="1:38">
      <c r="A30488" s="182"/>
    </row>
    <row r="30489" spans="1:38">
      <c r="A30489" s="182"/>
      <c r="AK30489" s="183"/>
      <c r="AL30489" s="183"/>
    </row>
    <row r="30490" spans="1:38">
      <c r="A30490" s="182"/>
      <c r="AJ30490" s="183"/>
      <c r="AK30490" s="183"/>
      <c r="AL30490" s="183"/>
    </row>
    <row r="30491" spans="1:38">
      <c r="A30491" s="182"/>
      <c r="AJ30491" s="183"/>
      <c r="AK30491" s="183"/>
      <c r="AL30491" s="183"/>
    </row>
    <row r="30492" spans="1:38">
      <c r="A30492" s="182"/>
      <c r="AJ30492" s="183"/>
      <c r="AK30492" s="183"/>
      <c r="AL30492" s="183"/>
    </row>
    <row r="30493" spans="1:38">
      <c r="A30493" s="182"/>
      <c r="AJ30493" s="183"/>
      <c r="AK30493" s="183"/>
      <c r="AL30493" s="183"/>
    </row>
    <row r="30494" spans="1:38">
      <c r="A30494" s="182"/>
      <c r="AJ30494" s="183"/>
      <c r="AK30494" s="183"/>
      <c r="AL30494" s="183"/>
    </row>
    <row r="30495" spans="1:38">
      <c r="A30495" s="182"/>
      <c r="AJ30495" s="183"/>
      <c r="AK30495" s="183"/>
      <c r="AL30495" s="183"/>
    </row>
    <row r="30496" spans="1:38">
      <c r="A30496" s="182"/>
      <c r="AJ30496" s="183"/>
      <c r="AK30496" s="183"/>
      <c r="AL30496" s="183"/>
    </row>
    <row r="30497" spans="1:38">
      <c r="A30497" s="182"/>
      <c r="AJ30497" s="183"/>
    </row>
    <row r="30498" spans="1:38">
      <c r="A30498" s="182"/>
    </row>
    <row r="30499" spans="1:38">
      <c r="A30499" s="182"/>
    </row>
    <row r="30500" spans="1:38">
      <c r="A30500" s="182"/>
    </row>
    <row r="30501" spans="1:38">
      <c r="A30501" s="182"/>
    </row>
    <row r="30502" spans="1:38">
      <c r="A30502" s="182"/>
    </row>
    <row r="30503" spans="1:38">
      <c r="A30503" s="182"/>
    </row>
    <row r="30504" spans="1:38">
      <c r="A30504" s="182"/>
    </row>
    <row r="30505" spans="1:38">
      <c r="A30505" s="182"/>
      <c r="AK30505" s="183"/>
      <c r="AL30505" s="183"/>
    </row>
    <row r="30506" spans="1:38">
      <c r="A30506" s="182"/>
      <c r="AJ30506" s="183"/>
      <c r="AK30506" s="183"/>
      <c r="AL30506" s="183"/>
    </row>
    <row r="30507" spans="1:38">
      <c r="A30507" s="182"/>
      <c r="AJ30507" s="183"/>
      <c r="AK30507" s="183"/>
      <c r="AL30507" s="183"/>
    </row>
    <row r="30508" spans="1:38">
      <c r="A30508" s="182"/>
      <c r="AJ30508" s="183"/>
      <c r="AK30508" s="183"/>
      <c r="AL30508" s="183"/>
    </row>
    <row r="30509" spans="1:38">
      <c r="A30509" s="182"/>
      <c r="AJ30509" s="183"/>
      <c r="AK30509" s="183"/>
      <c r="AL30509" s="183"/>
    </row>
    <row r="30510" spans="1:38">
      <c r="A30510" s="182"/>
      <c r="AJ30510" s="183"/>
      <c r="AK30510" s="183"/>
      <c r="AL30510" s="183"/>
    </row>
    <row r="30511" spans="1:38">
      <c r="A30511" s="182"/>
      <c r="AJ30511" s="183"/>
      <c r="AK30511" s="183"/>
      <c r="AL30511" s="183"/>
    </row>
    <row r="30512" spans="1:38">
      <c r="A30512" s="182"/>
      <c r="AJ30512" s="183"/>
      <c r="AK30512" s="183"/>
      <c r="AL30512" s="183"/>
    </row>
    <row r="30513" spans="1:38">
      <c r="A30513" s="182"/>
      <c r="AJ30513" s="183"/>
    </row>
    <row r="30514" spans="1:38">
      <c r="A30514" s="182"/>
    </row>
    <row r="30515" spans="1:38">
      <c r="A30515" s="182"/>
    </row>
    <row r="30516" spans="1:38">
      <c r="A30516" s="182"/>
    </row>
    <row r="30517" spans="1:38">
      <c r="A30517" s="182"/>
      <c r="AK30517" s="183"/>
      <c r="AL30517" s="183"/>
    </row>
    <row r="30518" spans="1:38">
      <c r="A30518" s="182"/>
      <c r="AJ30518" s="183"/>
      <c r="AK30518" s="183"/>
      <c r="AL30518" s="183"/>
    </row>
    <row r="30519" spans="1:38">
      <c r="A30519" s="182"/>
      <c r="AJ30519" s="183"/>
      <c r="AK30519" s="183"/>
      <c r="AL30519" s="183"/>
    </row>
    <row r="30520" spans="1:38">
      <c r="A30520" s="182"/>
      <c r="AJ30520" s="183"/>
      <c r="AK30520" s="183"/>
      <c r="AL30520" s="183"/>
    </row>
    <row r="30521" spans="1:38">
      <c r="A30521" s="182"/>
      <c r="AJ30521" s="183"/>
    </row>
    <row r="30522" spans="1:38">
      <c r="A30522" s="182"/>
    </row>
    <row r="30523" spans="1:38">
      <c r="A30523" s="182"/>
    </row>
    <row r="30524" spans="1:38">
      <c r="A30524" s="182"/>
    </row>
    <row r="30525" spans="1:38">
      <c r="A30525" s="182"/>
      <c r="AK30525" s="183"/>
      <c r="AL30525" s="183"/>
    </row>
    <row r="30526" spans="1:38">
      <c r="A30526" s="182"/>
      <c r="AJ30526" s="183"/>
      <c r="AK30526" s="183"/>
      <c r="AL30526" s="183"/>
    </row>
    <row r="30527" spans="1:38">
      <c r="A30527" s="182"/>
      <c r="AJ30527" s="183"/>
      <c r="AK30527" s="183"/>
      <c r="AL30527" s="183"/>
    </row>
    <row r="30528" spans="1:38">
      <c r="A30528" s="182"/>
      <c r="AJ30528" s="183"/>
      <c r="AK30528" s="183"/>
      <c r="AL30528" s="183"/>
    </row>
    <row r="30529" spans="1:38">
      <c r="A30529" s="182"/>
      <c r="AJ30529" s="183"/>
    </row>
    <row r="30530" spans="1:38">
      <c r="A30530" s="182"/>
      <c r="M30530" s="183"/>
      <c r="N30530" s="183"/>
    </row>
    <row r="30531" spans="1:38">
      <c r="A30531" s="182"/>
      <c r="L30531" s="183"/>
    </row>
    <row r="30532" spans="1:38">
      <c r="A30532" s="182"/>
    </row>
    <row r="30533" spans="1:38">
      <c r="A30533" s="182"/>
      <c r="AK30533" s="183"/>
      <c r="AL30533" s="183"/>
    </row>
    <row r="30534" spans="1:38">
      <c r="A30534" s="182"/>
      <c r="M30534" s="183"/>
      <c r="N30534" s="183"/>
      <c r="AJ30534" s="183"/>
      <c r="AK30534" s="183"/>
      <c r="AL30534" s="183"/>
    </row>
    <row r="30535" spans="1:38">
      <c r="A30535" s="182"/>
      <c r="L30535" s="183"/>
      <c r="AJ30535" s="183"/>
      <c r="AK30535" s="183"/>
      <c r="AL30535" s="183"/>
    </row>
    <row r="30536" spans="1:38">
      <c r="A30536" s="182"/>
      <c r="AJ30536" s="183"/>
      <c r="AK30536" s="183"/>
      <c r="AL30536" s="183"/>
    </row>
    <row r="30537" spans="1:38">
      <c r="A30537" s="182"/>
      <c r="AJ30537" s="183"/>
    </row>
    <row r="30538" spans="1:38">
      <c r="A30538" s="182"/>
    </row>
    <row r="30539" spans="1:38">
      <c r="A30539" s="182"/>
    </row>
    <row r="30540" spans="1:38">
      <c r="A30540" s="182"/>
      <c r="M30540" s="183"/>
      <c r="N30540" s="183"/>
    </row>
    <row r="30541" spans="1:38">
      <c r="A30541" s="182"/>
      <c r="L30541" s="183"/>
    </row>
    <row r="30542" spans="1:38">
      <c r="A30542" s="182"/>
      <c r="M30542" s="183"/>
      <c r="N30542" s="183"/>
    </row>
    <row r="30543" spans="1:38">
      <c r="A30543" s="182"/>
      <c r="L30543" s="183"/>
    </row>
    <row r="30544" spans="1:38">
      <c r="A30544" s="182"/>
    </row>
    <row r="30545" spans="1:38">
      <c r="A30545" s="182"/>
    </row>
    <row r="30546" spans="1:38">
      <c r="A30546" s="182"/>
    </row>
    <row r="30547" spans="1:38">
      <c r="A30547" s="182"/>
    </row>
    <row r="30548" spans="1:38">
      <c r="A30548" s="182"/>
    </row>
    <row r="30549" spans="1:38">
      <c r="A30549" s="182"/>
      <c r="AK30549" s="183"/>
      <c r="AL30549" s="183"/>
    </row>
    <row r="30550" spans="1:38">
      <c r="A30550" s="182"/>
      <c r="AJ30550" s="183"/>
      <c r="AK30550" s="183"/>
      <c r="AL30550" s="183"/>
    </row>
    <row r="30551" spans="1:38">
      <c r="A30551" s="182"/>
      <c r="AJ30551" s="183"/>
      <c r="AK30551" s="183"/>
      <c r="AL30551" s="183"/>
    </row>
    <row r="30552" spans="1:38">
      <c r="A30552" s="182"/>
      <c r="AJ30552" s="183"/>
      <c r="AK30552" s="183"/>
      <c r="AL30552" s="183"/>
    </row>
    <row r="30553" spans="1:38">
      <c r="A30553" s="182"/>
      <c r="AJ30553" s="183"/>
    </row>
    <row r="30554" spans="1:38">
      <c r="A30554" s="182"/>
    </row>
    <row r="30555" spans="1:38">
      <c r="A30555" s="182"/>
    </row>
    <row r="30556" spans="1:38">
      <c r="A30556" s="182"/>
    </row>
    <row r="30557" spans="1:38">
      <c r="A30557" s="182"/>
      <c r="AK30557" s="183"/>
      <c r="AL30557" s="183"/>
    </row>
    <row r="30558" spans="1:38">
      <c r="A30558" s="182"/>
      <c r="AJ30558" s="183"/>
      <c r="AK30558" s="183"/>
      <c r="AL30558" s="183"/>
    </row>
    <row r="30559" spans="1:38">
      <c r="A30559" s="182"/>
      <c r="AJ30559" s="183"/>
      <c r="AK30559" s="183"/>
      <c r="AL30559" s="183"/>
    </row>
    <row r="30560" spans="1:38">
      <c r="A30560" s="182"/>
      <c r="AJ30560" s="183"/>
      <c r="AK30560" s="183"/>
      <c r="AL30560" s="183"/>
    </row>
    <row r="30561" spans="1:38">
      <c r="A30561" s="182"/>
      <c r="AJ30561" s="183"/>
    </row>
    <row r="30562" spans="1:38">
      <c r="A30562" s="182"/>
    </row>
    <row r="30563" spans="1:38">
      <c r="A30563" s="182"/>
    </row>
    <row r="30564" spans="1:38">
      <c r="A30564" s="182"/>
    </row>
    <row r="30565" spans="1:38">
      <c r="A30565" s="182"/>
    </row>
    <row r="30566" spans="1:38">
      <c r="A30566" s="182"/>
    </row>
    <row r="30567" spans="1:38">
      <c r="A30567" s="182"/>
    </row>
    <row r="30568" spans="1:38">
      <c r="A30568" s="182"/>
    </row>
    <row r="30569" spans="1:38">
      <c r="A30569" s="182"/>
    </row>
    <row r="30570" spans="1:38">
      <c r="A30570" s="182"/>
    </row>
    <row r="30571" spans="1:38">
      <c r="A30571" s="182"/>
    </row>
    <row r="30572" spans="1:38">
      <c r="A30572" s="182"/>
    </row>
    <row r="30573" spans="1:38">
      <c r="A30573" s="182"/>
      <c r="AK30573" s="183"/>
      <c r="AL30573" s="183"/>
    </row>
    <row r="30574" spans="1:38">
      <c r="A30574" s="182"/>
      <c r="AJ30574" s="183"/>
      <c r="AK30574" s="183"/>
      <c r="AL30574" s="183"/>
    </row>
    <row r="30575" spans="1:38">
      <c r="A30575" s="182"/>
      <c r="AJ30575" s="183"/>
      <c r="AK30575" s="183"/>
      <c r="AL30575" s="183"/>
    </row>
    <row r="30576" spans="1:38">
      <c r="A30576" s="182"/>
      <c r="AJ30576" s="183"/>
      <c r="AK30576" s="183"/>
      <c r="AL30576" s="183"/>
    </row>
    <row r="30577" spans="1:38">
      <c r="A30577" s="182"/>
      <c r="AJ30577" s="183"/>
      <c r="AK30577" s="183"/>
      <c r="AL30577" s="183"/>
    </row>
    <row r="30578" spans="1:38">
      <c r="A30578" s="182"/>
      <c r="AJ30578" s="183"/>
      <c r="AK30578" s="183"/>
      <c r="AL30578" s="183"/>
    </row>
    <row r="30579" spans="1:38">
      <c r="A30579" s="182"/>
      <c r="AJ30579" s="183"/>
      <c r="AK30579" s="183"/>
      <c r="AL30579" s="183"/>
    </row>
    <row r="30580" spans="1:38">
      <c r="A30580" s="182"/>
      <c r="AJ30580" s="183"/>
      <c r="AK30580" s="183"/>
      <c r="AL30580" s="183"/>
    </row>
    <row r="30581" spans="1:38">
      <c r="A30581" s="182"/>
      <c r="AJ30581" s="183"/>
    </row>
    <row r="30582" spans="1:38">
      <c r="A30582" s="182"/>
    </row>
    <row r="30583" spans="1:38">
      <c r="A30583" s="182"/>
    </row>
    <row r="30584" spans="1:38">
      <c r="A30584" s="182"/>
    </row>
    <row r="30585" spans="1:38">
      <c r="A30585" s="182"/>
    </row>
    <row r="30586" spans="1:38">
      <c r="A30586" s="182"/>
    </row>
    <row r="30587" spans="1:38">
      <c r="A30587" s="182"/>
    </row>
    <row r="30588" spans="1:38">
      <c r="A30588" s="182"/>
    </row>
    <row r="30589" spans="1:38">
      <c r="A30589" s="182"/>
    </row>
    <row r="30590" spans="1:38">
      <c r="A30590" s="182"/>
    </row>
    <row r="30591" spans="1:38">
      <c r="A30591" s="182"/>
    </row>
    <row r="30592" spans="1:38">
      <c r="A30592" s="182"/>
    </row>
    <row r="30593" spans="1:38">
      <c r="A30593" s="182"/>
      <c r="AK30593" s="183"/>
      <c r="AL30593" s="183"/>
    </row>
    <row r="30594" spans="1:38">
      <c r="A30594" s="182"/>
      <c r="AJ30594" s="183"/>
      <c r="AK30594" s="183"/>
      <c r="AL30594" s="183"/>
    </row>
    <row r="30595" spans="1:38">
      <c r="A30595" s="182"/>
      <c r="AJ30595" s="183"/>
      <c r="AK30595" s="183"/>
      <c r="AL30595" s="183"/>
    </row>
    <row r="30596" spans="1:38">
      <c r="A30596" s="182"/>
      <c r="AJ30596" s="183"/>
      <c r="AK30596" s="183"/>
      <c r="AL30596" s="183"/>
    </row>
    <row r="30597" spans="1:38">
      <c r="A30597" s="182"/>
      <c r="AJ30597" s="183"/>
      <c r="AK30597" s="183"/>
      <c r="AL30597" s="183"/>
    </row>
    <row r="30598" spans="1:38">
      <c r="A30598" s="182"/>
      <c r="AJ30598" s="183"/>
      <c r="AK30598" s="183"/>
      <c r="AL30598" s="183"/>
    </row>
    <row r="30599" spans="1:38">
      <c r="A30599" s="182"/>
      <c r="AJ30599" s="183"/>
      <c r="AK30599" s="183"/>
      <c r="AL30599" s="183"/>
    </row>
    <row r="30600" spans="1:38">
      <c r="A30600" s="182"/>
      <c r="AJ30600" s="183"/>
      <c r="AK30600" s="183"/>
      <c r="AL30600" s="183"/>
    </row>
    <row r="30601" spans="1:38">
      <c r="A30601" s="182"/>
      <c r="AJ30601" s="183"/>
    </row>
    <row r="30602" spans="1:38">
      <c r="A30602" s="182"/>
    </row>
    <row r="30603" spans="1:38">
      <c r="A30603" s="182"/>
    </row>
    <row r="30604" spans="1:38">
      <c r="A30604" s="182"/>
    </row>
    <row r="30605" spans="1:38">
      <c r="A30605" s="182"/>
    </row>
    <row r="30606" spans="1:38">
      <c r="A30606" s="182"/>
    </row>
    <row r="30607" spans="1:38">
      <c r="A30607" s="182"/>
    </row>
    <row r="30608" spans="1:38">
      <c r="A30608" s="182"/>
    </row>
    <row r="30609" spans="1:38">
      <c r="A30609" s="182"/>
    </row>
    <row r="30610" spans="1:38">
      <c r="A30610" s="182"/>
    </row>
    <row r="30611" spans="1:38">
      <c r="A30611" s="182"/>
    </row>
    <row r="30612" spans="1:38">
      <c r="A30612" s="182"/>
    </row>
    <row r="30613" spans="1:38">
      <c r="A30613" s="182"/>
    </row>
    <row r="30614" spans="1:38">
      <c r="A30614" s="182"/>
    </row>
    <row r="30615" spans="1:38">
      <c r="A30615" s="182"/>
    </row>
    <row r="30616" spans="1:38">
      <c r="A30616" s="182"/>
    </row>
    <row r="30617" spans="1:38">
      <c r="A30617" s="182"/>
      <c r="M30617" s="183"/>
      <c r="N30617" s="183"/>
      <c r="O30617" s="183"/>
      <c r="AK30617" s="183"/>
      <c r="AL30617" s="183"/>
    </row>
    <row r="30618" spans="1:38">
      <c r="A30618" s="182"/>
      <c r="L30618" s="183"/>
      <c r="M30618" s="183"/>
      <c r="N30618" s="183"/>
      <c r="AJ30618" s="183"/>
      <c r="AK30618" s="183"/>
      <c r="AL30618" s="183"/>
    </row>
    <row r="30619" spans="1:38">
      <c r="A30619" s="182"/>
      <c r="L30619" s="183"/>
      <c r="AJ30619" s="183"/>
      <c r="AK30619" s="183"/>
      <c r="AL30619" s="183"/>
    </row>
    <row r="30620" spans="1:38">
      <c r="A30620" s="182"/>
      <c r="AJ30620" s="183"/>
      <c r="AK30620" s="183"/>
      <c r="AL30620" s="183"/>
    </row>
    <row r="30621" spans="1:38">
      <c r="A30621" s="182"/>
      <c r="M30621" s="183"/>
      <c r="N30621" s="183"/>
      <c r="AJ30621" s="183"/>
    </row>
    <row r="30622" spans="1:38">
      <c r="A30622" s="182"/>
      <c r="L30622" s="183"/>
    </row>
    <row r="30623" spans="1:38">
      <c r="A30623" s="182"/>
    </row>
    <row r="30624" spans="1:38">
      <c r="A30624" s="182"/>
      <c r="M30624" s="183"/>
      <c r="N30624" s="183"/>
      <c r="O30624" s="183"/>
    </row>
    <row r="30625" spans="1:38">
      <c r="A30625" s="182"/>
      <c r="L30625" s="183"/>
      <c r="M30625" s="183"/>
    </row>
    <row r="30626" spans="1:38">
      <c r="A30626" s="182"/>
    </row>
    <row r="30627" spans="1:38">
      <c r="A30627" s="182"/>
    </row>
    <row r="30628" spans="1:38">
      <c r="A30628" s="182"/>
    </row>
    <row r="30629" spans="1:38">
      <c r="A30629" s="182"/>
    </row>
    <row r="30630" spans="1:38">
      <c r="A30630" s="182"/>
    </row>
    <row r="30631" spans="1:38">
      <c r="A30631" s="182"/>
    </row>
    <row r="30632" spans="1:38">
      <c r="A30632" s="182"/>
    </row>
    <row r="30633" spans="1:38">
      <c r="A30633" s="182"/>
    </row>
    <row r="30634" spans="1:38">
      <c r="A30634" s="182"/>
    </row>
    <row r="30635" spans="1:38">
      <c r="A30635" s="182"/>
    </row>
    <row r="30636" spans="1:38">
      <c r="A30636" s="182"/>
    </row>
    <row r="30637" spans="1:38">
      <c r="A30637" s="182"/>
      <c r="AK30637" s="183"/>
      <c r="AL30637" s="183"/>
    </row>
    <row r="30638" spans="1:38">
      <c r="A30638" s="182"/>
      <c r="AJ30638" s="183"/>
      <c r="AK30638" s="183"/>
      <c r="AL30638" s="183"/>
    </row>
    <row r="30639" spans="1:38">
      <c r="A30639" s="182"/>
      <c r="AJ30639" s="183"/>
      <c r="AK30639" s="183"/>
      <c r="AL30639" s="183"/>
    </row>
    <row r="30640" spans="1:38">
      <c r="A30640" s="182"/>
      <c r="AJ30640" s="183"/>
      <c r="AK30640" s="183"/>
      <c r="AL30640" s="183"/>
    </row>
    <row r="30641" spans="1:38">
      <c r="A30641" s="182"/>
      <c r="AJ30641" s="183"/>
      <c r="AK30641" s="183"/>
      <c r="AL30641" s="183"/>
    </row>
    <row r="30642" spans="1:38">
      <c r="A30642" s="182"/>
      <c r="AJ30642" s="183"/>
      <c r="AK30642" s="183"/>
      <c r="AL30642" s="183"/>
    </row>
    <row r="30643" spans="1:38">
      <c r="A30643" s="182"/>
      <c r="AJ30643" s="183"/>
      <c r="AK30643" s="183"/>
      <c r="AL30643" s="183"/>
    </row>
    <row r="30644" spans="1:38">
      <c r="A30644" s="182"/>
      <c r="AJ30644" s="183"/>
      <c r="AK30644" s="183"/>
      <c r="AL30644" s="183"/>
    </row>
    <row r="30645" spans="1:38">
      <c r="A30645" s="182"/>
      <c r="AJ30645" s="183"/>
    </row>
    <row r="30646" spans="1:38">
      <c r="A30646" s="182"/>
    </row>
    <row r="30647" spans="1:38">
      <c r="A30647" s="182"/>
    </row>
    <row r="30648" spans="1:38">
      <c r="A30648" s="182"/>
    </row>
    <row r="30649" spans="1:38">
      <c r="A30649" s="182"/>
    </row>
    <row r="30650" spans="1:38">
      <c r="A30650" s="182"/>
    </row>
    <row r="30651" spans="1:38">
      <c r="A30651" s="182"/>
    </row>
    <row r="30652" spans="1:38">
      <c r="A30652" s="182"/>
    </row>
    <row r="30653" spans="1:38">
      <c r="A30653" s="182"/>
    </row>
    <row r="30654" spans="1:38">
      <c r="A30654" s="182"/>
    </row>
    <row r="30655" spans="1:38">
      <c r="A30655" s="182"/>
    </row>
    <row r="30656" spans="1:38">
      <c r="A30656" s="182"/>
    </row>
    <row r="30657" spans="1:38">
      <c r="A30657" s="182"/>
    </row>
    <row r="30658" spans="1:38">
      <c r="A30658" s="182"/>
    </row>
    <row r="30659" spans="1:38">
      <c r="A30659" s="182"/>
    </row>
    <row r="30660" spans="1:38">
      <c r="A30660" s="182"/>
    </row>
    <row r="30661" spans="1:38">
      <c r="A30661" s="182"/>
      <c r="AK30661" s="183"/>
      <c r="AL30661" s="183"/>
    </row>
    <row r="30662" spans="1:38">
      <c r="A30662" s="182"/>
      <c r="AJ30662" s="183"/>
      <c r="AK30662" s="183"/>
      <c r="AL30662" s="183"/>
    </row>
    <row r="30663" spans="1:38">
      <c r="A30663" s="182"/>
      <c r="AJ30663" s="183"/>
      <c r="AK30663" s="183"/>
      <c r="AL30663" s="183"/>
    </row>
    <row r="30664" spans="1:38">
      <c r="A30664" s="182"/>
      <c r="AJ30664" s="183"/>
      <c r="AK30664" s="183"/>
      <c r="AL30664" s="183"/>
    </row>
    <row r="30665" spans="1:38">
      <c r="A30665" s="182"/>
      <c r="AJ30665" s="183"/>
      <c r="AK30665" s="183"/>
      <c r="AL30665" s="183"/>
    </row>
    <row r="30666" spans="1:38">
      <c r="A30666" s="182"/>
      <c r="AJ30666" s="183"/>
      <c r="AK30666" s="183"/>
      <c r="AL30666" s="183"/>
    </row>
    <row r="30667" spans="1:38">
      <c r="A30667" s="182"/>
      <c r="AJ30667" s="183"/>
      <c r="AK30667" s="183"/>
      <c r="AL30667" s="183"/>
    </row>
    <row r="30668" spans="1:38">
      <c r="A30668" s="182"/>
      <c r="AJ30668" s="183"/>
      <c r="AK30668" s="183"/>
      <c r="AL30668" s="183"/>
    </row>
    <row r="30669" spans="1:38">
      <c r="A30669" s="182"/>
      <c r="AJ30669" s="183"/>
      <c r="AK30669" s="183"/>
      <c r="AL30669" s="183"/>
    </row>
    <row r="30670" spans="1:38">
      <c r="A30670" s="182"/>
      <c r="AJ30670" s="183"/>
      <c r="AK30670" s="183"/>
      <c r="AL30670" s="183"/>
    </row>
    <row r="30671" spans="1:38">
      <c r="A30671" s="182"/>
      <c r="AJ30671" s="183"/>
      <c r="AK30671" s="183"/>
      <c r="AL30671" s="183"/>
    </row>
    <row r="30672" spans="1:38">
      <c r="A30672" s="182"/>
      <c r="AJ30672" s="183"/>
      <c r="AK30672" s="183"/>
      <c r="AL30672" s="183"/>
    </row>
    <row r="30673" spans="1:38">
      <c r="A30673" s="182"/>
      <c r="AJ30673" s="183"/>
    </row>
    <row r="30674" spans="1:38">
      <c r="A30674" s="182"/>
    </row>
    <row r="30675" spans="1:38">
      <c r="A30675" s="182"/>
    </row>
    <row r="30676" spans="1:38">
      <c r="A30676" s="182"/>
    </row>
    <row r="30677" spans="1:38">
      <c r="A30677" s="182"/>
    </row>
    <row r="30678" spans="1:38">
      <c r="A30678" s="182"/>
    </row>
    <row r="30679" spans="1:38">
      <c r="A30679" s="182"/>
    </row>
    <row r="30680" spans="1:38">
      <c r="A30680" s="182"/>
    </row>
    <row r="30681" spans="1:38">
      <c r="A30681" s="182"/>
      <c r="AK30681" s="183"/>
      <c r="AL30681" s="183"/>
    </row>
    <row r="30682" spans="1:38">
      <c r="A30682" s="182"/>
      <c r="AJ30682" s="183"/>
      <c r="AK30682" s="183"/>
      <c r="AL30682" s="183"/>
    </row>
    <row r="30683" spans="1:38">
      <c r="A30683" s="182"/>
      <c r="AJ30683" s="183"/>
      <c r="AK30683" s="183"/>
      <c r="AL30683" s="183"/>
    </row>
    <row r="30684" spans="1:38">
      <c r="A30684" s="182"/>
      <c r="AJ30684" s="183"/>
      <c r="AK30684" s="183"/>
      <c r="AL30684" s="183"/>
    </row>
    <row r="30685" spans="1:38">
      <c r="A30685" s="182"/>
      <c r="AJ30685" s="183"/>
    </row>
    <row r="30686" spans="1:38">
      <c r="A30686" s="182"/>
    </row>
    <row r="30687" spans="1:38">
      <c r="A30687" s="182"/>
    </row>
    <row r="30688" spans="1:38">
      <c r="A30688" s="182"/>
    </row>
    <row r="30689" spans="1:38">
      <c r="A30689" s="182"/>
    </row>
    <row r="30690" spans="1:38">
      <c r="A30690" s="182"/>
    </row>
    <row r="30691" spans="1:38">
      <c r="A30691" s="182"/>
    </row>
    <row r="30692" spans="1:38">
      <c r="A30692" s="182"/>
    </row>
    <row r="30693" spans="1:38">
      <c r="A30693" s="182"/>
      <c r="AK30693" s="183"/>
      <c r="AL30693" s="183"/>
    </row>
    <row r="30694" spans="1:38">
      <c r="A30694" s="182"/>
      <c r="AJ30694" s="183"/>
      <c r="AK30694" s="183"/>
      <c r="AL30694" s="183"/>
    </row>
    <row r="30695" spans="1:38">
      <c r="A30695" s="182"/>
      <c r="AJ30695" s="183"/>
      <c r="AK30695" s="183"/>
      <c r="AL30695" s="183"/>
    </row>
    <row r="30696" spans="1:38">
      <c r="A30696" s="182"/>
      <c r="AJ30696" s="183"/>
      <c r="AK30696" s="183"/>
      <c r="AL30696" s="183"/>
    </row>
    <row r="30697" spans="1:38">
      <c r="A30697" s="182"/>
      <c r="AJ30697" s="183"/>
    </row>
    <row r="30698" spans="1:38">
      <c r="A30698" s="182"/>
    </row>
    <row r="30699" spans="1:38">
      <c r="A30699" s="182"/>
    </row>
    <row r="30700" spans="1:38">
      <c r="A30700" s="182"/>
    </row>
    <row r="30701" spans="1:38">
      <c r="A30701" s="182"/>
    </row>
    <row r="30702" spans="1:38">
      <c r="A30702" s="182"/>
    </row>
    <row r="30703" spans="1:38">
      <c r="A30703" s="182"/>
    </row>
    <row r="30704" spans="1:38">
      <c r="A30704" s="182"/>
    </row>
    <row r="30705" spans="1:38">
      <c r="A30705" s="182"/>
      <c r="AK30705" s="183"/>
      <c r="AL30705" s="183"/>
    </row>
    <row r="30706" spans="1:38">
      <c r="A30706" s="182"/>
      <c r="AJ30706" s="183"/>
      <c r="AK30706" s="183"/>
      <c r="AL30706" s="183"/>
    </row>
    <row r="30707" spans="1:38">
      <c r="A30707" s="182"/>
      <c r="AJ30707" s="183"/>
      <c r="AK30707" s="183"/>
      <c r="AL30707" s="183"/>
    </row>
    <row r="30708" spans="1:38">
      <c r="A30708" s="182"/>
      <c r="AJ30708" s="183"/>
      <c r="AK30708" s="183"/>
      <c r="AL30708" s="183"/>
    </row>
    <row r="30709" spans="1:38">
      <c r="A30709" s="182"/>
      <c r="AJ30709" s="183"/>
      <c r="AK30709" s="183"/>
      <c r="AL30709" s="183"/>
    </row>
    <row r="30710" spans="1:38">
      <c r="A30710" s="182"/>
      <c r="AJ30710" s="183"/>
      <c r="AK30710" s="183"/>
      <c r="AL30710" s="183"/>
    </row>
    <row r="30711" spans="1:38">
      <c r="A30711" s="182"/>
      <c r="AJ30711" s="183"/>
      <c r="AK30711" s="183"/>
      <c r="AL30711" s="183"/>
    </row>
    <row r="30712" spans="1:38">
      <c r="A30712" s="182"/>
      <c r="N30712" s="183"/>
      <c r="O30712" s="183"/>
      <c r="AJ30712" s="183"/>
      <c r="AK30712" s="183"/>
      <c r="AL30712" s="183"/>
    </row>
    <row r="30713" spans="1:38">
      <c r="A30713" s="182"/>
      <c r="M30713" s="183"/>
      <c r="AJ30713" s="183"/>
    </row>
    <row r="30714" spans="1:38">
      <c r="A30714" s="182"/>
    </row>
    <row r="30715" spans="1:38">
      <c r="A30715" s="182"/>
    </row>
    <row r="30716" spans="1:38">
      <c r="A30716" s="182"/>
    </row>
    <row r="30717" spans="1:38">
      <c r="A30717" s="182"/>
      <c r="AK30717" s="183"/>
      <c r="AL30717" s="183"/>
    </row>
    <row r="30718" spans="1:38">
      <c r="A30718" s="182"/>
      <c r="AJ30718" s="183"/>
      <c r="AK30718" s="183"/>
      <c r="AL30718" s="183"/>
    </row>
    <row r="30719" spans="1:38">
      <c r="A30719" s="182"/>
      <c r="AJ30719" s="183"/>
      <c r="AK30719" s="183"/>
      <c r="AL30719" s="183"/>
    </row>
    <row r="30720" spans="1:38">
      <c r="A30720" s="182"/>
      <c r="AJ30720" s="183"/>
      <c r="AK30720" s="183"/>
      <c r="AL30720" s="183"/>
    </row>
    <row r="30721" spans="1:38">
      <c r="A30721" s="182"/>
      <c r="AJ30721" s="183"/>
    </row>
    <row r="30722" spans="1:38">
      <c r="A30722" s="182"/>
    </row>
    <row r="30723" spans="1:38">
      <c r="A30723" s="182"/>
    </row>
    <row r="30724" spans="1:38">
      <c r="A30724" s="182"/>
    </row>
    <row r="30725" spans="1:38">
      <c r="A30725" s="182"/>
    </row>
    <row r="30726" spans="1:38">
      <c r="A30726" s="182"/>
    </row>
    <row r="30727" spans="1:38">
      <c r="A30727" s="182"/>
    </row>
    <row r="30728" spans="1:38">
      <c r="A30728" s="182"/>
    </row>
    <row r="30729" spans="1:38">
      <c r="A30729" s="182"/>
      <c r="AK30729" s="183"/>
      <c r="AL30729" s="183"/>
    </row>
    <row r="30730" spans="1:38">
      <c r="A30730" s="182"/>
      <c r="AJ30730" s="183"/>
      <c r="AK30730" s="183"/>
      <c r="AL30730" s="183"/>
    </row>
    <row r="30731" spans="1:38">
      <c r="A30731" s="182"/>
      <c r="AJ30731" s="183"/>
      <c r="AK30731" s="183"/>
      <c r="AL30731" s="183"/>
    </row>
    <row r="30732" spans="1:38">
      <c r="A30732" s="182"/>
      <c r="AJ30732" s="183"/>
      <c r="AK30732" s="183"/>
      <c r="AL30732" s="183"/>
    </row>
    <row r="30733" spans="1:38">
      <c r="A30733" s="182"/>
      <c r="AJ30733" s="183"/>
    </row>
    <row r="30734" spans="1:38">
      <c r="A30734" s="182"/>
    </row>
    <row r="30735" spans="1:38">
      <c r="A30735" s="182"/>
    </row>
    <row r="30736" spans="1:38">
      <c r="A30736" s="182"/>
    </row>
    <row r="30737" spans="1:38">
      <c r="A30737" s="182"/>
      <c r="AK30737" s="183"/>
      <c r="AL30737" s="183"/>
    </row>
    <row r="30738" spans="1:38">
      <c r="A30738" s="182"/>
      <c r="AJ30738" s="183"/>
      <c r="AK30738" s="183"/>
      <c r="AL30738" s="183"/>
    </row>
    <row r="30739" spans="1:38">
      <c r="A30739" s="182"/>
      <c r="AJ30739" s="183"/>
      <c r="AK30739" s="183"/>
      <c r="AL30739" s="183"/>
    </row>
    <row r="30740" spans="1:38">
      <c r="A30740" s="182"/>
      <c r="AJ30740" s="183"/>
      <c r="AK30740" s="183"/>
      <c r="AL30740" s="183"/>
    </row>
    <row r="30741" spans="1:38">
      <c r="A30741" s="182"/>
      <c r="AJ30741" s="183"/>
    </row>
    <row r="30742" spans="1:38">
      <c r="A30742" s="182"/>
    </row>
    <row r="30743" spans="1:38">
      <c r="A30743" s="182"/>
    </row>
    <row r="30744" spans="1:38">
      <c r="A30744" s="182"/>
    </row>
    <row r="30745" spans="1:38">
      <c r="A30745" s="182"/>
    </row>
    <row r="30746" spans="1:38">
      <c r="A30746" s="182"/>
    </row>
    <row r="30747" spans="1:38">
      <c r="A30747" s="182"/>
    </row>
    <row r="30748" spans="1:38">
      <c r="A30748" s="182"/>
    </row>
    <row r="30749" spans="1:38">
      <c r="A30749" s="182"/>
    </row>
    <row r="30750" spans="1:38">
      <c r="A30750" s="182"/>
    </row>
    <row r="30751" spans="1:38">
      <c r="A30751" s="182"/>
    </row>
    <row r="30752" spans="1:38">
      <c r="A30752" s="182"/>
    </row>
    <row r="30753" spans="1:1">
      <c r="A30753" s="182"/>
    </row>
    <row r="30754" spans="1:1">
      <c r="A30754" s="182"/>
    </row>
    <row r="30755" spans="1:1">
      <c r="A30755" s="182"/>
    </row>
    <row r="30756" spans="1:1">
      <c r="A30756" s="182"/>
    </row>
    <row r="30757" spans="1:1">
      <c r="A30757" s="182"/>
    </row>
    <row r="30758" spans="1:1">
      <c r="A30758" s="182"/>
    </row>
    <row r="30759" spans="1:1">
      <c r="A30759" s="182"/>
    </row>
    <row r="30760" spans="1:1">
      <c r="A30760" s="182"/>
    </row>
    <row r="30761" spans="1:1">
      <c r="A30761" s="182"/>
    </row>
    <row r="30762" spans="1:1">
      <c r="A30762" s="182"/>
    </row>
    <row r="30763" spans="1:1">
      <c r="A30763" s="182"/>
    </row>
    <row r="30764" spans="1:1">
      <c r="A30764" s="182"/>
    </row>
    <row r="30765" spans="1:1">
      <c r="A30765" s="182"/>
    </row>
    <row r="30766" spans="1:1">
      <c r="A30766" s="182"/>
    </row>
    <row r="30767" spans="1:1">
      <c r="A30767" s="182"/>
    </row>
    <row r="30768" spans="1:1">
      <c r="A30768" s="182"/>
    </row>
    <row r="30769" spans="1:38">
      <c r="A30769" s="182"/>
    </row>
    <row r="30770" spans="1:38">
      <c r="A30770" s="182"/>
    </row>
    <row r="30771" spans="1:38">
      <c r="A30771" s="182"/>
    </row>
    <row r="30772" spans="1:38">
      <c r="A30772" s="182"/>
    </row>
    <row r="30773" spans="1:38">
      <c r="A30773" s="182"/>
      <c r="AK30773" s="183"/>
      <c r="AL30773" s="183"/>
    </row>
    <row r="30774" spans="1:38">
      <c r="A30774" s="182"/>
      <c r="AJ30774" s="183"/>
      <c r="AK30774" s="183"/>
      <c r="AL30774" s="183"/>
    </row>
    <row r="30775" spans="1:38">
      <c r="A30775" s="182"/>
      <c r="AJ30775" s="183"/>
      <c r="AK30775" s="183"/>
      <c r="AL30775" s="183"/>
    </row>
    <row r="30776" spans="1:38">
      <c r="A30776" s="182"/>
      <c r="AJ30776" s="183"/>
      <c r="AK30776" s="183"/>
      <c r="AL30776" s="183"/>
    </row>
    <row r="30777" spans="1:38">
      <c r="A30777" s="182"/>
      <c r="AJ30777" s="183"/>
    </row>
    <row r="30778" spans="1:38">
      <c r="A30778" s="182"/>
    </row>
    <row r="30779" spans="1:38">
      <c r="A30779" s="182"/>
    </row>
    <row r="30780" spans="1:38">
      <c r="A30780" s="182"/>
    </row>
    <row r="30781" spans="1:38">
      <c r="A30781" s="182"/>
    </row>
    <row r="30782" spans="1:38">
      <c r="A30782" s="182"/>
    </row>
    <row r="30783" spans="1:38">
      <c r="A30783" s="182"/>
    </row>
    <row r="30784" spans="1:38">
      <c r="A30784" s="182"/>
    </row>
    <row r="30785" spans="1:1">
      <c r="A30785" s="182"/>
    </row>
    <row r="30786" spans="1:1">
      <c r="A30786" s="182"/>
    </row>
    <row r="30787" spans="1:1">
      <c r="A30787" s="182"/>
    </row>
    <row r="30788" spans="1:1">
      <c r="A30788" s="182"/>
    </row>
    <row r="30789" spans="1:1">
      <c r="A30789" s="182"/>
    </row>
    <row r="30790" spans="1:1">
      <c r="A30790" s="182"/>
    </row>
    <row r="30791" spans="1:1">
      <c r="A30791" s="182"/>
    </row>
    <row r="30792" spans="1:1">
      <c r="A30792" s="182"/>
    </row>
    <row r="30793" spans="1:1">
      <c r="A30793" s="182"/>
    </row>
    <row r="30794" spans="1:1">
      <c r="A30794" s="182"/>
    </row>
    <row r="30795" spans="1:1">
      <c r="A30795" s="182"/>
    </row>
    <row r="30796" spans="1:1">
      <c r="A30796" s="182"/>
    </row>
    <row r="30797" spans="1:1">
      <c r="A30797" s="182"/>
    </row>
    <row r="30798" spans="1:1">
      <c r="A30798" s="182"/>
    </row>
    <row r="30799" spans="1:1">
      <c r="A30799" s="182"/>
    </row>
    <row r="30800" spans="1:1">
      <c r="A30800" s="182"/>
    </row>
    <row r="30801" spans="1:38">
      <c r="A30801" s="182"/>
    </row>
    <row r="30802" spans="1:38">
      <c r="A30802" s="182"/>
    </row>
    <row r="30803" spans="1:38">
      <c r="A30803" s="182"/>
    </row>
    <row r="30804" spans="1:38">
      <c r="A30804" s="182"/>
    </row>
    <row r="30805" spans="1:38">
      <c r="A30805" s="182"/>
      <c r="AK30805" s="183"/>
      <c r="AL30805" s="183"/>
    </row>
    <row r="30806" spans="1:38">
      <c r="A30806" s="182"/>
      <c r="AJ30806" s="183"/>
      <c r="AK30806" s="183"/>
      <c r="AL30806" s="183"/>
    </row>
    <row r="30807" spans="1:38">
      <c r="A30807" s="182"/>
      <c r="AJ30807" s="183"/>
      <c r="AK30807" s="183"/>
      <c r="AL30807" s="183"/>
    </row>
    <row r="30808" spans="1:38">
      <c r="A30808" s="182"/>
      <c r="AJ30808" s="183"/>
      <c r="AK30808" s="183"/>
      <c r="AL30808" s="183"/>
    </row>
    <row r="30809" spans="1:38">
      <c r="A30809" s="182"/>
      <c r="AJ30809" s="183"/>
    </row>
    <row r="30810" spans="1:38">
      <c r="A30810" s="182"/>
    </row>
    <row r="30811" spans="1:38">
      <c r="A30811" s="182"/>
    </row>
    <row r="30812" spans="1:38">
      <c r="A30812" s="182"/>
    </row>
    <row r="30813" spans="1:38">
      <c r="A30813" s="182"/>
    </row>
    <row r="30814" spans="1:38">
      <c r="A30814" s="182"/>
    </row>
    <row r="30815" spans="1:38">
      <c r="A30815" s="182"/>
    </row>
    <row r="30816" spans="1:38">
      <c r="A30816" s="182"/>
    </row>
    <row r="30817" spans="1:38">
      <c r="A30817" s="182"/>
    </row>
    <row r="30818" spans="1:38">
      <c r="A30818" s="182"/>
    </row>
    <row r="30819" spans="1:38">
      <c r="A30819" s="182"/>
    </row>
    <row r="30820" spans="1:38">
      <c r="A30820" s="182"/>
    </row>
    <row r="30821" spans="1:38">
      <c r="A30821" s="182"/>
      <c r="AK30821" s="183"/>
      <c r="AL30821" s="183"/>
    </row>
    <row r="30822" spans="1:38">
      <c r="A30822" s="182"/>
      <c r="AJ30822" s="183"/>
      <c r="AK30822" s="183"/>
      <c r="AL30822" s="183"/>
    </row>
    <row r="30823" spans="1:38">
      <c r="A30823" s="182"/>
      <c r="AJ30823" s="183"/>
      <c r="AK30823" s="183"/>
      <c r="AL30823" s="183"/>
    </row>
    <row r="30824" spans="1:38">
      <c r="A30824" s="182"/>
      <c r="AJ30824" s="183"/>
      <c r="AK30824" s="183"/>
      <c r="AL30824" s="183"/>
    </row>
    <row r="30825" spans="1:38">
      <c r="A30825" s="182"/>
      <c r="AJ30825" s="183"/>
    </row>
    <row r="30826" spans="1:38">
      <c r="A30826" s="182"/>
    </row>
    <row r="30827" spans="1:38">
      <c r="A30827" s="182"/>
    </row>
    <row r="30828" spans="1:38">
      <c r="A30828" s="182"/>
    </row>
    <row r="30829" spans="1:38">
      <c r="A30829" s="182"/>
    </row>
    <row r="30830" spans="1:38">
      <c r="A30830" s="182"/>
    </row>
    <row r="30831" spans="1:38">
      <c r="A30831" s="182"/>
    </row>
    <row r="30832" spans="1:38">
      <c r="A30832" s="182"/>
    </row>
    <row r="30833" spans="1:15">
      <c r="A30833" s="182"/>
    </row>
    <row r="30834" spans="1:15">
      <c r="A30834" s="182"/>
    </row>
    <row r="30835" spans="1:15">
      <c r="A30835" s="182"/>
    </row>
    <row r="30836" spans="1:15">
      <c r="A30836" s="182"/>
    </row>
    <row r="30837" spans="1:15">
      <c r="A30837" s="182"/>
      <c r="M30837" s="183"/>
      <c r="N30837" s="183"/>
      <c r="O30837" s="183"/>
    </row>
    <row r="30838" spans="1:15">
      <c r="A30838" s="182"/>
      <c r="L30838" s="183"/>
      <c r="M30838" s="183"/>
    </row>
    <row r="30839" spans="1:15">
      <c r="A30839" s="182"/>
    </row>
    <row r="30840" spans="1:15">
      <c r="A30840" s="182"/>
    </row>
    <row r="30841" spans="1:15">
      <c r="A30841" s="182"/>
    </row>
    <row r="30842" spans="1:15">
      <c r="A30842" s="182"/>
    </row>
    <row r="30843" spans="1:15">
      <c r="A30843" s="182"/>
    </row>
    <row r="30844" spans="1:15">
      <c r="A30844" s="182"/>
    </row>
    <row r="30845" spans="1:15">
      <c r="A30845" s="182"/>
    </row>
    <row r="30846" spans="1:15">
      <c r="A30846" s="182"/>
    </row>
    <row r="30847" spans="1:15">
      <c r="A30847" s="182"/>
    </row>
    <row r="30848" spans="1:15">
      <c r="A30848" s="182"/>
    </row>
    <row r="30849" spans="1:38">
      <c r="A30849" s="182"/>
    </row>
    <row r="30850" spans="1:38">
      <c r="A30850" s="182"/>
    </row>
    <row r="30851" spans="1:38">
      <c r="A30851" s="182"/>
    </row>
    <row r="30852" spans="1:38">
      <c r="A30852" s="182"/>
    </row>
    <row r="30853" spans="1:38">
      <c r="A30853" s="182"/>
    </row>
    <row r="30854" spans="1:38">
      <c r="A30854" s="182"/>
    </row>
    <row r="30855" spans="1:38">
      <c r="A30855" s="182"/>
    </row>
    <row r="30856" spans="1:38">
      <c r="A30856" s="182"/>
    </row>
    <row r="30857" spans="1:38">
      <c r="A30857" s="182"/>
    </row>
    <row r="30858" spans="1:38">
      <c r="A30858" s="182"/>
    </row>
    <row r="30859" spans="1:38">
      <c r="A30859" s="182"/>
    </row>
    <row r="30860" spans="1:38">
      <c r="A30860" s="182"/>
    </row>
    <row r="30861" spans="1:38">
      <c r="A30861" s="182"/>
      <c r="AK30861" s="183"/>
      <c r="AL30861" s="183"/>
    </row>
    <row r="30862" spans="1:38">
      <c r="A30862" s="182"/>
      <c r="AJ30862" s="183"/>
      <c r="AK30862" s="183"/>
      <c r="AL30862" s="183"/>
    </row>
    <row r="30863" spans="1:38">
      <c r="A30863" s="182"/>
      <c r="AJ30863" s="183"/>
      <c r="AK30863" s="183"/>
      <c r="AL30863" s="183"/>
    </row>
    <row r="30864" spans="1:38">
      <c r="A30864" s="182"/>
      <c r="AJ30864" s="183"/>
      <c r="AK30864" s="183"/>
      <c r="AL30864" s="183"/>
    </row>
    <row r="30865" spans="1:36">
      <c r="A30865" s="182"/>
      <c r="AJ30865" s="183"/>
    </row>
    <row r="30866" spans="1:36">
      <c r="A30866" s="182"/>
    </row>
    <row r="30867" spans="1:36">
      <c r="A30867" s="182"/>
    </row>
    <row r="30868" spans="1:36">
      <c r="A30868" s="182"/>
    </row>
    <row r="30869" spans="1:36">
      <c r="A30869" s="182"/>
    </row>
    <row r="30870" spans="1:36">
      <c r="A30870" s="182"/>
    </row>
    <row r="30871" spans="1:36">
      <c r="A30871" s="182"/>
    </row>
    <row r="30872" spans="1:36">
      <c r="A30872" s="182"/>
    </row>
    <row r="30873" spans="1:36">
      <c r="A30873" s="182"/>
    </row>
    <row r="30874" spans="1:36">
      <c r="A30874" s="182"/>
    </row>
    <row r="30875" spans="1:36">
      <c r="A30875" s="182"/>
    </row>
    <row r="30876" spans="1:36">
      <c r="A30876" s="182"/>
    </row>
    <row r="30877" spans="1:36">
      <c r="A30877" s="182"/>
    </row>
    <row r="30878" spans="1:36">
      <c r="A30878" s="182"/>
    </row>
    <row r="30879" spans="1:36">
      <c r="A30879" s="182"/>
    </row>
    <row r="30880" spans="1:36">
      <c r="A30880" s="182"/>
    </row>
    <row r="30881" spans="1:38">
      <c r="A30881" s="182"/>
    </row>
    <row r="30882" spans="1:38">
      <c r="A30882" s="182"/>
    </row>
    <row r="30883" spans="1:38">
      <c r="A30883" s="182"/>
    </row>
    <row r="30884" spans="1:38">
      <c r="A30884" s="182"/>
    </row>
    <row r="30885" spans="1:38">
      <c r="A30885" s="182"/>
    </row>
    <row r="30886" spans="1:38">
      <c r="A30886" s="182"/>
    </row>
    <row r="30887" spans="1:38">
      <c r="A30887" s="182"/>
    </row>
    <row r="30888" spans="1:38">
      <c r="A30888" s="182"/>
    </row>
    <row r="30889" spans="1:38">
      <c r="A30889" s="182"/>
    </row>
    <row r="30890" spans="1:38">
      <c r="A30890" s="182"/>
    </row>
    <row r="30891" spans="1:38">
      <c r="A30891" s="182"/>
    </row>
    <row r="30892" spans="1:38">
      <c r="A30892" s="182"/>
    </row>
    <row r="30893" spans="1:38">
      <c r="A30893" s="182"/>
      <c r="AK30893" s="183"/>
      <c r="AL30893" s="183"/>
    </row>
    <row r="30894" spans="1:38">
      <c r="A30894" s="182"/>
      <c r="AJ30894" s="183"/>
      <c r="AK30894" s="183"/>
      <c r="AL30894" s="183"/>
    </row>
    <row r="30895" spans="1:38">
      <c r="A30895" s="182"/>
      <c r="AJ30895" s="183"/>
      <c r="AK30895" s="183"/>
      <c r="AL30895" s="183"/>
    </row>
    <row r="30896" spans="1:38">
      <c r="A30896" s="182"/>
      <c r="AJ30896" s="183"/>
      <c r="AK30896" s="183"/>
      <c r="AL30896" s="183"/>
    </row>
    <row r="30897" spans="1:38">
      <c r="A30897" s="182"/>
      <c r="AJ30897" s="183"/>
    </row>
    <row r="30898" spans="1:38">
      <c r="A30898" s="182"/>
    </row>
    <row r="30899" spans="1:38">
      <c r="A30899" s="182"/>
    </row>
    <row r="30900" spans="1:38">
      <c r="A30900" s="182"/>
    </row>
    <row r="30901" spans="1:38">
      <c r="A30901" s="182"/>
      <c r="AK30901" s="183"/>
      <c r="AL30901" s="183"/>
    </row>
    <row r="30902" spans="1:38">
      <c r="A30902" s="182"/>
      <c r="AJ30902" s="183"/>
      <c r="AK30902" s="183"/>
      <c r="AL30902" s="183"/>
    </row>
    <row r="30903" spans="1:38">
      <c r="A30903" s="182"/>
      <c r="AJ30903" s="183"/>
      <c r="AK30903" s="183"/>
      <c r="AL30903" s="183"/>
    </row>
    <row r="30904" spans="1:38">
      <c r="A30904" s="182"/>
      <c r="AJ30904" s="183"/>
      <c r="AK30904" s="183"/>
      <c r="AL30904" s="183"/>
    </row>
    <row r="30905" spans="1:38">
      <c r="A30905" s="182"/>
      <c r="AJ30905" s="183"/>
      <c r="AK30905" s="183"/>
      <c r="AL30905" s="183"/>
    </row>
    <row r="30906" spans="1:38">
      <c r="A30906" s="182"/>
      <c r="AJ30906" s="183"/>
      <c r="AK30906" s="183"/>
      <c r="AL30906" s="183"/>
    </row>
    <row r="30907" spans="1:38">
      <c r="A30907" s="182"/>
      <c r="AJ30907" s="183"/>
      <c r="AK30907" s="183"/>
      <c r="AL30907" s="183"/>
    </row>
    <row r="30908" spans="1:38">
      <c r="A30908" s="182"/>
      <c r="AJ30908" s="183"/>
      <c r="AK30908" s="183"/>
      <c r="AL30908" s="183"/>
    </row>
    <row r="30909" spans="1:38">
      <c r="A30909" s="182"/>
      <c r="AJ30909" s="183"/>
    </row>
    <row r="30910" spans="1:38">
      <c r="A30910" s="182"/>
    </row>
    <row r="30911" spans="1:38">
      <c r="A30911" s="182"/>
    </row>
    <row r="30912" spans="1:38">
      <c r="A30912" s="182"/>
    </row>
    <row r="30913" spans="1:38">
      <c r="A30913" s="182"/>
    </row>
    <row r="30914" spans="1:38">
      <c r="A30914" s="182"/>
    </row>
    <row r="30915" spans="1:38">
      <c r="A30915" s="182"/>
    </row>
    <row r="30916" spans="1:38">
      <c r="A30916" s="182"/>
    </row>
    <row r="30917" spans="1:38">
      <c r="A30917" s="182"/>
    </row>
    <row r="30918" spans="1:38">
      <c r="A30918" s="182"/>
    </row>
    <row r="30919" spans="1:38">
      <c r="A30919" s="182"/>
    </row>
    <row r="30920" spans="1:38">
      <c r="A30920" s="182"/>
    </row>
    <row r="30921" spans="1:38">
      <c r="A30921" s="182"/>
      <c r="AK30921" s="183"/>
      <c r="AL30921" s="183"/>
    </row>
    <row r="30922" spans="1:38">
      <c r="A30922" s="182"/>
      <c r="AJ30922" s="183"/>
      <c r="AK30922" s="183"/>
      <c r="AL30922" s="183"/>
    </row>
    <row r="30923" spans="1:38">
      <c r="A30923" s="182"/>
      <c r="AJ30923" s="183"/>
      <c r="AK30923" s="183"/>
      <c r="AL30923" s="183"/>
    </row>
    <row r="30924" spans="1:38">
      <c r="A30924" s="182"/>
      <c r="AJ30924" s="183"/>
      <c r="AK30924" s="183"/>
      <c r="AL30924" s="183"/>
    </row>
    <row r="30925" spans="1:38">
      <c r="A30925" s="182"/>
      <c r="AJ30925" s="183"/>
      <c r="AK30925" s="183"/>
      <c r="AL30925" s="183"/>
    </row>
    <row r="30926" spans="1:38">
      <c r="A30926" s="182"/>
      <c r="AJ30926" s="183"/>
      <c r="AK30926" s="183"/>
      <c r="AL30926" s="183"/>
    </row>
    <row r="30927" spans="1:38">
      <c r="A30927" s="182"/>
      <c r="AJ30927" s="183"/>
      <c r="AK30927" s="183"/>
      <c r="AL30927" s="183"/>
    </row>
    <row r="30928" spans="1:38">
      <c r="A30928" s="182"/>
      <c r="AJ30928" s="183"/>
      <c r="AK30928" s="183"/>
      <c r="AL30928" s="183"/>
    </row>
    <row r="30929" spans="1:38">
      <c r="A30929" s="182"/>
      <c r="AJ30929" s="183"/>
    </row>
    <row r="30930" spans="1:38">
      <c r="A30930" s="182"/>
    </row>
    <row r="30931" spans="1:38">
      <c r="A30931" s="182"/>
    </row>
    <row r="30932" spans="1:38">
      <c r="A30932" s="182"/>
    </row>
    <row r="30933" spans="1:38">
      <c r="A30933" s="182"/>
    </row>
    <row r="30934" spans="1:38">
      <c r="A30934" s="182"/>
    </row>
    <row r="30935" spans="1:38">
      <c r="A30935" s="182"/>
    </row>
    <row r="30936" spans="1:38">
      <c r="A30936" s="182"/>
    </row>
    <row r="30937" spans="1:38">
      <c r="A30937" s="182"/>
      <c r="AK30937" s="183"/>
      <c r="AL30937" s="183"/>
    </row>
    <row r="30938" spans="1:38">
      <c r="A30938" s="182"/>
      <c r="AJ30938" s="183"/>
      <c r="AK30938" s="183"/>
      <c r="AL30938" s="183"/>
    </row>
    <row r="30939" spans="1:38">
      <c r="A30939" s="182"/>
      <c r="AJ30939" s="183"/>
      <c r="AK30939" s="183"/>
      <c r="AL30939" s="183"/>
    </row>
    <row r="30940" spans="1:38">
      <c r="A30940" s="182"/>
      <c r="AJ30940" s="183"/>
      <c r="AK30940" s="183"/>
      <c r="AL30940" s="183"/>
    </row>
    <row r="30941" spans="1:38">
      <c r="A30941" s="182"/>
      <c r="AJ30941" s="183"/>
    </row>
    <row r="30942" spans="1:38">
      <c r="A30942" s="182"/>
    </row>
    <row r="30943" spans="1:38">
      <c r="A30943" s="182"/>
    </row>
    <row r="30944" spans="1:38">
      <c r="A30944" s="182"/>
    </row>
    <row r="30945" spans="1:1">
      <c r="A30945" s="182"/>
    </row>
    <row r="30946" spans="1:1">
      <c r="A30946" s="182"/>
    </row>
    <row r="30947" spans="1:1">
      <c r="A30947" s="182"/>
    </row>
    <row r="30948" spans="1:1">
      <c r="A30948" s="182"/>
    </row>
    <row r="30949" spans="1:1">
      <c r="A30949" s="182"/>
    </row>
    <row r="30950" spans="1:1">
      <c r="A30950" s="182"/>
    </row>
    <row r="30951" spans="1:1">
      <c r="A30951" s="182"/>
    </row>
    <row r="30952" spans="1:1">
      <c r="A30952" s="182"/>
    </row>
    <row r="30953" spans="1:1">
      <c r="A30953" s="182"/>
    </row>
    <row r="30954" spans="1:1">
      <c r="A30954" s="182"/>
    </row>
    <row r="30955" spans="1:1">
      <c r="A30955" s="182"/>
    </row>
    <row r="30956" spans="1:1">
      <c r="A30956" s="182"/>
    </row>
    <row r="30957" spans="1:1">
      <c r="A30957" s="182"/>
    </row>
    <row r="30958" spans="1:1">
      <c r="A30958" s="182"/>
    </row>
    <row r="30959" spans="1:1">
      <c r="A30959" s="182"/>
    </row>
    <row r="30960" spans="1:1">
      <c r="A30960" s="182"/>
    </row>
    <row r="30961" spans="1:1">
      <c r="A30961" s="182"/>
    </row>
    <row r="30962" spans="1:1">
      <c r="A30962" s="182"/>
    </row>
    <row r="30963" spans="1:1">
      <c r="A30963" s="182"/>
    </row>
    <row r="30964" spans="1:1">
      <c r="A30964" s="182"/>
    </row>
    <row r="30965" spans="1:1">
      <c r="A30965" s="182"/>
    </row>
    <row r="30966" spans="1:1">
      <c r="A30966" s="182"/>
    </row>
    <row r="30967" spans="1:1">
      <c r="A30967" s="182"/>
    </row>
    <row r="30968" spans="1:1">
      <c r="A30968" s="182"/>
    </row>
    <row r="30969" spans="1:1">
      <c r="A30969" s="182"/>
    </row>
    <row r="30970" spans="1:1">
      <c r="A30970" s="182"/>
    </row>
    <row r="30971" spans="1:1">
      <c r="A30971" s="182"/>
    </row>
    <row r="30972" spans="1:1">
      <c r="A30972" s="182"/>
    </row>
    <row r="30973" spans="1:1">
      <c r="A30973" s="182"/>
    </row>
    <row r="30974" spans="1:1">
      <c r="A30974" s="182"/>
    </row>
    <row r="30975" spans="1:1">
      <c r="A30975" s="182"/>
    </row>
    <row r="30976" spans="1:1">
      <c r="A30976" s="182"/>
    </row>
    <row r="30977" spans="1:38">
      <c r="A30977" s="182"/>
    </row>
    <row r="30978" spans="1:38">
      <c r="A30978" s="182"/>
    </row>
    <row r="30979" spans="1:38">
      <c r="A30979" s="182"/>
    </row>
    <row r="30980" spans="1:38">
      <c r="A30980" s="182"/>
    </row>
    <row r="30981" spans="1:38">
      <c r="A30981" s="182"/>
    </row>
    <row r="30982" spans="1:38">
      <c r="A30982" s="182"/>
    </row>
    <row r="30983" spans="1:38">
      <c r="A30983" s="182"/>
    </row>
    <row r="30984" spans="1:38">
      <c r="A30984" s="182"/>
    </row>
    <row r="30985" spans="1:38">
      <c r="A30985" s="182"/>
    </row>
    <row r="30986" spans="1:38">
      <c r="A30986" s="182"/>
    </row>
    <row r="30987" spans="1:38">
      <c r="A30987" s="182"/>
    </row>
    <row r="30988" spans="1:38">
      <c r="A30988" s="182"/>
    </row>
    <row r="30989" spans="1:38">
      <c r="A30989" s="182"/>
      <c r="AK30989" s="183"/>
      <c r="AL30989" s="183"/>
    </row>
    <row r="30990" spans="1:38">
      <c r="A30990" s="182"/>
      <c r="AJ30990" s="183"/>
      <c r="AK30990" s="183"/>
      <c r="AL30990" s="183"/>
    </row>
    <row r="30991" spans="1:38">
      <c r="A30991" s="182"/>
      <c r="AJ30991" s="183"/>
      <c r="AK30991" s="183"/>
      <c r="AL30991" s="183"/>
    </row>
    <row r="30992" spans="1:38">
      <c r="A30992" s="182"/>
      <c r="AJ30992" s="183"/>
      <c r="AK30992" s="183"/>
      <c r="AL30992" s="183"/>
    </row>
    <row r="30993" spans="1:38">
      <c r="A30993" s="182"/>
      <c r="AJ30993" s="183"/>
    </row>
    <row r="30994" spans="1:38">
      <c r="A30994" s="182"/>
    </row>
    <row r="30995" spans="1:38">
      <c r="A30995" s="182"/>
    </row>
    <row r="30996" spans="1:38">
      <c r="A30996" s="182"/>
    </row>
    <row r="30997" spans="1:38">
      <c r="A30997" s="182"/>
    </row>
    <row r="30998" spans="1:38">
      <c r="A30998" s="182"/>
    </row>
    <row r="30999" spans="1:38">
      <c r="A30999" s="182"/>
    </row>
    <row r="31000" spans="1:38">
      <c r="A31000" s="182"/>
    </row>
    <row r="31001" spans="1:38">
      <c r="A31001" s="182"/>
      <c r="AK31001" s="183"/>
      <c r="AL31001" s="183"/>
    </row>
    <row r="31002" spans="1:38">
      <c r="A31002" s="182"/>
      <c r="AJ31002" s="183"/>
      <c r="AK31002" s="183"/>
      <c r="AL31002" s="183"/>
    </row>
    <row r="31003" spans="1:38">
      <c r="A31003" s="182"/>
      <c r="AJ31003" s="183"/>
      <c r="AK31003" s="183"/>
      <c r="AL31003" s="183"/>
    </row>
    <row r="31004" spans="1:38">
      <c r="A31004" s="182"/>
      <c r="AJ31004" s="183"/>
      <c r="AK31004" s="183"/>
      <c r="AL31004" s="183"/>
    </row>
    <row r="31005" spans="1:38">
      <c r="A31005" s="182"/>
      <c r="AJ31005" s="183"/>
    </row>
    <row r="31006" spans="1:38">
      <c r="A31006" s="182"/>
    </row>
    <row r="31007" spans="1:38">
      <c r="A31007" s="182"/>
    </row>
    <row r="31008" spans="1:38">
      <c r="A31008" s="182"/>
    </row>
    <row r="31009" spans="1:38">
      <c r="A31009" s="182"/>
      <c r="AK31009" s="183"/>
      <c r="AL31009" s="183"/>
    </row>
    <row r="31010" spans="1:38">
      <c r="A31010" s="182"/>
      <c r="AJ31010" s="183"/>
      <c r="AK31010" s="183"/>
      <c r="AL31010" s="183"/>
    </row>
    <row r="31011" spans="1:38">
      <c r="A31011" s="182"/>
      <c r="AJ31011" s="183"/>
      <c r="AK31011" s="183"/>
      <c r="AL31011" s="183"/>
    </row>
    <row r="31012" spans="1:38">
      <c r="A31012" s="182"/>
      <c r="AJ31012" s="183"/>
      <c r="AK31012" s="183"/>
      <c r="AL31012" s="183"/>
    </row>
    <row r="31013" spans="1:38">
      <c r="A31013" s="182"/>
      <c r="AJ31013" s="183"/>
      <c r="AK31013" s="183"/>
      <c r="AL31013" s="183"/>
    </row>
    <row r="31014" spans="1:38">
      <c r="A31014" s="182"/>
      <c r="AJ31014" s="183"/>
      <c r="AK31014" s="183"/>
      <c r="AL31014" s="183"/>
    </row>
    <row r="31015" spans="1:38">
      <c r="A31015" s="182"/>
      <c r="AJ31015" s="183"/>
      <c r="AK31015" s="183"/>
      <c r="AL31015" s="183"/>
    </row>
    <row r="31016" spans="1:38">
      <c r="A31016" s="182"/>
      <c r="AJ31016" s="183"/>
      <c r="AK31016" s="183"/>
      <c r="AL31016" s="183"/>
    </row>
    <row r="31017" spans="1:38">
      <c r="A31017" s="182"/>
      <c r="AJ31017" s="183"/>
    </row>
    <row r="31018" spans="1:38">
      <c r="A31018" s="182"/>
    </row>
    <row r="31019" spans="1:38">
      <c r="A31019" s="182"/>
    </row>
    <row r="31020" spans="1:38">
      <c r="A31020" s="182"/>
    </row>
    <row r="31021" spans="1:38">
      <c r="A31021" s="182"/>
      <c r="AK31021" s="183"/>
      <c r="AL31021" s="183"/>
    </row>
    <row r="31022" spans="1:38">
      <c r="A31022" s="182"/>
      <c r="AJ31022" s="183"/>
      <c r="AK31022" s="183"/>
      <c r="AL31022" s="183"/>
    </row>
    <row r="31023" spans="1:38">
      <c r="A31023" s="182"/>
      <c r="AJ31023" s="183"/>
      <c r="AK31023" s="183"/>
      <c r="AL31023" s="183"/>
    </row>
    <row r="31024" spans="1:38">
      <c r="A31024" s="182"/>
      <c r="AJ31024" s="183"/>
      <c r="AK31024" s="183"/>
      <c r="AL31024" s="183"/>
    </row>
    <row r="31025" spans="1:38">
      <c r="A31025" s="182"/>
      <c r="AJ31025" s="183"/>
    </row>
    <row r="31026" spans="1:38">
      <c r="A31026" s="182"/>
    </row>
    <row r="31027" spans="1:38">
      <c r="A31027" s="182"/>
    </row>
    <row r="31028" spans="1:38">
      <c r="A31028" s="182"/>
    </row>
    <row r="31029" spans="1:38">
      <c r="A31029" s="182"/>
    </row>
    <row r="31030" spans="1:38">
      <c r="A31030" s="182"/>
    </row>
    <row r="31031" spans="1:38">
      <c r="A31031" s="182"/>
    </row>
    <row r="31032" spans="1:38">
      <c r="A31032" s="182"/>
    </row>
    <row r="31033" spans="1:38">
      <c r="A31033" s="182"/>
    </row>
    <row r="31034" spans="1:38">
      <c r="A31034" s="182"/>
    </row>
    <row r="31035" spans="1:38">
      <c r="A31035" s="182"/>
    </row>
    <row r="31036" spans="1:38">
      <c r="A31036" s="182"/>
    </row>
    <row r="31037" spans="1:38">
      <c r="A31037" s="182"/>
      <c r="AK31037" s="183"/>
      <c r="AL31037" s="183"/>
    </row>
    <row r="31038" spans="1:38">
      <c r="A31038" s="182"/>
      <c r="AJ31038" s="183"/>
      <c r="AK31038" s="183"/>
      <c r="AL31038" s="183"/>
    </row>
    <row r="31039" spans="1:38">
      <c r="A31039" s="182"/>
      <c r="AJ31039" s="183"/>
      <c r="AK31039" s="183"/>
      <c r="AL31039" s="183"/>
    </row>
    <row r="31040" spans="1:38">
      <c r="A31040" s="182"/>
      <c r="AJ31040" s="183"/>
      <c r="AK31040" s="183"/>
      <c r="AL31040" s="183"/>
    </row>
    <row r="31041" spans="1:38">
      <c r="A31041" s="182"/>
      <c r="AJ31041" s="183"/>
      <c r="AK31041" s="183"/>
      <c r="AL31041" s="183"/>
    </row>
    <row r="31042" spans="1:38">
      <c r="A31042" s="182"/>
      <c r="AJ31042" s="183"/>
      <c r="AK31042" s="183"/>
      <c r="AL31042" s="183"/>
    </row>
    <row r="31043" spans="1:38">
      <c r="A31043" s="182"/>
      <c r="AJ31043" s="183"/>
      <c r="AK31043" s="183"/>
      <c r="AL31043" s="183"/>
    </row>
    <row r="31044" spans="1:38">
      <c r="A31044" s="182"/>
      <c r="AJ31044" s="183"/>
      <c r="AK31044" s="183"/>
      <c r="AL31044" s="183"/>
    </row>
    <row r="31045" spans="1:38">
      <c r="A31045" s="182"/>
      <c r="AJ31045" s="183"/>
    </row>
    <row r="31046" spans="1:38">
      <c r="A31046" s="182"/>
    </row>
    <row r="31047" spans="1:38">
      <c r="A31047" s="182"/>
    </row>
    <row r="31048" spans="1:38">
      <c r="A31048" s="182"/>
    </row>
    <row r="31049" spans="1:38">
      <c r="A31049" s="182"/>
    </row>
    <row r="31050" spans="1:38">
      <c r="A31050" s="182"/>
    </row>
    <row r="31051" spans="1:38">
      <c r="A31051" s="182"/>
    </row>
    <row r="31052" spans="1:38">
      <c r="A31052" s="182"/>
    </row>
    <row r="31053" spans="1:38">
      <c r="A31053" s="182"/>
    </row>
    <row r="31054" spans="1:38">
      <c r="A31054" s="182"/>
    </row>
    <row r="31055" spans="1:38">
      <c r="A31055" s="182"/>
    </row>
    <row r="31056" spans="1:38">
      <c r="A31056" s="182"/>
    </row>
    <row r="31057" spans="1:38">
      <c r="A31057" s="182"/>
      <c r="AK31057" s="183"/>
      <c r="AL31057" s="183"/>
    </row>
    <row r="31058" spans="1:38">
      <c r="A31058" s="182"/>
      <c r="AJ31058" s="183"/>
      <c r="AK31058" s="183"/>
      <c r="AL31058" s="183"/>
    </row>
    <row r="31059" spans="1:38">
      <c r="A31059" s="182"/>
      <c r="AJ31059" s="183"/>
      <c r="AK31059" s="183"/>
      <c r="AL31059" s="183"/>
    </row>
    <row r="31060" spans="1:38">
      <c r="A31060" s="182"/>
      <c r="AJ31060" s="183"/>
      <c r="AK31060" s="183"/>
      <c r="AL31060" s="183"/>
    </row>
    <row r="31061" spans="1:38">
      <c r="A31061" s="182"/>
      <c r="AJ31061" s="183"/>
    </row>
    <row r="31062" spans="1:38">
      <c r="A31062" s="182"/>
    </row>
    <row r="31063" spans="1:38">
      <c r="A31063" s="182"/>
    </row>
    <row r="31064" spans="1:38">
      <c r="A31064" s="182"/>
    </row>
    <row r="31065" spans="1:38">
      <c r="A31065" s="182"/>
    </row>
    <row r="31066" spans="1:38">
      <c r="A31066" s="182"/>
    </row>
    <row r="31067" spans="1:38">
      <c r="A31067" s="182"/>
    </row>
    <row r="31068" spans="1:38">
      <c r="A31068" s="182"/>
    </row>
    <row r="31069" spans="1:38">
      <c r="A31069" s="182"/>
    </row>
    <row r="31070" spans="1:38">
      <c r="A31070" s="182"/>
    </row>
    <row r="31071" spans="1:38">
      <c r="A31071" s="182"/>
    </row>
    <row r="31072" spans="1:38">
      <c r="A31072" s="182"/>
    </row>
    <row r="31073" spans="1:1">
      <c r="A31073" s="182"/>
    </row>
    <row r="31074" spans="1:1">
      <c r="A31074" s="182"/>
    </row>
    <row r="31075" spans="1:1">
      <c r="A31075" s="182"/>
    </row>
    <row r="31076" spans="1:1">
      <c r="A31076" s="182"/>
    </row>
    <row r="31077" spans="1:1">
      <c r="A31077" s="182"/>
    </row>
    <row r="31078" spans="1:1">
      <c r="A31078" s="182"/>
    </row>
    <row r="31079" spans="1:1">
      <c r="A31079" s="182"/>
    </row>
    <row r="31080" spans="1:1">
      <c r="A31080" s="182"/>
    </row>
    <row r="31081" spans="1:1">
      <c r="A31081" s="182"/>
    </row>
    <row r="31082" spans="1:1">
      <c r="A31082" s="182"/>
    </row>
    <row r="31083" spans="1:1">
      <c r="A31083" s="182"/>
    </row>
    <row r="31084" spans="1:1">
      <c r="A31084" s="182"/>
    </row>
    <row r="31085" spans="1:1">
      <c r="A31085" s="182"/>
    </row>
    <row r="31086" spans="1:1">
      <c r="A31086" s="182"/>
    </row>
    <row r="31087" spans="1:1">
      <c r="A31087" s="182"/>
    </row>
    <row r="31088" spans="1:1">
      <c r="A31088" s="182"/>
    </row>
    <row r="31089" spans="1:38">
      <c r="A31089" s="182"/>
    </row>
    <row r="31090" spans="1:38">
      <c r="A31090" s="182"/>
    </row>
    <row r="31091" spans="1:38">
      <c r="A31091" s="182"/>
    </row>
    <row r="31092" spans="1:38">
      <c r="A31092" s="182"/>
    </row>
    <row r="31093" spans="1:38">
      <c r="A31093" s="182"/>
    </row>
    <row r="31094" spans="1:38">
      <c r="A31094" s="182"/>
    </row>
    <row r="31095" spans="1:38">
      <c r="A31095" s="182"/>
    </row>
    <row r="31096" spans="1:38">
      <c r="A31096" s="182"/>
    </row>
    <row r="31097" spans="1:38">
      <c r="A31097" s="182"/>
      <c r="AK31097" s="183"/>
      <c r="AL31097" s="183"/>
    </row>
    <row r="31098" spans="1:38">
      <c r="A31098" s="182"/>
      <c r="AJ31098" s="183"/>
      <c r="AK31098" s="183"/>
      <c r="AL31098" s="183"/>
    </row>
    <row r="31099" spans="1:38">
      <c r="A31099" s="182"/>
      <c r="AJ31099" s="183"/>
      <c r="AK31099" s="183"/>
      <c r="AL31099" s="183"/>
    </row>
    <row r="31100" spans="1:38">
      <c r="A31100" s="182"/>
      <c r="AJ31100" s="183"/>
      <c r="AK31100" s="183"/>
      <c r="AL31100" s="183"/>
    </row>
    <row r="31101" spans="1:38">
      <c r="A31101" s="182"/>
      <c r="AJ31101" s="183"/>
      <c r="AK31101" s="183"/>
      <c r="AL31101" s="183"/>
    </row>
    <row r="31102" spans="1:38">
      <c r="A31102" s="182"/>
      <c r="AJ31102" s="183"/>
      <c r="AK31102" s="183"/>
      <c r="AL31102" s="183"/>
    </row>
    <row r="31103" spans="1:38">
      <c r="A31103" s="182"/>
      <c r="AJ31103" s="183"/>
      <c r="AK31103" s="183"/>
      <c r="AL31103" s="183"/>
    </row>
    <row r="31104" spans="1:38">
      <c r="A31104" s="182"/>
      <c r="AJ31104" s="183"/>
      <c r="AK31104" s="183"/>
      <c r="AL31104" s="183"/>
    </row>
    <row r="31105" spans="1:38">
      <c r="A31105" s="182"/>
      <c r="AJ31105" s="183"/>
    </row>
    <row r="31106" spans="1:38">
      <c r="A31106" s="182"/>
    </row>
    <row r="31107" spans="1:38">
      <c r="A31107" s="182"/>
    </row>
    <row r="31108" spans="1:38">
      <c r="A31108" s="182"/>
    </row>
    <row r="31109" spans="1:38">
      <c r="A31109" s="182"/>
    </row>
    <row r="31110" spans="1:38">
      <c r="A31110" s="182"/>
    </row>
    <row r="31111" spans="1:38">
      <c r="A31111" s="182"/>
    </row>
    <row r="31112" spans="1:38">
      <c r="A31112" s="182"/>
    </row>
    <row r="31113" spans="1:38">
      <c r="A31113" s="182"/>
    </row>
    <row r="31114" spans="1:38">
      <c r="A31114" s="182"/>
    </row>
    <row r="31115" spans="1:38">
      <c r="A31115" s="182"/>
    </row>
    <row r="31116" spans="1:38">
      <c r="A31116" s="182"/>
    </row>
    <row r="31117" spans="1:38">
      <c r="A31117" s="182"/>
      <c r="AK31117" s="183"/>
      <c r="AL31117" s="183"/>
    </row>
    <row r="31118" spans="1:38">
      <c r="A31118" s="182"/>
      <c r="AJ31118" s="183"/>
      <c r="AK31118" s="183"/>
      <c r="AL31118" s="183"/>
    </row>
    <row r="31119" spans="1:38">
      <c r="A31119" s="182"/>
      <c r="AJ31119" s="183"/>
      <c r="AK31119" s="183"/>
      <c r="AL31119" s="183"/>
    </row>
    <row r="31120" spans="1:38">
      <c r="A31120" s="182"/>
      <c r="AJ31120" s="183"/>
      <c r="AK31120" s="183"/>
      <c r="AL31120" s="183"/>
    </row>
    <row r="31121" spans="1:38">
      <c r="A31121" s="182"/>
      <c r="AJ31121" s="183"/>
    </row>
    <row r="31122" spans="1:38">
      <c r="A31122" s="182"/>
    </row>
    <row r="31123" spans="1:38">
      <c r="A31123" s="182"/>
    </row>
    <row r="31124" spans="1:38">
      <c r="A31124" s="182"/>
    </row>
    <row r="31125" spans="1:38">
      <c r="A31125" s="182"/>
      <c r="AK31125" s="183"/>
      <c r="AL31125" s="183"/>
    </row>
    <row r="31126" spans="1:38">
      <c r="A31126" s="182"/>
      <c r="AJ31126" s="183"/>
      <c r="AK31126" s="183"/>
      <c r="AL31126" s="183"/>
    </row>
    <row r="31127" spans="1:38">
      <c r="A31127" s="182"/>
      <c r="AJ31127" s="183"/>
      <c r="AK31127" s="183"/>
      <c r="AL31127" s="183"/>
    </row>
    <row r="31128" spans="1:38">
      <c r="A31128" s="182"/>
      <c r="AJ31128" s="183"/>
      <c r="AK31128" s="183"/>
      <c r="AL31128" s="183"/>
    </row>
    <row r="31129" spans="1:38">
      <c r="A31129" s="182"/>
      <c r="AJ31129" s="183"/>
    </row>
    <row r="31130" spans="1:38">
      <c r="A31130" s="182"/>
    </row>
    <row r="31131" spans="1:38">
      <c r="A31131" s="182"/>
    </row>
    <row r="31132" spans="1:38">
      <c r="A31132" s="182"/>
    </row>
    <row r="31133" spans="1:38">
      <c r="A31133" s="182"/>
    </row>
    <row r="31134" spans="1:38">
      <c r="A31134" s="182"/>
    </row>
    <row r="31135" spans="1:38">
      <c r="A31135" s="182"/>
    </row>
    <row r="31136" spans="1:38">
      <c r="A31136" s="182"/>
    </row>
    <row r="31137" spans="1:38">
      <c r="A31137" s="182"/>
    </row>
    <row r="31138" spans="1:38">
      <c r="A31138" s="182"/>
    </row>
    <row r="31139" spans="1:38">
      <c r="A31139" s="182"/>
    </row>
    <row r="31140" spans="1:38">
      <c r="A31140" s="182"/>
    </row>
    <row r="31141" spans="1:38">
      <c r="A31141" s="182"/>
      <c r="AK31141" s="183"/>
      <c r="AL31141" s="183"/>
    </row>
    <row r="31142" spans="1:38">
      <c r="A31142" s="182"/>
      <c r="AJ31142" s="183"/>
      <c r="AK31142" s="183"/>
      <c r="AL31142" s="183"/>
    </row>
    <row r="31143" spans="1:38">
      <c r="A31143" s="182"/>
      <c r="AJ31143" s="183"/>
      <c r="AK31143" s="183"/>
      <c r="AL31143" s="183"/>
    </row>
    <row r="31144" spans="1:38">
      <c r="A31144" s="182"/>
      <c r="AJ31144" s="183"/>
      <c r="AK31144" s="183"/>
      <c r="AL31144" s="183"/>
    </row>
    <row r="31145" spans="1:38">
      <c r="A31145" s="182"/>
      <c r="AJ31145" s="183"/>
    </row>
    <row r="31146" spans="1:38">
      <c r="A31146" s="182"/>
    </row>
    <row r="31147" spans="1:38">
      <c r="A31147" s="182"/>
    </row>
    <row r="31148" spans="1:38">
      <c r="A31148" s="182"/>
    </row>
    <row r="31149" spans="1:38">
      <c r="A31149" s="182"/>
    </row>
    <row r="31150" spans="1:38">
      <c r="A31150" s="182"/>
    </row>
    <row r="31151" spans="1:38">
      <c r="A31151" s="182"/>
    </row>
    <row r="31152" spans="1:38">
      <c r="A31152" s="182"/>
    </row>
    <row r="31153" spans="1:38">
      <c r="A31153" s="182"/>
    </row>
    <row r="31154" spans="1:38">
      <c r="A31154" s="182"/>
    </row>
    <row r="31155" spans="1:38">
      <c r="A31155" s="182"/>
    </row>
    <row r="31156" spans="1:38">
      <c r="A31156" s="182"/>
    </row>
    <row r="31157" spans="1:38">
      <c r="A31157" s="182"/>
    </row>
    <row r="31158" spans="1:38">
      <c r="A31158" s="182"/>
    </row>
    <row r="31159" spans="1:38">
      <c r="A31159" s="182"/>
    </row>
    <row r="31160" spans="1:38">
      <c r="A31160" s="182"/>
    </row>
    <row r="31161" spans="1:38">
      <c r="A31161" s="182"/>
      <c r="AK31161" s="183"/>
      <c r="AL31161" s="183"/>
    </row>
    <row r="31162" spans="1:38">
      <c r="A31162" s="182"/>
      <c r="AJ31162" s="183"/>
      <c r="AK31162" s="183"/>
      <c r="AL31162" s="183"/>
    </row>
    <row r="31163" spans="1:38">
      <c r="A31163" s="182"/>
      <c r="M31163" s="183"/>
      <c r="N31163" s="183"/>
      <c r="AJ31163" s="183"/>
      <c r="AK31163" s="183"/>
      <c r="AL31163" s="183"/>
    </row>
    <row r="31164" spans="1:38">
      <c r="A31164" s="182"/>
      <c r="L31164" s="183"/>
      <c r="M31164" s="183"/>
      <c r="N31164" s="183"/>
      <c r="AJ31164" s="183"/>
      <c r="AK31164" s="183"/>
      <c r="AL31164" s="183"/>
    </row>
    <row r="31165" spans="1:38">
      <c r="A31165" s="182"/>
      <c r="L31165" s="183"/>
      <c r="M31165" s="183"/>
      <c r="N31165" s="183"/>
      <c r="AJ31165" s="183"/>
      <c r="AK31165" s="183"/>
      <c r="AL31165" s="183"/>
    </row>
    <row r="31166" spans="1:38">
      <c r="A31166" s="182"/>
      <c r="L31166" s="183"/>
      <c r="AJ31166" s="183"/>
      <c r="AK31166" s="183"/>
      <c r="AL31166" s="183"/>
    </row>
    <row r="31167" spans="1:38">
      <c r="A31167" s="182"/>
      <c r="M31167" s="183"/>
      <c r="N31167" s="183"/>
      <c r="AJ31167" s="183"/>
      <c r="AK31167" s="183"/>
      <c r="AL31167" s="183"/>
    </row>
    <row r="31168" spans="1:38">
      <c r="A31168" s="182"/>
      <c r="L31168" s="183"/>
      <c r="N31168" s="183"/>
      <c r="O31168" s="183"/>
      <c r="AJ31168" s="183"/>
      <c r="AK31168" s="183"/>
      <c r="AL31168" s="183"/>
    </row>
    <row r="31169" spans="1:38">
      <c r="A31169" s="182"/>
      <c r="M31169" s="183"/>
      <c r="N31169" s="183"/>
      <c r="O31169" s="183"/>
      <c r="AJ31169" s="183"/>
    </row>
    <row r="31170" spans="1:38">
      <c r="A31170" s="182"/>
      <c r="M31170" s="183"/>
    </row>
    <row r="31171" spans="1:38">
      <c r="A31171" s="182"/>
    </row>
    <row r="31172" spans="1:38">
      <c r="A31172" s="182"/>
    </row>
    <row r="31173" spans="1:38">
      <c r="A31173" s="182"/>
    </row>
    <row r="31174" spans="1:38">
      <c r="A31174" s="182"/>
    </row>
    <row r="31175" spans="1:38">
      <c r="A31175" s="182"/>
    </row>
    <row r="31176" spans="1:38">
      <c r="A31176" s="182"/>
    </row>
    <row r="31177" spans="1:38">
      <c r="A31177" s="182"/>
      <c r="AK31177" s="183"/>
      <c r="AL31177" s="183"/>
    </row>
    <row r="31178" spans="1:38">
      <c r="A31178" s="182"/>
      <c r="AJ31178" s="183"/>
      <c r="AK31178" s="183"/>
      <c r="AL31178" s="183"/>
    </row>
    <row r="31179" spans="1:38">
      <c r="A31179" s="182"/>
      <c r="AJ31179" s="183"/>
      <c r="AK31179" s="183"/>
      <c r="AL31179" s="183"/>
    </row>
    <row r="31180" spans="1:38">
      <c r="A31180" s="182"/>
      <c r="AJ31180" s="183"/>
      <c r="AK31180" s="183"/>
      <c r="AL31180" s="183"/>
    </row>
    <row r="31181" spans="1:38">
      <c r="A31181" s="182"/>
      <c r="AJ31181" s="183"/>
    </row>
    <row r="31182" spans="1:38">
      <c r="A31182" s="182"/>
    </row>
    <row r="31183" spans="1:38">
      <c r="A31183" s="182"/>
    </row>
    <row r="31184" spans="1:38">
      <c r="A31184" s="182"/>
    </row>
    <row r="31185" spans="1:38">
      <c r="A31185" s="182"/>
      <c r="AK31185" s="183"/>
      <c r="AL31185" s="183"/>
    </row>
    <row r="31186" spans="1:38">
      <c r="A31186" s="182"/>
      <c r="AJ31186" s="183"/>
      <c r="AK31186" s="183"/>
      <c r="AL31186" s="183"/>
    </row>
    <row r="31187" spans="1:38">
      <c r="A31187" s="182"/>
      <c r="AJ31187" s="183"/>
      <c r="AK31187" s="183"/>
      <c r="AL31187" s="183"/>
    </row>
    <row r="31188" spans="1:38">
      <c r="A31188" s="182"/>
      <c r="AJ31188" s="183"/>
      <c r="AK31188" s="183"/>
      <c r="AL31188" s="183"/>
    </row>
    <row r="31189" spans="1:38">
      <c r="A31189" s="182"/>
      <c r="AJ31189" s="183"/>
    </row>
    <row r="31190" spans="1:38">
      <c r="A31190" s="182"/>
    </row>
    <row r="31191" spans="1:38">
      <c r="A31191" s="182"/>
    </row>
    <row r="31192" spans="1:38">
      <c r="A31192" s="182"/>
    </row>
    <row r="31193" spans="1:38">
      <c r="A31193" s="182"/>
      <c r="AK31193" s="183"/>
      <c r="AL31193" s="183"/>
    </row>
    <row r="31194" spans="1:38">
      <c r="A31194" s="182"/>
      <c r="AJ31194" s="183"/>
      <c r="AK31194" s="183"/>
      <c r="AL31194" s="183"/>
    </row>
    <row r="31195" spans="1:38">
      <c r="A31195" s="182"/>
      <c r="AJ31195" s="183"/>
      <c r="AK31195" s="183"/>
      <c r="AL31195" s="183"/>
    </row>
    <row r="31196" spans="1:38">
      <c r="A31196" s="182"/>
      <c r="AJ31196" s="183"/>
      <c r="AK31196" s="183"/>
      <c r="AL31196" s="183"/>
    </row>
    <row r="31197" spans="1:38">
      <c r="A31197" s="182"/>
      <c r="AJ31197" s="183"/>
    </row>
    <row r="31198" spans="1:38">
      <c r="A31198" s="182"/>
    </row>
    <row r="31199" spans="1:38">
      <c r="A31199" s="182"/>
    </row>
    <row r="31200" spans="1:38">
      <c r="A31200" s="182"/>
    </row>
    <row r="31201" spans="1:38">
      <c r="A31201" s="182"/>
    </row>
    <row r="31202" spans="1:38">
      <c r="A31202" s="182"/>
    </row>
    <row r="31203" spans="1:38">
      <c r="A31203" s="182"/>
    </row>
    <row r="31204" spans="1:38">
      <c r="A31204" s="182"/>
    </row>
    <row r="31205" spans="1:38">
      <c r="A31205" s="182"/>
      <c r="AK31205" s="183"/>
      <c r="AL31205" s="183"/>
    </row>
    <row r="31206" spans="1:38">
      <c r="A31206" s="182"/>
      <c r="AJ31206" s="183"/>
      <c r="AK31206" s="183"/>
      <c r="AL31206" s="183"/>
    </row>
    <row r="31207" spans="1:38">
      <c r="A31207" s="182"/>
      <c r="AJ31207" s="183"/>
      <c r="AK31207" s="183"/>
      <c r="AL31207" s="183"/>
    </row>
    <row r="31208" spans="1:38">
      <c r="A31208" s="182"/>
      <c r="AJ31208" s="183"/>
      <c r="AK31208" s="183"/>
      <c r="AL31208" s="183"/>
    </row>
    <row r="31209" spans="1:38">
      <c r="A31209" s="182"/>
      <c r="AJ31209" s="183"/>
      <c r="AK31209" s="183"/>
      <c r="AL31209" s="183"/>
    </row>
    <row r="31210" spans="1:38">
      <c r="A31210" s="182"/>
      <c r="AJ31210" s="183"/>
      <c r="AK31210" s="183"/>
      <c r="AL31210" s="183"/>
    </row>
    <row r="31211" spans="1:38">
      <c r="A31211" s="182"/>
      <c r="AJ31211" s="183"/>
      <c r="AK31211" s="183"/>
      <c r="AL31211" s="183"/>
    </row>
    <row r="31212" spans="1:38">
      <c r="A31212" s="182"/>
      <c r="AJ31212" s="183"/>
      <c r="AK31212" s="183"/>
      <c r="AL31212" s="183"/>
    </row>
    <row r="31213" spans="1:38">
      <c r="A31213" s="182"/>
      <c r="AJ31213" s="183"/>
    </row>
    <row r="31214" spans="1:38">
      <c r="A31214" s="182"/>
    </row>
    <row r="31215" spans="1:38">
      <c r="A31215" s="182"/>
    </row>
    <row r="31216" spans="1:38">
      <c r="A31216" s="182"/>
    </row>
    <row r="31217" spans="1:38">
      <c r="A31217" s="182"/>
    </row>
    <row r="31218" spans="1:38">
      <c r="A31218" s="182"/>
    </row>
    <row r="31219" spans="1:38">
      <c r="A31219" s="182"/>
    </row>
    <row r="31220" spans="1:38">
      <c r="A31220" s="182"/>
    </row>
    <row r="31221" spans="1:38">
      <c r="A31221" s="182"/>
      <c r="AK31221" s="183"/>
      <c r="AL31221" s="183"/>
    </row>
    <row r="31222" spans="1:38">
      <c r="A31222" s="182"/>
      <c r="AJ31222" s="183"/>
      <c r="AK31222" s="183"/>
      <c r="AL31222" s="183"/>
    </row>
    <row r="31223" spans="1:38">
      <c r="A31223" s="182"/>
      <c r="AJ31223" s="183"/>
      <c r="AK31223" s="183"/>
      <c r="AL31223" s="183"/>
    </row>
    <row r="31224" spans="1:38">
      <c r="A31224" s="182"/>
      <c r="AJ31224" s="183"/>
      <c r="AK31224" s="183"/>
      <c r="AL31224" s="183"/>
    </row>
    <row r="31225" spans="1:38">
      <c r="A31225" s="182"/>
      <c r="AJ31225" s="183"/>
    </row>
    <row r="31226" spans="1:38">
      <c r="A31226" s="182"/>
    </row>
    <row r="31227" spans="1:38">
      <c r="A31227" s="182"/>
    </row>
    <row r="31228" spans="1:38">
      <c r="A31228" s="182"/>
    </row>
    <row r="31229" spans="1:38">
      <c r="A31229" s="182"/>
    </row>
    <row r="31230" spans="1:38">
      <c r="A31230" s="182"/>
    </row>
    <row r="31231" spans="1:38">
      <c r="A31231" s="182"/>
    </row>
    <row r="31232" spans="1:38">
      <c r="A31232" s="182"/>
    </row>
    <row r="31233" spans="1:1">
      <c r="A31233" s="182"/>
    </row>
    <row r="31234" spans="1:1">
      <c r="A31234" s="182"/>
    </row>
    <row r="31235" spans="1:1">
      <c r="A31235" s="182"/>
    </row>
    <row r="31236" spans="1:1">
      <c r="A31236" s="182"/>
    </row>
    <row r="31237" spans="1:1">
      <c r="A31237" s="182"/>
    </row>
    <row r="31238" spans="1:1">
      <c r="A31238" s="182"/>
    </row>
    <row r="31239" spans="1:1">
      <c r="A31239" s="182"/>
    </row>
    <row r="31240" spans="1:1">
      <c r="A31240" s="182"/>
    </row>
    <row r="31241" spans="1:1">
      <c r="A31241" s="182"/>
    </row>
    <row r="31242" spans="1:1">
      <c r="A31242" s="182"/>
    </row>
    <row r="31243" spans="1:1">
      <c r="A31243" s="182"/>
    </row>
    <row r="31244" spans="1:1">
      <c r="A31244" s="182"/>
    </row>
    <row r="31245" spans="1:1">
      <c r="A31245" s="182"/>
    </row>
    <row r="31246" spans="1:1">
      <c r="A31246" s="182"/>
    </row>
    <row r="31247" spans="1:1">
      <c r="A31247" s="182"/>
    </row>
    <row r="31248" spans="1:1">
      <c r="A31248" s="182"/>
    </row>
    <row r="31249" spans="1:38">
      <c r="A31249" s="182"/>
      <c r="AK31249" s="183"/>
      <c r="AL31249" s="183"/>
    </row>
    <row r="31250" spans="1:38">
      <c r="A31250" s="182"/>
      <c r="AJ31250" s="183"/>
      <c r="AK31250" s="183"/>
      <c r="AL31250" s="183"/>
    </row>
    <row r="31251" spans="1:38">
      <c r="A31251" s="182"/>
      <c r="AJ31251" s="183"/>
      <c r="AK31251" s="183"/>
      <c r="AL31251" s="183"/>
    </row>
    <row r="31252" spans="1:38">
      <c r="A31252" s="182"/>
      <c r="AJ31252" s="183"/>
      <c r="AK31252" s="183"/>
      <c r="AL31252" s="183"/>
    </row>
    <row r="31253" spans="1:38">
      <c r="A31253" s="182"/>
      <c r="AJ31253" s="183"/>
    </row>
    <row r="31254" spans="1:38">
      <c r="A31254" s="182"/>
    </row>
    <row r="31255" spans="1:38">
      <c r="A31255" s="182"/>
    </row>
    <row r="31256" spans="1:38">
      <c r="A31256" s="182"/>
    </row>
    <row r="31257" spans="1:38">
      <c r="A31257" s="182"/>
    </row>
    <row r="31258" spans="1:38">
      <c r="A31258" s="182"/>
    </row>
    <row r="31259" spans="1:38">
      <c r="A31259" s="182"/>
    </row>
    <row r="31260" spans="1:38">
      <c r="A31260" s="182"/>
    </row>
    <row r="31261" spans="1:38">
      <c r="A31261" s="182"/>
    </row>
    <row r="31262" spans="1:38">
      <c r="A31262" s="182"/>
    </row>
    <row r="31263" spans="1:38">
      <c r="A31263" s="182"/>
    </row>
    <row r="31264" spans="1:38">
      <c r="A31264" s="182"/>
    </row>
    <row r="31265" spans="1:38">
      <c r="A31265" s="182"/>
    </row>
    <row r="31266" spans="1:38">
      <c r="A31266" s="182"/>
    </row>
    <row r="31267" spans="1:38">
      <c r="A31267" s="182"/>
    </row>
    <row r="31268" spans="1:38">
      <c r="A31268" s="182"/>
    </row>
    <row r="31269" spans="1:38">
      <c r="A31269" s="182"/>
      <c r="AK31269" s="183"/>
      <c r="AL31269" s="183"/>
    </row>
    <row r="31270" spans="1:38">
      <c r="A31270" s="182"/>
      <c r="AJ31270" s="183"/>
      <c r="AK31270" s="183"/>
      <c r="AL31270" s="183"/>
    </row>
    <row r="31271" spans="1:38">
      <c r="A31271" s="182"/>
      <c r="AJ31271" s="183"/>
      <c r="AK31271" s="183"/>
      <c r="AL31271" s="183"/>
    </row>
    <row r="31272" spans="1:38">
      <c r="A31272" s="182"/>
      <c r="AJ31272" s="183"/>
      <c r="AK31272" s="183"/>
      <c r="AL31272" s="183"/>
    </row>
    <row r="31273" spans="1:38">
      <c r="A31273" s="182"/>
      <c r="AJ31273" s="183"/>
      <c r="AK31273" s="183"/>
      <c r="AL31273" s="183"/>
    </row>
    <row r="31274" spans="1:38">
      <c r="A31274" s="182"/>
      <c r="AJ31274" s="183"/>
      <c r="AK31274" s="183"/>
      <c r="AL31274" s="183"/>
    </row>
    <row r="31275" spans="1:38">
      <c r="A31275" s="182"/>
      <c r="AJ31275" s="183"/>
      <c r="AK31275" s="183"/>
      <c r="AL31275" s="183"/>
    </row>
    <row r="31276" spans="1:38">
      <c r="A31276" s="182"/>
      <c r="AJ31276" s="183"/>
      <c r="AK31276" s="183"/>
      <c r="AL31276" s="183"/>
    </row>
    <row r="31277" spans="1:38">
      <c r="A31277" s="182"/>
      <c r="AJ31277" s="183"/>
      <c r="AK31277" s="183"/>
      <c r="AL31277" s="183"/>
    </row>
    <row r="31278" spans="1:38">
      <c r="A31278" s="182"/>
      <c r="AJ31278" s="183"/>
      <c r="AK31278" s="183"/>
      <c r="AL31278" s="183"/>
    </row>
    <row r="31279" spans="1:38">
      <c r="A31279" s="182"/>
      <c r="AJ31279" s="183"/>
      <c r="AK31279" s="183"/>
      <c r="AL31279" s="183"/>
    </row>
    <row r="31280" spans="1:38">
      <c r="A31280" s="182"/>
      <c r="AJ31280" s="183"/>
      <c r="AK31280" s="183"/>
      <c r="AL31280" s="183"/>
    </row>
    <row r="31281" spans="1:36">
      <c r="A31281" s="182"/>
      <c r="AJ31281" s="183"/>
    </row>
    <row r="31282" spans="1:36">
      <c r="A31282" s="182"/>
    </row>
    <row r="31283" spans="1:36">
      <c r="A31283" s="182"/>
    </row>
    <row r="31284" spans="1:36">
      <c r="A31284" s="182"/>
    </row>
    <row r="31285" spans="1:36">
      <c r="A31285" s="182"/>
    </row>
    <row r="31286" spans="1:36">
      <c r="A31286" s="182"/>
    </row>
    <row r="31287" spans="1:36">
      <c r="A31287" s="182"/>
      <c r="M31287" s="183"/>
      <c r="N31287" s="183"/>
    </row>
    <row r="31288" spans="1:36">
      <c r="A31288" s="182"/>
      <c r="L31288" s="183"/>
    </row>
    <row r="31289" spans="1:36">
      <c r="A31289" s="182"/>
    </row>
    <row r="31290" spans="1:36">
      <c r="A31290" s="182"/>
    </row>
    <row r="31291" spans="1:36">
      <c r="A31291" s="182"/>
    </row>
    <row r="31292" spans="1:36">
      <c r="A31292" s="182"/>
    </row>
    <row r="31293" spans="1:36">
      <c r="A31293" s="182"/>
    </row>
    <row r="31294" spans="1:36">
      <c r="A31294" s="182"/>
    </row>
    <row r="31295" spans="1:36">
      <c r="A31295" s="182"/>
    </row>
    <row r="31296" spans="1:36">
      <c r="A31296" s="182"/>
    </row>
    <row r="31297" spans="1:38">
      <c r="A31297" s="182"/>
    </row>
    <row r="31298" spans="1:38">
      <c r="A31298" s="182"/>
    </row>
    <row r="31299" spans="1:38">
      <c r="A31299" s="182"/>
    </row>
    <row r="31300" spans="1:38">
      <c r="A31300" s="182"/>
    </row>
    <row r="31301" spans="1:38">
      <c r="A31301" s="182"/>
      <c r="AK31301" s="183"/>
      <c r="AL31301" s="183"/>
    </row>
    <row r="31302" spans="1:38">
      <c r="A31302" s="182"/>
      <c r="AJ31302" s="183"/>
      <c r="AK31302" s="183"/>
      <c r="AL31302" s="183"/>
    </row>
    <row r="31303" spans="1:38">
      <c r="A31303" s="182"/>
      <c r="AJ31303" s="183"/>
      <c r="AK31303" s="183"/>
      <c r="AL31303" s="183"/>
    </row>
    <row r="31304" spans="1:38">
      <c r="A31304" s="182"/>
      <c r="AJ31304" s="183"/>
      <c r="AK31304" s="183"/>
      <c r="AL31304" s="183"/>
    </row>
    <row r="31305" spans="1:38">
      <c r="A31305" s="182"/>
      <c r="AJ31305" s="183"/>
    </row>
    <row r="31306" spans="1:38">
      <c r="A31306" s="182"/>
    </row>
    <row r="31307" spans="1:38">
      <c r="A31307" s="182"/>
    </row>
    <row r="31308" spans="1:38">
      <c r="A31308" s="182"/>
    </row>
    <row r="31309" spans="1:38">
      <c r="A31309" s="182"/>
    </row>
    <row r="31310" spans="1:38">
      <c r="A31310" s="182"/>
    </row>
    <row r="31311" spans="1:38">
      <c r="A31311" s="182"/>
    </row>
    <row r="31312" spans="1:38">
      <c r="A31312" s="182"/>
    </row>
    <row r="31313" spans="1:38">
      <c r="A31313" s="182"/>
    </row>
    <row r="31314" spans="1:38">
      <c r="A31314" s="182"/>
    </row>
    <row r="31315" spans="1:38">
      <c r="A31315" s="182"/>
    </row>
    <row r="31316" spans="1:38">
      <c r="A31316" s="182"/>
    </row>
    <row r="31317" spans="1:38">
      <c r="A31317" s="182"/>
      <c r="AK31317" s="183"/>
      <c r="AL31317" s="183"/>
    </row>
    <row r="31318" spans="1:38">
      <c r="A31318" s="182"/>
      <c r="AJ31318" s="183"/>
      <c r="AK31318" s="183"/>
      <c r="AL31318" s="183"/>
    </row>
    <row r="31319" spans="1:38">
      <c r="A31319" s="182"/>
      <c r="AJ31319" s="183"/>
      <c r="AK31319" s="183"/>
      <c r="AL31319" s="183"/>
    </row>
    <row r="31320" spans="1:38">
      <c r="A31320" s="182"/>
      <c r="AJ31320" s="183"/>
      <c r="AK31320" s="183"/>
      <c r="AL31320" s="183"/>
    </row>
    <row r="31321" spans="1:38">
      <c r="A31321" s="182"/>
      <c r="AJ31321" s="183"/>
    </row>
    <row r="31322" spans="1:38">
      <c r="A31322" s="182"/>
    </row>
    <row r="31323" spans="1:38">
      <c r="A31323" s="182"/>
    </row>
    <row r="31324" spans="1:38">
      <c r="A31324" s="182"/>
    </row>
    <row r="31325" spans="1:38">
      <c r="A31325" s="182"/>
    </row>
    <row r="31326" spans="1:38">
      <c r="A31326" s="182"/>
    </row>
    <row r="31327" spans="1:38">
      <c r="A31327" s="182"/>
    </row>
    <row r="31328" spans="1:38">
      <c r="A31328" s="182"/>
    </row>
    <row r="31329" spans="1:38">
      <c r="A31329" s="182"/>
    </row>
    <row r="31330" spans="1:38">
      <c r="A31330" s="182"/>
    </row>
    <row r="31331" spans="1:38">
      <c r="A31331" s="182"/>
    </row>
    <row r="31332" spans="1:38">
      <c r="A31332" s="182"/>
    </row>
    <row r="31333" spans="1:38">
      <c r="A31333" s="182"/>
    </row>
    <row r="31334" spans="1:38">
      <c r="A31334" s="182"/>
    </row>
    <row r="31335" spans="1:38">
      <c r="A31335" s="182"/>
    </row>
    <row r="31336" spans="1:38">
      <c r="A31336" s="182"/>
    </row>
    <row r="31337" spans="1:38">
      <c r="A31337" s="182"/>
    </row>
    <row r="31338" spans="1:38">
      <c r="A31338" s="182"/>
    </row>
    <row r="31339" spans="1:38">
      <c r="A31339" s="182"/>
    </row>
    <row r="31340" spans="1:38">
      <c r="A31340" s="182"/>
    </row>
    <row r="31341" spans="1:38">
      <c r="A31341" s="182"/>
      <c r="AK31341" s="183"/>
      <c r="AL31341" s="183"/>
    </row>
    <row r="31342" spans="1:38">
      <c r="A31342" s="182"/>
      <c r="AJ31342" s="183"/>
      <c r="AK31342" s="183"/>
      <c r="AL31342" s="183"/>
    </row>
    <row r="31343" spans="1:38">
      <c r="A31343" s="182"/>
      <c r="AJ31343" s="183"/>
      <c r="AK31343" s="183"/>
      <c r="AL31343" s="183"/>
    </row>
    <row r="31344" spans="1:38">
      <c r="A31344" s="182"/>
      <c r="AJ31344" s="183"/>
      <c r="AK31344" s="183"/>
      <c r="AL31344" s="183"/>
    </row>
    <row r="31345" spans="1:38">
      <c r="A31345" s="182"/>
      <c r="AJ31345" s="183"/>
    </row>
    <row r="31346" spans="1:38">
      <c r="A31346" s="182"/>
    </row>
    <row r="31347" spans="1:38">
      <c r="A31347" s="182"/>
    </row>
    <row r="31348" spans="1:38">
      <c r="A31348" s="182"/>
    </row>
    <row r="31349" spans="1:38">
      <c r="A31349" s="182"/>
    </row>
    <row r="31350" spans="1:38">
      <c r="A31350" s="182"/>
    </row>
    <row r="31351" spans="1:38">
      <c r="A31351" s="182"/>
    </row>
    <row r="31352" spans="1:38">
      <c r="A31352" s="182"/>
    </row>
    <row r="31353" spans="1:38">
      <c r="A31353" s="182"/>
      <c r="AK31353" s="183"/>
      <c r="AL31353" s="183"/>
    </row>
    <row r="31354" spans="1:38">
      <c r="A31354" s="182"/>
      <c r="AJ31354" s="183"/>
      <c r="AK31354" s="183"/>
      <c r="AL31354" s="183"/>
    </row>
    <row r="31355" spans="1:38">
      <c r="A31355" s="182"/>
      <c r="AJ31355" s="183"/>
      <c r="AK31355" s="183"/>
      <c r="AL31355" s="183"/>
    </row>
    <row r="31356" spans="1:38">
      <c r="A31356" s="182"/>
      <c r="AJ31356" s="183"/>
      <c r="AK31356" s="183"/>
      <c r="AL31356" s="183"/>
    </row>
    <row r="31357" spans="1:38">
      <c r="A31357" s="182"/>
      <c r="AJ31357" s="183"/>
    </row>
    <row r="31358" spans="1:38">
      <c r="A31358" s="182"/>
    </row>
    <row r="31359" spans="1:38">
      <c r="A31359" s="182"/>
    </row>
    <row r="31360" spans="1:38">
      <c r="A31360" s="182"/>
    </row>
    <row r="31361" spans="1:1">
      <c r="A31361" s="182"/>
    </row>
    <row r="31362" spans="1:1">
      <c r="A31362" s="182"/>
    </row>
    <row r="31363" spans="1:1">
      <c r="A31363" s="182"/>
    </row>
    <row r="31364" spans="1:1">
      <c r="A31364" s="182"/>
    </row>
    <row r="31365" spans="1:1">
      <c r="A31365" s="182"/>
    </row>
    <row r="31366" spans="1:1">
      <c r="A31366" s="182"/>
    </row>
    <row r="31367" spans="1:1">
      <c r="A31367" s="182"/>
    </row>
    <row r="31368" spans="1:1">
      <c r="A31368" s="182"/>
    </row>
    <row r="31369" spans="1:1">
      <c r="A31369" s="182"/>
    </row>
    <row r="31370" spans="1:1">
      <c r="A31370" s="182"/>
    </row>
    <row r="31371" spans="1:1">
      <c r="A31371" s="182"/>
    </row>
    <row r="31372" spans="1:1">
      <c r="A31372" s="182"/>
    </row>
    <row r="31373" spans="1:1">
      <c r="A31373" s="182"/>
    </row>
    <row r="31374" spans="1:1">
      <c r="A31374" s="182"/>
    </row>
    <row r="31375" spans="1:1">
      <c r="A31375" s="182"/>
    </row>
    <row r="31376" spans="1:1">
      <c r="A31376" s="182"/>
    </row>
    <row r="31377" spans="1:38">
      <c r="A31377" s="182"/>
      <c r="AK31377" s="183"/>
      <c r="AL31377" s="183"/>
    </row>
    <row r="31378" spans="1:38">
      <c r="A31378" s="182"/>
      <c r="AJ31378" s="183"/>
      <c r="AK31378" s="183"/>
      <c r="AL31378" s="183"/>
    </row>
    <row r="31379" spans="1:38">
      <c r="A31379" s="182"/>
      <c r="AJ31379" s="183"/>
      <c r="AK31379" s="183"/>
      <c r="AL31379" s="183"/>
    </row>
    <row r="31380" spans="1:38">
      <c r="A31380" s="182"/>
      <c r="AJ31380" s="183"/>
      <c r="AK31380" s="183"/>
      <c r="AL31380" s="183"/>
    </row>
    <row r="31381" spans="1:38">
      <c r="A31381" s="182"/>
      <c r="AJ31381" s="183"/>
    </row>
    <row r="31382" spans="1:38">
      <c r="A31382" s="182"/>
    </row>
    <row r="31383" spans="1:38">
      <c r="A31383" s="182"/>
    </row>
    <row r="31384" spans="1:38">
      <c r="A31384" s="182"/>
    </row>
    <row r="31385" spans="1:38">
      <c r="A31385" s="182"/>
      <c r="AK31385" s="183"/>
      <c r="AL31385" s="183"/>
    </row>
    <row r="31386" spans="1:38">
      <c r="A31386" s="182"/>
      <c r="AJ31386" s="183"/>
      <c r="AK31386" s="183"/>
      <c r="AL31386" s="183"/>
    </row>
    <row r="31387" spans="1:38">
      <c r="A31387" s="182"/>
      <c r="AJ31387" s="183"/>
      <c r="AK31387" s="183"/>
      <c r="AL31387" s="183"/>
    </row>
    <row r="31388" spans="1:38">
      <c r="A31388" s="182"/>
      <c r="AJ31388" s="183"/>
      <c r="AK31388" s="183"/>
      <c r="AL31388" s="183"/>
    </row>
    <row r="31389" spans="1:38">
      <c r="A31389" s="182"/>
      <c r="AJ31389" s="183"/>
    </row>
    <row r="31390" spans="1:38">
      <c r="A31390" s="182"/>
    </row>
    <row r="31391" spans="1:38">
      <c r="A31391" s="182"/>
    </row>
    <row r="31392" spans="1:38">
      <c r="A31392" s="182"/>
    </row>
    <row r="31393" spans="1:38">
      <c r="A31393" s="182"/>
      <c r="AK31393" s="183"/>
      <c r="AL31393" s="183"/>
    </row>
    <row r="31394" spans="1:38">
      <c r="A31394" s="182"/>
      <c r="AJ31394" s="183"/>
      <c r="AK31394" s="183"/>
      <c r="AL31394" s="183"/>
    </row>
    <row r="31395" spans="1:38">
      <c r="A31395" s="182"/>
      <c r="AJ31395" s="183"/>
      <c r="AK31395" s="183"/>
      <c r="AL31395" s="183"/>
    </row>
    <row r="31396" spans="1:38">
      <c r="A31396" s="182"/>
      <c r="AJ31396" s="183"/>
      <c r="AK31396" s="183"/>
      <c r="AL31396" s="183"/>
    </row>
    <row r="31397" spans="1:38">
      <c r="A31397" s="182"/>
      <c r="AJ31397" s="183"/>
    </row>
    <row r="31398" spans="1:38">
      <c r="A31398" s="182"/>
    </row>
    <row r="31399" spans="1:38">
      <c r="A31399" s="182"/>
    </row>
    <row r="31400" spans="1:38">
      <c r="A31400" s="182"/>
    </row>
    <row r="31401" spans="1:38">
      <c r="A31401" s="182"/>
    </row>
    <row r="31402" spans="1:38">
      <c r="A31402" s="182"/>
    </row>
    <row r="31403" spans="1:38">
      <c r="A31403" s="182"/>
    </row>
    <row r="31404" spans="1:38">
      <c r="A31404" s="182"/>
    </row>
    <row r="31405" spans="1:38">
      <c r="A31405" s="182"/>
      <c r="AK31405" s="183"/>
      <c r="AL31405" s="183"/>
    </row>
    <row r="31406" spans="1:38">
      <c r="A31406" s="182"/>
      <c r="AJ31406" s="183"/>
      <c r="AK31406" s="183"/>
      <c r="AL31406" s="183"/>
    </row>
    <row r="31407" spans="1:38">
      <c r="A31407" s="182"/>
      <c r="AJ31407" s="183"/>
      <c r="AK31407" s="183"/>
      <c r="AL31407" s="183"/>
    </row>
    <row r="31408" spans="1:38">
      <c r="A31408" s="182"/>
      <c r="AJ31408" s="183"/>
      <c r="AK31408" s="183"/>
      <c r="AL31408" s="183"/>
    </row>
    <row r="31409" spans="1:36">
      <c r="A31409" s="182"/>
      <c r="AJ31409" s="183"/>
    </row>
    <row r="31410" spans="1:36">
      <c r="A31410" s="182"/>
    </row>
    <row r="31411" spans="1:36">
      <c r="A31411" s="182"/>
    </row>
    <row r="31412" spans="1:36">
      <c r="A31412" s="182"/>
    </row>
    <row r="31413" spans="1:36">
      <c r="A31413" s="182"/>
    </row>
    <row r="31414" spans="1:36">
      <c r="A31414" s="182"/>
    </row>
    <row r="31415" spans="1:36">
      <c r="A31415" s="182"/>
    </row>
    <row r="31416" spans="1:36">
      <c r="A31416" s="182"/>
    </row>
    <row r="31417" spans="1:36">
      <c r="A31417" s="182"/>
    </row>
    <row r="31418" spans="1:36">
      <c r="A31418" s="182"/>
    </row>
    <row r="31419" spans="1:36">
      <c r="A31419" s="182"/>
    </row>
    <row r="31420" spans="1:36">
      <c r="A31420" s="182"/>
    </row>
    <row r="31421" spans="1:36">
      <c r="A31421" s="182"/>
    </row>
    <row r="31422" spans="1:36">
      <c r="A31422" s="182"/>
    </row>
    <row r="31423" spans="1:36">
      <c r="A31423" s="182"/>
    </row>
    <row r="31424" spans="1:36">
      <c r="A31424" s="182"/>
    </row>
    <row r="31425" spans="1:1">
      <c r="A31425" s="182"/>
    </row>
    <row r="31426" spans="1:1">
      <c r="A31426" s="182"/>
    </row>
    <row r="31427" spans="1:1">
      <c r="A31427" s="182"/>
    </row>
    <row r="31428" spans="1:1">
      <c r="A31428" s="182"/>
    </row>
    <row r="31429" spans="1:1">
      <c r="A31429" s="182"/>
    </row>
    <row r="31430" spans="1:1">
      <c r="A31430" s="182"/>
    </row>
    <row r="31431" spans="1:1">
      <c r="A31431" s="182"/>
    </row>
    <row r="31432" spans="1:1">
      <c r="A31432" s="182"/>
    </row>
    <row r="31433" spans="1:1">
      <c r="A31433" s="182"/>
    </row>
    <row r="31434" spans="1:1">
      <c r="A31434" s="182"/>
    </row>
    <row r="31435" spans="1:1">
      <c r="A31435" s="182"/>
    </row>
    <row r="31436" spans="1:1">
      <c r="A31436" s="182"/>
    </row>
    <row r="31437" spans="1:1">
      <c r="A31437" s="182"/>
    </row>
    <row r="31438" spans="1:1">
      <c r="A31438" s="182"/>
    </row>
    <row r="31439" spans="1:1">
      <c r="A31439" s="182"/>
    </row>
    <row r="31440" spans="1:1">
      <c r="A31440" s="182"/>
    </row>
    <row r="31441" spans="1:38">
      <c r="A31441" s="182"/>
    </row>
    <row r="31442" spans="1:38">
      <c r="A31442" s="182"/>
    </row>
    <row r="31443" spans="1:38">
      <c r="A31443" s="182"/>
    </row>
    <row r="31444" spans="1:38">
      <c r="A31444" s="182"/>
    </row>
    <row r="31445" spans="1:38">
      <c r="A31445" s="182"/>
      <c r="AK31445" s="183"/>
      <c r="AL31445" s="183"/>
    </row>
    <row r="31446" spans="1:38">
      <c r="A31446" s="182"/>
      <c r="AJ31446" s="183"/>
      <c r="AK31446" s="183"/>
      <c r="AL31446" s="183"/>
    </row>
    <row r="31447" spans="1:38">
      <c r="A31447" s="182"/>
      <c r="AJ31447" s="183"/>
      <c r="AK31447" s="183"/>
      <c r="AL31447" s="183"/>
    </row>
    <row r="31448" spans="1:38">
      <c r="A31448" s="182"/>
      <c r="AJ31448" s="183"/>
      <c r="AK31448" s="183"/>
      <c r="AL31448" s="183"/>
    </row>
    <row r="31449" spans="1:38">
      <c r="A31449" s="182"/>
      <c r="AJ31449" s="183"/>
      <c r="AK31449" s="183"/>
      <c r="AL31449" s="183"/>
    </row>
    <row r="31450" spans="1:38">
      <c r="A31450" s="182"/>
      <c r="AJ31450" s="183"/>
      <c r="AK31450" s="183"/>
      <c r="AL31450" s="183"/>
    </row>
    <row r="31451" spans="1:38">
      <c r="A31451" s="182"/>
      <c r="AJ31451" s="183"/>
      <c r="AK31451" s="183"/>
      <c r="AL31451" s="183"/>
    </row>
    <row r="31452" spans="1:38">
      <c r="A31452" s="182"/>
      <c r="AJ31452" s="183"/>
      <c r="AK31452" s="183"/>
      <c r="AL31452" s="183"/>
    </row>
    <row r="31453" spans="1:38">
      <c r="A31453" s="182"/>
      <c r="AJ31453" s="183"/>
    </row>
    <row r="31454" spans="1:38">
      <c r="A31454" s="182"/>
    </row>
    <row r="31455" spans="1:38">
      <c r="A31455" s="182"/>
    </row>
    <row r="31456" spans="1:38">
      <c r="A31456" s="182"/>
    </row>
    <row r="31457" spans="1:38">
      <c r="A31457" s="182"/>
    </row>
    <row r="31458" spans="1:38">
      <c r="A31458" s="182"/>
    </row>
    <row r="31459" spans="1:38">
      <c r="A31459" s="182"/>
    </row>
    <row r="31460" spans="1:38">
      <c r="A31460" s="182"/>
    </row>
    <row r="31461" spans="1:38">
      <c r="A31461" s="182"/>
      <c r="AK31461" s="183"/>
      <c r="AL31461" s="183"/>
    </row>
    <row r="31462" spans="1:38">
      <c r="A31462" s="182"/>
      <c r="AJ31462" s="183"/>
      <c r="AK31462" s="183"/>
      <c r="AL31462" s="183"/>
    </row>
    <row r="31463" spans="1:38">
      <c r="A31463" s="182"/>
      <c r="AJ31463" s="183"/>
      <c r="AK31463" s="183"/>
      <c r="AL31463" s="183"/>
    </row>
    <row r="31464" spans="1:38">
      <c r="A31464" s="182"/>
      <c r="AJ31464" s="183"/>
      <c r="AK31464" s="183"/>
      <c r="AL31464" s="183"/>
    </row>
    <row r="31465" spans="1:38">
      <c r="A31465" s="182"/>
      <c r="AJ31465" s="183"/>
    </row>
    <row r="31466" spans="1:38">
      <c r="A31466" s="182"/>
    </row>
    <row r="31467" spans="1:38">
      <c r="A31467" s="182"/>
    </row>
    <row r="31468" spans="1:38">
      <c r="A31468" s="182"/>
    </row>
    <row r="31469" spans="1:38">
      <c r="A31469" s="182"/>
      <c r="AK31469" s="183"/>
      <c r="AL31469" s="183"/>
    </row>
    <row r="31470" spans="1:38">
      <c r="A31470" s="182"/>
      <c r="AJ31470" s="183"/>
      <c r="AK31470" s="183"/>
      <c r="AL31470" s="183"/>
    </row>
    <row r="31471" spans="1:38">
      <c r="A31471" s="182"/>
      <c r="AJ31471" s="183"/>
      <c r="AK31471" s="183"/>
      <c r="AL31471" s="183"/>
    </row>
    <row r="31472" spans="1:38">
      <c r="A31472" s="182"/>
      <c r="AJ31472" s="183"/>
      <c r="AK31472" s="183"/>
      <c r="AL31472" s="183"/>
    </row>
    <row r="31473" spans="1:38">
      <c r="A31473" s="182"/>
      <c r="AJ31473" s="183"/>
      <c r="AK31473" s="183"/>
      <c r="AL31473" s="183"/>
    </row>
    <row r="31474" spans="1:38">
      <c r="A31474" s="182"/>
      <c r="AJ31474" s="183"/>
      <c r="AK31474" s="183"/>
      <c r="AL31474" s="183"/>
    </row>
    <row r="31475" spans="1:38">
      <c r="A31475" s="182"/>
      <c r="AJ31475" s="183"/>
      <c r="AK31475" s="183"/>
      <c r="AL31475" s="183"/>
    </row>
    <row r="31476" spans="1:38">
      <c r="A31476" s="182"/>
      <c r="AJ31476" s="183"/>
      <c r="AK31476" s="183"/>
      <c r="AL31476" s="183"/>
    </row>
    <row r="31477" spans="1:38">
      <c r="A31477" s="182"/>
      <c r="AJ31477" s="183"/>
    </row>
    <row r="31478" spans="1:38">
      <c r="A31478" s="182"/>
    </row>
    <row r="31479" spans="1:38">
      <c r="A31479" s="182"/>
    </row>
    <row r="31480" spans="1:38">
      <c r="A31480" s="182"/>
    </row>
    <row r="31481" spans="1:38">
      <c r="A31481" s="182"/>
      <c r="AK31481" s="183"/>
      <c r="AL31481" s="183"/>
    </row>
    <row r="31482" spans="1:38">
      <c r="A31482" s="182"/>
      <c r="AJ31482" s="183"/>
      <c r="AK31482" s="183"/>
      <c r="AL31482" s="183"/>
    </row>
    <row r="31483" spans="1:38">
      <c r="A31483" s="182"/>
      <c r="AJ31483" s="183"/>
      <c r="AK31483" s="183"/>
      <c r="AL31483" s="183"/>
    </row>
    <row r="31484" spans="1:38">
      <c r="A31484" s="182"/>
      <c r="AJ31484" s="183"/>
      <c r="AK31484" s="183"/>
      <c r="AL31484" s="183"/>
    </row>
    <row r="31485" spans="1:38">
      <c r="A31485" s="182"/>
      <c r="AJ31485" s="183"/>
      <c r="AK31485" s="183"/>
      <c r="AL31485" s="183"/>
    </row>
    <row r="31486" spans="1:38">
      <c r="A31486" s="182"/>
      <c r="AJ31486" s="183"/>
      <c r="AK31486" s="183"/>
      <c r="AL31486" s="183"/>
    </row>
    <row r="31487" spans="1:38">
      <c r="A31487" s="182"/>
      <c r="AJ31487" s="183"/>
      <c r="AK31487" s="183"/>
      <c r="AL31487" s="183"/>
    </row>
    <row r="31488" spans="1:38">
      <c r="A31488" s="182"/>
      <c r="AJ31488" s="183"/>
      <c r="AK31488" s="183"/>
      <c r="AL31488" s="183"/>
    </row>
    <row r="31489" spans="1:38">
      <c r="A31489" s="182"/>
      <c r="AJ31489" s="183"/>
    </row>
    <row r="31490" spans="1:38">
      <c r="A31490" s="182"/>
    </row>
    <row r="31491" spans="1:38">
      <c r="A31491" s="182"/>
    </row>
    <row r="31492" spans="1:38">
      <c r="A31492" s="182"/>
    </row>
    <row r="31493" spans="1:38">
      <c r="A31493" s="182"/>
    </row>
    <row r="31494" spans="1:38">
      <c r="A31494" s="182"/>
    </row>
    <row r="31495" spans="1:38">
      <c r="A31495" s="182"/>
    </row>
    <row r="31496" spans="1:38">
      <c r="A31496" s="182"/>
    </row>
    <row r="31497" spans="1:38">
      <c r="A31497" s="182"/>
    </row>
    <row r="31498" spans="1:38">
      <c r="A31498" s="182"/>
    </row>
    <row r="31499" spans="1:38">
      <c r="A31499" s="182"/>
    </row>
    <row r="31500" spans="1:38">
      <c r="A31500" s="182"/>
    </row>
    <row r="31501" spans="1:38">
      <c r="A31501" s="182"/>
      <c r="AK31501" s="183"/>
      <c r="AL31501" s="183"/>
    </row>
    <row r="31502" spans="1:38">
      <c r="A31502" s="182"/>
      <c r="AJ31502" s="183"/>
      <c r="AK31502" s="183"/>
      <c r="AL31502" s="183"/>
    </row>
    <row r="31503" spans="1:38">
      <c r="A31503" s="182"/>
      <c r="AJ31503" s="183"/>
      <c r="AK31503" s="183"/>
      <c r="AL31503" s="183"/>
    </row>
    <row r="31504" spans="1:38">
      <c r="A31504" s="182"/>
      <c r="AJ31504" s="183"/>
      <c r="AK31504" s="183"/>
      <c r="AL31504" s="183"/>
    </row>
    <row r="31505" spans="1:38">
      <c r="A31505" s="182"/>
      <c r="AJ31505" s="183"/>
      <c r="AK31505" s="183"/>
      <c r="AL31505" s="183"/>
    </row>
    <row r="31506" spans="1:38">
      <c r="A31506" s="182"/>
      <c r="AJ31506" s="183"/>
      <c r="AK31506" s="183"/>
      <c r="AL31506" s="183"/>
    </row>
    <row r="31507" spans="1:38">
      <c r="A31507" s="182"/>
      <c r="AJ31507" s="183"/>
      <c r="AK31507" s="183"/>
      <c r="AL31507" s="183"/>
    </row>
    <row r="31508" spans="1:38">
      <c r="A31508" s="182"/>
      <c r="AJ31508" s="183"/>
      <c r="AK31508" s="183"/>
      <c r="AL31508" s="183"/>
    </row>
    <row r="31509" spans="1:38">
      <c r="A31509" s="182"/>
      <c r="AJ31509" s="183"/>
      <c r="AK31509" s="183"/>
      <c r="AL31509" s="183"/>
    </row>
    <row r="31510" spans="1:38">
      <c r="A31510" s="182"/>
      <c r="AJ31510" s="183"/>
      <c r="AK31510" s="183"/>
      <c r="AL31510" s="183"/>
    </row>
    <row r="31511" spans="1:38">
      <c r="A31511" s="182"/>
      <c r="AJ31511" s="183"/>
      <c r="AK31511" s="183"/>
      <c r="AL31511" s="183"/>
    </row>
    <row r="31512" spans="1:38">
      <c r="A31512" s="182"/>
      <c r="AJ31512" s="183"/>
      <c r="AK31512" s="183"/>
      <c r="AL31512" s="183"/>
    </row>
    <row r="31513" spans="1:38">
      <c r="A31513" s="182"/>
      <c r="AJ31513" s="183"/>
    </row>
    <row r="31514" spans="1:38">
      <c r="A31514" s="182"/>
    </row>
    <row r="31515" spans="1:38">
      <c r="A31515" s="182"/>
    </row>
    <row r="31516" spans="1:38">
      <c r="A31516" s="182"/>
    </row>
    <row r="31517" spans="1:38">
      <c r="A31517" s="182"/>
    </row>
    <row r="31518" spans="1:38">
      <c r="A31518" s="182"/>
    </row>
    <row r="31519" spans="1:38">
      <c r="A31519" s="182"/>
    </row>
    <row r="31520" spans="1:38">
      <c r="A31520" s="182"/>
    </row>
    <row r="31521" spans="1:1">
      <c r="A31521" s="182"/>
    </row>
    <row r="31522" spans="1:1">
      <c r="A31522" s="182"/>
    </row>
    <row r="31523" spans="1:1">
      <c r="A31523" s="182"/>
    </row>
    <row r="31524" spans="1:1">
      <c r="A31524" s="182"/>
    </row>
    <row r="31525" spans="1:1">
      <c r="A31525" s="182"/>
    </row>
    <row r="31526" spans="1:1">
      <c r="A31526" s="182"/>
    </row>
    <row r="31527" spans="1:1">
      <c r="A31527" s="182"/>
    </row>
    <row r="31528" spans="1:1">
      <c r="A31528" s="182"/>
    </row>
    <row r="31529" spans="1:1">
      <c r="A31529" s="182"/>
    </row>
    <row r="31530" spans="1:1">
      <c r="A31530" s="182"/>
    </row>
    <row r="31531" spans="1:1">
      <c r="A31531" s="182"/>
    </row>
    <row r="31532" spans="1:1">
      <c r="A31532" s="182"/>
    </row>
    <row r="31533" spans="1:1">
      <c r="A31533" s="182"/>
    </row>
    <row r="31534" spans="1:1">
      <c r="A31534" s="182"/>
    </row>
    <row r="31535" spans="1:1">
      <c r="A31535" s="182"/>
    </row>
    <row r="31536" spans="1:1">
      <c r="A31536" s="182"/>
    </row>
    <row r="31537" spans="1:38">
      <c r="A31537" s="182"/>
      <c r="AK31537" s="183"/>
      <c r="AL31537" s="183"/>
    </row>
    <row r="31538" spans="1:38">
      <c r="A31538" s="182"/>
      <c r="AJ31538" s="183"/>
      <c r="AK31538" s="183"/>
      <c r="AL31538" s="183"/>
    </row>
    <row r="31539" spans="1:38">
      <c r="A31539" s="182"/>
      <c r="AJ31539" s="183"/>
      <c r="AK31539" s="183"/>
      <c r="AL31539" s="183"/>
    </row>
    <row r="31540" spans="1:38">
      <c r="A31540" s="182"/>
      <c r="AJ31540" s="183"/>
      <c r="AK31540" s="183"/>
      <c r="AL31540" s="183"/>
    </row>
    <row r="31541" spans="1:38">
      <c r="A31541" s="182"/>
      <c r="AJ31541" s="183"/>
    </row>
    <row r="31542" spans="1:38">
      <c r="A31542" s="182"/>
    </row>
    <row r="31543" spans="1:38">
      <c r="A31543" s="182"/>
    </row>
    <row r="31544" spans="1:38">
      <c r="A31544" s="182"/>
      <c r="M31544" s="183"/>
      <c r="N31544" s="183"/>
    </row>
    <row r="31545" spans="1:38">
      <c r="A31545" s="182"/>
      <c r="L31545" s="183"/>
      <c r="AK31545" s="183"/>
      <c r="AL31545" s="183"/>
    </row>
    <row r="31546" spans="1:38">
      <c r="A31546" s="182"/>
      <c r="AJ31546" s="183"/>
      <c r="AK31546" s="183"/>
      <c r="AL31546" s="183"/>
    </row>
    <row r="31547" spans="1:38">
      <c r="A31547" s="182"/>
      <c r="AJ31547" s="183"/>
      <c r="AK31547" s="183"/>
      <c r="AL31547" s="183"/>
    </row>
    <row r="31548" spans="1:38">
      <c r="A31548" s="182"/>
      <c r="AJ31548" s="183"/>
      <c r="AK31548" s="183"/>
      <c r="AL31548" s="183"/>
    </row>
    <row r="31549" spans="1:38">
      <c r="A31549" s="182"/>
      <c r="AJ31549" s="183"/>
    </row>
    <row r="31550" spans="1:38">
      <c r="A31550" s="182"/>
    </row>
    <row r="31551" spans="1:38">
      <c r="A31551" s="182"/>
    </row>
    <row r="31552" spans="1:38">
      <c r="A31552" s="182"/>
    </row>
    <row r="31553" spans="1:38">
      <c r="A31553" s="182"/>
    </row>
    <row r="31554" spans="1:38">
      <c r="A31554" s="182"/>
    </row>
    <row r="31555" spans="1:38">
      <c r="A31555" s="182"/>
    </row>
    <row r="31556" spans="1:38">
      <c r="A31556" s="182"/>
    </row>
    <row r="31557" spans="1:38">
      <c r="A31557" s="182"/>
    </row>
    <row r="31558" spans="1:38">
      <c r="A31558" s="182"/>
    </row>
    <row r="31559" spans="1:38">
      <c r="A31559" s="182"/>
    </row>
    <row r="31560" spans="1:38">
      <c r="A31560" s="182"/>
    </row>
    <row r="31561" spans="1:38">
      <c r="A31561" s="182"/>
      <c r="AK31561" s="183"/>
      <c r="AL31561" s="183"/>
    </row>
    <row r="31562" spans="1:38">
      <c r="A31562" s="182"/>
      <c r="AJ31562" s="183"/>
      <c r="AK31562" s="183"/>
      <c r="AL31562" s="183"/>
    </row>
    <row r="31563" spans="1:38">
      <c r="A31563" s="182"/>
      <c r="AJ31563" s="183"/>
      <c r="AK31563" s="183"/>
      <c r="AL31563" s="183"/>
    </row>
    <row r="31564" spans="1:38">
      <c r="A31564" s="182"/>
      <c r="AJ31564" s="183"/>
      <c r="AK31564" s="183"/>
      <c r="AL31564" s="183"/>
    </row>
    <row r="31565" spans="1:38">
      <c r="A31565" s="182"/>
      <c r="AJ31565" s="183"/>
    </row>
    <row r="31566" spans="1:38">
      <c r="A31566" s="182"/>
    </row>
    <row r="31567" spans="1:38">
      <c r="A31567" s="182"/>
    </row>
    <row r="31568" spans="1:38">
      <c r="A31568" s="182"/>
    </row>
    <row r="31569" spans="1:38">
      <c r="A31569" s="182"/>
      <c r="AK31569" s="183"/>
      <c r="AL31569" s="183"/>
    </row>
    <row r="31570" spans="1:38">
      <c r="A31570" s="182"/>
      <c r="AJ31570" s="183"/>
      <c r="AK31570" s="183"/>
      <c r="AL31570" s="183"/>
    </row>
    <row r="31571" spans="1:38">
      <c r="A31571" s="182"/>
      <c r="AJ31571" s="183"/>
      <c r="AK31571" s="183"/>
      <c r="AL31571" s="183"/>
    </row>
    <row r="31572" spans="1:38">
      <c r="A31572" s="182"/>
      <c r="AJ31572" s="183"/>
      <c r="AK31572" s="183"/>
      <c r="AL31572" s="183"/>
    </row>
    <row r="31573" spans="1:38">
      <c r="A31573" s="182"/>
      <c r="AJ31573" s="183"/>
      <c r="AK31573" s="183"/>
      <c r="AL31573" s="183"/>
    </row>
    <row r="31574" spans="1:38">
      <c r="A31574" s="182"/>
      <c r="AJ31574" s="183"/>
      <c r="AK31574" s="183"/>
      <c r="AL31574" s="183"/>
    </row>
    <row r="31575" spans="1:38">
      <c r="A31575" s="182"/>
      <c r="AJ31575" s="183"/>
      <c r="AK31575" s="183"/>
      <c r="AL31575" s="183"/>
    </row>
    <row r="31576" spans="1:38">
      <c r="A31576" s="182"/>
      <c r="AJ31576" s="183"/>
      <c r="AK31576" s="183"/>
      <c r="AL31576" s="183"/>
    </row>
    <row r="31577" spans="1:38">
      <c r="A31577" s="182"/>
      <c r="AJ31577" s="183"/>
      <c r="AK31577" s="183"/>
      <c r="AL31577" s="183"/>
    </row>
    <row r="31578" spans="1:38">
      <c r="A31578" s="182"/>
      <c r="AJ31578" s="183"/>
      <c r="AK31578" s="183"/>
      <c r="AL31578" s="183"/>
    </row>
    <row r="31579" spans="1:38">
      <c r="A31579" s="182"/>
      <c r="AJ31579" s="183"/>
      <c r="AK31579" s="183"/>
      <c r="AL31579" s="183"/>
    </row>
    <row r="31580" spans="1:38">
      <c r="A31580" s="182"/>
      <c r="AJ31580" s="183"/>
      <c r="AK31580" s="183"/>
      <c r="AL31580" s="183"/>
    </row>
    <row r="31581" spans="1:38">
      <c r="A31581" s="182"/>
      <c r="AJ31581" s="183"/>
    </row>
    <row r="31582" spans="1:38">
      <c r="A31582" s="182"/>
    </row>
    <row r="31583" spans="1:38">
      <c r="A31583" s="182"/>
    </row>
    <row r="31584" spans="1:38">
      <c r="A31584" s="182"/>
    </row>
    <row r="31585" spans="1:38">
      <c r="A31585" s="182"/>
      <c r="AK31585" s="183"/>
      <c r="AL31585" s="183"/>
    </row>
    <row r="31586" spans="1:38">
      <c r="A31586" s="182"/>
      <c r="AJ31586" s="183"/>
      <c r="AK31586" s="183"/>
      <c r="AL31586" s="183"/>
    </row>
    <row r="31587" spans="1:38">
      <c r="A31587" s="182"/>
      <c r="AJ31587" s="183"/>
      <c r="AK31587" s="183"/>
      <c r="AL31587" s="183"/>
    </row>
    <row r="31588" spans="1:38">
      <c r="A31588" s="182"/>
      <c r="AJ31588" s="183"/>
      <c r="AK31588" s="183"/>
      <c r="AL31588" s="183"/>
    </row>
    <row r="31589" spans="1:38">
      <c r="A31589" s="182"/>
      <c r="AJ31589" s="183"/>
    </row>
    <row r="31590" spans="1:38">
      <c r="A31590" s="182"/>
    </row>
    <row r="31591" spans="1:38">
      <c r="A31591" s="182"/>
    </row>
    <row r="31592" spans="1:38">
      <c r="A31592" s="182"/>
    </row>
    <row r="31593" spans="1:38">
      <c r="A31593" s="182"/>
      <c r="AK31593" s="183"/>
      <c r="AL31593" s="183"/>
    </row>
    <row r="31594" spans="1:38">
      <c r="A31594" s="182"/>
      <c r="AJ31594" s="183"/>
      <c r="AK31594" s="183"/>
      <c r="AL31594" s="183"/>
    </row>
    <row r="31595" spans="1:38">
      <c r="A31595" s="182"/>
      <c r="AJ31595" s="183"/>
      <c r="AK31595" s="183"/>
      <c r="AL31595" s="183"/>
    </row>
    <row r="31596" spans="1:38">
      <c r="A31596" s="182"/>
      <c r="AJ31596" s="183"/>
      <c r="AK31596" s="183"/>
      <c r="AL31596" s="183"/>
    </row>
    <row r="31597" spans="1:38">
      <c r="A31597" s="182"/>
      <c r="AJ31597" s="183"/>
      <c r="AK31597" s="183"/>
      <c r="AL31597" s="183"/>
    </row>
    <row r="31598" spans="1:38">
      <c r="A31598" s="182"/>
      <c r="AJ31598" s="183"/>
      <c r="AK31598" s="183"/>
      <c r="AL31598" s="183"/>
    </row>
    <row r="31599" spans="1:38">
      <c r="A31599" s="182"/>
      <c r="AJ31599" s="183"/>
      <c r="AK31599" s="183"/>
      <c r="AL31599" s="183"/>
    </row>
    <row r="31600" spans="1:38">
      <c r="A31600" s="182"/>
      <c r="AJ31600" s="183"/>
      <c r="AK31600" s="183"/>
      <c r="AL31600" s="183"/>
    </row>
    <row r="31601" spans="1:38">
      <c r="A31601" s="182"/>
      <c r="AJ31601" s="183"/>
      <c r="AK31601" s="183"/>
      <c r="AL31601" s="183"/>
    </row>
    <row r="31602" spans="1:38">
      <c r="A31602" s="182"/>
      <c r="AJ31602" s="183"/>
      <c r="AK31602" s="183"/>
      <c r="AL31602" s="183"/>
    </row>
    <row r="31603" spans="1:38">
      <c r="A31603" s="182"/>
      <c r="AJ31603" s="183"/>
      <c r="AK31603" s="183"/>
      <c r="AL31603" s="183"/>
    </row>
    <row r="31604" spans="1:38">
      <c r="A31604" s="182"/>
      <c r="AJ31604" s="183"/>
      <c r="AK31604" s="183"/>
      <c r="AL31604" s="183"/>
    </row>
    <row r="31605" spans="1:38">
      <c r="A31605" s="182"/>
      <c r="AJ31605" s="183"/>
      <c r="AK31605" s="183"/>
      <c r="AL31605" s="183"/>
    </row>
    <row r="31606" spans="1:38">
      <c r="A31606" s="182"/>
      <c r="AJ31606" s="183"/>
      <c r="AK31606" s="183"/>
      <c r="AL31606" s="183"/>
    </row>
    <row r="31607" spans="1:38">
      <c r="A31607" s="182"/>
      <c r="AJ31607" s="183"/>
      <c r="AK31607" s="183"/>
      <c r="AL31607" s="183"/>
    </row>
    <row r="31608" spans="1:38">
      <c r="A31608" s="182"/>
      <c r="AJ31608" s="183"/>
      <c r="AK31608" s="183"/>
      <c r="AL31608" s="183"/>
    </row>
    <row r="31609" spans="1:38">
      <c r="A31609" s="182"/>
      <c r="AJ31609" s="183"/>
    </row>
    <row r="31610" spans="1:38">
      <c r="A31610" s="182"/>
    </row>
    <row r="31611" spans="1:38">
      <c r="A31611" s="182"/>
    </row>
    <row r="31612" spans="1:38">
      <c r="A31612" s="182"/>
    </row>
    <row r="31613" spans="1:38">
      <c r="A31613" s="182"/>
    </row>
    <row r="31614" spans="1:38">
      <c r="A31614" s="182"/>
    </row>
    <row r="31615" spans="1:38">
      <c r="A31615" s="182"/>
    </row>
    <row r="31616" spans="1:38">
      <c r="A31616" s="182"/>
    </row>
    <row r="31617" spans="1:38">
      <c r="A31617" s="182"/>
    </row>
    <row r="31618" spans="1:38">
      <c r="A31618" s="182"/>
    </row>
    <row r="31619" spans="1:38">
      <c r="A31619" s="182"/>
    </row>
    <row r="31620" spans="1:38">
      <c r="A31620" s="182"/>
    </row>
    <row r="31621" spans="1:38">
      <c r="A31621" s="182"/>
    </row>
    <row r="31622" spans="1:38">
      <c r="A31622" s="182"/>
    </row>
    <row r="31623" spans="1:38">
      <c r="A31623" s="182"/>
    </row>
    <row r="31624" spans="1:38">
      <c r="A31624" s="182"/>
    </row>
    <row r="31625" spans="1:38">
      <c r="A31625" s="182"/>
      <c r="AK31625" s="183"/>
      <c r="AL31625" s="183"/>
    </row>
    <row r="31626" spans="1:38">
      <c r="A31626" s="182"/>
      <c r="AJ31626" s="183"/>
      <c r="AK31626" s="183"/>
      <c r="AL31626" s="183"/>
    </row>
    <row r="31627" spans="1:38">
      <c r="A31627" s="182"/>
      <c r="AJ31627" s="183"/>
      <c r="AK31627" s="183"/>
      <c r="AL31627" s="183"/>
    </row>
    <row r="31628" spans="1:38">
      <c r="A31628" s="182"/>
      <c r="AJ31628" s="183"/>
      <c r="AK31628" s="183"/>
      <c r="AL31628" s="183"/>
    </row>
    <row r="31629" spans="1:38">
      <c r="A31629" s="182"/>
      <c r="AJ31629" s="183"/>
    </row>
    <row r="31630" spans="1:38">
      <c r="A31630" s="182"/>
    </row>
    <row r="31631" spans="1:38">
      <c r="A31631" s="182"/>
    </row>
    <row r="31632" spans="1:38">
      <c r="A31632" s="182"/>
    </row>
    <row r="31633" spans="1:1">
      <c r="A31633" s="182"/>
    </row>
    <row r="31634" spans="1:1">
      <c r="A31634" s="182"/>
    </row>
    <row r="31635" spans="1:1">
      <c r="A31635" s="182"/>
    </row>
    <row r="31636" spans="1:1">
      <c r="A31636" s="182"/>
    </row>
    <row r="31637" spans="1:1">
      <c r="A31637" s="182"/>
    </row>
    <row r="31638" spans="1:1">
      <c r="A31638" s="182"/>
    </row>
    <row r="31639" spans="1:1">
      <c r="A31639" s="182"/>
    </row>
    <row r="31640" spans="1:1">
      <c r="A31640" s="182"/>
    </row>
    <row r="31641" spans="1:1">
      <c r="A31641" s="182"/>
    </row>
    <row r="31642" spans="1:1">
      <c r="A31642" s="182"/>
    </row>
    <row r="31643" spans="1:1">
      <c r="A31643" s="182"/>
    </row>
    <row r="31644" spans="1:1">
      <c r="A31644" s="182"/>
    </row>
    <row r="31645" spans="1:1">
      <c r="A31645" s="182"/>
    </row>
    <row r="31646" spans="1:1">
      <c r="A31646" s="182"/>
    </row>
    <row r="31647" spans="1:1">
      <c r="A31647" s="182"/>
    </row>
    <row r="31648" spans="1:1">
      <c r="A31648" s="182"/>
    </row>
    <row r="31649" spans="1:38">
      <c r="A31649" s="182"/>
    </row>
    <row r="31650" spans="1:38">
      <c r="A31650" s="182"/>
    </row>
    <row r="31651" spans="1:38">
      <c r="A31651" s="182"/>
    </row>
    <row r="31652" spans="1:38">
      <c r="A31652" s="182"/>
    </row>
    <row r="31653" spans="1:38">
      <c r="A31653" s="182"/>
    </row>
    <row r="31654" spans="1:38">
      <c r="A31654" s="182"/>
    </row>
    <row r="31655" spans="1:38">
      <c r="A31655" s="182"/>
    </row>
    <row r="31656" spans="1:38">
      <c r="A31656" s="182"/>
    </row>
    <row r="31657" spans="1:38">
      <c r="A31657" s="182"/>
      <c r="AK31657" s="183"/>
      <c r="AL31657" s="183"/>
    </row>
    <row r="31658" spans="1:38">
      <c r="A31658" s="182"/>
      <c r="AJ31658" s="183"/>
      <c r="AK31658" s="183"/>
      <c r="AL31658" s="183"/>
    </row>
    <row r="31659" spans="1:38">
      <c r="A31659" s="182"/>
      <c r="AJ31659" s="183"/>
      <c r="AK31659" s="183"/>
      <c r="AL31659" s="183"/>
    </row>
    <row r="31660" spans="1:38">
      <c r="A31660" s="182"/>
      <c r="AJ31660" s="183"/>
      <c r="AK31660" s="183"/>
      <c r="AL31660" s="183"/>
    </row>
    <row r="31661" spans="1:38">
      <c r="A31661" s="182"/>
      <c r="AJ31661" s="183"/>
      <c r="AK31661" s="183"/>
      <c r="AL31661" s="183"/>
    </row>
    <row r="31662" spans="1:38">
      <c r="A31662" s="182"/>
      <c r="AJ31662" s="183"/>
      <c r="AK31662" s="183"/>
      <c r="AL31662" s="183"/>
    </row>
    <row r="31663" spans="1:38">
      <c r="A31663" s="182"/>
      <c r="AJ31663" s="183"/>
      <c r="AK31663" s="183"/>
      <c r="AL31663" s="183"/>
    </row>
    <row r="31664" spans="1:38">
      <c r="A31664" s="182"/>
      <c r="AJ31664" s="183"/>
      <c r="AK31664" s="183"/>
      <c r="AL31664" s="183"/>
    </row>
    <row r="31665" spans="1:38">
      <c r="A31665" s="182"/>
      <c r="AJ31665" s="183"/>
      <c r="AK31665" s="183"/>
      <c r="AL31665" s="183"/>
    </row>
    <row r="31666" spans="1:38">
      <c r="A31666" s="182"/>
      <c r="AJ31666" s="183"/>
      <c r="AK31666" s="183"/>
      <c r="AL31666" s="183"/>
    </row>
    <row r="31667" spans="1:38">
      <c r="A31667" s="182"/>
      <c r="AJ31667" s="183"/>
      <c r="AK31667" s="183"/>
      <c r="AL31667" s="183"/>
    </row>
    <row r="31668" spans="1:38">
      <c r="A31668" s="182"/>
      <c r="AJ31668" s="183"/>
      <c r="AK31668" s="183"/>
      <c r="AL31668" s="183"/>
    </row>
    <row r="31669" spans="1:38">
      <c r="A31669" s="182"/>
      <c r="AJ31669" s="183"/>
    </row>
    <row r="31670" spans="1:38">
      <c r="A31670" s="182"/>
    </row>
    <row r="31671" spans="1:38">
      <c r="A31671" s="182"/>
    </row>
    <row r="31672" spans="1:38">
      <c r="A31672" s="182"/>
    </row>
    <row r="31673" spans="1:38">
      <c r="A31673" s="182"/>
    </row>
    <row r="31674" spans="1:38">
      <c r="A31674" s="182"/>
    </row>
    <row r="31675" spans="1:38">
      <c r="A31675" s="182"/>
    </row>
    <row r="31676" spans="1:38">
      <c r="A31676" s="182"/>
    </row>
    <row r="31677" spans="1:38">
      <c r="A31677" s="182"/>
    </row>
    <row r="31678" spans="1:38">
      <c r="A31678" s="182"/>
    </row>
    <row r="31679" spans="1:38">
      <c r="A31679" s="182"/>
    </row>
    <row r="31680" spans="1:38">
      <c r="A31680" s="182"/>
    </row>
    <row r="31681" spans="1:1">
      <c r="A31681" s="182"/>
    </row>
    <row r="31682" spans="1:1">
      <c r="A31682" s="182"/>
    </row>
    <row r="31683" spans="1:1">
      <c r="A31683" s="182"/>
    </row>
    <row r="31684" spans="1:1">
      <c r="A31684" s="182"/>
    </row>
    <row r="31685" spans="1:1">
      <c r="A31685" s="182"/>
    </row>
    <row r="31686" spans="1:1">
      <c r="A31686" s="182"/>
    </row>
    <row r="31687" spans="1:1">
      <c r="A31687" s="182"/>
    </row>
    <row r="31688" spans="1:1">
      <c r="A31688" s="182"/>
    </row>
    <row r="31689" spans="1:1">
      <c r="A31689" s="182"/>
    </row>
    <row r="31690" spans="1:1">
      <c r="A31690" s="182"/>
    </row>
    <row r="31691" spans="1:1">
      <c r="A31691" s="182"/>
    </row>
    <row r="31692" spans="1:1">
      <c r="A31692" s="182"/>
    </row>
    <row r="31693" spans="1:1">
      <c r="A31693" s="182"/>
    </row>
    <row r="31694" spans="1:1">
      <c r="A31694" s="182"/>
    </row>
    <row r="31695" spans="1:1">
      <c r="A31695" s="182"/>
    </row>
    <row r="31696" spans="1:1">
      <c r="A31696" s="182"/>
    </row>
    <row r="31697" spans="1:38">
      <c r="A31697" s="182"/>
      <c r="AK31697" s="183"/>
      <c r="AL31697" s="183"/>
    </row>
    <row r="31698" spans="1:38">
      <c r="A31698" s="182"/>
      <c r="AJ31698" s="183"/>
      <c r="AK31698" s="183"/>
      <c r="AL31698" s="183"/>
    </row>
    <row r="31699" spans="1:38">
      <c r="A31699" s="182"/>
      <c r="AJ31699" s="183"/>
      <c r="AK31699" s="183"/>
      <c r="AL31699" s="183"/>
    </row>
    <row r="31700" spans="1:38">
      <c r="A31700" s="182"/>
      <c r="AJ31700" s="183"/>
      <c r="AK31700" s="183"/>
      <c r="AL31700" s="183"/>
    </row>
    <row r="31701" spans="1:38">
      <c r="A31701" s="182"/>
      <c r="AJ31701" s="183"/>
      <c r="AK31701" s="183"/>
      <c r="AL31701" s="183"/>
    </row>
    <row r="31702" spans="1:38">
      <c r="A31702" s="182"/>
      <c r="AJ31702" s="183"/>
      <c r="AK31702" s="183"/>
      <c r="AL31702" s="183"/>
    </row>
    <row r="31703" spans="1:38">
      <c r="A31703" s="182"/>
      <c r="AJ31703" s="183"/>
      <c r="AK31703" s="183"/>
      <c r="AL31703" s="183"/>
    </row>
    <row r="31704" spans="1:38">
      <c r="A31704" s="182"/>
      <c r="AJ31704" s="183"/>
      <c r="AK31704" s="183"/>
      <c r="AL31704" s="183"/>
    </row>
    <row r="31705" spans="1:38">
      <c r="A31705" s="182"/>
      <c r="AJ31705" s="183"/>
    </row>
    <row r="31706" spans="1:38">
      <c r="A31706" s="182"/>
    </row>
    <row r="31707" spans="1:38">
      <c r="A31707" s="182"/>
    </row>
    <row r="31708" spans="1:38">
      <c r="A31708" s="182"/>
    </row>
    <row r="31709" spans="1:38">
      <c r="A31709" s="182"/>
      <c r="AK31709" s="183"/>
      <c r="AL31709" s="183"/>
    </row>
    <row r="31710" spans="1:38">
      <c r="A31710" s="182"/>
      <c r="AJ31710" s="183"/>
      <c r="AK31710" s="183"/>
      <c r="AL31710" s="183"/>
    </row>
    <row r="31711" spans="1:38">
      <c r="A31711" s="182"/>
      <c r="AJ31711" s="183"/>
      <c r="AK31711" s="183"/>
      <c r="AL31711" s="183"/>
    </row>
    <row r="31712" spans="1:38">
      <c r="A31712" s="182"/>
      <c r="AJ31712" s="183"/>
      <c r="AK31712" s="183"/>
      <c r="AL31712" s="183"/>
    </row>
    <row r="31713" spans="1:38">
      <c r="A31713" s="182"/>
      <c r="AJ31713" s="183"/>
      <c r="AK31713" s="183"/>
      <c r="AL31713" s="183"/>
    </row>
    <row r="31714" spans="1:38">
      <c r="A31714" s="182"/>
      <c r="AJ31714" s="183"/>
      <c r="AK31714" s="183"/>
      <c r="AL31714" s="183"/>
    </row>
    <row r="31715" spans="1:38">
      <c r="A31715" s="182"/>
      <c r="AJ31715" s="183"/>
      <c r="AK31715" s="183"/>
      <c r="AL31715" s="183"/>
    </row>
    <row r="31716" spans="1:38">
      <c r="A31716" s="182"/>
      <c r="AJ31716" s="183"/>
      <c r="AK31716" s="183"/>
      <c r="AL31716" s="183"/>
    </row>
    <row r="31717" spans="1:38">
      <c r="A31717" s="182"/>
      <c r="AJ31717" s="183"/>
    </row>
    <row r="31718" spans="1:38">
      <c r="A31718" s="182"/>
    </row>
    <row r="31719" spans="1:38">
      <c r="A31719" s="182"/>
    </row>
    <row r="31720" spans="1:38">
      <c r="A31720" s="182"/>
    </row>
    <row r="31721" spans="1:38">
      <c r="A31721" s="182"/>
    </row>
    <row r="31722" spans="1:38">
      <c r="A31722" s="182"/>
    </row>
    <row r="31723" spans="1:38">
      <c r="A31723" s="182"/>
    </row>
    <row r="31724" spans="1:38">
      <c r="A31724" s="182"/>
    </row>
    <row r="31725" spans="1:38">
      <c r="A31725" s="182"/>
    </row>
    <row r="31726" spans="1:38">
      <c r="A31726" s="182"/>
    </row>
    <row r="31727" spans="1:38">
      <c r="A31727" s="182"/>
    </row>
    <row r="31728" spans="1:38">
      <c r="A31728" s="182"/>
    </row>
    <row r="31729" spans="1:38">
      <c r="A31729" s="182"/>
      <c r="AK31729" s="183"/>
      <c r="AL31729" s="183"/>
    </row>
    <row r="31730" spans="1:38">
      <c r="A31730" s="182"/>
      <c r="AJ31730" s="183"/>
      <c r="AK31730" s="183"/>
      <c r="AL31730" s="183"/>
    </row>
    <row r="31731" spans="1:38">
      <c r="A31731" s="182"/>
      <c r="AJ31731" s="183"/>
      <c r="AK31731" s="183"/>
      <c r="AL31731" s="183"/>
    </row>
    <row r="31732" spans="1:38">
      <c r="A31732" s="182"/>
      <c r="AJ31732" s="183"/>
      <c r="AK31732" s="183"/>
      <c r="AL31732" s="183"/>
    </row>
    <row r="31733" spans="1:38">
      <c r="A31733" s="182"/>
      <c r="AJ31733" s="183"/>
      <c r="AK31733" s="183"/>
      <c r="AL31733" s="183"/>
    </row>
    <row r="31734" spans="1:38">
      <c r="A31734" s="182"/>
      <c r="AJ31734" s="183"/>
      <c r="AK31734" s="183"/>
      <c r="AL31734" s="183"/>
    </row>
    <row r="31735" spans="1:38">
      <c r="A31735" s="182"/>
      <c r="AJ31735" s="183"/>
      <c r="AK31735" s="183"/>
      <c r="AL31735" s="183"/>
    </row>
    <row r="31736" spans="1:38">
      <c r="A31736" s="182"/>
      <c r="AJ31736" s="183"/>
      <c r="AK31736" s="183"/>
      <c r="AL31736" s="183"/>
    </row>
    <row r="31737" spans="1:38">
      <c r="A31737" s="182"/>
      <c r="AJ31737" s="183"/>
      <c r="AK31737" s="183"/>
      <c r="AL31737" s="183"/>
    </row>
    <row r="31738" spans="1:38">
      <c r="A31738" s="182"/>
      <c r="AJ31738" s="183"/>
      <c r="AK31738" s="183"/>
      <c r="AL31738" s="183"/>
    </row>
    <row r="31739" spans="1:38">
      <c r="A31739" s="182"/>
      <c r="AJ31739" s="183"/>
      <c r="AK31739" s="183"/>
      <c r="AL31739" s="183"/>
    </row>
    <row r="31740" spans="1:38">
      <c r="A31740" s="182"/>
      <c r="AJ31740" s="183"/>
      <c r="AK31740" s="183"/>
      <c r="AL31740" s="183"/>
    </row>
    <row r="31741" spans="1:38">
      <c r="A31741" s="182"/>
      <c r="AJ31741" s="183"/>
    </row>
    <row r="31742" spans="1:38">
      <c r="A31742" s="182"/>
    </row>
    <row r="31743" spans="1:38">
      <c r="A31743" s="182"/>
    </row>
    <row r="31744" spans="1:38">
      <c r="A31744" s="182"/>
    </row>
    <row r="31745" spans="1:38">
      <c r="A31745" s="182"/>
      <c r="AK31745" s="183"/>
      <c r="AL31745" s="183"/>
    </row>
    <row r="31746" spans="1:38">
      <c r="A31746" s="182"/>
      <c r="AJ31746" s="183"/>
      <c r="AK31746" s="183"/>
      <c r="AL31746" s="183"/>
    </row>
    <row r="31747" spans="1:38">
      <c r="A31747" s="182"/>
      <c r="AJ31747" s="183"/>
      <c r="AK31747" s="183"/>
      <c r="AL31747" s="183"/>
    </row>
    <row r="31748" spans="1:38">
      <c r="A31748" s="182"/>
      <c r="AJ31748" s="183"/>
      <c r="AK31748" s="183"/>
      <c r="AL31748" s="183"/>
    </row>
    <row r="31749" spans="1:38">
      <c r="A31749" s="182"/>
      <c r="AJ31749" s="183"/>
      <c r="AK31749" s="183"/>
      <c r="AL31749" s="183"/>
    </row>
    <row r="31750" spans="1:38">
      <c r="A31750" s="182"/>
      <c r="AJ31750" s="183"/>
      <c r="AK31750" s="183"/>
      <c r="AL31750" s="183"/>
    </row>
    <row r="31751" spans="1:38">
      <c r="A31751" s="182"/>
      <c r="AJ31751" s="183"/>
      <c r="AK31751" s="183"/>
      <c r="AL31751" s="183"/>
    </row>
    <row r="31752" spans="1:38">
      <c r="A31752" s="182"/>
      <c r="AJ31752" s="183"/>
      <c r="AK31752" s="183"/>
      <c r="AL31752" s="183"/>
    </row>
    <row r="31753" spans="1:38">
      <c r="A31753" s="182"/>
      <c r="AJ31753" s="183"/>
      <c r="AK31753" s="183"/>
      <c r="AL31753" s="183"/>
    </row>
    <row r="31754" spans="1:38">
      <c r="A31754" s="182"/>
      <c r="AJ31754" s="183"/>
      <c r="AK31754" s="183"/>
      <c r="AL31754" s="183"/>
    </row>
    <row r="31755" spans="1:38">
      <c r="A31755" s="182"/>
      <c r="AJ31755" s="183"/>
      <c r="AK31755" s="183"/>
      <c r="AL31755" s="183"/>
    </row>
    <row r="31756" spans="1:38">
      <c r="A31756" s="182"/>
      <c r="AJ31756" s="183"/>
      <c r="AK31756" s="183"/>
      <c r="AL31756" s="183"/>
    </row>
    <row r="31757" spans="1:38">
      <c r="A31757" s="182"/>
      <c r="AJ31757" s="183"/>
    </row>
    <row r="31758" spans="1:38">
      <c r="A31758" s="182"/>
    </row>
    <row r="31759" spans="1:38">
      <c r="A31759" s="182"/>
    </row>
    <row r="31760" spans="1:38">
      <c r="A31760" s="182"/>
    </row>
    <row r="31761" spans="1:38">
      <c r="A31761" s="182"/>
    </row>
    <row r="31762" spans="1:38">
      <c r="A31762" s="182"/>
    </row>
    <row r="31763" spans="1:38">
      <c r="A31763" s="182"/>
    </row>
    <row r="31764" spans="1:38">
      <c r="A31764" s="182"/>
    </row>
    <row r="31765" spans="1:38">
      <c r="A31765" s="182"/>
    </row>
    <row r="31766" spans="1:38">
      <c r="A31766" s="182"/>
    </row>
    <row r="31767" spans="1:38">
      <c r="A31767" s="182"/>
    </row>
    <row r="31768" spans="1:38">
      <c r="A31768" s="182"/>
    </row>
    <row r="31769" spans="1:38">
      <c r="A31769" s="182"/>
      <c r="AK31769" s="183"/>
      <c r="AL31769" s="183"/>
    </row>
    <row r="31770" spans="1:38">
      <c r="A31770" s="182"/>
      <c r="AJ31770" s="183"/>
      <c r="AK31770" s="183"/>
      <c r="AL31770" s="183"/>
    </row>
    <row r="31771" spans="1:38">
      <c r="A31771" s="182"/>
      <c r="AJ31771" s="183"/>
      <c r="AK31771" s="183"/>
      <c r="AL31771" s="183"/>
    </row>
    <row r="31772" spans="1:38">
      <c r="A31772" s="182"/>
      <c r="AJ31772" s="183"/>
      <c r="AK31772" s="183"/>
      <c r="AL31772" s="183"/>
    </row>
    <row r="31773" spans="1:38">
      <c r="A31773" s="182"/>
      <c r="AJ31773" s="183"/>
    </row>
    <row r="31774" spans="1:38">
      <c r="A31774" s="182"/>
    </row>
    <row r="31775" spans="1:38">
      <c r="A31775" s="182"/>
    </row>
    <row r="31776" spans="1:38">
      <c r="A31776" s="182"/>
    </row>
    <row r="31777" spans="1:38">
      <c r="A31777" s="182"/>
      <c r="AK31777" s="183"/>
      <c r="AL31777" s="183"/>
    </row>
    <row r="31778" spans="1:38">
      <c r="A31778" s="182"/>
      <c r="M31778" s="183"/>
      <c r="N31778" s="183"/>
      <c r="AJ31778" s="183"/>
      <c r="AK31778" s="183"/>
      <c r="AL31778" s="183"/>
    </row>
    <row r="31779" spans="1:38">
      <c r="A31779" s="182"/>
      <c r="L31779" s="183"/>
      <c r="AJ31779" s="183"/>
      <c r="AK31779" s="183"/>
      <c r="AL31779" s="183"/>
    </row>
    <row r="31780" spans="1:38">
      <c r="A31780" s="182"/>
      <c r="AJ31780" s="183"/>
      <c r="AK31780" s="183"/>
      <c r="AL31780" s="183"/>
    </row>
    <row r="31781" spans="1:38">
      <c r="A31781" s="182"/>
      <c r="AJ31781" s="183"/>
      <c r="AK31781" s="183"/>
      <c r="AL31781" s="183"/>
    </row>
    <row r="31782" spans="1:38">
      <c r="A31782" s="182"/>
      <c r="AJ31782" s="183"/>
      <c r="AK31782" s="183"/>
      <c r="AL31782" s="183"/>
    </row>
    <row r="31783" spans="1:38">
      <c r="A31783" s="182"/>
      <c r="AJ31783" s="183"/>
      <c r="AK31783" s="183"/>
      <c r="AL31783" s="183"/>
    </row>
    <row r="31784" spans="1:38">
      <c r="A31784" s="182"/>
      <c r="M31784" s="183"/>
      <c r="N31784" s="183"/>
      <c r="AJ31784" s="183"/>
      <c r="AK31784" s="183"/>
      <c r="AL31784" s="183"/>
    </row>
    <row r="31785" spans="1:38">
      <c r="A31785" s="182"/>
      <c r="L31785" s="183"/>
      <c r="AJ31785" s="183"/>
    </row>
    <row r="31786" spans="1:38">
      <c r="A31786" s="182"/>
    </row>
    <row r="31787" spans="1:38">
      <c r="A31787" s="182"/>
    </row>
    <row r="31788" spans="1:38">
      <c r="A31788" s="182"/>
    </row>
    <row r="31789" spans="1:38">
      <c r="A31789" s="182"/>
      <c r="AK31789" s="183"/>
      <c r="AL31789" s="183"/>
    </row>
    <row r="31790" spans="1:38">
      <c r="A31790" s="182"/>
      <c r="AJ31790" s="183"/>
      <c r="AK31790" s="183"/>
      <c r="AL31790" s="183"/>
    </row>
    <row r="31791" spans="1:38">
      <c r="A31791" s="182"/>
      <c r="AJ31791" s="183"/>
      <c r="AK31791" s="183"/>
      <c r="AL31791" s="183"/>
    </row>
    <row r="31792" spans="1:38">
      <c r="A31792" s="182"/>
      <c r="AJ31792" s="183"/>
      <c r="AK31792" s="183"/>
      <c r="AL31792" s="183"/>
    </row>
    <row r="31793" spans="1:38">
      <c r="A31793" s="182"/>
      <c r="AJ31793" s="183"/>
      <c r="AK31793" s="183"/>
      <c r="AL31793" s="183"/>
    </row>
    <row r="31794" spans="1:38">
      <c r="A31794" s="182"/>
      <c r="AJ31794" s="183"/>
      <c r="AK31794" s="183"/>
      <c r="AL31794" s="183"/>
    </row>
    <row r="31795" spans="1:38">
      <c r="A31795" s="182"/>
      <c r="AJ31795" s="183"/>
      <c r="AK31795" s="183"/>
      <c r="AL31795" s="183"/>
    </row>
    <row r="31796" spans="1:38">
      <c r="A31796" s="182"/>
      <c r="AJ31796" s="183"/>
      <c r="AK31796" s="183"/>
      <c r="AL31796" s="183"/>
    </row>
    <row r="31797" spans="1:38">
      <c r="A31797" s="182"/>
      <c r="AJ31797" s="183"/>
      <c r="AK31797" s="183"/>
      <c r="AL31797" s="183"/>
    </row>
    <row r="31798" spans="1:38">
      <c r="A31798" s="182"/>
      <c r="AJ31798" s="183"/>
      <c r="AK31798" s="183"/>
      <c r="AL31798" s="183"/>
    </row>
    <row r="31799" spans="1:38">
      <c r="A31799" s="182"/>
      <c r="AJ31799" s="183"/>
      <c r="AK31799" s="183"/>
      <c r="AL31799" s="183"/>
    </row>
    <row r="31800" spans="1:38">
      <c r="A31800" s="182"/>
      <c r="AJ31800" s="183"/>
      <c r="AK31800" s="183"/>
      <c r="AL31800" s="183"/>
    </row>
    <row r="31801" spans="1:38">
      <c r="A31801" s="182"/>
      <c r="AJ31801" s="183"/>
    </row>
    <row r="31802" spans="1:38">
      <c r="A31802" s="182"/>
    </row>
    <row r="31803" spans="1:38">
      <c r="A31803" s="182"/>
    </row>
    <row r="31804" spans="1:38">
      <c r="A31804" s="182"/>
    </row>
    <row r="31805" spans="1:38">
      <c r="A31805" s="182"/>
    </row>
    <row r="31806" spans="1:38">
      <c r="A31806" s="182"/>
    </row>
    <row r="31807" spans="1:38">
      <c r="A31807" s="182"/>
    </row>
    <row r="31808" spans="1:38">
      <c r="A31808" s="182"/>
    </row>
    <row r="31809" spans="1:38">
      <c r="A31809" s="182"/>
    </row>
    <row r="31810" spans="1:38">
      <c r="A31810" s="182"/>
    </row>
    <row r="31811" spans="1:38">
      <c r="A31811" s="182"/>
    </row>
    <row r="31812" spans="1:38">
      <c r="A31812" s="182"/>
    </row>
    <row r="31813" spans="1:38">
      <c r="A31813" s="182"/>
    </row>
    <row r="31814" spans="1:38">
      <c r="A31814" s="182"/>
    </row>
    <row r="31815" spans="1:38">
      <c r="A31815" s="182"/>
    </row>
    <row r="31816" spans="1:38">
      <c r="A31816" s="182"/>
    </row>
    <row r="31817" spans="1:38">
      <c r="A31817" s="182"/>
      <c r="AK31817" s="183"/>
      <c r="AL31817" s="183"/>
    </row>
    <row r="31818" spans="1:38">
      <c r="A31818" s="182"/>
      <c r="AJ31818" s="183"/>
      <c r="AK31818" s="183"/>
      <c r="AL31818" s="183"/>
    </row>
    <row r="31819" spans="1:38">
      <c r="A31819" s="182"/>
      <c r="AJ31819" s="183"/>
      <c r="AK31819" s="183"/>
      <c r="AL31819" s="183"/>
    </row>
    <row r="31820" spans="1:38">
      <c r="A31820" s="182"/>
      <c r="AJ31820" s="183"/>
      <c r="AK31820" s="183"/>
      <c r="AL31820" s="183"/>
    </row>
    <row r="31821" spans="1:38">
      <c r="A31821" s="182"/>
      <c r="AJ31821" s="183"/>
      <c r="AK31821" s="183"/>
      <c r="AL31821" s="183"/>
    </row>
    <row r="31822" spans="1:38">
      <c r="A31822" s="182"/>
      <c r="AJ31822" s="183"/>
      <c r="AK31822" s="183"/>
      <c r="AL31822" s="183"/>
    </row>
    <row r="31823" spans="1:38">
      <c r="A31823" s="182"/>
      <c r="AJ31823" s="183"/>
      <c r="AK31823" s="183"/>
      <c r="AL31823" s="183"/>
    </row>
    <row r="31824" spans="1:38">
      <c r="A31824" s="182"/>
      <c r="AJ31824" s="183"/>
      <c r="AK31824" s="183"/>
      <c r="AL31824" s="183"/>
    </row>
    <row r="31825" spans="1:38">
      <c r="A31825" s="182"/>
      <c r="AJ31825" s="183"/>
      <c r="AK31825" s="183"/>
      <c r="AL31825" s="183"/>
    </row>
    <row r="31826" spans="1:38">
      <c r="A31826" s="182"/>
      <c r="AJ31826" s="183"/>
      <c r="AK31826" s="183"/>
      <c r="AL31826" s="183"/>
    </row>
    <row r="31827" spans="1:38">
      <c r="A31827" s="182"/>
      <c r="AJ31827" s="183"/>
      <c r="AK31827" s="183"/>
      <c r="AL31827" s="183"/>
    </row>
    <row r="31828" spans="1:38">
      <c r="A31828" s="182"/>
      <c r="AJ31828" s="183"/>
      <c r="AK31828" s="183"/>
      <c r="AL31828" s="183"/>
    </row>
    <row r="31829" spans="1:38">
      <c r="A31829" s="182"/>
      <c r="AJ31829" s="183"/>
    </row>
    <row r="31830" spans="1:38">
      <c r="A31830" s="182"/>
    </row>
    <row r="31831" spans="1:38">
      <c r="A31831" s="182"/>
    </row>
    <row r="31832" spans="1:38">
      <c r="A31832" s="182"/>
    </row>
    <row r="31833" spans="1:38">
      <c r="A31833" s="182"/>
      <c r="AK31833" s="183"/>
      <c r="AL31833" s="183"/>
    </row>
    <row r="31834" spans="1:38">
      <c r="A31834" s="182"/>
      <c r="AJ31834" s="183"/>
      <c r="AK31834" s="183"/>
      <c r="AL31834" s="183"/>
    </row>
    <row r="31835" spans="1:38">
      <c r="A31835" s="182"/>
      <c r="AJ31835" s="183"/>
      <c r="AK31835" s="183"/>
      <c r="AL31835" s="183"/>
    </row>
    <row r="31836" spans="1:38">
      <c r="A31836" s="182"/>
      <c r="AJ31836" s="183"/>
      <c r="AK31836" s="183"/>
      <c r="AL31836" s="183"/>
    </row>
    <row r="31837" spans="1:38">
      <c r="A31837" s="182"/>
      <c r="AJ31837" s="183"/>
    </row>
    <row r="31838" spans="1:38">
      <c r="A31838" s="182"/>
    </row>
    <row r="31839" spans="1:38">
      <c r="A31839" s="182"/>
    </row>
    <row r="31840" spans="1:38">
      <c r="A31840" s="182"/>
    </row>
    <row r="31841" spans="1:38">
      <c r="A31841" s="182"/>
      <c r="AK31841" s="183"/>
      <c r="AL31841" s="183"/>
    </row>
    <row r="31842" spans="1:38">
      <c r="A31842" s="182"/>
      <c r="AJ31842" s="183"/>
      <c r="AK31842" s="183"/>
      <c r="AL31842" s="183"/>
    </row>
    <row r="31843" spans="1:38">
      <c r="A31843" s="182"/>
      <c r="AJ31843" s="183"/>
      <c r="AK31843" s="183"/>
      <c r="AL31843" s="183"/>
    </row>
    <row r="31844" spans="1:38">
      <c r="A31844" s="182"/>
      <c r="AJ31844" s="183"/>
      <c r="AK31844" s="183"/>
      <c r="AL31844" s="183"/>
    </row>
    <row r="31845" spans="1:38">
      <c r="A31845" s="182"/>
      <c r="AJ31845" s="183"/>
    </row>
    <row r="31846" spans="1:38">
      <c r="A31846" s="182"/>
    </row>
    <row r="31847" spans="1:38">
      <c r="A31847" s="182"/>
    </row>
    <row r="31848" spans="1:38">
      <c r="A31848" s="182"/>
    </row>
    <row r="31849" spans="1:38">
      <c r="A31849" s="182"/>
    </row>
    <row r="31850" spans="1:38">
      <c r="A31850" s="182"/>
    </row>
    <row r="31851" spans="1:38">
      <c r="A31851" s="182"/>
    </row>
    <row r="31852" spans="1:38">
      <c r="A31852" s="182"/>
    </row>
    <row r="31853" spans="1:38">
      <c r="A31853" s="182"/>
    </row>
    <row r="31854" spans="1:38">
      <c r="A31854" s="182"/>
    </row>
    <row r="31855" spans="1:38">
      <c r="A31855" s="182"/>
    </row>
    <row r="31856" spans="1:38">
      <c r="A31856" s="182"/>
    </row>
    <row r="31857" spans="1:38">
      <c r="A31857" s="182"/>
    </row>
    <row r="31858" spans="1:38">
      <c r="A31858" s="182"/>
    </row>
    <row r="31859" spans="1:38">
      <c r="A31859" s="182"/>
    </row>
    <row r="31860" spans="1:38">
      <c r="A31860" s="182"/>
    </row>
    <row r="31861" spans="1:38">
      <c r="A31861" s="182"/>
      <c r="AK31861" s="183"/>
      <c r="AL31861" s="183"/>
    </row>
    <row r="31862" spans="1:38">
      <c r="A31862" s="182"/>
      <c r="AJ31862" s="183"/>
      <c r="AK31862" s="183"/>
      <c r="AL31862" s="183"/>
    </row>
    <row r="31863" spans="1:38">
      <c r="A31863" s="182"/>
      <c r="AJ31863" s="183"/>
      <c r="AK31863" s="183"/>
      <c r="AL31863" s="183"/>
    </row>
    <row r="31864" spans="1:38">
      <c r="A31864" s="182"/>
      <c r="AJ31864" s="183"/>
      <c r="AK31864" s="183"/>
      <c r="AL31864" s="183"/>
    </row>
    <row r="31865" spans="1:38">
      <c r="A31865" s="182"/>
      <c r="AJ31865" s="183"/>
      <c r="AK31865" s="183"/>
      <c r="AL31865" s="183"/>
    </row>
    <row r="31866" spans="1:38">
      <c r="A31866" s="182"/>
      <c r="AJ31866" s="183"/>
      <c r="AK31866" s="183"/>
      <c r="AL31866" s="183"/>
    </row>
    <row r="31867" spans="1:38">
      <c r="A31867" s="182"/>
      <c r="AJ31867" s="183"/>
      <c r="AK31867" s="183"/>
      <c r="AL31867" s="183"/>
    </row>
    <row r="31868" spans="1:38">
      <c r="A31868" s="182"/>
      <c r="AJ31868" s="183"/>
      <c r="AK31868" s="183"/>
      <c r="AL31868" s="183"/>
    </row>
    <row r="31869" spans="1:38">
      <c r="A31869" s="182"/>
      <c r="AJ31869" s="183"/>
      <c r="AK31869" s="183"/>
      <c r="AL31869" s="183"/>
    </row>
    <row r="31870" spans="1:38">
      <c r="A31870" s="182"/>
      <c r="AJ31870" s="183"/>
      <c r="AK31870" s="183"/>
      <c r="AL31870" s="183"/>
    </row>
    <row r="31871" spans="1:38">
      <c r="A31871" s="182"/>
      <c r="AJ31871" s="183"/>
      <c r="AK31871" s="183"/>
      <c r="AL31871" s="183"/>
    </row>
    <row r="31872" spans="1:38">
      <c r="A31872" s="182"/>
      <c r="AJ31872" s="183"/>
      <c r="AK31872" s="183"/>
      <c r="AL31872" s="183"/>
    </row>
    <row r="31873" spans="1:38">
      <c r="A31873" s="182"/>
      <c r="AJ31873" s="183"/>
      <c r="AK31873" s="183"/>
      <c r="AL31873" s="183"/>
    </row>
    <row r="31874" spans="1:38">
      <c r="A31874" s="182"/>
      <c r="AJ31874" s="183"/>
      <c r="AK31874" s="183"/>
      <c r="AL31874" s="183"/>
    </row>
    <row r="31875" spans="1:38">
      <c r="A31875" s="182"/>
      <c r="AJ31875" s="183"/>
      <c r="AK31875" s="183"/>
      <c r="AL31875" s="183"/>
    </row>
    <row r="31876" spans="1:38">
      <c r="A31876" s="182"/>
      <c r="AJ31876" s="183"/>
      <c r="AK31876" s="183"/>
      <c r="AL31876" s="183"/>
    </row>
    <row r="31877" spans="1:38">
      <c r="A31877" s="182"/>
      <c r="AJ31877" s="183"/>
    </row>
    <row r="31878" spans="1:38">
      <c r="A31878" s="182"/>
    </row>
    <row r="31879" spans="1:38">
      <c r="A31879" s="182"/>
    </row>
    <row r="31880" spans="1:38">
      <c r="A31880" s="182"/>
    </row>
    <row r="31881" spans="1:38">
      <c r="A31881" s="182"/>
    </row>
    <row r="31882" spans="1:38">
      <c r="A31882" s="182"/>
    </row>
    <row r="31883" spans="1:38">
      <c r="A31883" s="182"/>
    </row>
    <row r="31884" spans="1:38">
      <c r="A31884" s="182"/>
    </row>
    <row r="31885" spans="1:38">
      <c r="A31885" s="182"/>
      <c r="AK31885" s="183"/>
      <c r="AL31885" s="183"/>
    </row>
    <row r="31886" spans="1:38">
      <c r="A31886" s="182"/>
      <c r="AJ31886" s="183"/>
      <c r="AK31886" s="183"/>
      <c r="AL31886" s="183"/>
    </row>
    <row r="31887" spans="1:38">
      <c r="A31887" s="182"/>
      <c r="AJ31887" s="183"/>
      <c r="AK31887" s="183"/>
      <c r="AL31887" s="183"/>
    </row>
    <row r="31888" spans="1:38">
      <c r="A31888" s="182"/>
      <c r="AJ31888" s="183"/>
      <c r="AK31888" s="183"/>
      <c r="AL31888" s="183"/>
    </row>
    <row r="31889" spans="1:36">
      <c r="A31889" s="182"/>
      <c r="AJ31889" s="183"/>
    </row>
    <row r="31890" spans="1:36">
      <c r="A31890" s="182"/>
    </row>
    <row r="31891" spans="1:36">
      <c r="A31891" s="182"/>
    </row>
    <row r="31892" spans="1:36">
      <c r="A31892" s="182"/>
    </row>
    <row r="31893" spans="1:36">
      <c r="A31893" s="182"/>
    </row>
    <row r="31894" spans="1:36">
      <c r="A31894" s="182"/>
    </row>
    <row r="31895" spans="1:36">
      <c r="A31895" s="182"/>
    </row>
    <row r="31896" spans="1:36">
      <c r="A31896" s="182"/>
    </row>
    <row r="31897" spans="1:36">
      <c r="A31897" s="182"/>
    </row>
    <row r="31898" spans="1:36">
      <c r="A31898" s="182"/>
    </row>
    <row r="31899" spans="1:36">
      <c r="A31899" s="182"/>
    </row>
    <row r="31900" spans="1:36">
      <c r="A31900" s="182"/>
    </row>
    <row r="31901" spans="1:36">
      <c r="A31901" s="182"/>
    </row>
    <row r="31902" spans="1:36">
      <c r="A31902" s="182"/>
    </row>
    <row r="31903" spans="1:36">
      <c r="A31903" s="182"/>
    </row>
    <row r="31904" spans="1:36">
      <c r="A31904" s="182"/>
    </row>
    <row r="31905" spans="1:38">
      <c r="A31905" s="182"/>
      <c r="AK31905" s="183"/>
      <c r="AL31905" s="183"/>
    </row>
    <row r="31906" spans="1:38">
      <c r="A31906" s="182"/>
      <c r="AJ31906" s="183"/>
      <c r="AK31906" s="183"/>
      <c r="AL31906" s="183"/>
    </row>
    <row r="31907" spans="1:38">
      <c r="A31907" s="182"/>
      <c r="AJ31907" s="183"/>
      <c r="AK31907" s="183"/>
      <c r="AL31907" s="183"/>
    </row>
    <row r="31908" spans="1:38">
      <c r="A31908" s="182"/>
      <c r="AJ31908" s="183"/>
      <c r="AK31908" s="183"/>
      <c r="AL31908" s="183"/>
    </row>
    <row r="31909" spans="1:38">
      <c r="A31909" s="182"/>
      <c r="AJ31909" s="183"/>
    </row>
    <row r="31910" spans="1:38">
      <c r="A31910" s="182"/>
    </row>
    <row r="31911" spans="1:38">
      <c r="A31911" s="182"/>
    </row>
    <row r="31912" spans="1:38">
      <c r="A31912" s="182"/>
    </row>
    <row r="31913" spans="1:38">
      <c r="A31913" s="182"/>
      <c r="AK31913" s="183"/>
      <c r="AL31913" s="183"/>
    </row>
    <row r="31914" spans="1:38">
      <c r="A31914" s="182"/>
      <c r="AJ31914" s="183"/>
      <c r="AK31914" s="183"/>
      <c r="AL31914" s="183"/>
    </row>
    <row r="31915" spans="1:38">
      <c r="A31915" s="182"/>
      <c r="AJ31915" s="183"/>
      <c r="AK31915" s="183"/>
      <c r="AL31915" s="183"/>
    </row>
    <row r="31916" spans="1:38">
      <c r="A31916" s="182"/>
      <c r="AJ31916" s="183"/>
      <c r="AK31916" s="183"/>
      <c r="AL31916" s="183"/>
    </row>
    <row r="31917" spans="1:38">
      <c r="A31917" s="182"/>
      <c r="AJ31917" s="183"/>
    </row>
    <row r="31918" spans="1:38">
      <c r="A31918" s="182"/>
    </row>
    <row r="31919" spans="1:38">
      <c r="A31919" s="182"/>
    </row>
    <row r="31920" spans="1:38">
      <c r="A31920" s="182"/>
    </row>
    <row r="31921" spans="1:1">
      <c r="A31921" s="182"/>
    </row>
    <row r="31922" spans="1:1">
      <c r="A31922" s="182"/>
    </row>
    <row r="31923" spans="1:1">
      <c r="A31923" s="182"/>
    </row>
    <row r="31924" spans="1:1">
      <c r="A31924" s="182"/>
    </row>
    <row r="31925" spans="1:1">
      <c r="A31925" s="182"/>
    </row>
    <row r="31926" spans="1:1">
      <c r="A31926" s="182"/>
    </row>
    <row r="31927" spans="1:1">
      <c r="A31927" s="182"/>
    </row>
    <row r="31928" spans="1:1">
      <c r="A31928" s="182"/>
    </row>
    <row r="31929" spans="1:1">
      <c r="A31929" s="182"/>
    </row>
    <row r="31930" spans="1:1">
      <c r="A31930" s="182"/>
    </row>
    <row r="31931" spans="1:1">
      <c r="A31931" s="182"/>
    </row>
    <row r="31932" spans="1:1">
      <c r="A31932" s="182"/>
    </row>
    <row r="31933" spans="1:1">
      <c r="A31933" s="182"/>
    </row>
    <row r="31934" spans="1:1">
      <c r="A31934" s="182"/>
    </row>
    <row r="31935" spans="1:1">
      <c r="A31935" s="182"/>
    </row>
    <row r="31936" spans="1:1">
      <c r="A31936" s="182"/>
    </row>
    <row r="31937" spans="1:38">
      <c r="A31937" s="182"/>
    </row>
    <row r="31938" spans="1:38">
      <c r="A31938" s="182"/>
    </row>
    <row r="31939" spans="1:38">
      <c r="A31939" s="182"/>
    </row>
    <row r="31940" spans="1:38">
      <c r="A31940" s="182"/>
    </row>
    <row r="31941" spans="1:38">
      <c r="A31941" s="182"/>
    </row>
    <row r="31942" spans="1:38">
      <c r="A31942" s="182"/>
    </row>
    <row r="31943" spans="1:38">
      <c r="A31943" s="182"/>
    </row>
    <row r="31944" spans="1:38">
      <c r="A31944" s="182"/>
    </row>
    <row r="31945" spans="1:38">
      <c r="A31945" s="182"/>
    </row>
    <row r="31946" spans="1:38">
      <c r="A31946" s="182"/>
    </row>
    <row r="31947" spans="1:38">
      <c r="A31947" s="182"/>
    </row>
    <row r="31948" spans="1:38">
      <c r="A31948" s="182"/>
    </row>
    <row r="31949" spans="1:38">
      <c r="A31949" s="182"/>
      <c r="AK31949" s="183"/>
      <c r="AL31949" s="183"/>
    </row>
    <row r="31950" spans="1:38">
      <c r="A31950" s="182"/>
      <c r="AJ31950" s="183"/>
      <c r="AK31950" s="183"/>
      <c r="AL31950" s="183"/>
    </row>
    <row r="31951" spans="1:38">
      <c r="A31951" s="182"/>
      <c r="AJ31951" s="183"/>
      <c r="AK31951" s="183"/>
      <c r="AL31951" s="183"/>
    </row>
    <row r="31952" spans="1:38">
      <c r="A31952" s="182"/>
      <c r="AJ31952" s="183"/>
      <c r="AK31952" s="183"/>
      <c r="AL31952" s="183"/>
    </row>
    <row r="31953" spans="1:38">
      <c r="A31953" s="182"/>
      <c r="AJ31953" s="183"/>
      <c r="AK31953" s="183"/>
      <c r="AL31953" s="183"/>
    </row>
    <row r="31954" spans="1:38">
      <c r="A31954" s="182"/>
      <c r="AJ31954" s="183"/>
      <c r="AK31954" s="183"/>
      <c r="AL31954" s="183"/>
    </row>
    <row r="31955" spans="1:38">
      <c r="A31955" s="182"/>
      <c r="AJ31955" s="183"/>
      <c r="AK31955" s="183"/>
      <c r="AL31955" s="183"/>
    </row>
    <row r="31956" spans="1:38">
      <c r="A31956" s="182"/>
      <c r="AJ31956" s="183"/>
      <c r="AK31956" s="183"/>
      <c r="AL31956" s="183"/>
    </row>
    <row r="31957" spans="1:38">
      <c r="A31957" s="182"/>
      <c r="AJ31957" s="183"/>
      <c r="AK31957" s="183"/>
      <c r="AL31957" s="183"/>
    </row>
    <row r="31958" spans="1:38">
      <c r="A31958" s="182"/>
      <c r="AJ31958" s="183"/>
      <c r="AK31958" s="183"/>
      <c r="AL31958" s="183"/>
    </row>
    <row r="31959" spans="1:38">
      <c r="A31959" s="182"/>
      <c r="AJ31959" s="183"/>
      <c r="AK31959" s="183"/>
      <c r="AL31959" s="183"/>
    </row>
    <row r="31960" spans="1:38">
      <c r="A31960" s="182"/>
      <c r="AJ31960" s="183"/>
      <c r="AK31960" s="183"/>
      <c r="AL31960" s="183"/>
    </row>
    <row r="31961" spans="1:38">
      <c r="A31961" s="182"/>
      <c r="AJ31961" s="183"/>
      <c r="AK31961" s="183"/>
      <c r="AL31961" s="183"/>
    </row>
    <row r="31962" spans="1:38">
      <c r="A31962" s="182"/>
      <c r="AJ31962" s="183"/>
      <c r="AK31962" s="183"/>
      <c r="AL31962" s="183"/>
    </row>
    <row r="31963" spans="1:38">
      <c r="A31963" s="182"/>
      <c r="AJ31963" s="183"/>
      <c r="AK31963" s="183"/>
      <c r="AL31963" s="183"/>
    </row>
    <row r="31964" spans="1:38">
      <c r="A31964" s="182"/>
      <c r="AJ31964" s="183"/>
      <c r="AK31964" s="183"/>
      <c r="AL31964" s="183"/>
    </row>
    <row r="31965" spans="1:38">
      <c r="A31965" s="182"/>
      <c r="AJ31965" s="183"/>
    </row>
    <row r="31966" spans="1:38">
      <c r="A31966" s="182"/>
    </row>
    <row r="31967" spans="1:38">
      <c r="A31967" s="182"/>
    </row>
    <row r="31968" spans="1:38">
      <c r="A31968" s="182"/>
    </row>
    <row r="31969" spans="1:38">
      <c r="A31969" s="182"/>
    </row>
    <row r="31970" spans="1:38">
      <c r="A31970" s="182"/>
    </row>
    <row r="31971" spans="1:38">
      <c r="A31971" s="182"/>
    </row>
    <row r="31972" spans="1:38">
      <c r="A31972" s="182"/>
    </row>
    <row r="31973" spans="1:38">
      <c r="A31973" s="182"/>
      <c r="AK31973" s="183"/>
      <c r="AL31973" s="183"/>
    </row>
    <row r="31974" spans="1:38">
      <c r="A31974" s="182"/>
      <c r="AJ31974" s="183"/>
      <c r="AK31974" s="183"/>
      <c r="AL31974" s="183"/>
    </row>
    <row r="31975" spans="1:38">
      <c r="A31975" s="182"/>
      <c r="AJ31975" s="183"/>
      <c r="AK31975" s="183"/>
      <c r="AL31975" s="183"/>
    </row>
    <row r="31976" spans="1:38">
      <c r="A31976" s="182"/>
      <c r="AJ31976" s="183"/>
      <c r="AK31976" s="183"/>
      <c r="AL31976" s="183"/>
    </row>
    <row r="31977" spans="1:38">
      <c r="A31977" s="182"/>
      <c r="AJ31977" s="183"/>
      <c r="AK31977" s="183"/>
      <c r="AL31977" s="183"/>
    </row>
    <row r="31978" spans="1:38">
      <c r="A31978" s="182"/>
      <c r="AJ31978" s="183"/>
      <c r="AK31978" s="183"/>
      <c r="AL31978" s="183"/>
    </row>
    <row r="31979" spans="1:38">
      <c r="A31979" s="182"/>
      <c r="AJ31979" s="183"/>
      <c r="AK31979" s="183"/>
      <c r="AL31979" s="183"/>
    </row>
    <row r="31980" spans="1:38">
      <c r="A31980" s="182"/>
      <c r="AJ31980" s="183"/>
      <c r="AK31980" s="183"/>
      <c r="AL31980" s="183"/>
    </row>
    <row r="31981" spans="1:38">
      <c r="A31981" s="182"/>
      <c r="AJ31981" s="183"/>
      <c r="AK31981" s="183"/>
      <c r="AL31981" s="183"/>
    </row>
    <row r="31982" spans="1:38">
      <c r="A31982" s="182"/>
      <c r="AJ31982" s="183"/>
      <c r="AK31982" s="183"/>
      <c r="AL31982" s="183"/>
    </row>
    <row r="31983" spans="1:38">
      <c r="A31983" s="182"/>
      <c r="AJ31983" s="183"/>
      <c r="AK31983" s="183"/>
      <c r="AL31983" s="183"/>
    </row>
    <row r="31984" spans="1:38">
      <c r="A31984" s="182"/>
      <c r="AJ31984" s="183"/>
      <c r="AK31984" s="183"/>
      <c r="AL31984" s="183"/>
    </row>
    <row r="31985" spans="1:38">
      <c r="A31985" s="182"/>
      <c r="AJ31985" s="183"/>
      <c r="AK31985" s="183"/>
      <c r="AL31985" s="183"/>
    </row>
    <row r="31986" spans="1:38">
      <c r="A31986" s="182"/>
      <c r="AJ31986" s="183"/>
      <c r="AK31986" s="183"/>
      <c r="AL31986" s="183"/>
    </row>
    <row r="31987" spans="1:38">
      <c r="A31987" s="182"/>
      <c r="AJ31987" s="183"/>
      <c r="AK31987" s="183"/>
      <c r="AL31987" s="183"/>
    </row>
    <row r="31988" spans="1:38">
      <c r="A31988" s="182"/>
      <c r="AJ31988" s="183"/>
      <c r="AK31988" s="183"/>
      <c r="AL31988" s="183"/>
    </row>
    <row r="31989" spans="1:38">
      <c r="A31989" s="182"/>
      <c r="AJ31989" s="183"/>
    </row>
    <row r="31990" spans="1:38">
      <c r="A31990" s="182"/>
    </row>
    <row r="31991" spans="1:38">
      <c r="A31991" s="182"/>
    </row>
    <row r="31992" spans="1:38">
      <c r="A31992" s="182"/>
    </row>
    <row r="31993" spans="1:38">
      <c r="A31993" s="182"/>
      <c r="AK31993" s="183"/>
      <c r="AL31993" s="183"/>
    </row>
    <row r="31994" spans="1:38">
      <c r="A31994" s="182"/>
      <c r="AJ31994" s="183"/>
      <c r="AK31994" s="183"/>
      <c r="AL31994" s="183"/>
    </row>
    <row r="31995" spans="1:38">
      <c r="A31995" s="182"/>
      <c r="AJ31995" s="183"/>
      <c r="AK31995" s="183"/>
      <c r="AL31995" s="183"/>
    </row>
    <row r="31996" spans="1:38">
      <c r="A31996" s="182"/>
      <c r="AJ31996" s="183"/>
      <c r="AK31996" s="183"/>
      <c r="AL31996" s="183"/>
    </row>
    <row r="31997" spans="1:38">
      <c r="A31997" s="182"/>
      <c r="AJ31997" s="183"/>
    </row>
    <row r="31998" spans="1:38">
      <c r="A31998" s="182"/>
    </row>
    <row r="31999" spans="1:38">
      <c r="A31999" s="182"/>
    </row>
    <row r="32000" spans="1:38">
      <c r="A32000" s="182"/>
    </row>
    <row r="32001" spans="1:1">
      <c r="A32001" s="182"/>
    </row>
    <row r="32002" spans="1:1">
      <c r="A32002" s="182"/>
    </row>
    <row r="32003" spans="1:1">
      <c r="A32003" s="182"/>
    </row>
    <row r="32004" spans="1:1">
      <c r="A32004" s="182"/>
    </row>
    <row r="32005" spans="1:1">
      <c r="A32005" s="182"/>
    </row>
    <row r="32006" spans="1:1">
      <c r="A32006" s="182"/>
    </row>
    <row r="32007" spans="1:1">
      <c r="A32007" s="182"/>
    </row>
    <row r="32008" spans="1:1">
      <c r="A32008" s="182"/>
    </row>
    <row r="32009" spans="1:1">
      <c r="A32009" s="182"/>
    </row>
    <row r="32010" spans="1:1">
      <c r="A32010" s="182"/>
    </row>
    <row r="32011" spans="1:1">
      <c r="A32011" s="182"/>
    </row>
    <row r="32012" spans="1:1">
      <c r="A32012" s="182"/>
    </row>
    <row r="32013" spans="1:1">
      <c r="A32013" s="182"/>
    </row>
    <row r="32014" spans="1:1">
      <c r="A32014" s="182"/>
    </row>
    <row r="32015" spans="1:1">
      <c r="A32015" s="182"/>
    </row>
    <row r="32016" spans="1:1">
      <c r="A32016" s="182"/>
    </row>
    <row r="32017" spans="1:38">
      <c r="A32017" s="182"/>
      <c r="AK32017" s="183"/>
      <c r="AL32017" s="183"/>
    </row>
    <row r="32018" spans="1:38">
      <c r="A32018" s="182"/>
      <c r="AJ32018" s="183"/>
      <c r="AK32018" s="183"/>
      <c r="AL32018" s="183"/>
    </row>
    <row r="32019" spans="1:38">
      <c r="A32019" s="182"/>
      <c r="AJ32019" s="183"/>
      <c r="AK32019" s="183"/>
      <c r="AL32019" s="183"/>
    </row>
    <row r="32020" spans="1:38">
      <c r="A32020" s="182"/>
      <c r="AJ32020" s="183"/>
      <c r="AK32020" s="183"/>
      <c r="AL32020" s="183"/>
    </row>
    <row r="32021" spans="1:38">
      <c r="A32021" s="182"/>
      <c r="AJ32021" s="183"/>
      <c r="AK32021" s="183"/>
      <c r="AL32021" s="183"/>
    </row>
    <row r="32022" spans="1:38">
      <c r="A32022" s="182"/>
      <c r="AJ32022" s="183"/>
      <c r="AK32022" s="183"/>
      <c r="AL32022" s="183"/>
    </row>
    <row r="32023" spans="1:38">
      <c r="A32023" s="182"/>
      <c r="AJ32023" s="183"/>
      <c r="AK32023" s="183"/>
      <c r="AL32023" s="183"/>
    </row>
    <row r="32024" spans="1:38">
      <c r="A32024" s="182"/>
      <c r="AJ32024" s="183"/>
      <c r="AK32024" s="183"/>
      <c r="AL32024" s="183"/>
    </row>
    <row r="32025" spans="1:38">
      <c r="A32025" s="182"/>
      <c r="AJ32025" s="183"/>
    </row>
    <row r="32026" spans="1:38">
      <c r="A32026" s="182"/>
    </row>
    <row r="32027" spans="1:38">
      <c r="A32027" s="182"/>
    </row>
    <row r="32028" spans="1:38">
      <c r="A32028" s="182"/>
    </row>
    <row r="32029" spans="1:38">
      <c r="A32029" s="182"/>
    </row>
    <row r="32030" spans="1:38">
      <c r="A32030" s="182"/>
    </row>
    <row r="32031" spans="1:38">
      <c r="A32031" s="182"/>
    </row>
    <row r="32032" spans="1:38">
      <c r="A32032" s="182"/>
    </row>
    <row r="32033" spans="1:38">
      <c r="A32033" s="182"/>
    </row>
    <row r="32034" spans="1:38">
      <c r="A32034" s="182"/>
    </row>
    <row r="32035" spans="1:38">
      <c r="A32035" s="182"/>
    </row>
    <row r="32036" spans="1:38">
      <c r="A32036" s="182"/>
    </row>
    <row r="32037" spans="1:38">
      <c r="A32037" s="182"/>
    </row>
    <row r="32038" spans="1:38">
      <c r="A32038" s="182"/>
    </row>
    <row r="32039" spans="1:38">
      <c r="A32039" s="182"/>
    </row>
    <row r="32040" spans="1:38">
      <c r="A32040" s="182"/>
    </row>
    <row r="32041" spans="1:38">
      <c r="A32041" s="182"/>
      <c r="AK32041" s="183"/>
      <c r="AL32041" s="183"/>
    </row>
    <row r="32042" spans="1:38">
      <c r="A32042" s="182"/>
      <c r="AJ32042" s="183"/>
      <c r="AK32042" s="183"/>
      <c r="AL32042" s="183"/>
    </row>
    <row r="32043" spans="1:38">
      <c r="A32043" s="182"/>
      <c r="AJ32043" s="183"/>
      <c r="AK32043" s="183"/>
      <c r="AL32043" s="183"/>
    </row>
    <row r="32044" spans="1:38">
      <c r="A32044" s="182"/>
      <c r="AJ32044" s="183"/>
      <c r="AK32044" s="183"/>
      <c r="AL32044" s="183"/>
    </row>
    <row r="32045" spans="1:38">
      <c r="A32045" s="182"/>
      <c r="AJ32045" s="183"/>
    </row>
    <row r="32046" spans="1:38">
      <c r="A32046" s="182"/>
    </row>
    <row r="32047" spans="1:38">
      <c r="A32047" s="182"/>
    </row>
    <row r="32048" spans="1:38">
      <c r="A32048" s="182"/>
    </row>
    <row r="32049" spans="1:38">
      <c r="A32049" s="182"/>
    </row>
    <row r="32050" spans="1:38">
      <c r="A32050" s="182"/>
    </row>
    <row r="32051" spans="1:38">
      <c r="A32051" s="182"/>
    </row>
    <row r="32052" spans="1:38">
      <c r="A32052" s="182"/>
    </row>
    <row r="32053" spans="1:38">
      <c r="A32053" s="182"/>
      <c r="AK32053" s="183"/>
      <c r="AL32053" s="183"/>
    </row>
    <row r="32054" spans="1:38">
      <c r="A32054" s="182"/>
      <c r="AJ32054" s="183"/>
      <c r="AK32054" s="183"/>
      <c r="AL32054" s="183"/>
    </row>
    <row r="32055" spans="1:38">
      <c r="A32055" s="182"/>
      <c r="AJ32055" s="183"/>
      <c r="AK32055" s="183"/>
      <c r="AL32055" s="183"/>
    </row>
    <row r="32056" spans="1:38">
      <c r="A32056" s="182"/>
      <c r="AJ32056" s="183"/>
      <c r="AK32056" s="183"/>
      <c r="AL32056" s="183"/>
    </row>
    <row r="32057" spans="1:38">
      <c r="A32057" s="182"/>
      <c r="AJ32057" s="183"/>
    </row>
    <row r="32058" spans="1:38">
      <c r="A32058" s="182"/>
    </row>
    <row r="32059" spans="1:38">
      <c r="A32059" s="182"/>
    </row>
    <row r="32060" spans="1:38">
      <c r="A32060" s="182"/>
    </row>
    <row r="32061" spans="1:38">
      <c r="A32061" s="182"/>
      <c r="AK32061" s="183"/>
      <c r="AL32061" s="183"/>
    </row>
    <row r="32062" spans="1:38">
      <c r="A32062" s="182"/>
      <c r="AJ32062" s="183"/>
      <c r="AK32062" s="183"/>
      <c r="AL32062" s="183"/>
    </row>
    <row r="32063" spans="1:38">
      <c r="A32063" s="182"/>
      <c r="AJ32063" s="183"/>
      <c r="AK32063" s="183"/>
      <c r="AL32063" s="183"/>
    </row>
    <row r="32064" spans="1:38">
      <c r="A32064" s="182"/>
      <c r="AJ32064" s="183"/>
      <c r="AK32064" s="183"/>
      <c r="AL32064" s="183"/>
    </row>
    <row r="32065" spans="1:38">
      <c r="A32065" s="182"/>
      <c r="AJ32065" s="183"/>
    </row>
    <row r="32066" spans="1:38">
      <c r="A32066" s="182"/>
    </row>
    <row r="32067" spans="1:38">
      <c r="A32067" s="182"/>
    </row>
    <row r="32068" spans="1:38">
      <c r="A32068" s="182"/>
    </row>
    <row r="32069" spans="1:38">
      <c r="A32069" s="182"/>
    </row>
    <row r="32070" spans="1:38">
      <c r="A32070" s="182"/>
    </row>
    <row r="32071" spans="1:38">
      <c r="A32071" s="182"/>
    </row>
    <row r="32072" spans="1:38">
      <c r="A32072" s="182"/>
    </row>
    <row r="32073" spans="1:38">
      <c r="A32073" s="182"/>
      <c r="AK32073" s="183"/>
      <c r="AL32073" s="183"/>
    </row>
    <row r="32074" spans="1:38">
      <c r="A32074" s="182"/>
      <c r="AJ32074" s="183"/>
      <c r="AK32074" s="183"/>
      <c r="AL32074" s="183"/>
    </row>
    <row r="32075" spans="1:38">
      <c r="A32075" s="182"/>
      <c r="AJ32075" s="183"/>
      <c r="AK32075" s="183"/>
      <c r="AL32075" s="183"/>
    </row>
    <row r="32076" spans="1:38">
      <c r="A32076" s="182"/>
      <c r="AJ32076" s="183"/>
      <c r="AK32076" s="183"/>
      <c r="AL32076" s="183"/>
    </row>
    <row r="32077" spans="1:38">
      <c r="A32077" s="182"/>
      <c r="AJ32077" s="183"/>
      <c r="AK32077" s="183"/>
      <c r="AL32077" s="183"/>
    </row>
    <row r="32078" spans="1:38">
      <c r="A32078" s="182"/>
      <c r="AJ32078" s="183"/>
      <c r="AK32078" s="183"/>
      <c r="AL32078" s="183"/>
    </row>
    <row r="32079" spans="1:38">
      <c r="A32079" s="182"/>
      <c r="AJ32079" s="183"/>
      <c r="AK32079" s="183"/>
      <c r="AL32079" s="183"/>
    </row>
    <row r="32080" spans="1:38">
      <c r="A32080" s="182"/>
      <c r="AJ32080" s="183"/>
      <c r="AK32080" s="183"/>
      <c r="AL32080" s="183"/>
    </row>
    <row r="32081" spans="1:38">
      <c r="A32081" s="182"/>
      <c r="AJ32081" s="183"/>
      <c r="AK32081" s="183"/>
      <c r="AL32081" s="183"/>
    </row>
    <row r="32082" spans="1:38">
      <c r="A32082" s="182"/>
      <c r="AJ32082" s="183"/>
      <c r="AK32082" s="183"/>
      <c r="AL32082" s="183"/>
    </row>
    <row r="32083" spans="1:38">
      <c r="A32083" s="182"/>
      <c r="AJ32083" s="183"/>
      <c r="AK32083" s="183"/>
      <c r="AL32083" s="183"/>
    </row>
    <row r="32084" spans="1:38">
      <c r="A32084" s="182"/>
      <c r="AJ32084" s="183"/>
      <c r="AK32084" s="183"/>
      <c r="AL32084" s="183"/>
    </row>
    <row r="32085" spans="1:38">
      <c r="A32085" s="182"/>
      <c r="AJ32085" s="183"/>
    </row>
    <row r="32086" spans="1:38">
      <c r="A32086" s="182"/>
    </row>
    <row r="32087" spans="1:38">
      <c r="A32087" s="182"/>
    </row>
    <row r="32088" spans="1:38">
      <c r="A32088" s="182"/>
    </row>
    <row r="32089" spans="1:38">
      <c r="A32089" s="182"/>
      <c r="AK32089" s="183"/>
      <c r="AL32089" s="183"/>
    </row>
    <row r="32090" spans="1:38">
      <c r="A32090" s="182"/>
      <c r="AJ32090" s="183"/>
      <c r="AK32090" s="183"/>
      <c r="AL32090" s="183"/>
    </row>
    <row r="32091" spans="1:38">
      <c r="A32091" s="182"/>
      <c r="AJ32091" s="183"/>
      <c r="AK32091" s="183"/>
      <c r="AL32091" s="183"/>
    </row>
    <row r="32092" spans="1:38">
      <c r="A32092" s="182"/>
      <c r="AJ32092" s="183"/>
      <c r="AK32092" s="183"/>
      <c r="AL32092" s="183"/>
    </row>
    <row r="32093" spans="1:38">
      <c r="A32093" s="182"/>
      <c r="AJ32093" s="183"/>
    </row>
    <row r="32094" spans="1:38">
      <c r="A32094" s="182"/>
    </row>
    <row r="32095" spans="1:38">
      <c r="A32095" s="182"/>
    </row>
    <row r="32096" spans="1:38">
      <c r="A32096" s="182"/>
    </row>
    <row r="32097" spans="1:38">
      <c r="A32097" s="182"/>
    </row>
    <row r="32098" spans="1:38">
      <c r="A32098" s="182"/>
    </row>
    <row r="32099" spans="1:38">
      <c r="A32099" s="182"/>
    </row>
    <row r="32100" spans="1:38">
      <c r="A32100" s="182"/>
    </row>
    <row r="32101" spans="1:38">
      <c r="A32101" s="182"/>
    </row>
    <row r="32102" spans="1:38">
      <c r="A32102" s="182"/>
    </row>
    <row r="32103" spans="1:38">
      <c r="A32103" s="182"/>
    </row>
    <row r="32104" spans="1:38">
      <c r="A32104" s="182"/>
    </row>
    <row r="32105" spans="1:38">
      <c r="A32105" s="182"/>
      <c r="AK32105" s="183"/>
      <c r="AL32105" s="183"/>
    </row>
    <row r="32106" spans="1:38">
      <c r="A32106" s="182"/>
      <c r="AJ32106" s="183"/>
      <c r="AK32106" s="183"/>
      <c r="AL32106" s="183"/>
    </row>
    <row r="32107" spans="1:38">
      <c r="A32107" s="182"/>
      <c r="AJ32107" s="183"/>
      <c r="AK32107" s="183"/>
      <c r="AL32107" s="183"/>
    </row>
    <row r="32108" spans="1:38">
      <c r="A32108" s="182"/>
      <c r="AJ32108" s="183"/>
      <c r="AK32108" s="183"/>
      <c r="AL32108" s="183"/>
    </row>
    <row r="32109" spans="1:38">
      <c r="A32109" s="182"/>
      <c r="AJ32109" s="183"/>
    </row>
    <row r="32110" spans="1:38">
      <c r="A32110" s="182"/>
    </row>
    <row r="32111" spans="1:38">
      <c r="A32111" s="182"/>
    </row>
    <row r="32112" spans="1:38">
      <c r="A32112" s="182"/>
    </row>
    <row r="32113" spans="1:1">
      <c r="A32113" s="182"/>
    </row>
    <row r="32114" spans="1:1">
      <c r="A32114" s="182"/>
    </row>
    <row r="32115" spans="1:1">
      <c r="A32115" s="182"/>
    </row>
    <row r="32116" spans="1:1">
      <c r="A32116" s="182"/>
    </row>
    <row r="32117" spans="1:1">
      <c r="A32117" s="182"/>
    </row>
    <row r="32118" spans="1:1">
      <c r="A32118" s="182"/>
    </row>
    <row r="32119" spans="1:1">
      <c r="A32119" s="182"/>
    </row>
    <row r="32120" spans="1:1">
      <c r="A32120" s="182"/>
    </row>
    <row r="32121" spans="1:1">
      <c r="A32121" s="182"/>
    </row>
    <row r="32122" spans="1:1">
      <c r="A32122" s="182"/>
    </row>
    <row r="32123" spans="1:1">
      <c r="A32123" s="182"/>
    </row>
    <row r="32124" spans="1:1">
      <c r="A32124" s="182"/>
    </row>
    <row r="32125" spans="1:1">
      <c r="A32125" s="182"/>
    </row>
    <row r="32126" spans="1:1">
      <c r="A32126" s="182"/>
    </row>
    <row r="32127" spans="1:1">
      <c r="A32127" s="182"/>
    </row>
    <row r="32128" spans="1:1">
      <c r="A32128" s="182"/>
    </row>
    <row r="32129" spans="1:1">
      <c r="A32129" s="182"/>
    </row>
    <row r="32130" spans="1:1">
      <c r="A32130" s="182"/>
    </row>
    <row r="32131" spans="1:1">
      <c r="A32131" s="182"/>
    </row>
    <row r="32132" spans="1:1">
      <c r="A32132" s="182"/>
    </row>
    <row r="32133" spans="1:1">
      <c r="A32133" s="182"/>
    </row>
    <row r="32134" spans="1:1">
      <c r="A32134" s="182"/>
    </row>
    <row r="32135" spans="1:1">
      <c r="A32135" s="182"/>
    </row>
    <row r="32136" spans="1:1">
      <c r="A32136" s="182"/>
    </row>
    <row r="32137" spans="1:1">
      <c r="A32137" s="182"/>
    </row>
    <row r="32138" spans="1:1">
      <c r="A32138" s="182"/>
    </row>
    <row r="32139" spans="1:1">
      <c r="A32139" s="182"/>
    </row>
    <row r="32140" spans="1:1">
      <c r="A32140" s="182"/>
    </row>
    <row r="32141" spans="1:1">
      <c r="A32141" s="182"/>
    </row>
    <row r="32142" spans="1:1">
      <c r="A32142" s="182"/>
    </row>
    <row r="32143" spans="1:1">
      <c r="A32143" s="182"/>
    </row>
    <row r="32144" spans="1:1">
      <c r="A32144" s="182"/>
    </row>
    <row r="32145" spans="1:38">
      <c r="A32145" s="182"/>
      <c r="AK32145" s="183"/>
      <c r="AL32145" s="183"/>
    </row>
    <row r="32146" spans="1:38">
      <c r="A32146" s="182"/>
      <c r="AJ32146" s="183"/>
      <c r="AK32146" s="183"/>
      <c r="AL32146" s="183"/>
    </row>
    <row r="32147" spans="1:38">
      <c r="A32147" s="182"/>
      <c r="AJ32147" s="183"/>
      <c r="AK32147" s="183"/>
      <c r="AL32147" s="183"/>
    </row>
    <row r="32148" spans="1:38">
      <c r="A32148" s="182"/>
      <c r="AJ32148" s="183"/>
      <c r="AK32148" s="183"/>
      <c r="AL32148" s="183"/>
    </row>
    <row r="32149" spans="1:38">
      <c r="A32149" s="182"/>
      <c r="AJ32149" s="183"/>
    </row>
    <row r="32150" spans="1:38">
      <c r="A32150" s="182"/>
    </row>
    <row r="32151" spans="1:38">
      <c r="A32151" s="182"/>
    </row>
    <row r="32152" spans="1:38">
      <c r="A32152" s="182"/>
    </row>
    <row r="32153" spans="1:38">
      <c r="A32153" s="182"/>
    </row>
    <row r="32154" spans="1:38">
      <c r="A32154" s="182"/>
    </row>
    <row r="32155" spans="1:38">
      <c r="A32155" s="182"/>
    </row>
    <row r="32156" spans="1:38">
      <c r="A32156" s="182"/>
    </row>
    <row r="32157" spans="1:38">
      <c r="A32157" s="182"/>
      <c r="AK32157" s="183"/>
      <c r="AL32157" s="183"/>
    </row>
    <row r="32158" spans="1:38">
      <c r="A32158" s="182"/>
      <c r="AJ32158" s="183"/>
      <c r="AK32158" s="183"/>
      <c r="AL32158" s="183"/>
    </row>
    <row r="32159" spans="1:38">
      <c r="A32159" s="182"/>
      <c r="AJ32159" s="183"/>
      <c r="AK32159" s="183"/>
      <c r="AL32159" s="183"/>
    </row>
    <row r="32160" spans="1:38">
      <c r="A32160" s="182"/>
      <c r="AJ32160" s="183"/>
      <c r="AK32160" s="183"/>
      <c r="AL32160" s="183"/>
    </row>
    <row r="32161" spans="1:38">
      <c r="A32161" s="182"/>
      <c r="AJ32161" s="183"/>
    </row>
    <row r="32162" spans="1:38">
      <c r="A32162" s="182"/>
    </row>
    <row r="32163" spans="1:38">
      <c r="A32163" s="182"/>
    </row>
    <row r="32164" spans="1:38">
      <c r="A32164" s="182"/>
    </row>
    <row r="32165" spans="1:38">
      <c r="A32165" s="182"/>
      <c r="AK32165" s="183"/>
      <c r="AL32165" s="183"/>
    </row>
    <row r="32166" spans="1:38">
      <c r="A32166" s="182"/>
      <c r="AJ32166" s="183"/>
      <c r="AK32166" s="183"/>
      <c r="AL32166" s="183"/>
    </row>
    <row r="32167" spans="1:38">
      <c r="A32167" s="182"/>
      <c r="AJ32167" s="183"/>
      <c r="AK32167" s="183"/>
      <c r="AL32167" s="183"/>
    </row>
    <row r="32168" spans="1:38">
      <c r="A32168" s="182"/>
      <c r="AJ32168" s="183"/>
      <c r="AK32168" s="183"/>
      <c r="AL32168" s="183"/>
    </row>
    <row r="32169" spans="1:38">
      <c r="A32169" s="182"/>
      <c r="AJ32169" s="183"/>
    </row>
    <row r="32170" spans="1:38">
      <c r="A32170" s="182"/>
    </row>
    <row r="32171" spans="1:38">
      <c r="A32171" s="182"/>
    </row>
    <row r="32172" spans="1:38">
      <c r="A32172" s="182"/>
    </row>
    <row r="32173" spans="1:38">
      <c r="A32173" s="182"/>
    </row>
    <row r="32174" spans="1:38">
      <c r="A32174" s="182"/>
    </row>
    <row r="32175" spans="1:38">
      <c r="A32175" s="182"/>
    </row>
    <row r="32176" spans="1:38">
      <c r="A32176" s="182"/>
    </row>
    <row r="32177" spans="1:1">
      <c r="A32177" s="182"/>
    </row>
    <row r="32178" spans="1:1">
      <c r="A32178" s="182"/>
    </row>
    <row r="32179" spans="1:1">
      <c r="A32179" s="182"/>
    </row>
    <row r="32180" spans="1:1">
      <c r="A32180" s="182"/>
    </row>
    <row r="32181" spans="1:1">
      <c r="A32181" s="182"/>
    </row>
    <row r="32182" spans="1:1">
      <c r="A32182" s="182"/>
    </row>
    <row r="32183" spans="1:1">
      <c r="A32183" s="182"/>
    </row>
    <row r="32184" spans="1:1">
      <c r="A32184" s="182"/>
    </row>
    <row r="32185" spans="1:1">
      <c r="A32185" s="182"/>
    </row>
    <row r="32186" spans="1:1">
      <c r="A32186" s="182"/>
    </row>
    <row r="32187" spans="1:1">
      <c r="A32187" s="182"/>
    </row>
    <row r="32188" spans="1:1">
      <c r="A32188" s="182"/>
    </row>
    <row r="32189" spans="1:1">
      <c r="A32189" s="182"/>
    </row>
    <row r="32190" spans="1:1">
      <c r="A32190" s="182"/>
    </row>
    <row r="32191" spans="1:1">
      <c r="A32191" s="182"/>
    </row>
    <row r="32192" spans="1:1">
      <c r="A32192" s="182"/>
    </row>
    <row r="32193" spans="1:1">
      <c r="A32193" s="182"/>
    </row>
    <row r="32194" spans="1:1">
      <c r="A32194" s="182"/>
    </row>
    <row r="32195" spans="1:1">
      <c r="A32195" s="182"/>
    </row>
    <row r="32196" spans="1:1">
      <c r="A32196" s="182"/>
    </row>
    <row r="32197" spans="1:1">
      <c r="A32197" s="182"/>
    </row>
    <row r="32198" spans="1:1">
      <c r="A32198" s="182"/>
    </row>
    <row r="32199" spans="1:1">
      <c r="A32199" s="182"/>
    </row>
    <row r="32200" spans="1:1">
      <c r="A32200" s="182"/>
    </row>
    <row r="32201" spans="1:1">
      <c r="A32201" s="182"/>
    </row>
    <row r="32202" spans="1:1">
      <c r="A32202" s="182"/>
    </row>
    <row r="32203" spans="1:1">
      <c r="A32203" s="182"/>
    </row>
    <row r="32204" spans="1:1">
      <c r="A32204" s="182"/>
    </row>
    <row r="32205" spans="1:1">
      <c r="A32205" s="182"/>
    </row>
    <row r="32206" spans="1:1">
      <c r="A32206" s="182"/>
    </row>
    <row r="32207" spans="1:1">
      <c r="A32207" s="182"/>
    </row>
    <row r="32208" spans="1:1">
      <c r="A32208" s="182"/>
    </row>
    <row r="32209" spans="1:1">
      <c r="A32209" s="182"/>
    </row>
    <row r="32210" spans="1:1">
      <c r="A32210" s="182"/>
    </row>
    <row r="32211" spans="1:1">
      <c r="A32211" s="182"/>
    </row>
    <row r="32212" spans="1:1">
      <c r="A32212" s="182"/>
    </row>
    <row r="32213" spans="1:1">
      <c r="A32213" s="182"/>
    </row>
    <row r="32214" spans="1:1">
      <c r="A32214" s="182"/>
    </row>
    <row r="32215" spans="1:1">
      <c r="A32215" s="182"/>
    </row>
    <row r="32216" spans="1:1">
      <c r="A32216" s="182"/>
    </row>
    <row r="32217" spans="1:1">
      <c r="A32217" s="182"/>
    </row>
    <row r="32218" spans="1:1">
      <c r="A32218" s="182"/>
    </row>
    <row r="32219" spans="1:1">
      <c r="A32219" s="182"/>
    </row>
    <row r="32220" spans="1:1">
      <c r="A32220" s="182"/>
    </row>
    <row r="32221" spans="1:1">
      <c r="A32221" s="182"/>
    </row>
    <row r="32222" spans="1:1">
      <c r="A32222" s="182"/>
    </row>
    <row r="32223" spans="1:1">
      <c r="A32223" s="182"/>
    </row>
    <row r="32224" spans="1:1">
      <c r="A32224" s="182"/>
    </row>
    <row r="32225" spans="1:38">
      <c r="A32225" s="182"/>
    </row>
    <row r="32226" spans="1:38">
      <c r="A32226" s="182"/>
    </row>
    <row r="32227" spans="1:38">
      <c r="A32227" s="182"/>
    </row>
    <row r="32228" spans="1:38">
      <c r="A32228" s="182"/>
    </row>
    <row r="32229" spans="1:38">
      <c r="A32229" s="182"/>
    </row>
    <row r="32230" spans="1:38">
      <c r="A32230" s="182"/>
    </row>
    <row r="32231" spans="1:38">
      <c r="A32231" s="182"/>
    </row>
    <row r="32232" spans="1:38">
      <c r="A32232" s="182"/>
    </row>
    <row r="32233" spans="1:38">
      <c r="A32233" s="182"/>
      <c r="AK32233" s="183"/>
      <c r="AL32233" s="183"/>
    </row>
    <row r="32234" spans="1:38">
      <c r="A32234" s="182"/>
      <c r="AJ32234" s="183"/>
      <c r="AK32234" s="183"/>
      <c r="AL32234" s="183"/>
    </row>
    <row r="32235" spans="1:38">
      <c r="A32235" s="182"/>
      <c r="AJ32235" s="183"/>
      <c r="AK32235" s="183"/>
      <c r="AL32235" s="183"/>
    </row>
    <row r="32236" spans="1:38">
      <c r="A32236" s="182"/>
      <c r="AJ32236" s="183"/>
      <c r="AK32236" s="183"/>
      <c r="AL32236" s="183"/>
    </row>
    <row r="32237" spans="1:38">
      <c r="A32237" s="182"/>
      <c r="AJ32237" s="183"/>
      <c r="AK32237" s="183"/>
      <c r="AL32237" s="183"/>
    </row>
    <row r="32238" spans="1:38">
      <c r="A32238" s="182"/>
      <c r="AJ32238" s="183"/>
      <c r="AK32238" s="183"/>
      <c r="AL32238" s="183"/>
    </row>
    <row r="32239" spans="1:38">
      <c r="A32239" s="182"/>
      <c r="AJ32239" s="183"/>
      <c r="AK32239" s="183"/>
      <c r="AL32239" s="183"/>
    </row>
    <row r="32240" spans="1:38">
      <c r="A32240" s="182"/>
      <c r="AJ32240" s="183"/>
      <c r="AK32240" s="183"/>
      <c r="AL32240" s="183"/>
    </row>
    <row r="32241" spans="1:38">
      <c r="A32241" s="182"/>
      <c r="AJ32241" s="183"/>
      <c r="AK32241" s="183"/>
      <c r="AL32241" s="183"/>
    </row>
    <row r="32242" spans="1:38">
      <c r="A32242" s="182"/>
      <c r="AJ32242" s="183"/>
      <c r="AK32242" s="183"/>
      <c r="AL32242" s="183"/>
    </row>
    <row r="32243" spans="1:38">
      <c r="A32243" s="182"/>
      <c r="AJ32243" s="183"/>
      <c r="AK32243" s="183"/>
      <c r="AL32243" s="183"/>
    </row>
    <row r="32244" spans="1:38">
      <c r="A32244" s="182"/>
      <c r="AJ32244" s="183"/>
      <c r="AK32244" s="183"/>
      <c r="AL32244" s="183"/>
    </row>
    <row r="32245" spans="1:38">
      <c r="A32245" s="182"/>
      <c r="AJ32245" s="183"/>
    </row>
    <row r="32246" spans="1:38">
      <c r="A32246" s="182"/>
    </row>
    <row r="32247" spans="1:38">
      <c r="A32247" s="182"/>
    </row>
    <row r="32248" spans="1:38">
      <c r="A32248" s="182"/>
    </row>
    <row r="32249" spans="1:38">
      <c r="A32249" s="182"/>
      <c r="AK32249" s="183"/>
      <c r="AL32249" s="183"/>
    </row>
    <row r="32250" spans="1:38">
      <c r="A32250" s="182"/>
      <c r="AJ32250" s="183"/>
      <c r="AK32250" s="183"/>
      <c r="AL32250" s="183"/>
    </row>
    <row r="32251" spans="1:38">
      <c r="A32251" s="182"/>
      <c r="AJ32251" s="183"/>
      <c r="AK32251" s="183"/>
      <c r="AL32251" s="183"/>
    </row>
    <row r="32252" spans="1:38">
      <c r="A32252" s="182"/>
      <c r="AJ32252" s="183"/>
      <c r="AK32252" s="183"/>
      <c r="AL32252" s="183"/>
    </row>
    <row r="32253" spans="1:38">
      <c r="A32253" s="182"/>
      <c r="AJ32253" s="183"/>
      <c r="AK32253" s="183"/>
      <c r="AL32253" s="183"/>
    </row>
    <row r="32254" spans="1:38">
      <c r="A32254" s="182"/>
      <c r="AJ32254" s="183"/>
      <c r="AK32254" s="183"/>
      <c r="AL32254" s="183"/>
    </row>
    <row r="32255" spans="1:38">
      <c r="A32255" s="182"/>
      <c r="AJ32255" s="183"/>
      <c r="AK32255" s="183"/>
      <c r="AL32255" s="183"/>
    </row>
    <row r="32256" spans="1:38">
      <c r="A32256" s="182"/>
      <c r="AJ32256" s="183"/>
      <c r="AK32256" s="183"/>
      <c r="AL32256" s="183"/>
    </row>
    <row r="32257" spans="1:38">
      <c r="A32257" s="182"/>
      <c r="AJ32257" s="183"/>
    </row>
    <row r="32258" spans="1:38">
      <c r="A32258" s="182"/>
    </row>
    <row r="32259" spans="1:38">
      <c r="A32259" s="182"/>
    </row>
    <row r="32260" spans="1:38">
      <c r="A32260" s="182"/>
    </row>
    <row r="32261" spans="1:38">
      <c r="A32261" s="182"/>
    </row>
    <row r="32262" spans="1:38">
      <c r="A32262" s="182"/>
    </row>
    <row r="32263" spans="1:38">
      <c r="A32263" s="182"/>
    </row>
    <row r="32264" spans="1:38">
      <c r="A32264" s="182"/>
    </row>
    <row r="32265" spans="1:38">
      <c r="A32265" s="182"/>
      <c r="AK32265" s="183"/>
      <c r="AL32265" s="183"/>
    </row>
    <row r="32266" spans="1:38">
      <c r="A32266" s="182"/>
      <c r="AJ32266" s="183"/>
      <c r="AK32266" s="183"/>
      <c r="AL32266" s="183"/>
    </row>
    <row r="32267" spans="1:38">
      <c r="A32267" s="182"/>
      <c r="AJ32267" s="183"/>
      <c r="AK32267" s="183"/>
      <c r="AL32267" s="183"/>
    </row>
    <row r="32268" spans="1:38">
      <c r="A32268" s="182"/>
      <c r="AJ32268" s="183"/>
      <c r="AK32268" s="183"/>
      <c r="AL32268" s="183"/>
    </row>
    <row r="32269" spans="1:38">
      <c r="A32269" s="182"/>
      <c r="AJ32269" s="183"/>
    </row>
    <row r="32270" spans="1:38">
      <c r="A32270" s="182"/>
    </row>
    <row r="32271" spans="1:38">
      <c r="A32271" s="182"/>
    </row>
    <row r="32272" spans="1:38">
      <c r="A32272" s="182"/>
    </row>
    <row r="32273" spans="1:38">
      <c r="A32273" s="182"/>
      <c r="AK32273" s="183"/>
      <c r="AL32273" s="183"/>
    </row>
    <row r="32274" spans="1:38">
      <c r="A32274" s="182"/>
      <c r="AJ32274" s="183"/>
      <c r="AK32274" s="183"/>
      <c r="AL32274" s="183"/>
    </row>
    <row r="32275" spans="1:38">
      <c r="A32275" s="182"/>
      <c r="AJ32275" s="183"/>
      <c r="AK32275" s="183"/>
      <c r="AL32275" s="183"/>
    </row>
    <row r="32276" spans="1:38">
      <c r="A32276" s="182"/>
      <c r="AJ32276" s="183"/>
      <c r="AK32276" s="183"/>
      <c r="AL32276" s="183"/>
    </row>
    <row r="32277" spans="1:38">
      <c r="A32277" s="182"/>
      <c r="AJ32277" s="183"/>
      <c r="AK32277" s="183"/>
      <c r="AL32277" s="183"/>
    </row>
    <row r="32278" spans="1:38">
      <c r="A32278" s="182"/>
      <c r="AJ32278" s="183"/>
      <c r="AK32278" s="183"/>
      <c r="AL32278" s="183"/>
    </row>
    <row r="32279" spans="1:38">
      <c r="A32279" s="182"/>
      <c r="AJ32279" s="183"/>
      <c r="AK32279" s="183"/>
      <c r="AL32279" s="183"/>
    </row>
    <row r="32280" spans="1:38">
      <c r="A32280" s="182"/>
      <c r="AJ32280" s="183"/>
      <c r="AK32280" s="183"/>
      <c r="AL32280" s="183"/>
    </row>
    <row r="32281" spans="1:38">
      <c r="A32281" s="182"/>
      <c r="AJ32281" s="183"/>
    </row>
    <row r="32282" spans="1:38">
      <c r="A32282" s="182"/>
    </row>
    <row r="32283" spans="1:38">
      <c r="A32283" s="182"/>
    </row>
    <row r="32284" spans="1:38">
      <c r="A32284" s="182"/>
    </row>
    <row r="32285" spans="1:38">
      <c r="A32285" s="182"/>
    </row>
    <row r="32286" spans="1:38">
      <c r="A32286" s="182"/>
    </row>
    <row r="32287" spans="1:38">
      <c r="A32287" s="182"/>
    </row>
    <row r="32288" spans="1:38">
      <c r="A32288" s="182"/>
    </row>
    <row r="32289" spans="1:1">
      <c r="A32289" s="182"/>
    </row>
    <row r="32290" spans="1:1">
      <c r="A32290" s="182"/>
    </row>
    <row r="32291" spans="1:1">
      <c r="A32291" s="182"/>
    </row>
    <row r="32292" spans="1:1">
      <c r="A32292" s="182"/>
    </row>
    <row r="32293" spans="1:1">
      <c r="A32293" s="182"/>
    </row>
    <row r="32294" spans="1:1">
      <c r="A32294" s="182"/>
    </row>
    <row r="32295" spans="1:1">
      <c r="A32295" s="182"/>
    </row>
    <row r="32296" spans="1:1">
      <c r="A32296" s="182"/>
    </row>
    <row r="32297" spans="1:1">
      <c r="A32297" s="182"/>
    </row>
    <row r="32298" spans="1:1">
      <c r="A32298" s="182"/>
    </row>
    <row r="32299" spans="1:1">
      <c r="A32299" s="182"/>
    </row>
    <row r="32300" spans="1:1">
      <c r="A32300" s="182"/>
    </row>
    <row r="32301" spans="1:1">
      <c r="A32301" s="182"/>
    </row>
    <row r="32302" spans="1:1">
      <c r="A32302" s="182"/>
    </row>
    <row r="32303" spans="1:1">
      <c r="A32303" s="182"/>
    </row>
    <row r="32304" spans="1:1">
      <c r="A32304" s="182"/>
    </row>
    <row r="32305" spans="1:1">
      <c r="A32305" s="182"/>
    </row>
    <row r="32306" spans="1:1">
      <c r="A32306" s="182"/>
    </row>
    <row r="32307" spans="1:1">
      <c r="A32307" s="182"/>
    </row>
    <row r="32308" spans="1:1">
      <c r="A32308" s="182"/>
    </row>
    <row r="32309" spans="1:1">
      <c r="A32309" s="182"/>
    </row>
    <row r="32310" spans="1:1">
      <c r="A32310" s="182"/>
    </row>
    <row r="32311" spans="1:1">
      <c r="A32311" s="182"/>
    </row>
    <row r="32312" spans="1:1">
      <c r="A32312" s="182"/>
    </row>
    <row r="32313" spans="1:1">
      <c r="A32313" s="182"/>
    </row>
    <row r="32314" spans="1:1">
      <c r="A32314" s="182"/>
    </row>
    <row r="32315" spans="1:1">
      <c r="A32315" s="182"/>
    </row>
    <row r="32316" spans="1:1">
      <c r="A32316" s="182"/>
    </row>
    <row r="32317" spans="1:1">
      <c r="A32317" s="182"/>
    </row>
    <row r="32318" spans="1:1">
      <c r="A32318" s="182"/>
    </row>
    <row r="32319" spans="1:1">
      <c r="A32319" s="182"/>
    </row>
    <row r="32320" spans="1:1">
      <c r="A32320" s="182"/>
    </row>
    <row r="32321" spans="1:38">
      <c r="A32321" s="182"/>
    </row>
    <row r="32322" spans="1:38">
      <c r="A32322" s="182"/>
    </row>
    <row r="32323" spans="1:38">
      <c r="A32323" s="182"/>
    </row>
    <row r="32324" spans="1:38">
      <c r="A32324" s="182"/>
    </row>
    <row r="32325" spans="1:38">
      <c r="A32325" s="182"/>
    </row>
    <row r="32326" spans="1:38">
      <c r="A32326" s="182"/>
    </row>
    <row r="32327" spans="1:38">
      <c r="A32327" s="182"/>
    </row>
    <row r="32328" spans="1:38">
      <c r="A32328" s="182"/>
    </row>
    <row r="32329" spans="1:38">
      <c r="A32329" s="182"/>
    </row>
    <row r="32330" spans="1:38">
      <c r="A32330" s="182"/>
    </row>
    <row r="32331" spans="1:38">
      <c r="A32331" s="182"/>
    </row>
    <row r="32332" spans="1:38">
      <c r="A32332" s="182"/>
    </row>
    <row r="32333" spans="1:38">
      <c r="A32333" s="182"/>
      <c r="AK32333" s="183"/>
      <c r="AL32333" s="183"/>
    </row>
    <row r="32334" spans="1:38">
      <c r="A32334" s="182"/>
      <c r="AJ32334" s="183"/>
      <c r="AK32334" s="183"/>
      <c r="AL32334" s="183"/>
    </row>
    <row r="32335" spans="1:38">
      <c r="A32335" s="182"/>
      <c r="AJ32335" s="183"/>
      <c r="AK32335" s="183"/>
      <c r="AL32335" s="183"/>
    </row>
    <row r="32336" spans="1:38">
      <c r="A32336" s="182"/>
      <c r="AJ32336" s="183"/>
      <c r="AK32336" s="183"/>
      <c r="AL32336" s="183"/>
    </row>
    <row r="32337" spans="1:38">
      <c r="A32337" s="182"/>
      <c r="AJ32337" s="183"/>
    </row>
    <row r="32338" spans="1:38">
      <c r="A32338" s="182"/>
    </row>
    <row r="32339" spans="1:38">
      <c r="A32339" s="182"/>
    </row>
    <row r="32340" spans="1:38">
      <c r="A32340" s="182"/>
    </row>
    <row r="32341" spans="1:38">
      <c r="A32341" s="182"/>
    </row>
    <row r="32342" spans="1:38">
      <c r="A32342" s="182"/>
    </row>
    <row r="32343" spans="1:38">
      <c r="A32343" s="182"/>
    </row>
    <row r="32344" spans="1:38">
      <c r="A32344" s="182"/>
    </row>
    <row r="32345" spans="1:38">
      <c r="A32345" s="182"/>
      <c r="AK32345" s="183"/>
      <c r="AL32345" s="183"/>
    </row>
    <row r="32346" spans="1:38">
      <c r="A32346" s="182"/>
      <c r="AJ32346" s="183"/>
      <c r="AK32346" s="183"/>
      <c r="AL32346" s="183"/>
    </row>
    <row r="32347" spans="1:38">
      <c r="A32347" s="182"/>
      <c r="AJ32347" s="183"/>
      <c r="AK32347" s="183"/>
      <c r="AL32347" s="183"/>
    </row>
    <row r="32348" spans="1:38">
      <c r="A32348" s="182"/>
      <c r="AJ32348" s="183"/>
      <c r="AK32348" s="183"/>
      <c r="AL32348" s="183"/>
    </row>
    <row r="32349" spans="1:38">
      <c r="A32349" s="182"/>
      <c r="AJ32349" s="183"/>
    </row>
    <row r="32350" spans="1:38">
      <c r="A32350" s="182"/>
    </row>
    <row r="32351" spans="1:38">
      <c r="A32351" s="182"/>
    </row>
    <row r="32352" spans="1:38">
      <c r="A32352" s="182"/>
    </row>
    <row r="32353" spans="1:38">
      <c r="A32353" s="182"/>
    </row>
    <row r="32354" spans="1:38">
      <c r="A32354" s="182"/>
    </row>
    <row r="32355" spans="1:38">
      <c r="A32355" s="182"/>
    </row>
    <row r="32356" spans="1:38">
      <c r="A32356" s="182"/>
    </row>
    <row r="32357" spans="1:38">
      <c r="A32357" s="182"/>
    </row>
    <row r="32358" spans="1:38">
      <c r="A32358" s="182"/>
    </row>
    <row r="32359" spans="1:38">
      <c r="A32359" s="182"/>
    </row>
    <row r="32360" spans="1:38">
      <c r="A32360" s="182"/>
    </row>
    <row r="32361" spans="1:38">
      <c r="A32361" s="182"/>
      <c r="AK32361" s="183"/>
      <c r="AL32361" s="183"/>
    </row>
    <row r="32362" spans="1:38">
      <c r="A32362" s="182"/>
      <c r="AJ32362" s="183"/>
      <c r="AK32362" s="183"/>
      <c r="AL32362" s="183"/>
    </row>
    <row r="32363" spans="1:38">
      <c r="A32363" s="182"/>
      <c r="AJ32363" s="183"/>
      <c r="AK32363" s="183"/>
      <c r="AL32363" s="183"/>
    </row>
    <row r="32364" spans="1:38">
      <c r="A32364" s="182"/>
      <c r="AJ32364" s="183"/>
      <c r="AK32364" s="183"/>
      <c r="AL32364" s="183"/>
    </row>
    <row r="32365" spans="1:38">
      <c r="A32365" s="182"/>
      <c r="AJ32365" s="183"/>
    </row>
    <row r="32366" spans="1:38">
      <c r="A32366" s="182"/>
    </row>
    <row r="32367" spans="1:38">
      <c r="A32367" s="182"/>
    </row>
    <row r="32368" spans="1:38">
      <c r="A32368" s="182"/>
    </row>
    <row r="32369" spans="1:1">
      <c r="A32369" s="182"/>
    </row>
    <row r="32370" spans="1:1">
      <c r="A32370" s="182"/>
    </row>
    <row r="32371" spans="1:1">
      <c r="A32371" s="182"/>
    </row>
    <row r="32372" spans="1:1">
      <c r="A32372" s="182"/>
    </row>
    <row r="32373" spans="1:1">
      <c r="A32373" s="182"/>
    </row>
    <row r="32374" spans="1:1">
      <c r="A32374" s="182"/>
    </row>
    <row r="32375" spans="1:1">
      <c r="A32375" s="182"/>
    </row>
    <row r="32376" spans="1:1">
      <c r="A32376" s="182"/>
    </row>
    <row r="32377" spans="1:1">
      <c r="A32377" s="182"/>
    </row>
    <row r="32378" spans="1:1">
      <c r="A32378" s="182"/>
    </row>
    <row r="32379" spans="1:1">
      <c r="A32379" s="182"/>
    </row>
    <row r="32380" spans="1:1">
      <c r="A32380" s="182"/>
    </row>
    <row r="32381" spans="1:1">
      <c r="A32381" s="182"/>
    </row>
    <row r="32382" spans="1:1">
      <c r="A32382" s="182"/>
    </row>
    <row r="32383" spans="1:1">
      <c r="A32383" s="182"/>
    </row>
    <row r="32384" spans="1:1">
      <c r="A32384" s="182"/>
    </row>
    <row r="32385" spans="1:1">
      <c r="A32385" s="182"/>
    </row>
    <row r="32386" spans="1:1">
      <c r="A32386" s="182"/>
    </row>
    <row r="32387" spans="1:1">
      <c r="A32387" s="182"/>
    </row>
    <row r="32388" spans="1:1">
      <c r="A32388" s="182"/>
    </row>
    <row r="32389" spans="1:1">
      <c r="A32389" s="182"/>
    </row>
    <row r="32390" spans="1:1">
      <c r="A32390" s="182"/>
    </row>
    <row r="32391" spans="1:1">
      <c r="A32391" s="182"/>
    </row>
    <row r="32392" spans="1:1">
      <c r="A32392" s="182"/>
    </row>
    <row r="32393" spans="1:1">
      <c r="A32393" s="182"/>
    </row>
    <row r="32394" spans="1:1">
      <c r="A32394" s="182"/>
    </row>
    <row r="32395" spans="1:1">
      <c r="A32395" s="182"/>
    </row>
    <row r="32396" spans="1:1">
      <c r="A32396" s="182"/>
    </row>
    <row r="32397" spans="1:1">
      <c r="A32397" s="182"/>
    </row>
    <row r="32398" spans="1:1">
      <c r="A32398" s="182"/>
    </row>
    <row r="32399" spans="1:1">
      <c r="A32399" s="182"/>
    </row>
    <row r="32400" spans="1:1">
      <c r="A32400" s="182"/>
    </row>
    <row r="32401" spans="1:38">
      <c r="A32401" s="182"/>
    </row>
    <row r="32402" spans="1:38">
      <c r="A32402" s="182"/>
    </row>
    <row r="32403" spans="1:38">
      <c r="A32403" s="182"/>
    </row>
    <row r="32404" spans="1:38">
      <c r="A32404" s="182"/>
    </row>
    <row r="32405" spans="1:38">
      <c r="A32405" s="182"/>
      <c r="AK32405" s="183"/>
      <c r="AL32405" s="183"/>
    </row>
    <row r="32406" spans="1:38">
      <c r="A32406" s="182"/>
      <c r="AJ32406" s="183"/>
      <c r="AK32406" s="183"/>
      <c r="AL32406" s="183"/>
    </row>
    <row r="32407" spans="1:38">
      <c r="A32407" s="182"/>
      <c r="AJ32407" s="183"/>
      <c r="AK32407" s="183"/>
      <c r="AL32407" s="183"/>
    </row>
    <row r="32408" spans="1:38">
      <c r="A32408" s="182"/>
      <c r="AJ32408" s="183"/>
      <c r="AK32408" s="183"/>
      <c r="AL32408" s="183"/>
    </row>
    <row r="32409" spans="1:38">
      <c r="A32409" s="182"/>
      <c r="AJ32409" s="183"/>
      <c r="AK32409" s="183"/>
      <c r="AL32409" s="183"/>
    </row>
    <row r="32410" spans="1:38">
      <c r="A32410" s="182"/>
      <c r="AJ32410" s="183"/>
      <c r="AK32410" s="183"/>
      <c r="AL32410" s="183"/>
    </row>
    <row r="32411" spans="1:38">
      <c r="A32411" s="182"/>
      <c r="AJ32411" s="183"/>
      <c r="AK32411" s="183"/>
      <c r="AL32411" s="183"/>
    </row>
    <row r="32412" spans="1:38">
      <c r="A32412" s="182"/>
      <c r="AJ32412" s="183"/>
      <c r="AK32412" s="183"/>
      <c r="AL32412" s="183"/>
    </row>
    <row r="32413" spans="1:38">
      <c r="A32413" s="182"/>
      <c r="AJ32413" s="183"/>
    </row>
    <row r="32414" spans="1:38">
      <c r="A32414" s="182"/>
    </row>
    <row r="32415" spans="1:38">
      <c r="A32415" s="182"/>
    </row>
    <row r="32416" spans="1:38">
      <c r="A32416" s="182"/>
    </row>
    <row r="32417" spans="1:1">
      <c r="A32417" s="182"/>
    </row>
    <row r="32418" spans="1:1">
      <c r="A32418" s="182"/>
    </row>
    <row r="32419" spans="1:1">
      <c r="A32419" s="182"/>
    </row>
    <row r="32420" spans="1:1">
      <c r="A32420" s="182"/>
    </row>
    <row r="32421" spans="1:1">
      <c r="A32421" s="182"/>
    </row>
    <row r="32422" spans="1:1">
      <c r="A32422" s="182"/>
    </row>
    <row r="32423" spans="1:1">
      <c r="A32423" s="182"/>
    </row>
    <row r="32424" spans="1:1">
      <c r="A32424" s="182"/>
    </row>
    <row r="32425" spans="1:1">
      <c r="A32425" s="182"/>
    </row>
    <row r="32426" spans="1:1">
      <c r="A32426" s="182"/>
    </row>
    <row r="32427" spans="1:1">
      <c r="A32427" s="182"/>
    </row>
    <row r="32428" spans="1:1">
      <c r="A32428" s="182"/>
    </row>
    <row r="32429" spans="1:1">
      <c r="A32429" s="182"/>
    </row>
    <row r="32430" spans="1:1">
      <c r="A32430" s="182"/>
    </row>
    <row r="32431" spans="1:1">
      <c r="A32431" s="182"/>
    </row>
    <row r="32432" spans="1:1">
      <c r="A32432" s="182"/>
    </row>
    <row r="32433" spans="1:38">
      <c r="A32433" s="182"/>
      <c r="AK32433" s="183"/>
      <c r="AL32433" s="183"/>
    </row>
    <row r="32434" spans="1:38">
      <c r="A32434" s="182"/>
      <c r="AJ32434" s="183"/>
      <c r="AK32434" s="183"/>
      <c r="AL32434" s="183"/>
    </row>
    <row r="32435" spans="1:38">
      <c r="A32435" s="182"/>
      <c r="AJ32435" s="183"/>
      <c r="AK32435" s="183"/>
      <c r="AL32435" s="183"/>
    </row>
    <row r="32436" spans="1:38">
      <c r="A32436" s="182"/>
      <c r="AJ32436" s="183"/>
      <c r="AK32436" s="183"/>
      <c r="AL32436" s="183"/>
    </row>
    <row r="32437" spans="1:38">
      <c r="A32437" s="182"/>
      <c r="AJ32437" s="183"/>
      <c r="AK32437" s="183"/>
      <c r="AL32437" s="183"/>
    </row>
    <row r="32438" spans="1:38">
      <c r="A32438" s="182"/>
      <c r="AJ32438" s="183"/>
      <c r="AK32438" s="183"/>
      <c r="AL32438" s="183"/>
    </row>
    <row r="32439" spans="1:38">
      <c r="A32439" s="182"/>
      <c r="AJ32439" s="183"/>
      <c r="AK32439" s="183"/>
      <c r="AL32439" s="183"/>
    </row>
    <row r="32440" spans="1:38">
      <c r="A32440" s="182"/>
      <c r="AJ32440" s="183"/>
      <c r="AK32440" s="183"/>
      <c r="AL32440" s="183"/>
    </row>
    <row r="32441" spans="1:38">
      <c r="A32441" s="182"/>
      <c r="AJ32441" s="183"/>
    </row>
    <row r="32442" spans="1:38">
      <c r="A32442" s="182"/>
    </row>
    <row r="32443" spans="1:38">
      <c r="A32443" s="182"/>
    </row>
    <row r="32444" spans="1:38">
      <c r="A32444" s="182"/>
    </row>
    <row r="32445" spans="1:38">
      <c r="A32445" s="182"/>
    </row>
    <row r="32446" spans="1:38">
      <c r="A32446" s="182"/>
    </row>
    <row r="32447" spans="1:38">
      <c r="A32447" s="182"/>
    </row>
    <row r="32448" spans="1:38">
      <c r="A32448" s="182"/>
    </row>
    <row r="32449" spans="1:38">
      <c r="A32449" s="182"/>
      <c r="AK32449" s="183"/>
      <c r="AL32449" s="183"/>
    </row>
    <row r="32450" spans="1:38">
      <c r="A32450" s="182"/>
      <c r="AJ32450" s="183"/>
      <c r="AK32450" s="183"/>
      <c r="AL32450" s="183"/>
    </row>
    <row r="32451" spans="1:38">
      <c r="A32451" s="182"/>
      <c r="AJ32451" s="183"/>
      <c r="AK32451" s="183"/>
      <c r="AL32451" s="183"/>
    </row>
    <row r="32452" spans="1:38">
      <c r="A32452" s="182"/>
      <c r="AJ32452" s="183"/>
      <c r="AK32452" s="183"/>
      <c r="AL32452" s="183"/>
    </row>
    <row r="32453" spans="1:38">
      <c r="A32453" s="182"/>
      <c r="AJ32453" s="183"/>
    </row>
    <row r="32454" spans="1:38">
      <c r="A32454" s="182"/>
    </row>
    <row r="32455" spans="1:38">
      <c r="A32455" s="182"/>
    </row>
    <row r="32456" spans="1:38">
      <c r="A32456" s="182"/>
    </row>
    <row r="32457" spans="1:38">
      <c r="A32457" s="182"/>
      <c r="AK32457" s="183"/>
      <c r="AL32457" s="183"/>
    </row>
    <row r="32458" spans="1:38">
      <c r="A32458" s="182"/>
      <c r="AJ32458" s="183"/>
      <c r="AK32458" s="183"/>
      <c r="AL32458" s="183"/>
    </row>
    <row r="32459" spans="1:38">
      <c r="A32459" s="182"/>
      <c r="AJ32459" s="183"/>
      <c r="AK32459" s="183"/>
      <c r="AL32459" s="183"/>
    </row>
    <row r="32460" spans="1:38">
      <c r="A32460" s="182"/>
      <c r="AJ32460" s="183"/>
      <c r="AK32460" s="183"/>
      <c r="AL32460" s="183"/>
    </row>
    <row r="32461" spans="1:38">
      <c r="A32461" s="182"/>
      <c r="AJ32461" s="183"/>
    </row>
    <row r="32462" spans="1:38">
      <c r="A32462" s="182"/>
    </row>
    <row r="32463" spans="1:38">
      <c r="A32463" s="182"/>
    </row>
    <row r="32464" spans="1:38">
      <c r="A32464" s="182"/>
    </row>
    <row r="32465" spans="1:38">
      <c r="A32465" s="182"/>
    </row>
    <row r="32466" spans="1:38">
      <c r="A32466" s="182"/>
    </row>
    <row r="32467" spans="1:38">
      <c r="A32467" s="182"/>
    </row>
    <row r="32468" spans="1:38">
      <c r="A32468" s="182"/>
    </row>
    <row r="32469" spans="1:38">
      <c r="A32469" s="182"/>
      <c r="AK32469" s="183"/>
      <c r="AL32469" s="183"/>
    </row>
    <row r="32470" spans="1:38">
      <c r="A32470" s="182"/>
      <c r="AJ32470" s="183"/>
      <c r="AK32470" s="183"/>
      <c r="AL32470" s="183"/>
    </row>
    <row r="32471" spans="1:38">
      <c r="A32471" s="182"/>
      <c r="AJ32471" s="183"/>
      <c r="AK32471" s="183"/>
      <c r="AL32471" s="183"/>
    </row>
    <row r="32472" spans="1:38">
      <c r="A32472" s="182"/>
      <c r="AJ32472" s="183"/>
      <c r="AK32472" s="183"/>
      <c r="AL32472" s="183"/>
    </row>
    <row r="32473" spans="1:38">
      <c r="A32473" s="182"/>
      <c r="AJ32473" s="183"/>
    </row>
    <row r="32474" spans="1:38">
      <c r="A32474" s="182"/>
    </row>
    <row r="32475" spans="1:38">
      <c r="A32475" s="182"/>
    </row>
    <row r="32476" spans="1:38">
      <c r="A32476" s="182"/>
    </row>
    <row r="32477" spans="1:38">
      <c r="A32477" s="182"/>
    </row>
    <row r="32478" spans="1:38">
      <c r="A32478" s="182"/>
    </row>
    <row r="32479" spans="1:38">
      <c r="A32479" s="182"/>
    </row>
    <row r="32480" spans="1:38">
      <c r="A32480" s="182"/>
    </row>
    <row r="32481" spans="1:38">
      <c r="A32481" s="182"/>
    </row>
    <row r="32482" spans="1:38">
      <c r="A32482" s="182"/>
    </row>
    <row r="32483" spans="1:38">
      <c r="A32483" s="182"/>
    </row>
    <row r="32484" spans="1:38">
      <c r="A32484" s="182"/>
    </row>
    <row r="32485" spans="1:38">
      <c r="A32485" s="182"/>
    </row>
    <row r="32486" spans="1:38">
      <c r="A32486" s="182"/>
    </row>
    <row r="32487" spans="1:38">
      <c r="A32487" s="182"/>
    </row>
    <row r="32488" spans="1:38">
      <c r="A32488" s="182"/>
    </row>
    <row r="32489" spans="1:38">
      <c r="A32489" s="182"/>
      <c r="AK32489" s="183"/>
      <c r="AL32489" s="183"/>
    </row>
    <row r="32490" spans="1:38">
      <c r="A32490" s="182"/>
      <c r="AJ32490" s="183"/>
      <c r="AK32490" s="183"/>
      <c r="AL32490" s="183"/>
    </row>
    <row r="32491" spans="1:38">
      <c r="A32491" s="182"/>
      <c r="AJ32491" s="183"/>
      <c r="AK32491" s="183"/>
      <c r="AL32491" s="183"/>
    </row>
    <row r="32492" spans="1:38">
      <c r="A32492" s="182"/>
      <c r="AJ32492" s="183"/>
      <c r="AK32492" s="183"/>
      <c r="AL32492" s="183"/>
    </row>
    <row r="32493" spans="1:38">
      <c r="A32493" s="182"/>
      <c r="AJ32493" s="183"/>
    </row>
    <row r="32494" spans="1:38">
      <c r="A32494" s="182"/>
    </row>
    <row r="32495" spans="1:38">
      <c r="A32495" s="182"/>
    </row>
    <row r="32496" spans="1:38">
      <c r="A32496" s="182"/>
    </row>
    <row r="32497" spans="1:38">
      <c r="A32497" s="182"/>
      <c r="AK32497" s="183"/>
      <c r="AL32497" s="183"/>
    </row>
    <row r="32498" spans="1:38">
      <c r="A32498" s="182"/>
      <c r="AJ32498" s="183"/>
      <c r="AK32498" s="183"/>
      <c r="AL32498" s="183"/>
    </row>
    <row r="32499" spans="1:38">
      <c r="A32499" s="182"/>
      <c r="AJ32499" s="183"/>
      <c r="AK32499" s="183"/>
      <c r="AL32499" s="183"/>
    </row>
    <row r="32500" spans="1:38">
      <c r="A32500" s="182"/>
      <c r="AJ32500" s="183"/>
      <c r="AK32500" s="183"/>
      <c r="AL32500" s="183"/>
    </row>
    <row r="32501" spans="1:38">
      <c r="A32501" s="182"/>
      <c r="AJ32501" s="183"/>
      <c r="AK32501" s="183"/>
      <c r="AL32501" s="183"/>
    </row>
    <row r="32502" spans="1:38">
      <c r="A32502" s="182"/>
      <c r="AJ32502" s="183"/>
      <c r="AK32502" s="183"/>
      <c r="AL32502" s="183"/>
    </row>
    <row r="32503" spans="1:38">
      <c r="A32503" s="182"/>
      <c r="AJ32503" s="183"/>
      <c r="AK32503" s="183"/>
      <c r="AL32503" s="183"/>
    </row>
    <row r="32504" spans="1:38">
      <c r="A32504" s="182"/>
      <c r="AJ32504" s="183"/>
      <c r="AK32504" s="183"/>
      <c r="AL32504" s="183"/>
    </row>
    <row r="32505" spans="1:38">
      <c r="A32505" s="182"/>
      <c r="AJ32505" s="183"/>
    </row>
    <row r="32506" spans="1:38">
      <c r="A32506" s="182"/>
    </row>
    <row r="32507" spans="1:38">
      <c r="A32507" s="182"/>
    </row>
    <row r="32508" spans="1:38">
      <c r="A32508" s="182"/>
    </row>
    <row r="32509" spans="1:38">
      <c r="A32509" s="182"/>
      <c r="AK32509" s="183"/>
      <c r="AL32509" s="183"/>
    </row>
    <row r="32510" spans="1:38">
      <c r="A32510" s="182"/>
      <c r="AJ32510" s="183"/>
      <c r="AK32510" s="183"/>
      <c r="AL32510" s="183"/>
    </row>
    <row r="32511" spans="1:38">
      <c r="A32511" s="182"/>
      <c r="AJ32511" s="183"/>
      <c r="AK32511" s="183"/>
      <c r="AL32511" s="183"/>
    </row>
    <row r="32512" spans="1:38">
      <c r="A32512" s="182"/>
      <c r="AJ32512" s="183"/>
      <c r="AK32512" s="183"/>
      <c r="AL32512" s="183"/>
    </row>
    <row r="32513" spans="1:36">
      <c r="A32513" s="182"/>
      <c r="AJ32513" s="183"/>
    </row>
    <row r="32514" spans="1:36">
      <c r="A32514" s="182"/>
    </row>
    <row r="32515" spans="1:36">
      <c r="A32515" s="182"/>
    </row>
    <row r="32516" spans="1:36">
      <c r="A32516" s="182"/>
    </row>
    <row r="32517" spans="1:36">
      <c r="A32517" s="182"/>
    </row>
    <row r="32518" spans="1:36">
      <c r="A32518" s="182"/>
    </row>
    <row r="32519" spans="1:36">
      <c r="A32519" s="182"/>
    </row>
    <row r="32520" spans="1:36">
      <c r="A32520" s="182"/>
    </row>
    <row r="32521" spans="1:36">
      <c r="A32521" s="182"/>
    </row>
    <row r="32522" spans="1:36">
      <c r="A32522" s="182"/>
    </row>
    <row r="32523" spans="1:36">
      <c r="A32523" s="182"/>
    </row>
    <row r="32524" spans="1:36">
      <c r="A32524" s="182"/>
    </row>
    <row r="32525" spans="1:36">
      <c r="A32525" s="182"/>
    </row>
    <row r="32526" spans="1:36">
      <c r="A32526" s="182"/>
    </row>
    <row r="32527" spans="1:36">
      <c r="A32527" s="182"/>
    </row>
    <row r="32528" spans="1:36">
      <c r="A32528" s="182"/>
    </row>
    <row r="32529" spans="1:38">
      <c r="A32529" s="182"/>
      <c r="AK32529" s="183"/>
      <c r="AL32529" s="183"/>
    </row>
    <row r="32530" spans="1:38">
      <c r="A32530" s="182"/>
      <c r="M32530" s="183"/>
      <c r="N32530" s="183"/>
      <c r="O32530" s="183"/>
      <c r="AJ32530" s="183"/>
      <c r="AK32530" s="183"/>
      <c r="AL32530" s="183"/>
    </row>
    <row r="32531" spans="1:38">
      <c r="A32531" s="182"/>
      <c r="L32531" s="183"/>
      <c r="M32531" s="183"/>
      <c r="N32531" s="183"/>
      <c r="AJ32531" s="183"/>
      <c r="AK32531" s="183"/>
      <c r="AL32531" s="183"/>
    </row>
    <row r="32532" spans="1:38">
      <c r="A32532" s="182"/>
      <c r="L32532" s="183"/>
      <c r="AJ32532" s="183"/>
      <c r="AK32532" s="183"/>
      <c r="AL32532" s="183"/>
    </row>
    <row r="32533" spans="1:38">
      <c r="A32533" s="182"/>
      <c r="AJ32533" s="183"/>
      <c r="AK32533" s="183"/>
      <c r="AL32533" s="183"/>
    </row>
    <row r="32534" spans="1:38">
      <c r="A32534" s="182"/>
      <c r="AJ32534" s="183"/>
      <c r="AK32534" s="183"/>
      <c r="AL32534" s="183"/>
    </row>
    <row r="32535" spans="1:38">
      <c r="A32535" s="182"/>
      <c r="M32535" s="183"/>
      <c r="N32535" s="183"/>
      <c r="AJ32535" s="183"/>
      <c r="AK32535" s="183"/>
      <c r="AL32535" s="183"/>
    </row>
    <row r="32536" spans="1:38">
      <c r="A32536" s="182"/>
      <c r="L32536" s="183"/>
      <c r="M32536" s="183"/>
      <c r="N32536" s="183"/>
      <c r="AJ32536" s="183"/>
      <c r="AK32536" s="183"/>
      <c r="AL32536" s="183"/>
    </row>
    <row r="32537" spans="1:38">
      <c r="A32537" s="182"/>
      <c r="L32537" s="183"/>
      <c r="AJ32537" s="183"/>
      <c r="AK32537" s="183"/>
      <c r="AL32537" s="183"/>
    </row>
    <row r="32538" spans="1:38">
      <c r="A32538" s="182"/>
      <c r="AJ32538" s="183"/>
      <c r="AK32538" s="183"/>
      <c r="AL32538" s="183"/>
    </row>
    <row r="32539" spans="1:38">
      <c r="A32539" s="182"/>
      <c r="AJ32539" s="183"/>
      <c r="AK32539" s="183"/>
      <c r="AL32539" s="183"/>
    </row>
    <row r="32540" spans="1:38">
      <c r="A32540" s="182"/>
      <c r="AJ32540" s="183"/>
      <c r="AK32540" s="183"/>
      <c r="AL32540" s="183"/>
    </row>
    <row r="32541" spans="1:38">
      <c r="A32541" s="182"/>
      <c r="AJ32541" s="183"/>
    </row>
    <row r="32542" spans="1:38">
      <c r="A32542" s="182"/>
    </row>
    <row r="32543" spans="1:38">
      <c r="A32543" s="182"/>
    </row>
    <row r="32544" spans="1:38">
      <c r="A32544" s="182"/>
    </row>
    <row r="32545" spans="1:38">
      <c r="A32545" s="182"/>
      <c r="AK32545" s="183"/>
      <c r="AL32545" s="183"/>
    </row>
    <row r="32546" spans="1:38">
      <c r="A32546" s="182"/>
      <c r="M32546" s="183"/>
      <c r="N32546" s="183"/>
      <c r="AJ32546" s="183"/>
      <c r="AK32546" s="183"/>
      <c r="AL32546" s="183"/>
    </row>
    <row r="32547" spans="1:38">
      <c r="A32547" s="182"/>
      <c r="L32547" s="183"/>
      <c r="M32547" s="183"/>
      <c r="N32547" s="183"/>
      <c r="AJ32547" s="183"/>
      <c r="AK32547" s="183"/>
      <c r="AL32547" s="183"/>
    </row>
    <row r="32548" spans="1:38">
      <c r="A32548" s="182"/>
      <c r="L32548" s="183"/>
      <c r="AJ32548" s="183"/>
      <c r="AK32548" s="183"/>
      <c r="AL32548" s="183"/>
    </row>
    <row r="32549" spans="1:38">
      <c r="A32549" s="182"/>
      <c r="AJ32549" s="183"/>
    </row>
    <row r="32550" spans="1:38">
      <c r="A32550" s="182"/>
    </row>
    <row r="32551" spans="1:38">
      <c r="A32551" s="182"/>
    </row>
    <row r="32552" spans="1:38">
      <c r="A32552" s="182"/>
    </row>
    <row r="32553" spans="1:38">
      <c r="A32553" s="182"/>
      <c r="AK32553" s="183"/>
      <c r="AL32553" s="183"/>
    </row>
    <row r="32554" spans="1:38">
      <c r="A32554" s="182"/>
      <c r="AJ32554" s="183"/>
      <c r="AK32554" s="183"/>
      <c r="AL32554" s="183"/>
    </row>
    <row r="32555" spans="1:38">
      <c r="A32555" s="182"/>
      <c r="AJ32555" s="183"/>
      <c r="AK32555" s="183"/>
      <c r="AL32555" s="183"/>
    </row>
    <row r="32556" spans="1:38">
      <c r="A32556" s="182"/>
      <c r="AJ32556" s="183"/>
      <c r="AK32556" s="183"/>
      <c r="AL32556" s="183"/>
    </row>
    <row r="32557" spans="1:38">
      <c r="A32557" s="182"/>
      <c r="AJ32557" s="183"/>
    </row>
    <row r="32558" spans="1:38">
      <c r="A32558" s="182"/>
    </row>
    <row r="32559" spans="1:38">
      <c r="A32559" s="182"/>
    </row>
    <row r="32560" spans="1:38">
      <c r="A32560" s="182"/>
    </row>
    <row r="32561" spans="1:38">
      <c r="A32561" s="182"/>
      <c r="AK32561" s="183"/>
      <c r="AL32561" s="183"/>
    </row>
    <row r="32562" spans="1:38">
      <c r="A32562" s="182"/>
      <c r="AJ32562" s="183"/>
      <c r="AK32562" s="183"/>
      <c r="AL32562" s="183"/>
    </row>
    <row r="32563" spans="1:38">
      <c r="A32563" s="182"/>
      <c r="AJ32563" s="183"/>
      <c r="AK32563" s="183"/>
      <c r="AL32563" s="183"/>
    </row>
    <row r="32564" spans="1:38">
      <c r="A32564" s="182"/>
      <c r="AJ32564" s="183"/>
      <c r="AK32564" s="183"/>
      <c r="AL32564" s="183"/>
    </row>
    <row r="32565" spans="1:38">
      <c r="A32565" s="182"/>
      <c r="AJ32565" s="183"/>
    </row>
    <row r="32566" spans="1:38">
      <c r="A32566" s="182"/>
    </row>
    <row r="32567" spans="1:38">
      <c r="A32567" s="182"/>
    </row>
    <row r="32568" spans="1:38">
      <c r="A32568" s="182"/>
    </row>
    <row r="32569" spans="1:38">
      <c r="A32569" s="182"/>
      <c r="AK32569" s="183"/>
      <c r="AL32569" s="183"/>
    </row>
    <row r="32570" spans="1:38">
      <c r="A32570" s="182"/>
      <c r="AJ32570" s="183"/>
      <c r="AK32570" s="183"/>
      <c r="AL32570" s="183"/>
    </row>
    <row r="32571" spans="1:38">
      <c r="A32571" s="182"/>
      <c r="AJ32571" s="183"/>
      <c r="AK32571" s="183"/>
      <c r="AL32571" s="183"/>
    </row>
    <row r="32572" spans="1:38">
      <c r="A32572" s="182"/>
      <c r="AJ32572" s="183"/>
      <c r="AK32572" s="183"/>
      <c r="AL32572" s="183"/>
    </row>
    <row r="32573" spans="1:38">
      <c r="A32573" s="182"/>
      <c r="AJ32573" s="183"/>
    </row>
    <row r="32574" spans="1:38">
      <c r="A32574" s="182"/>
    </row>
    <row r="32575" spans="1:38">
      <c r="A32575" s="182"/>
    </row>
    <row r="32576" spans="1:38">
      <c r="A32576" s="182"/>
    </row>
    <row r="32577" spans="1:38">
      <c r="A32577" s="182"/>
    </row>
    <row r="32578" spans="1:38">
      <c r="A32578" s="182"/>
    </row>
    <row r="32579" spans="1:38">
      <c r="A32579" s="182"/>
    </row>
    <row r="32580" spans="1:38">
      <c r="A32580" s="182"/>
    </row>
    <row r="32581" spans="1:38">
      <c r="A32581" s="182"/>
    </row>
    <row r="32582" spans="1:38">
      <c r="A32582" s="182"/>
    </row>
    <row r="32583" spans="1:38">
      <c r="A32583" s="182"/>
    </row>
    <row r="32584" spans="1:38">
      <c r="A32584" s="182"/>
    </row>
    <row r="32585" spans="1:38">
      <c r="A32585" s="182"/>
      <c r="AK32585" s="183"/>
      <c r="AL32585" s="183"/>
    </row>
    <row r="32586" spans="1:38">
      <c r="A32586" s="182"/>
      <c r="AJ32586" s="183"/>
      <c r="AK32586" s="183"/>
      <c r="AL32586" s="183"/>
    </row>
    <row r="32587" spans="1:38">
      <c r="A32587" s="182"/>
      <c r="AJ32587" s="183"/>
      <c r="AK32587" s="183"/>
      <c r="AL32587" s="183"/>
    </row>
    <row r="32588" spans="1:38">
      <c r="A32588" s="182"/>
      <c r="AJ32588" s="183"/>
      <c r="AK32588" s="183"/>
      <c r="AL32588" s="183"/>
    </row>
    <row r="32589" spans="1:38">
      <c r="A32589" s="182"/>
      <c r="AJ32589" s="183"/>
    </row>
    <row r="32590" spans="1:38">
      <c r="A32590" s="182"/>
    </row>
    <row r="32591" spans="1:38">
      <c r="A32591" s="182"/>
    </row>
    <row r="32592" spans="1:38">
      <c r="A32592" s="182"/>
    </row>
    <row r="32593" spans="1:38">
      <c r="A32593" s="182"/>
      <c r="AK32593" s="183"/>
      <c r="AL32593" s="183"/>
    </row>
    <row r="32594" spans="1:38">
      <c r="A32594" s="182"/>
      <c r="AJ32594" s="183"/>
      <c r="AK32594" s="183"/>
      <c r="AL32594" s="183"/>
    </row>
    <row r="32595" spans="1:38">
      <c r="A32595" s="182"/>
      <c r="AJ32595" s="183"/>
      <c r="AK32595" s="183"/>
      <c r="AL32595" s="183"/>
    </row>
    <row r="32596" spans="1:38">
      <c r="A32596" s="182"/>
      <c r="AJ32596" s="183"/>
      <c r="AK32596" s="183"/>
      <c r="AL32596" s="183"/>
    </row>
    <row r="32597" spans="1:38">
      <c r="A32597" s="182"/>
      <c r="AJ32597" s="183"/>
      <c r="AK32597" s="183"/>
      <c r="AL32597" s="183"/>
    </row>
    <row r="32598" spans="1:38">
      <c r="A32598" s="182"/>
      <c r="AJ32598" s="183"/>
      <c r="AK32598" s="183"/>
      <c r="AL32598" s="183"/>
    </row>
    <row r="32599" spans="1:38">
      <c r="A32599" s="182"/>
      <c r="AJ32599" s="183"/>
      <c r="AK32599" s="183"/>
      <c r="AL32599" s="183"/>
    </row>
    <row r="32600" spans="1:38">
      <c r="A32600" s="182"/>
      <c r="AJ32600" s="183"/>
      <c r="AK32600" s="183"/>
      <c r="AL32600" s="183"/>
    </row>
    <row r="32601" spans="1:38">
      <c r="A32601" s="182"/>
      <c r="AJ32601" s="183"/>
    </row>
    <row r="32602" spans="1:38">
      <c r="A32602" s="182"/>
    </row>
    <row r="32603" spans="1:38">
      <c r="A32603" s="182"/>
    </row>
    <row r="32604" spans="1:38">
      <c r="A32604" s="182"/>
    </row>
    <row r="32605" spans="1:38">
      <c r="A32605" s="182"/>
    </row>
    <row r="32606" spans="1:38">
      <c r="A32606" s="182"/>
    </row>
    <row r="32607" spans="1:38">
      <c r="A32607" s="182"/>
    </row>
    <row r="32608" spans="1:38">
      <c r="A32608" s="182"/>
    </row>
    <row r="32609" spans="1:1">
      <c r="A32609" s="182"/>
    </row>
    <row r="32610" spans="1:1">
      <c r="A32610" s="182"/>
    </row>
    <row r="32611" spans="1:1">
      <c r="A32611" s="182"/>
    </row>
    <row r="32612" spans="1:1">
      <c r="A32612" s="182"/>
    </row>
    <row r="32613" spans="1:1">
      <c r="A32613" s="182"/>
    </row>
    <row r="32614" spans="1:1">
      <c r="A32614" s="182"/>
    </row>
    <row r="32615" spans="1:1">
      <c r="A32615" s="182"/>
    </row>
    <row r="32616" spans="1:1">
      <c r="A32616" s="182"/>
    </row>
    <row r="32617" spans="1:1">
      <c r="A32617" s="182"/>
    </row>
    <row r="32618" spans="1:1">
      <c r="A32618" s="182"/>
    </row>
    <row r="32619" spans="1:1">
      <c r="A32619" s="182"/>
    </row>
    <row r="32620" spans="1:1">
      <c r="A32620" s="182"/>
    </row>
    <row r="32621" spans="1:1">
      <c r="A32621" s="182"/>
    </row>
    <row r="32622" spans="1:1">
      <c r="A32622" s="182"/>
    </row>
    <row r="32623" spans="1:1">
      <c r="A32623" s="182"/>
    </row>
    <row r="32624" spans="1:1">
      <c r="A32624" s="182"/>
    </row>
    <row r="32625" spans="1:1">
      <c r="A32625" s="182"/>
    </row>
    <row r="32626" spans="1:1">
      <c r="A32626" s="182"/>
    </row>
    <row r="32627" spans="1:1">
      <c r="A32627" s="182"/>
    </row>
    <row r="32628" spans="1:1">
      <c r="A32628" s="182"/>
    </row>
    <row r="32629" spans="1:1">
      <c r="A32629" s="182"/>
    </row>
    <row r="32630" spans="1:1">
      <c r="A32630" s="182"/>
    </row>
    <row r="32631" spans="1:1">
      <c r="A32631" s="182"/>
    </row>
    <row r="32632" spans="1:1">
      <c r="A32632" s="182"/>
    </row>
    <row r="32633" spans="1:1">
      <c r="A32633" s="182"/>
    </row>
    <row r="32634" spans="1:1">
      <c r="A32634" s="182"/>
    </row>
    <row r="32635" spans="1:1">
      <c r="A32635" s="182"/>
    </row>
    <row r="32636" spans="1:1">
      <c r="A32636" s="182"/>
    </row>
    <row r="32637" spans="1:1">
      <c r="A32637" s="182"/>
    </row>
    <row r="32638" spans="1:1">
      <c r="A32638" s="182"/>
    </row>
    <row r="32639" spans="1:1">
      <c r="A32639" s="182"/>
    </row>
    <row r="32640" spans="1:1">
      <c r="A32640" s="182"/>
    </row>
    <row r="32641" spans="1:38">
      <c r="A32641" s="182"/>
    </row>
    <row r="32642" spans="1:38">
      <c r="A32642" s="182"/>
    </row>
    <row r="32643" spans="1:38">
      <c r="A32643" s="182"/>
    </row>
    <row r="32644" spans="1:38">
      <c r="A32644" s="182"/>
    </row>
    <row r="32645" spans="1:38">
      <c r="A32645" s="182"/>
      <c r="AK32645" s="183"/>
      <c r="AL32645" s="183"/>
    </row>
    <row r="32646" spans="1:38">
      <c r="A32646" s="182"/>
      <c r="AJ32646" s="183"/>
      <c r="AK32646" s="183"/>
      <c r="AL32646" s="183"/>
    </row>
    <row r="32647" spans="1:38">
      <c r="A32647" s="182"/>
      <c r="AJ32647" s="183"/>
      <c r="AK32647" s="183"/>
      <c r="AL32647" s="183"/>
    </row>
    <row r="32648" spans="1:38">
      <c r="A32648" s="182"/>
      <c r="AJ32648" s="183"/>
      <c r="AK32648" s="183"/>
      <c r="AL32648" s="183"/>
    </row>
    <row r="32649" spans="1:38">
      <c r="A32649" s="182"/>
      <c r="AJ32649" s="183"/>
    </row>
    <row r="32650" spans="1:38">
      <c r="A32650" s="182"/>
    </row>
    <row r="32651" spans="1:38">
      <c r="A32651" s="182"/>
    </row>
    <row r="32652" spans="1:38">
      <c r="A32652" s="182"/>
    </row>
    <row r="32653" spans="1:38">
      <c r="A32653" s="182"/>
      <c r="AK32653" s="183"/>
      <c r="AL32653" s="183"/>
    </row>
    <row r="32654" spans="1:38">
      <c r="A32654" s="182"/>
      <c r="AJ32654" s="183"/>
      <c r="AK32654" s="183"/>
      <c r="AL32654" s="183"/>
    </row>
    <row r="32655" spans="1:38">
      <c r="A32655" s="182"/>
      <c r="AJ32655" s="183"/>
      <c r="AK32655" s="183"/>
      <c r="AL32655" s="183"/>
    </row>
    <row r="32656" spans="1:38">
      <c r="A32656" s="182"/>
      <c r="AJ32656" s="183"/>
      <c r="AK32656" s="183"/>
      <c r="AL32656" s="183"/>
    </row>
    <row r="32657" spans="1:36">
      <c r="A32657" s="182"/>
      <c r="AJ32657" s="183"/>
    </row>
    <row r="32658" spans="1:36">
      <c r="A32658" s="182"/>
    </row>
    <row r="32659" spans="1:36">
      <c r="A32659" s="182"/>
    </row>
    <row r="32660" spans="1:36">
      <c r="A32660" s="182"/>
    </row>
    <row r="32661" spans="1:36">
      <c r="A32661" s="182"/>
    </row>
    <row r="32662" spans="1:36">
      <c r="A32662" s="182"/>
    </row>
    <row r="32663" spans="1:36">
      <c r="A32663" s="182"/>
    </row>
    <row r="32664" spans="1:36">
      <c r="A32664" s="182"/>
    </row>
    <row r="32665" spans="1:36">
      <c r="A32665" s="182"/>
    </row>
    <row r="32666" spans="1:36">
      <c r="A32666" s="182"/>
    </row>
    <row r="32667" spans="1:36">
      <c r="A32667" s="182"/>
    </row>
    <row r="32668" spans="1:36">
      <c r="A32668" s="182"/>
    </row>
    <row r="32669" spans="1:36">
      <c r="A32669" s="182"/>
    </row>
    <row r="32670" spans="1:36">
      <c r="A32670" s="182"/>
    </row>
    <row r="32671" spans="1:36">
      <c r="A32671" s="182"/>
    </row>
    <row r="32672" spans="1:36">
      <c r="A32672" s="182"/>
    </row>
    <row r="32673" spans="1:1">
      <c r="A32673" s="182"/>
    </row>
    <row r="32674" spans="1:1">
      <c r="A32674" s="182"/>
    </row>
    <row r="32675" spans="1:1">
      <c r="A32675" s="182"/>
    </row>
    <row r="32676" spans="1:1">
      <c r="A32676" s="182"/>
    </row>
    <row r="32677" spans="1:1">
      <c r="A32677" s="182"/>
    </row>
    <row r="32678" spans="1:1">
      <c r="A32678" s="182"/>
    </row>
    <row r="32679" spans="1:1">
      <c r="A32679" s="182"/>
    </row>
    <row r="32680" spans="1:1">
      <c r="A32680" s="182"/>
    </row>
    <row r="32681" spans="1:1">
      <c r="A32681" s="182"/>
    </row>
    <row r="32682" spans="1:1">
      <c r="A32682" s="182"/>
    </row>
    <row r="32683" spans="1:1">
      <c r="A32683" s="182"/>
    </row>
    <row r="32684" spans="1:1">
      <c r="A32684" s="182"/>
    </row>
    <row r="32685" spans="1:1">
      <c r="A32685" s="182"/>
    </row>
    <row r="32686" spans="1:1">
      <c r="A32686" s="182"/>
    </row>
    <row r="32687" spans="1:1">
      <c r="A32687" s="182"/>
    </row>
    <row r="32688" spans="1:1">
      <c r="A32688" s="182"/>
    </row>
    <row r="32689" spans="1:15">
      <c r="A32689" s="182"/>
    </row>
    <row r="32690" spans="1:15">
      <c r="A32690" s="182"/>
    </row>
    <row r="32691" spans="1:15">
      <c r="A32691" s="182"/>
    </row>
    <row r="32692" spans="1:15">
      <c r="A32692" s="182"/>
    </row>
    <row r="32693" spans="1:15">
      <c r="A32693" s="182"/>
    </row>
    <row r="32694" spans="1:15">
      <c r="A32694" s="182"/>
    </row>
    <row r="32695" spans="1:15">
      <c r="A32695" s="182"/>
    </row>
    <row r="32696" spans="1:15">
      <c r="A32696" s="182"/>
    </row>
    <row r="32697" spans="1:15">
      <c r="A32697" s="182"/>
    </row>
    <row r="32698" spans="1:15">
      <c r="A32698" s="182"/>
      <c r="N32698" s="183"/>
      <c r="O32698" s="183"/>
    </row>
    <row r="32699" spans="1:15">
      <c r="A32699" s="182"/>
      <c r="M32699" s="183"/>
    </row>
    <row r="32700" spans="1:15">
      <c r="A32700" s="182"/>
    </row>
    <row r="32701" spans="1:15">
      <c r="A32701" s="182"/>
    </row>
    <row r="32702" spans="1:15">
      <c r="A32702" s="182"/>
    </row>
    <row r="32703" spans="1:15">
      <c r="A32703" s="182"/>
    </row>
    <row r="32704" spans="1:15">
      <c r="A32704" s="182"/>
    </row>
    <row r="32705" spans="1:38">
      <c r="A32705" s="182"/>
    </row>
    <row r="32706" spans="1:38">
      <c r="A32706" s="182"/>
    </row>
    <row r="32707" spans="1:38">
      <c r="A32707" s="182"/>
    </row>
    <row r="32708" spans="1:38">
      <c r="A32708" s="182"/>
    </row>
    <row r="32709" spans="1:38">
      <c r="A32709" s="182"/>
    </row>
    <row r="32710" spans="1:38">
      <c r="A32710" s="182"/>
    </row>
    <row r="32711" spans="1:38">
      <c r="A32711" s="182"/>
    </row>
    <row r="32712" spans="1:38">
      <c r="A32712" s="182"/>
    </row>
    <row r="32713" spans="1:38">
      <c r="A32713" s="182"/>
    </row>
    <row r="32714" spans="1:38">
      <c r="A32714" s="182"/>
    </row>
    <row r="32715" spans="1:38">
      <c r="A32715" s="182"/>
    </row>
    <row r="32716" spans="1:38">
      <c r="A32716" s="182"/>
      <c r="N32716" s="183"/>
      <c r="O32716" s="183"/>
    </row>
    <row r="32717" spans="1:38">
      <c r="A32717" s="182"/>
      <c r="M32717" s="183"/>
      <c r="AK32717" s="183"/>
      <c r="AL32717" s="183"/>
    </row>
    <row r="32718" spans="1:38">
      <c r="A32718" s="182"/>
      <c r="AJ32718" s="183"/>
      <c r="AK32718" s="183"/>
      <c r="AL32718" s="183"/>
    </row>
    <row r="32719" spans="1:38">
      <c r="A32719" s="182"/>
      <c r="AJ32719" s="183"/>
      <c r="AK32719" s="183"/>
      <c r="AL32719" s="183"/>
    </row>
    <row r="32720" spans="1:38">
      <c r="A32720" s="182"/>
      <c r="AJ32720" s="183"/>
      <c r="AK32720" s="183"/>
      <c r="AL32720" s="183"/>
    </row>
    <row r="32721" spans="1:38">
      <c r="A32721" s="182"/>
      <c r="AJ32721" s="183"/>
      <c r="AK32721" s="183"/>
      <c r="AL32721" s="183"/>
    </row>
    <row r="32722" spans="1:38">
      <c r="A32722" s="182"/>
      <c r="AJ32722" s="183"/>
      <c r="AK32722" s="183"/>
      <c r="AL32722" s="183"/>
    </row>
    <row r="32723" spans="1:38">
      <c r="A32723" s="182"/>
      <c r="AJ32723" s="183"/>
      <c r="AK32723" s="183"/>
      <c r="AL32723" s="183"/>
    </row>
    <row r="32724" spans="1:38">
      <c r="A32724" s="182"/>
      <c r="AJ32724" s="183"/>
      <c r="AK32724" s="183"/>
      <c r="AL32724" s="183"/>
    </row>
    <row r="32725" spans="1:38">
      <c r="A32725" s="182"/>
      <c r="AJ32725" s="183"/>
    </row>
    <row r="32726" spans="1:38">
      <c r="A32726" s="182"/>
    </row>
    <row r="32727" spans="1:38">
      <c r="A32727" s="182"/>
    </row>
    <row r="32728" spans="1:38">
      <c r="A32728" s="182"/>
    </row>
    <row r="32729" spans="1:38">
      <c r="A32729" s="182"/>
    </row>
    <row r="32730" spans="1:38">
      <c r="A32730" s="182"/>
    </row>
    <row r="32731" spans="1:38">
      <c r="A32731" s="182"/>
    </row>
    <row r="32732" spans="1:38">
      <c r="A32732" s="182"/>
      <c r="N32732" s="183"/>
      <c r="O32732" s="183"/>
    </row>
    <row r="32733" spans="1:38">
      <c r="A32733" s="182"/>
      <c r="M32733" s="183"/>
      <c r="AK32733" s="183"/>
      <c r="AL32733" s="183"/>
    </row>
    <row r="32734" spans="1:38">
      <c r="A32734" s="182"/>
      <c r="N32734" s="183"/>
      <c r="O32734" s="183"/>
      <c r="AJ32734" s="183"/>
      <c r="AK32734" s="183"/>
      <c r="AL32734" s="183"/>
    </row>
    <row r="32735" spans="1:38">
      <c r="A32735" s="182"/>
      <c r="M32735" s="183"/>
      <c r="AJ32735" s="183"/>
      <c r="AK32735" s="183"/>
      <c r="AL32735" s="183"/>
    </row>
    <row r="32736" spans="1:38">
      <c r="A32736" s="182"/>
      <c r="AJ32736" s="183"/>
      <c r="AK32736" s="183"/>
      <c r="AL32736" s="183"/>
    </row>
    <row r="32737" spans="1:38">
      <c r="A32737" s="182"/>
      <c r="AJ32737" s="183"/>
      <c r="AK32737" s="183"/>
      <c r="AL32737" s="183"/>
    </row>
    <row r="32738" spans="1:38">
      <c r="A32738" s="182"/>
      <c r="AJ32738" s="183"/>
      <c r="AK32738" s="183"/>
      <c r="AL32738" s="183"/>
    </row>
    <row r="32739" spans="1:38">
      <c r="A32739" s="182"/>
      <c r="N32739" s="183"/>
      <c r="O32739" s="183"/>
      <c r="AJ32739" s="183"/>
      <c r="AK32739" s="183"/>
      <c r="AL32739" s="183"/>
    </row>
    <row r="32740" spans="1:38">
      <c r="A32740" s="182"/>
      <c r="M32740" s="183"/>
      <c r="AJ32740" s="183"/>
      <c r="AK32740" s="183"/>
      <c r="AL32740" s="183"/>
    </row>
    <row r="32741" spans="1:38">
      <c r="A32741" s="182"/>
      <c r="AJ32741" s="183"/>
    </row>
    <row r="32742" spans="1:38">
      <c r="A32742" s="182"/>
    </row>
    <row r="32743" spans="1:38">
      <c r="A32743" s="182"/>
      <c r="N32743" s="183"/>
      <c r="O32743" s="183"/>
    </row>
    <row r="32744" spans="1:38">
      <c r="A32744" s="182"/>
      <c r="M32744" s="183"/>
    </row>
    <row r="32745" spans="1:38">
      <c r="A32745" s="182"/>
    </row>
    <row r="32746" spans="1:38">
      <c r="A32746" s="182"/>
    </row>
    <row r="32747" spans="1:38">
      <c r="A32747" s="182"/>
      <c r="M32747" s="183"/>
      <c r="N32747" s="183"/>
    </row>
    <row r="32748" spans="1:38">
      <c r="A32748" s="182"/>
      <c r="L32748" s="183"/>
      <c r="N32748" s="183"/>
      <c r="O32748" s="183"/>
    </row>
    <row r="32749" spans="1:38">
      <c r="A32749" s="182"/>
      <c r="M32749" s="183"/>
      <c r="AK32749" s="183"/>
      <c r="AL32749" s="183"/>
    </row>
    <row r="32750" spans="1:38">
      <c r="A32750" s="182"/>
      <c r="AJ32750" s="183"/>
      <c r="AK32750" s="183"/>
      <c r="AL32750" s="183"/>
    </row>
    <row r="32751" spans="1:38">
      <c r="A32751" s="182"/>
      <c r="AJ32751" s="183"/>
      <c r="AK32751" s="183"/>
      <c r="AL32751" s="183"/>
    </row>
    <row r="32752" spans="1:38">
      <c r="A32752" s="182"/>
      <c r="AJ32752" s="183"/>
      <c r="AK32752" s="183"/>
      <c r="AL32752" s="183"/>
    </row>
    <row r="32753" spans="1:38">
      <c r="A32753" s="182"/>
      <c r="AJ32753" s="183"/>
    </row>
    <row r="32754" spans="1:38">
      <c r="A32754" s="182"/>
    </row>
    <row r="32755" spans="1:38">
      <c r="A32755" s="182"/>
    </row>
    <row r="32756" spans="1:38">
      <c r="A32756" s="182"/>
      <c r="M32756" s="183"/>
      <c r="N32756" s="183"/>
    </row>
    <row r="32757" spans="1:38">
      <c r="A32757" s="182"/>
      <c r="L32757" s="183"/>
      <c r="AK32757" s="183"/>
      <c r="AL32757" s="183"/>
    </row>
    <row r="32758" spans="1:38">
      <c r="A32758" s="182"/>
      <c r="AJ32758" s="183"/>
      <c r="AK32758" s="183"/>
      <c r="AL32758" s="183"/>
    </row>
    <row r="32759" spans="1:38">
      <c r="A32759" s="182"/>
      <c r="AJ32759" s="183"/>
      <c r="AK32759" s="183"/>
      <c r="AL32759" s="183"/>
    </row>
    <row r="32760" spans="1:38">
      <c r="A32760" s="182"/>
      <c r="AJ32760" s="183"/>
      <c r="AK32760" s="183"/>
      <c r="AL32760" s="183"/>
    </row>
    <row r="32761" spans="1:38">
      <c r="A32761" s="182"/>
      <c r="AJ32761" s="183"/>
    </row>
    <row r="32762" spans="1:38">
      <c r="A32762" s="182"/>
    </row>
    <row r="32763" spans="1:38">
      <c r="A32763" s="182"/>
    </row>
    <row r="32764" spans="1:38">
      <c r="A32764" s="182"/>
    </row>
    <row r="32765" spans="1:38">
      <c r="A32765" s="182"/>
    </row>
    <row r="32766" spans="1:38">
      <c r="A32766" s="182"/>
    </row>
    <row r="32767" spans="1:38">
      <c r="A32767" s="182"/>
    </row>
    <row r="32768" spans="1:38">
      <c r="A32768" s="182"/>
    </row>
    <row r="32769" spans="1:38">
      <c r="A32769" s="182"/>
    </row>
    <row r="32770" spans="1:38">
      <c r="A32770" s="182"/>
    </row>
    <row r="32771" spans="1:38">
      <c r="A32771" s="182"/>
    </row>
    <row r="32772" spans="1:38">
      <c r="A32772" s="182"/>
    </row>
    <row r="32773" spans="1:38">
      <c r="A32773" s="182"/>
    </row>
    <row r="32774" spans="1:38">
      <c r="A32774" s="182"/>
    </row>
    <row r="32775" spans="1:38">
      <c r="A32775" s="182"/>
    </row>
    <row r="32776" spans="1:38">
      <c r="A32776" s="182"/>
    </row>
    <row r="32777" spans="1:38">
      <c r="A32777" s="182"/>
    </row>
    <row r="32778" spans="1:38">
      <c r="A32778" s="182"/>
    </row>
    <row r="32779" spans="1:38">
      <c r="A32779" s="182"/>
    </row>
    <row r="32780" spans="1:38">
      <c r="A32780" s="182"/>
    </row>
    <row r="32781" spans="1:38">
      <c r="A32781" s="182"/>
      <c r="AK32781" s="183"/>
      <c r="AL32781" s="183"/>
    </row>
    <row r="32782" spans="1:38">
      <c r="A32782" s="182"/>
      <c r="AJ32782" s="183"/>
      <c r="AK32782" s="183"/>
      <c r="AL32782" s="183"/>
    </row>
    <row r="32783" spans="1:38">
      <c r="A32783" s="182"/>
      <c r="AJ32783" s="183"/>
      <c r="AK32783" s="183"/>
      <c r="AL32783" s="183"/>
    </row>
    <row r="32784" spans="1:38">
      <c r="A32784" s="182"/>
      <c r="AJ32784" s="183"/>
      <c r="AK32784" s="183"/>
      <c r="AL32784" s="183"/>
    </row>
    <row r="32785" spans="1:36">
      <c r="A32785" s="182"/>
      <c r="AJ32785" s="183"/>
    </row>
    <row r="32786" spans="1:36">
      <c r="A32786" s="182"/>
    </row>
    <row r="32787" spans="1:36">
      <c r="A32787" s="182"/>
    </row>
    <row r="32788" spans="1:36">
      <c r="A32788" s="182"/>
    </row>
    <row r="32789" spans="1:36">
      <c r="A32789" s="182"/>
    </row>
    <row r="32790" spans="1:36">
      <c r="A32790" s="182"/>
    </row>
    <row r="32791" spans="1:36">
      <c r="A32791" s="182"/>
      <c r="M32791" s="183"/>
      <c r="N32791" s="183"/>
    </row>
    <row r="32792" spans="1:36">
      <c r="A32792" s="182"/>
      <c r="L32792" s="183"/>
    </row>
    <row r="32793" spans="1:36">
      <c r="A32793" s="182"/>
    </row>
    <row r="32794" spans="1:36">
      <c r="A32794" s="182"/>
    </row>
    <row r="32795" spans="1:36">
      <c r="A32795" s="182"/>
    </row>
    <row r="32796" spans="1:36">
      <c r="A32796" s="182"/>
    </row>
    <row r="32797" spans="1:36">
      <c r="A32797" s="182"/>
    </row>
    <row r="32798" spans="1:36">
      <c r="A32798" s="182"/>
    </row>
    <row r="32799" spans="1:36">
      <c r="A32799" s="182"/>
    </row>
    <row r="32800" spans="1:36">
      <c r="A32800" s="182"/>
    </row>
    <row r="32801" spans="1:38">
      <c r="A32801" s="182"/>
    </row>
    <row r="32802" spans="1:38">
      <c r="A32802" s="182"/>
    </row>
    <row r="32803" spans="1:38">
      <c r="A32803" s="182"/>
    </row>
    <row r="32804" spans="1:38">
      <c r="A32804" s="182"/>
    </row>
    <row r="32805" spans="1:38">
      <c r="A32805" s="182"/>
      <c r="AK32805" s="183"/>
      <c r="AL32805" s="183"/>
    </row>
    <row r="32806" spans="1:38">
      <c r="A32806" s="182"/>
      <c r="AJ32806" s="183"/>
      <c r="AK32806" s="183"/>
      <c r="AL32806" s="183"/>
    </row>
    <row r="32807" spans="1:38">
      <c r="A32807" s="182"/>
      <c r="AJ32807" s="183"/>
      <c r="AK32807" s="183"/>
      <c r="AL32807" s="183"/>
    </row>
    <row r="32808" spans="1:38">
      <c r="A32808" s="182"/>
      <c r="AJ32808" s="183"/>
      <c r="AK32808" s="183"/>
      <c r="AL32808" s="183"/>
    </row>
    <row r="32809" spans="1:38">
      <c r="A32809" s="182"/>
      <c r="AJ32809" s="183"/>
    </row>
    <row r="32810" spans="1:38">
      <c r="A32810" s="182"/>
    </row>
    <row r="32811" spans="1:38">
      <c r="A32811" s="182"/>
    </row>
    <row r="32812" spans="1:38">
      <c r="A32812" s="182"/>
    </row>
    <row r="32813" spans="1:38">
      <c r="A32813" s="182"/>
      <c r="AK32813" s="183"/>
      <c r="AL32813" s="183"/>
    </row>
    <row r="32814" spans="1:38">
      <c r="A32814" s="182"/>
      <c r="AJ32814" s="183"/>
      <c r="AK32814" s="183"/>
      <c r="AL32814" s="183"/>
    </row>
    <row r="32815" spans="1:38">
      <c r="A32815" s="182"/>
      <c r="AJ32815" s="183"/>
      <c r="AK32815" s="183"/>
      <c r="AL32815" s="183"/>
    </row>
    <row r="32816" spans="1:38">
      <c r="A32816" s="182"/>
      <c r="AJ32816" s="183"/>
      <c r="AK32816" s="183"/>
      <c r="AL32816" s="183"/>
    </row>
    <row r="32817" spans="1:38">
      <c r="A32817" s="182"/>
      <c r="AJ32817" s="183"/>
      <c r="AK32817" s="183"/>
      <c r="AL32817" s="183"/>
    </row>
    <row r="32818" spans="1:38">
      <c r="A32818" s="182"/>
      <c r="AJ32818" s="183"/>
      <c r="AK32818" s="183"/>
      <c r="AL32818" s="183"/>
    </row>
    <row r="32819" spans="1:38">
      <c r="A32819" s="182"/>
      <c r="AJ32819" s="183"/>
      <c r="AK32819" s="183"/>
      <c r="AL32819" s="183"/>
    </row>
    <row r="32820" spans="1:38">
      <c r="A32820" s="182"/>
      <c r="AJ32820" s="183"/>
      <c r="AK32820" s="183"/>
      <c r="AL32820" s="183"/>
    </row>
    <row r="32821" spans="1:38">
      <c r="A32821" s="182"/>
      <c r="AJ32821" s="183"/>
      <c r="AK32821" s="183"/>
      <c r="AL32821" s="183"/>
    </row>
    <row r="32822" spans="1:38">
      <c r="A32822" s="182"/>
      <c r="AJ32822" s="183"/>
      <c r="AK32822" s="183"/>
      <c r="AL32822" s="183"/>
    </row>
    <row r="32823" spans="1:38">
      <c r="A32823" s="182"/>
      <c r="AJ32823" s="183"/>
      <c r="AK32823" s="183"/>
      <c r="AL32823" s="183"/>
    </row>
    <row r="32824" spans="1:38">
      <c r="A32824" s="182"/>
      <c r="AJ32824" s="183"/>
      <c r="AK32824" s="183"/>
      <c r="AL32824" s="183"/>
    </row>
    <row r="32825" spans="1:38">
      <c r="A32825" s="182"/>
      <c r="AJ32825" s="183"/>
      <c r="AK32825" s="183"/>
      <c r="AL32825" s="183"/>
    </row>
    <row r="32826" spans="1:38">
      <c r="A32826" s="182"/>
      <c r="AJ32826" s="183"/>
      <c r="AK32826" s="183"/>
      <c r="AL32826" s="183"/>
    </row>
    <row r="32827" spans="1:38">
      <c r="A32827" s="182"/>
      <c r="AJ32827" s="183"/>
      <c r="AK32827" s="183"/>
      <c r="AL32827" s="183"/>
    </row>
    <row r="32828" spans="1:38">
      <c r="A32828" s="182"/>
      <c r="AJ32828" s="183"/>
      <c r="AK32828" s="183"/>
      <c r="AL32828" s="183"/>
    </row>
    <row r="32829" spans="1:38">
      <c r="A32829" s="182"/>
      <c r="AJ32829" s="183"/>
      <c r="AK32829" s="183"/>
      <c r="AL32829" s="183"/>
    </row>
    <row r="32830" spans="1:38">
      <c r="A32830" s="182"/>
      <c r="AJ32830" s="183"/>
      <c r="AK32830" s="183"/>
      <c r="AL32830" s="183"/>
    </row>
    <row r="32831" spans="1:38">
      <c r="A32831" s="182"/>
      <c r="AJ32831" s="183"/>
      <c r="AK32831" s="183"/>
      <c r="AL32831" s="183"/>
    </row>
    <row r="32832" spans="1:38">
      <c r="A32832" s="182"/>
      <c r="AJ32832" s="183"/>
      <c r="AK32832" s="183"/>
      <c r="AL32832" s="183"/>
    </row>
    <row r="32833" spans="1:38">
      <c r="A32833" s="182"/>
      <c r="AJ32833" s="183"/>
    </row>
    <row r="32834" spans="1:38">
      <c r="A32834" s="182"/>
    </row>
    <row r="32835" spans="1:38">
      <c r="A32835" s="182"/>
    </row>
    <row r="32836" spans="1:38">
      <c r="A32836" s="182"/>
    </row>
    <row r="32837" spans="1:38">
      <c r="A32837" s="182"/>
      <c r="AK32837" s="183"/>
      <c r="AL32837" s="183"/>
    </row>
    <row r="32838" spans="1:38">
      <c r="A32838" s="182"/>
      <c r="AJ32838" s="183"/>
      <c r="AK32838" s="183"/>
      <c r="AL32838" s="183"/>
    </row>
    <row r="32839" spans="1:38">
      <c r="A32839" s="182"/>
      <c r="AJ32839" s="183"/>
      <c r="AK32839" s="183"/>
      <c r="AL32839" s="183"/>
    </row>
    <row r="32840" spans="1:38">
      <c r="A32840" s="182"/>
      <c r="AJ32840" s="183"/>
      <c r="AK32840" s="183"/>
      <c r="AL32840" s="183"/>
    </row>
    <row r="32841" spans="1:38">
      <c r="A32841" s="182"/>
      <c r="AJ32841" s="183"/>
    </row>
    <row r="32842" spans="1:38">
      <c r="A32842" s="182"/>
    </row>
    <row r="32843" spans="1:38">
      <c r="A32843" s="182"/>
    </row>
    <row r="32844" spans="1:38">
      <c r="A32844" s="182"/>
    </row>
    <row r="32845" spans="1:38">
      <c r="A32845" s="182"/>
    </row>
    <row r="32846" spans="1:38">
      <c r="A32846" s="182"/>
    </row>
    <row r="32847" spans="1:38">
      <c r="A32847" s="182"/>
    </row>
    <row r="32848" spans="1:38">
      <c r="A32848" s="182"/>
    </row>
    <row r="32849" spans="1:1">
      <c r="A32849" s="182"/>
    </row>
    <row r="32850" spans="1:1">
      <c r="A32850" s="182"/>
    </row>
    <row r="32851" spans="1:1">
      <c r="A32851" s="182"/>
    </row>
    <row r="32852" spans="1:1">
      <c r="A32852" s="182"/>
    </row>
    <row r="32853" spans="1:1">
      <c r="A32853" s="182"/>
    </row>
    <row r="32854" spans="1:1">
      <c r="A32854" s="182"/>
    </row>
    <row r="32855" spans="1:1">
      <c r="A32855" s="182"/>
    </row>
    <row r="32856" spans="1:1">
      <c r="A32856" s="182"/>
    </row>
    <row r="32857" spans="1:1">
      <c r="A32857" s="182"/>
    </row>
    <row r="32858" spans="1:1">
      <c r="A32858" s="182"/>
    </row>
    <row r="32859" spans="1:1">
      <c r="A32859" s="182"/>
    </row>
    <row r="32860" spans="1:1">
      <c r="A32860" s="182"/>
    </row>
    <row r="32861" spans="1:1">
      <c r="A32861" s="182"/>
    </row>
    <row r="32862" spans="1:1">
      <c r="A32862" s="182"/>
    </row>
    <row r="32863" spans="1:1">
      <c r="A32863" s="182"/>
    </row>
    <row r="32864" spans="1:1">
      <c r="A32864" s="182"/>
    </row>
    <row r="32865" spans="1:1">
      <c r="A32865" s="182"/>
    </row>
    <row r="32866" spans="1:1">
      <c r="A32866" s="182"/>
    </row>
    <row r="32867" spans="1:1">
      <c r="A32867" s="182"/>
    </row>
    <row r="32868" spans="1:1">
      <c r="A32868" s="182"/>
    </row>
    <row r="32869" spans="1:1">
      <c r="A32869" s="182"/>
    </row>
    <row r="32870" spans="1:1">
      <c r="A32870" s="182"/>
    </row>
    <row r="32871" spans="1:1">
      <c r="A32871" s="182"/>
    </row>
    <row r="32872" spans="1:1">
      <c r="A32872" s="182"/>
    </row>
    <row r="32873" spans="1:1">
      <c r="A32873" s="182"/>
    </row>
    <row r="32874" spans="1:1">
      <c r="A32874" s="182"/>
    </row>
    <row r="32875" spans="1:1">
      <c r="A32875" s="182"/>
    </row>
    <row r="32876" spans="1:1">
      <c r="A32876" s="182"/>
    </row>
    <row r="32877" spans="1:1">
      <c r="A32877" s="182"/>
    </row>
    <row r="32878" spans="1:1">
      <c r="A32878" s="182"/>
    </row>
    <row r="32879" spans="1:1">
      <c r="A32879" s="182"/>
    </row>
    <row r="32880" spans="1:1">
      <c r="A32880" s="182"/>
    </row>
    <row r="32881" spans="1:1">
      <c r="A32881" s="182"/>
    </row>
    <row r="32882" spans="1:1">
      <c r="A32882" s="182"/>
    </row>
    <row r="32883" spans="1:1">
      <c r="A32883" s="182"/>
    </row>
    <row r="32884" spans="1:1">
      <c r="A32884" s="182"/>
    </row>
    <row r="32885" spans="1:1">
      <c r="A32885" s="182"/>
    </row>
    <row r="32886" spans="1:1">
      <c r="A32886" s="182"/>
    </row>
    <row r="32887" spans="1:1">
      <c r="A32887" s="182"/>
    </row>
    <row r="32888" spans="1:1">
      <c r="A32888" s="182"/>
    </row>
    <row r="32889" spans="1:1">
      <c r="A32889" s="182"/>
    </row>
    <row r="32890" spans="1:1">
      <c r="A32890" s="182"/>
    </row>
    <row r="32891" spans="1:1">
      <c r="A32891" s="182"/>
    </row>
    <row r="32892" spans="1:1">
      <c r="A32892" s="182"/>
    </row>
    <row r="32893" spans="1:1">
      <c r="A32893" s="182"/>
    </row>
    <row r="32894" spans="1:1">
      <c r="A32894" s="182"/>
    </row>
    <row r="32895" spans="1:1">
      <c r="A32895" s="182"/>
    </row>
    <row r="32896" spans="1:1">
      <c r="A32896" s="182"/>
    </row>
    <row r="32897" spans="1:38">
      <c r="A32897" s="182"/>
    </row>
    <row r="32898" spans="1:38">
      <c r="A32898" s="182"/>
    </row>
    <row r="32899" spans="1:38">
      <c r="A32899" s="182"/>
    </row>
    <row r="32900" spans="1:38">
      <c r="A32900" s="182"/>
    </row>
    <row r="32901" spans="1:38">
      <c r="A32901" s="182"/>
      <c r="AK32901" s="183"/>
      <c r="AL32901" s="183"/>
    </row>
    <row r="32902" spans="1:38">
      <c r="A32902" s="182"/>
      <c r="AJ32902" s="183"/>
      <c r="AK32902" s="183"/>
      <c r="AL32902" s="183"/>
    </row>
    <row r="32903" spans="1:38">
      <c r="A32903" s="182"/>
      <c r="AJ32903" s="183"/>
      <c r="AK32903" s="183"/>
      <c r="AL32903" s="183"/>
    </row>
    <row r="32904" spans="1:38">
      <c r="A32904" s="182"/>
      <c r="AJ32904" s="183"/>
      <c r="AK32904" s="183"/>
      <c r="AL32904" s="183"/>
    </row>
    <row r="32905" spans="1:38">
      <c r="A32905" s="182"/>
      <c r="AJ32905" s="183"/>
    </row>
    <row r="32906" spans="1:38">
      <c r="A32906" s="182"/>
    </row>
    <row r="32907" spans="1:38">
      <c r="A32907" s="182"/>
    </row>
    <row r="32908" spans="1:38">
      <c r="A32908" s="182"/>
    </row>
    <row r="32909" spans="1:38">
      <c r="A32909" s="182"/>
      <c r="AK32909" s="183"/>
      <c r="AL32909" s="183"/>
    </row>
    <row r="32910" spans="1:38">
      <c r="A32910" s="182"/>
      <c r="AJ32910" s="183"/>
      <c r="AK32910" s="183"/>
      <c r="AL32910" s="183"/>
    </row>
    <row r="32911" spans="1:38">
      <c r="A32911" s="182"/>
      <c r="AJ32911" s="183"/>
      <c r="AK32911" s="183"/>
      <c r="AL32911" s="183"/>
    </row>
    <row r="32912" spans="1:38">
      <c r="A32912" s="182"/>
      <c r="AJ32912" s="183"/>
      <c r="AK32912" s="183"/>
      <c r="AL32912" s="183"/>
    </row>
    <row r="32913" spans="1:36">
      <c r="A32913" s="182"/>
      <c r="AJ32913" s="183"/>
    </row>
    <row r="32914" spans="1:36">
      <c r="A32914" s="182"/>
    </row>
    <row r="32915" spans="1:36">
      <c r="A32915" s="182"/>
    </row>
    <row r="32916" spans="1:36">
      <c r="A32916" s="182"/>
    </row>
    <row r="32917" spans="1:36">
      <c r="A32917" s="182"/>
    </row>
    <row r="32918" spans="1:36">
      <c r="A32918" s="182"/>
    </row>
    <row r="32919" spans="1:36">
      <c r="A32919" s="182"/>
    </row>
    <row r="32920" spans="1:36">
      <c r="A32920" s="182"/>
    </row>
    <row r="32921" spans="1:36">
      <c r="A32921" s="182"/>
    </row>
    <row r="32922" spans="1:36">
      <c r="A32922" s="182"/>
    </row>
    <row r="32923" spans="1:36">
      <c r="A32923" s="182"/>
    </row>
    <row r="32924" spans="1:36">
      <c r="A32924" s="182"/>
    </row>
    <row r="32925" spans="1:36">
      <c r="A32925" s="182"/>
    </row>
    <row r="32926" spans="1:36">
      <c r="A32926" s="182"/>
    </row>
    <row r="32927" spans="1:36">
      <c r="A32927" s="182"/>
    </row>
    <row r="32928" spans="1:36">
      <c r="A32928" s="182"/>
    </row>
    <row r="32929" spans="1:1">
      <c r="A32929" s="182"/>
    </row>
    <row r="32930" spans="1:1">
      <c r="A32930" s="182"/>
    </row>
    <row r="32931" spans="1:1">
      <c r="A32931" s="182"/>
    </row>
    <row r="32932" spans="1:1">
      <c r="A32932" s="182"/>
    </row>
    <row r="32933" spans="1:1">
      <c r="A32933" s="182"/>
    </row>
    <row r="32934" spans="1:1">
      <c r="A32934" s="182"/>
    </row>
    <row r="32935" spans="1:1">
      <c r="A32935" s="182"/>
    </row>
    <row r="32936" spans="1:1">
      <c r="A32936" s="182"/>
    </row>
    <row r="32937" spans="1:1">
      <c r="A32937" s="182"/>
    </row>
    <row r="32938" spans="1:1">
      <c r="A32938" s="182"/>
    </row>
    <row r="32939" spans="1:1">
      <c r="A32939" s="182"/>
    </row>
    <row r="32940" spans="1:1">
      <c r="A32940" s="182"/>
    </row>
    <row r="32941" spans="1:1">
      <c r="A32941" s="182"/>
    </row>
    <row r="32942" spans="1:1">
      <c r="A32942" s="182"/>
    </row>
    <row r="32943" spans="1:1">
      <c r="A32943" s="182"/>
    </row>
    <row r="32944" spans="1:1">
      <c r="A32944" s="182"/>
    </row>
    <row r="32945" spans="1:38">
      <c r="A32945" s="182"/>
    </row>
    <row r="32946" spans="1:38">
      <c r="A32946" s="182"/>
    </row>
    <row r="32947" spans="1:38">
      <c r="A32947" s="182"/>
    </row>
    <row r="32948" spans="1:38">
      <c r="A32948" s="182"/>
    </row>
    <row r="32949" spans="1:38">
      <c r="A32949" s="182"/>
    </row>
    <row r="32950" spans="1:38">
      <c r="A32950" s="182"/>
    </row>
    <row r="32951" spans="1:38">
      <c r="A32951" s="182"/>
    </row>
    <row r="32952" spans="1:38">
      <c r="A32952" s="182"/>
    </row>
    <row r="32953" spans="1:38">
      <c r="A32953" s="182"/>
    </row>
    <row r="32954" spans="1:38">
      <c r="A32954" s="182"/>
    </row>
    <row r="32955" spans="1:38">
      <c r="A32955" s="182"/>
    </row>
    <row r="32956" spans="1:38">
      <c r="A32956" s="182"/>
    </row>
    <row r="32957" spans="1:38">
      <c r="A32957" s="182"/>
      <c r="AK32957" s="183"/>
      <c r="AL32957" s="183"/>
    </row>
    <row r="32958" spans="1:38">
      <c r="A32958" s="182"/>
      <c r="AJ32958" s="183"/>
      <c r="AK32958" s="183"/>
      <c r="AL32958" s="183"/>
    </row>
    <row r="32959" spans="1:38">
      <c r="A32959" s="182"/>
      <c r="AJ32959" s="183"/>
      <c r="AK32959" s="183"/>
      <c r="AL32959" s="183"/>
    </row>
    <row r="32960" spans="1:38">
      <c r="A32960" s="182"/>
      <c r="AJ32960" s="183"/>
      <c r="AK32960" s="183"/>
      <c r="AL32960" s="183"/>
    </row>
    <row r="32961" spans="1:38">
      <c r="A32961" s="182"/>
      <c r="AJ32961" s="183"/>
    </row>
    <row r="32962" spans="1:38">
      <c r="A32962" s="182"/>
    </row>
    <row r="32963" spans="1:38">
      <c r="A32963" s="182"/>
    </row>
    <row r="32964" spans="1:38">
      <c r="A32964" s="182"/>
    </row>
    <row r="32965" spans="1:38">
      <c r="A32965" s="182"/>
    </row>
    <row r="32966" spans="1:38">
      <c r="A32966" s="182"/>
    </row>
    <row r="32967" spans="1:38">
      <c r="A32967" s="182"/>
    </row>
    <row r="32968" spans="1:38">
      <c r="A32968" s="182"/>
    </row>
    <row r="32969" spans="1:38">
      <c r="A32969" s="182"/>
      <c r="AK32969" s="183"/>
      <c r="AL32969" s="183"/>
    </row>
    <row r="32970" spans="1:38">
      <c r="A32970" s="182"/>
      <c r="AJ32970" s="183"/>
      <c r="AK32970" s="183"/>
      <c r="AL32970" s="183"/>
    </row>
    <row r="32971" spans="1:38">
      <c r="A32971" s="182"/>
      <c r="AJ32971" s="183"/>
      <c r="AK32971" s="183"/>
      <c r="AL32971" s="183"/>
    </row>
    <row r="32972" spans="1:38">
      <c r="A32972" s="182"/>
      <c r="AJ32972" s="183"/>
      <c r="AK32972" s="183"/>
      <c r="AL32972" s="183"/>
    </row>
    <row r="32973" spans="1:38">
      <c r="A32973" s="182"/>
      <c r="AJ32973" s="183"/>
    </row>
    <row r="32974" spans="1:38">
      <c r="A32974" s="182"/>
    </row>
    <row r="32975" spans="1:38">
      <c r="A32975" s="182"/>
    </row>
    <row r="32976" spans="1:38">
      <c r="A32976" s="182"/>
    </row>
    <row r="32977" spans="1:38">
      <c r="A32977" s="182"/>
    </row>
    <row r="32978" spans="1:38">
      <c r="A32978" s="182"/>
    </row>
    <row r="32979" spans="1:38">
      <c r="A32979" s="182"/>
    </row>
    <row r="32980" spans="1:38">
      <c r="A32980" s="182"/>
    </row>
    <row r="32981" spans="1:38">
      <c r="A32981" s="182"/>
      <c r="AK32981" s="183"/>
      <c r="AL32981" s="183"/>
    </row>
    <row r="32982" spans="1:38">
      <c r="A32982" s="182"/>
      <c r="AJ32982" s="183"/>
      <c r="AK32982" s="183"/>
      <c r="AL32982" s="183"/>
    </row>
    <row r="32983" spans="1:38">
      <c r="A32983" s="182"/>
      <c r="AJ32983" s="183"/>
      <c r="AK32983" s="183"/>
      <c r="AL32983" s="183"/>
    </row>
    <row r="32984" spans="1:38">
      <c r="A32984" s="182"/>
      <c r="AJ32984" s="183"/>
      <c r="AK32984" s="183"/>
      <c r="AL32984" s="183"/>
    </row>
    <row r="32985" spans="1:38">
      <c r="A32985" s="182"/>
      <c r="AJ32985" s="183"/>
    </row>
    <row r="32986" spans="1:38">
      <c r="A32986" s="182"/>
    </row>
    <row r="32987" spans="1:38">
      <c r="A32987" s="182"/>
    </row>
    <row r="32988" spans="1:38">
      <c r="A32988" s="182"/>
    </row>
    <row r="32989" spans="1:38">
      <c r="A32989" s="182"/>
    </row>
    <row r="32990" spans="1:38">
      <c r="A32990" s="182"/>
    </row>
    <row r="32991" spans="1:38">
      <c r="A32991" s="182"/>
    </row>
    <row r="32992" spans="1:38">
      <c r="A32992" s="182"/>
    </row>
    <row r="32993" spans="1:1">
      <c r="A32993" s="182"/>
    </row>
    <row r="32994" spans="1:1">
      <c r="A32994" s="182"/>
    </row>
    <row r="32995" spans="1:1">
      <c r="A32995" s="182"/>
    </row>
    <row r="32996" spans="1:1">
      <c r="A32996" s="182"/>
    </row>
    <row r="32997" spans="1:1">
      <c r="A32997" s="182"/>
    </row>
    <row r="32998" spans="1:1">
      <c r="A32998" s="182"/>
    </row>
    <row r="32999" spans="1:1">
      <c r="A32999" s="182"/>
    </row>
    <row r="33000" spans="1:1">
      <c r="A33000" s="182"/>
    </row>
    <row r="33001" spans="1:1">
      <c r="A33001" s="182"/>
    </row>
    <row r="33002" spans="1:1">
      <c r="A33002" s="182"/>
    </row>
    <row r="33003" spans="1:1">
      <c r="A33003" s="182"/>
    </row>
    <row r="33004" spans="1:1">
      <c r="A33004" s="182"/>
    </row>
    <row r="33005" spans="1:1">
      <c r="A33005" s="182"/>
    </row>
    <row r="33006" spans="1:1">
      <c r="A33006" s="182"/>
    </row>
    <row r="33007" spans="1:1">
      <c r="A33007" s="182"/>
    </row>
    <row r="33008" spans="1:1">
      <c r="A33008" s="182"/>
    </row>
    <row r="33009" spans="1:38">
      <c r="A33009" s="182"/>
    </row>
    <row r="33010" spans="1:38">
      <c r="A33010" s="182"/>
    </row>
    <row r="33011" spans="1:38">
      <c r="A33011" s="182"/>
    </row>
    <row r="33012" spans="1:38">
      <c r="A33012" s="182"/>
    </row>
    <row r="33013" spans="1:38">
      <c r="A33013" s="182"/>
    </row>
    <row r="33014" spans="1:38">
      <c r="A33014" s="182"/>
    </row>
    <row r="33015" spans="1:38">
      <c r="A33015" s="182"/>
    </row>
    <row r="33016" spans="1:38">
      <c r="A33016" s="182"/>
    </row>
    <row r="33017" spans="1:38">
      <c r="A33017" s="182"/>
      <c r="AK33017" s="183"/>
      <c r="AL33017" s="183"/>
    </row>
    <row r="33018" spans="1:38">
      <c r="A33018" s="182"/>
      <c r="AJ33018" s="183"/>
      <c r="AK33018" s="183"/>
      <c r="AL33018" s="183"/>
    </row>
    <row r="33019" spans="1:38">
      <c r="A33019" s="182"/>
      <c r="AJ33019" s="183"/>
      <c r="AK33019" s="183"/>
      <c r="AL33019" s="183"/>
    </row>
    <row r="33020" spans="1:38">
      <c r="A33020" s="182"/>
      <c r="AJ33020" s="183"/>
      <c r="AK33020" s="183"/>
      <c r="AL33020" s="183"/>
    </row>
    <row r="33021" spans="1:38">
      <c r="A33021" s="182"/>
      <c r="AJ33021" s="183"/>
    </row>
    <row r="33022" spans="1:38">
      <c r="A33022" s="182"/>
    </row>
    <row r="33023" spans="1:38">
      <c r="A33023" s="182"/>
    </row>
    <row r="33024" spans="1:38">
      <c r="A33024" s="182"/>
    </row>
    <row r="33025" spans="1:1">
      <c r="A33025" s="182"/>
    </row>
    <row r="33026" spans="1:1">
      <c r="A33026" s="182"/>
    </row>
    <row r="33027" spans="1:1">
      <c r="A33027" s="182"/>
    </row>
    <row r="33028" spans="1:1">
      <c r="A33028" s="182"/>
    </row>
    <row r="33029" spans="1:1">
      <c r="A33029" s="182"/>
    </row>
    <row r="33030" spans="1:1">
      <c r="A33030" s="182"/>
    </row>
    <row r="33031" spans="1:1">
      <c r="A33031" s="182"/>
    </row>
    <row r="33032" spans="1:1">
      <c r="A33032" s="182"/>
    </row>
    <row r="33033" spans="1:1">
      <c r="A33033" s="182"/>
    </row>
    <row r="33034" spans="1:1">
      <c r="A33034" s="182"/>
    </row>
    <row r="33035" spans="1:1">
      <c r="A33035" s="182"/>
    </row>
    <row r="33036" spans="1:1">
      <c r="A33036" s="182"/>
    </row>
    <row r="33037" spans="1:1">
      <c r="A33037" s="182"/>
    </row>
    <row r="33038" spans="1:1">
      <c r="A33038" s="182"/>
    </row>
    <row r="33039" spans="1:1">
      <c r="A33039" s="182"/>
    </row>
    <row r="33040" spans="1:1">
      <c r="A33040" s="182"/>
    </row>
    <row r="33041" spans="1:1">
      <c r="A33041" s="182"/>
    </row>
    <row r="33042" spans="1:1">
      <c r="A33042" s="182"/>
    </row>
    <row r="33043" spans="1:1">
      <c r="A33043" s="182"/>
    </row>
    <row r="33044" spans="1:1">
      <c r="A33044" s="182"/>
    </row>
    <row r="33045" spans="1:1">
      <c r="A33045" s="182"/>
    </row>
    <row r="33046" spans="1:1">
      <c r="A33046" s="182"/>
    </row>
    <row r="33047" spans="1:1">
      <c r="A33047" s="182"/>
    </row>
    <row r="33048" spans="1:1">
      <c r="A33048" s="182"/>
    </row>
    <row r="33049" spans="1:1">
      <c r="A33049" s="182"/>
    </row>
    <row r="33050" spans="1:1">
      <c r="A33050" s="182"/>
    </row>
    <row r="33051" spans="1:1">
      <c r="A33051" s="182"/>
    </row>
    <row r="33052" spans="1:1">
      <c r="A33052" s="182"/>
    </row>
    <row r="33053" spans="1:1">
      <c r="A33053" s="182"/>
    </row>
    <row r="33054" spans="1:1">
      <c r="A33054" s="182"/>
    </row>
    <row r="33055" spans="1:1">
      <c r="A33055" s="182"/>
    </row>
    <row r="33056" spans="1:1">
      <c r="A33056" s="182"/>
    </row>
    <row r="33057" spans="1:38">
      <c r="A33057" s="182"/>
    </row>
    <row r="33058" spans="1:38">
      <c r="A33058" s="182"/>
    </row>
    <row r="33059" spans="1:38">
      <c r="A33059" s="182"/>
    </row>
    <row r="33060" spans="1:38">
      <c r="A33060" s="182"/>
    </row>
    <row r="33061" spans="1:38">
      <c r="A33061" s="182"/>
    </row>
    <row r="33062" spans="1:38">
      <c r="A33062" s="182"/>
    </row>
    <row r="33063" spans="1:38">
      <c r="A33063" s="182"/>
    </row>
    <row r="33064" spans="1:38">
      <c r="A33064" s="182"/>
    </row>
    <row r="33065" spans="1:38">
      <c r="A33065" s="182"/>
      <c r="AK33065" s="183"/>
      <c r="AL33065" s="183"/>
    </row>
    <row r="33066" spans="1:38">
      <c r="A33066" s="182"/>
      <c r="AJ33066" s="183"/>
      <c r="AK33066" s="183"/>
      <c r="AL33066" s="183"/>
    </row>
    <row r="33067" spans="1:38">
      <c r="A33067" s="182"/>
      <c r="AJ33067" s="183"/>
      <c r="AK33067" s="183"/>
      <c r="AL33067" s="183"/>
    </row>
    <row r="33068" spans="1:38">
      <c r="A33068" s="182"/>
      <c r="AJ33068" s="183"/>
      <c r="AK33068" s="183"/>
      <c r="AL33068" s="183"/>
    </row>
    <row r="33069" spans="1:38">
      <c r="A33069" s="182"/>
      <c r="AJ33069" s="183"/>
    </row>
    <row r="33070" spans="1:38">
      <c r="A33070" s="182"/>
    </row>
    <row r="33071" spans="1:38">
      <c r="A33071" s="182"/>
    </row>
    <row r="33072" spans="1:38">
      <c r="A33072" s="182"/>
    </row>
    <row r="33073" spans="1:38">
      <c r="A33073" s="182"/>
      <c r="AK33073" s="183"/>
      <c r="AL33073" s="183"/>
    </row>
    <row r="33074" spans="1:38">
      <c r="A33074" s="182"/>
      <c r="AJ33074" s="183"/>
      <c r="AK33074" s="183"/>
      <c r="AL33074" s="183"/>
    </row>
    <row r="33075" spans="1:38">
      <c r="A33075" s="182"/>
      <c r="AJ33075" s="183"/>
      <c r="AK33075" s="183"/>
      <c r="AL33075" s="183"/>
    </row>
    <row r="33076" spans="1:38">
      <c r="A33076" s="182"/>
      <c r="AJ33076" s="183"/>
      <c r="AK33076" s="183"/>
      <c r="AL33076" s="183"/>
    </row>
    <row r="33077" spans="1:38">
      <c r="A33077" s="182"/>
      <c r="AJ33077" s="183"/>
    </row>
    <row r="33078" spans="1:38">
      <c r="A33078" s="182"/>
    </row>
    <row r="33079" spans="1:38">
      <c r="A33079" s="182"/>
    </row>
    <row r="33080" spans="1:38">
      <c r="A33080" s="182"/>
    </row>
    <row r="33081" spans="1:38">
      <c r="A33081" s="182"/>
    </row>
    <row r="33082" spans="1:38">
      <c r="A33082" s="182"/>
    </row>
    <row r="33083" spans="1:38">
      <c r="A33083" s="182"/>
    </row>
    <row r="33084" spans="1:38">
      <c r="A33084" s="182"/>
    </row>
    <row r="33085" spans="1:38">
      <c r="A33085" s="182"/>
    </row>
    <row r="33086" spans="1:38">
      <c r="A33086" s="182"/>
    </row>
    <row r="33087" spans="1:38">
      <c r="A33087" s="182"/>
    </row>
    <row r="33088" spans="1:38">
      <c r="A33088" s="182"/>
    </row>
    <row r="33089" spans="1:38">
      <c r="A33089" s="182"/>
    </row>
    <row r="33090" spans="1:38">
      <c r="A33090" s="182"/>
    </row>
    <row r="33091" spans="1:38">
      <c r="A33091" s="182"/>
    </row>
    <row r="33092" spans="1:38">
      <c r="A33092" s="182"/>
    </row>
    <row r="33093" spans="1:38">
      <c r="A33093" s="182"/>
      <c r="AK33093" s="183"/>
      <c r="AL33093" s="183"/>
    </row>
    <row r="33094" spans="1:38">
      <c r="A33094" s="182"/>
      <c r="AJ33094" s="183"/>
      <c r="AK33094" s="183"/>
      <c r="AL33094" s="183"/>
    </row>
    <row r="33095" spans="1:38">
      <c r="A33095" s="182"/>
      <c r="AJ33095" s="183"/>
      <c r="AK33095" s="183"/>
      <c r="AL33095" s="183"/>
    </row>
    <row r="33096" spans="1:38">
      <c r="A33096" s="182"/>
      <c r="AJ33096" s="183"/>
      <c r="AK33096" s="183"/>
      <c r="AL33096" s="183"/>
    </row>
    <row r="33097" spans="1:38">
      <c r="A33097" s="182"/>
      <c r="AJ33097" s="183"/>
      <c r="AK33097" s="183"/>
      <c r="AL33097" s="183"/>
    </row>
    <row r="33098" spans="1:38">
      <c r="A33098" s="182"/>
      <c r="AJ33098" s="183"/>
      <c r="AK33098" s="183"/>
      <c r="AL33098" s="183"/>
    </row>
    <row r="33099" spans="1:38">
      <c r="A33099" s="182"/>
      <c r="AJ33099" s="183"/>
      <c r="AK33099" s="183"/>
      <c r="AL33099" s="183"/>
    </row>
    <row r="33100" spans="1:38">
      <c r="A33100" s="182"/>
      <c r="AJ33100" s="183"/>
      <c r="AK33100" s="183"/>
      <c r="AL33100" s="183"/>
    </row>
    <row r="33101" spans="1:38">
      <c r="A33101" s="182"/>
      <c r="AJ33101" s="183"/>
      <c r="AK33101" s="183"/>
      <c r="AL33101" s="183"/>
    </row>
    <row r="33102" spans="1:38">
      <c r="A33102" s="182"/>
      <c r="AJ33102" s="183"/>
      <c r="AK33102" s="183"/>
      <c r="AL33102" s="183"/>
    </row>
    <row r="33103" spans="1:38">
      <c r="A33103" s="182"/>
      <c r="AJ33103" s="183"/>
      <c r="AK33103" s="183"/>
      <c r="AL33103" s="183"/>
    </row>
    <row r="33104" spans="1:38">
      <c r="A33104" s="182"/>
      <c r="AJ33104" s="183"/>
      <c r="AK33104" s="183"/>
      <c r="AL33104" s="183"/>
    </row>
    <row r="33105" spans="1:38">
      <c r="A33105" s="182"/>
      <c r="AJ33105" s="183"/>
      <c r="AK33105" s="183"/>
      <c r="AL33105" s="183"/>
    </row>
    <row r="33106" spans="1:38">
      <c r="A33106" s="182"/>
      <c r="AJ33106" s="183"/>
      <c r="AK33106" s="183"/>
      <c r="AL33106" s="183"/>
    </row>
    <row r="33107" spans="1:38">
      <c r="A33107" s="182"/>
      <c r="AJ33107" s="183"/>
      <c r="AK33107" s="183"/>
      <c r="AL33107" s="183"/>
    </row>
    <row r="33108" spans="1:38">
      <c r="A33108" s="182"/>
      <c r="AJ33108" s="183"/>
      <c r="AK33108" s="183"/>
      <c r="AL33108" s="183"/>
    </row>
    <row r="33109" spans="1:38">
      <c r="A33109" s="182"/>
      <c r="AJ33109" s="183"/>
      <c r="AK33109" s="183"/>
      <c r="AL33109" s="183"/>
    </row>
    <row r="33110" spans="1:38">
      <c r="A33110" s="182"/>
      <c r="AJ33110" s="183"/>
      <c r="AK33110" s="183"/>
      <c r="AL33110" s="183"/>
    </row>
    <row r="33111" spans="1:38">
      <c r="A33111" s="182"/>
      <c r="AJ33111" s="183"/>
      <c r="AK33111" s="183"/>
      <c r="AL33111" s="183"/>
    </row>
    <row r="33112" spans="1:38">
      <c r="A33112" s="182"/>
      <c r="AJ33112" s="183"/>
      <c r="AK33112" s="183"/>
      <c r="AL33112" s="183"/>
    </row>
    <row r="33113" spans="1:38">
      <c r="A33113" s="182"/>
      <c r="AJ33113" s="183"/>
    </row>
    <row r="33114" spans="1:38">
      <c r="A33114" s="182"/>
    </row>
    <row r="33115" spans="1:38">
      <c r="A33115" s="182"/>
    </row>
    <row r="33116" spans="1:38">
      <c r="A33116" s="182"/>
    </row>
    <row r="33117" spans="1:38">
      <c r="A33117" s="182"/>
      <c r="AK33117" s="183"/>
      <c r="AL33117" s="183"/>
    </row>
    <row r="33118" spans="1:38">
      <c r="A33118" s="182"/>
      <c r="AJ33118" s="183"/>
      <c r="AK33118" s="183"/>
      <c r="AL33118" s="183"/>
    </row>
    <row r="33119" spans="1:38">
      <c r="A33119" s="182"/>
      <c r="AJ33119" s="183"/>
      <c r="AK33119" s="183"/>
      <c r="AL33119" s="183"/>
    </row>
    <row r="33120" spans="1:38">
      <c r="A33120" s="182"/>
      <c r="AJ33120" s="183"/>
      <c r="AK33120" s="183"/>
      <c r="AL33120" s="183"/>
    </row>
    <row r="33121" spans="1:38">
      <c r="A33121" s="182"/>
      <c r="AJ33121" s="183"/>
    </row>
    <row r="33122" spans="1:38">
      <c r="A33122" s="182"/>
    </row>
    <row r="33123" spans="1:38">
      <c r="A33123" s="182"/>
    </row>
    <row r="33124" spans="1:38">
      <c r="A33124" s="182"/>
    </row>
    <row r="33125" spans="1:38">
      <c r="A33125" s="182"/>
      <c r="AK33125" s="183"/>
      <c r="AL33125" s="183"/>
    </row>
    <row r="33126" spans="1:38">
      <c r="A33126" s="182"/>
      <c r="AJ33126" s="183"/>
      <c r="AK33126" s="183"/>
      <c r="AL33126" s="183"/>
    </row>
    <row r="33127" spans="1:38">
      <c r="A33127" s="182"/>
      <c r="AJ33127" s="183"/>
      <c r="AK33127" s="183"/>
      <c r="AL33127" s="183"/>
    </row>
    <row r="33128" spans="1:38">
      <c r="A33128" s="182"/>
      <c r="AJ33128" s="183"/>
      <c r="AK33128" s="183"/>
      <c r="AL33128" s="183"/>
    </row>
    <row r="33129" spans="1:38">
      <c r="A33129" s="182"/>
      <c r="AJ33129" s="183"/>
      <c r="AK33129" s="183"/>
      <c r="AL33129" s="183"/>
    </row>
    <row r="33130" spans="1:38">
      <c r="A33130" s="182"/>
      <c r="AJ33130" s="183"/>
      <c r="AK33130" s="183"/>
      <c r="AL33130" s="183"/>
    </row>
    <row r="33131" spans="1:38">
      <c r="A33131" s="182"/>
      <c r="AJ33131" s="183"/>
      <c r="AK33131" s="183"/>
      <c r="AL33131" s="183"/>
    </row>
    <row r="33132" spans="1:38">
      <c r="A33132" s="182"/>
      <c r="AJ33132" s="183"/>
      <c r="AK33132" s="183"/>
      <c r="AL33132" s="183"/>
    </row>
    <row r="33133" spans="1:38">
      <c r="A33133" s="182"/>
      <c r="AJ33133" s="183"/>
    </row>
    <row r="33134" spans="1:38">
      <c r="A33134" s="182"/>
    </row>
    <row r="33135" spans="1:38">
      <c r="A33135" s="182"/>
    </row>
    <row r="33136" spans="1:38">
      <c r="A33136" s="182"/>
    </row>
    <row r="33137" spans="1:38">
      <c r="A33137" s="182"/>
      <c r="AK33137" s="183"/>
      <c r="AL33137" s="183"/>
    </row>
    <row r="33138" spans="1:38">
      <c r="A33138" s="182"/>
      <c r="AJ33138" s="183"/>
      <c r="AK33138" s="183"/>
      <c r="AL33138" s="183"/>
    </row>
    <row r="33139" spans="1:38">
      <c r="A33139" s="182"/>
      <c r="AJ33139" s="183"/>
      <c r="AK33139" s="183"/>
      <c r="AL33139" s="183"/>
    </row>
    <row r="33140" spans="1:38">
      <c r="A33140" s="182"/>
      <c r="AJ33140" s="183"/>
      <c r="AK33140" s="183"/>
      <c r="AL33140" s="183"/>
    </row>
    <row r="33141" spans="1:38">
      <c r="A33141" s="182"/>
      <c r="AJ33141" s="183"/>
    </row>
    <row r="33142" spans="1:38">
      <c r="A33142" s="182"/>
    </row>
    <row r="33143" spans="1:38">
      <c r="A33143" s="182"/>
    </row>
    <row r="33144" spans="1:38">
      <c r="A33144" s="182"/>
    </row>
    <row r="33145" spans="1:38">
      <c r="A33145" s="182"/>
    </row>
    <row r="33146" spans="1:38">
      <c r="A33146" s="182"/>
    </row>
    <row r="33147" spans="1:38">
      <c r="A33147" s="182"/>
    </row>
    <row r="33148" spans="1:38">
      <c r="A33148" s="182"/>
    </row>
    <row r="33149" spans="1:38">
      <c r="A33149" s="182"/>
    </row>
    <row r="33150" spans="1:38">
      <c r="A33150" s="182"/>
    </row>
    <row r="33151" spans="1:38">
      <c r="A33151" s="182"/>
    </row>
    <row r="33152" spans="1:38">
      <c r="A33152" s="182"/>
    </row>
    <row r="33153" spans="1:1">
      <c r="A33153" s="182"/>
    </row>
    <row r="33154" spans="1:1">
      <c r="A33154" s="182"/>
    </row>
    <row r="33155" spans="1:1">
      <c r="A33155" s="182"/>
    </row>
    <row r="33156" spans="1:1">
      <c r="A33156" s="182"/>
    </row>
    <row r="33157" spans="1:1">
      <c r="A33157" s="182"/>
    </row>
    <row r="33158" spans="1:1">
      <c r="A33158" s="182"/>
    </row>
    <row r="33159" spans="1:1">
      <c r="A33159" s="182"/>
    </row>
    <row r="33160" spans="1:1">
      <c r="A33160" s="182"/>
    </row>
    <row r="33161" spans="1:1">
      <c r="A33161" s="182"/>
    </row>
    <row r="33162" spans="1:1">
      <c r="A33162" s="182"/>
    </row>
    <row r="33163" spans="1:1">
      <c r="A33163" s="182"/>
    </row>
    <row r="33164" spans="1:1">
      <c r="A33164" s="182"/>
    </row>
    <row r="33165" spans="1:1">
      <c r="A33165" s="182"/>
    </row>
    <row r="33166" spans="1:1">
      <c r="A33166" s="182"/>
    </row>
    <row r="33167" spans="1:1">
      <c r="A33167" s="182"/>
    </row>
    <row r="33168" spans="1:1">
      <c r="A33168" s="182"/>
    </row>
    <row r="33169" spans="1:1">
      <c r="A33169" s="182"/>
    </row>
    <row r="33170" spans="1:1">
      <c r="A33170" s="182"/>
    </row>
    <row r="33171" spans="1:1">
      <c r="A33171" s="182"/>
    </row>
    <row r="33172" spans="1:1">
      <c r="A33172" s="182"/>
    </row>
    <row r="33173" spans="1:1">
      <c r="A33173" s="182"/>
    </row>
    <row r="33174" spans="1:1">
      <c r="A33174" s="182"/>
    </row>
    <row r="33175" spans="1:1">
      <c r="A33175" s="182"/>
    </row>
    <row r="33176" spans="1:1">
      <c r="A33176" s="182"/>
    </row>
    <row r="33177" spans="1:1">
      <c r="A33177" s="182"/>
    </row>
    <row r="33178" spans="1:1">
      <c r="A33178" s="182"/>
    </row>
    <row r="33179" spans="1:1">
      <c r="A33179" s="182"/>
    </row>
    <row r="33180" spans="1:1">
      <c r="A33180" s="182"/>
    </row>
    <row r="33181" spans="1:1">
      <c r="A33181" s="182"/>
    </row>
    <row r="33182" spans="1:1">
      <c r="A33182" s="182"/>
    </row>
    <row r="33183" spans="1:1">
      <c r="A33183" s="182"/>
    </row>
    <row r="33184" spans="1:1">
      <c r="A33184" s="182"/>
    </row>
    <row r="33185" spans="1:38">
      <c r="A33185" s="182"/>
    </row>
    <row r="33186" spans="1:38">
      <c r="A33186" s="182"/>
    </row>
    <row r="33187" spans="1:38">
      <c r="A33187" s="182"/>
    </row>
    <row r="33188" spans="1:38">
      <c r="A33188" s="182"/>
    </row>
    <row r="33189" spans="1:38">
      <c r="A33189" s="182"/>
    </row>
    <row r="33190" spans="1:38">
      <c r="A33190" s="182"/>
    </row>
    <row r="33191" spans="1:38">
      <c r="A33191" s="182"/>
    </row>
    <row r="33192" spans="1:38">
      <c r="A33192" s="182"/>
    </row>
    <row r="33193" spans="1:38">
      <c r="A33193" s="182"/>
    </row>
    <row r="33194" spans="1:38">
      <c r="A33194" s="182"/>
    </row>
    <row r="33195" spans="1:38">
      <c r="A33195" s="182"/>
    </row>
    <row r="33196" spans="1:38">
      <c r="A33196" s="182"/>
    </row>
    <row r="33197" spans="1:38">
      <c r="A33197" s="182"/>
      <c r="AK33197" s="183"/>
      <c r="AL33197" s="183"/>
    </row>
    <row r="33198" spans="1:38">
      <c r="A33198" s="182"/>
      <c r="AJ33198" s="183"/>
      <c r="AK33198" s="183"/>
      <c r="AL33198" s="183"/>
    </row>
    <row r="33199" spans="1:38">
      <c r="A33199" s="182"/>
      <c r="AJ33199" s="183"/>
      <c r="AK33199" s="183"/>
      <c r="AL33199" s="183"/>
    </row>
    <row r="33200" spans="1:38">
      <c r="A33200" s="182"/>
      <c r="AJ33200" s="183"/>
      <c r="AK33200" s="183"/>
      <c r="AL33200" s="183"/>
    </row>
    <row r="33201" spans="1:36">
      <c r="A33201" s="182"/>
      <c r="AJ33201" s="183"/>
    </row>
    <row r="33202" spans="1:36">
      <c r="A33202" s="182"/>
    </row>
    <row r="33203" spans="1:36">
      <c r="A33203" s="182"/>
    </row>
    <row r="33204" spans="1:36">
      <c r="A33204" s="182"/>
    </row>
    <row r="33205" spans="1:36">
      <c r="A33205" s="182"/>
    </row>
    <row r="33206" spans="1:36">
      <c r="A33206" s="182"/>
    </row>
    <row r="33207" spans="1:36">
      <c r="A33207" s="182"/>
    </row>
    <row r="33208" spans="1:36">
      <c r="A33208" s="182"/>
    </row>
    <row r="33209" spans="1:36">
      <c r="A33209" s="182"/>
    </row>
    <row r="33210" spans="1:36">
      <c r="A33210" s="182"/>
    </row>
    <row r="33211" spans="1:36">
      <c r="A33211" s="182"/>
    </row>
    <row r="33212" spans="1:36">
      <c r="A33212" s="182"/>
    </row>
    <row r="33213" spans="1:36">
      <c r="A33213" s="182"/>
    </row>
    <row r="33214" spans="1:36">
      <c r="A33214" s="182"/>
    </row>
    <row r="33215" spans="1:36">
      <c r="A33215" s="182"/>
    </row>
    <row r="33216" spans="1:36">
      <c r="A33216" s="182"/>
    </row>
    <row r="33217" spans="1:38">
      <c r="A33217" s="182"/>
      <c r="AK33217" s="183"/>
      <c r="AL33217" s="183"/>
    </row>
    <row r="33218" spans="1:38">
      <c r="A33218" s="182"/>
      <c r="AJ33218" s="183"/>
      <c r="AK33218" s="183"/>
      <c r="AL33218" s="183"/>
    </row>
    <row r="33219" spans="1:38">
      <c r="A33219" s="182"/>
      <c r="AJ33219" s="183"/>
      <c r="AK33219" s="183"/>
      <c r="AL33219" s="183"/>
    </row>
    <row r="33220" spans="1:38">
      <c r="A33220" s="182"/>
      <c r="AJ33220" s="183"/>
      <c r="AK33220" s="183"/>
      <c r="AL33220" s="183"/>
    </row>
    <row r="33221" spans="1:38">
      <c r="A33221" s="182"/>
      <c r="AJ33221" s="183"/>
    </row>
    <row r="33222" spans="1:38">
      <c r="A33222" s="182"/>
    </row>
    <row r="33223" spans="1:38">
      <c r="A33223" s="182"/>
    </row>
    <row r="33224" spans="1:38">
      <c r="A33224" s="182"/>
    </row>
    <row r="33225" spans="1:38">
      <c r="A33225" s="182"/>
      <c r="AK33225" s="183"/>
      <c r="AL33225" s="183"/>
    </row>
    <row r="33226" spans="1:38">
      <c r="A33226" s="182"/>
      <c r="AJ33226" s="183"/>
      <c r="AK33226" s="183"/>
      <c r="AL33226" s="183"/>
    </row>
    <row r="33227" spans="1:38">
      <c r="A33227" s="182"/>
      <c r="AJ33227" s="183"/>
      <c r="AK33227" s="183"/>
      <c r="AL33227" s="183"/>
    </row>
    <row r="33228" spans="1:38">
      <c r="A33228" s="182"/>
      <c r="AJ33228" s="183"/>
      <c r="AK33228" s="183"/>
      <c r="AL33228" s="183"/>
    </row>
    <row r="33229" spans="1:38">
      <c r="A33229" s="182"/>
      <c r="AJ33229" s="183"/>
      <c r="AK33229" s="183"/>
      <c r="AL33229" s="183"/>
    </row>
    <row r="33230" spans="1:38">
      <c r="A33230" s="182"/>
      <c r="AJ33230" s="183"/>
      <c r="AK33230" s="183"/>
      <c r="AL33230" s="183"/>
    </row>
    <row r="33231" spans="1:38">
      <c r="A33231" s="182"/>
      <c r="AJ33231" s="183"/>
      <c r="AK33231" s="183"/>
      <c r="AL33231" s="183"/>
    </row>
    <row r="33232" spans="1:38">
      <c r="A33232" s="182"/>
      <c r="AJ33232" s="183"/>
      <c r="AK33232" s="183"/>
      <c r="AL33232" s="183"/>
    </row>
    <row r="33233" spans="1:38">
      <c r="A33233" s="182"/>
      <c r="AJ33233" s="183"/>
      <c r="AK33233" s="183"/>
      <c r="AL33233" s="183"/>
    </row>
    <row r="33234" spans="1:38">
      <c r="A33234" s="182"/>
      <c r="AJ33234" s="183"/>
      <c r="AK33234" s="183"/>
      <c r="AL33234" s="183"/>
    </row>
    <row r="33235" spans="1:38">
      <c r="A33235" s="182"/>
      <c r="AJ33235" s="183"/>
      <c r="AK33235" s="183"/>
      <c r="AL33235" s="183"/>
    </row>
    <row r="33236" spans="1:38">
      <c r="A33236" s="182"/>
      <c r="AJ33236" s="183"/>
      <c r="AK33236" s="183"/>
      <c r="AL33236" s="183"/>
    </row>
    <row r="33237" spans="1:38">
      <c r="A33237" s="182"/>
      <c r="AJ33237" s="183"/>
      <c r="AK33237" s="183"/>
      <c r="AL33237" s="183"/>
    </row>
    <row r="33238" spans="1:38">
      <c r="A33238" s="182"/>
      <c r="AJ33238" s="183"/>
      <c r="AK33238" s="183"/>
      <c r="AL33238" s="183"/>
    </row>
    <row r="33239" spans="1:38">
      <c r="A33239" s="182"/>
      <c r="AJ33239" s="183"/>
      <c r="AK33239" s="183"/>
      <c r="AL33239" s="183"/>
    </row>
    <row r="33240" spans="1:38">
      <c r="A33240" s="182"/>
      <c r="AJ33240" s="183"/>
      <c r="AK33240" s="183"/>
      <c r="AL33240" s="183"/>
    </row>
    <row r="33241" spans="1:38">
      <c r="A33241" s="182"/>
      <c r="AJ33241" s="183"/>
    </row>
    <row r="33242" spans="1:38">
      <c r="A33242" s="182"/>
    </row>
    <row r="33243" spans="1:38">
      <c r="A33243" s="182"/>
    </row>
    <row r="33244" spans="1:38">
      <c r="A33244" s="182"/>
    </row>
    <row r="33245" spans="1:38">
      <c r="A33245" s="182"/>
    </row>
    <row r="33246" spans="1:38">
      <c r="A33246" s="182"/>
    </row>
    <row r="33247" spans="1:38">
      <c r="A33247" s="182"/>
    </row>
    <row r="33248" spans="1:38">
      <c r="A33248" s="182"/>
    </row>
    <row r="33249" spans="1:1">
      <c r="A33249" s="182"/>
    </row>
    <row r="33250" spans="1:1">
      <c r="A33250" s="182"/>
    </row>
    <row r="33251" spans="1:1">
      <c r="A33251" s="182"/>
    </row>
    <row r="33252" spans="1:1">
      <c r="A33252" s="182"/>
    </row>
    <row r="33253" spans="1:1">
      <c r="A33253" s="182"/>
    </row>
    <row r="33254" spans="1:1">
      <c r="A33254" s="182"/>
    </row>
    <row r="33255" spans="1:1">
      <c r="A33255" s="182"/>
    </row>
    <row r="33256" spans="1:1">
      <c r="A33256" s="182"/>
    </row>
    <row r="33257" spans="1:1">
      <c r="A33257" s="182"/>
    </row>
    <row r="33258" spans="1:1">
      <c r="A33258" s="182"/>
    </row>
    <row r="33259" spans="1:1">
      <c r="A33259" s="182"/>
    </row>
    <row r="33260" spans="1:1">
      <c r="A33260" s="182"/>
    </row>
    <row r="33261" spans="1:1">
      <c r="A33261" s="182"/>
    </row>
    <row r="33262" spans="1:1">
      <c r="A33262" s="182"/>
    </row>
    <row r="33263" spans="1:1">
      <c r="A33263" s="182"/>
    </row>
    <row r="33264" spans="1:1">
      <c r="A33264" s="182"/>
    </row>
    <row r="33265" spans="1:15">
      <c r="A33265" s="182"/>
    </row>
    <row r="33266" spans="1:15">
      <c r="A33266" s="182"/>
    </row>
    <row r="33267" spans="1:15">
      <c r="A33267" s="182"/>
    </row>
    <row r="33268" spans="1:15">
      <c r="A33268" s="182"/>
    </row>
    <row r="33269" spans="1:15">
      <c r="A33269" s="182"/>
    </row>
    <row r="33270" spans="1:15">
      <c r="A33270" s="182"/>
    </row>
    <row r="33271" spans="1:15">
      <c r="A33271" s="182"/>
    </row>
    <row r="33272" spans="1:15">
      <c r="A33272" s="182"/>
    </row>
    <row r="33273" spans="1:15">
      <c r="A33273" s="182"/>
    </row>
    <row r="33274" spans="1:15">
      <c r="A33274" s="182"/>
    </row>
    <row r="33275" spans="1:15">
      <c r="A33275" s="182"/>
      <c r="M33275" s="183"/>
      <c r="N33275" s="183"/>
      <c r="O33275" s="183"/>
    </row>
    <row r="33276" spans="1:15">
      <c r="A33276" s="182"/>
      <c r="L33276" s="183"/>
      <c r="M33276" s="183"/>
    </row>
    <row r="33277" spans="1:15">
      <c r="A33277" s="182"/>
    </row>
    <row r="33278" spans="1:15">
      <c r="A33278" s="182"/>
    </row>
    <row r="33279" spans="1:15">
      <c r="A33279" s="182"/>
    </row>
    <row r="33280" spans="1:15">
      <c r="A33280" s="182"/>
      <c r="M33280" s="183"/>
      <c r="N33280" s="183"/>
      <c r="O33280" s="183"/>
    </row>
    <row r="33281" spans="1:38">
      <c r="A33281" s="182"/>
      <c r="L33281" s="183"/>
      <c r="M33281" s="183"/>
    </row>
    <row r="33282" spans="1:38">
      <c r="A33282" s="182"/>
      <c r="M33282" s="183"/>
      <c r="N33282" s="183"/>
      <c r="O33282" s="183"/>
    </row>
    <row r="33283" spans="1:38">
      <c r="A33283" s="182"/>
      <c r="L33283" s="183"/>
      <c r="M33283" s="183"/>
      <c r="N33283" s="183"/>
    </row>
    <row r="33284" spans="1:38">
      <c r="A33284" s="182"/>
      <c r="L33284" s="183"/>
    </row>
    <row r="33285" spans="1:38">
      <c r="A33285" s="182"/>
      <c r="M33285" s="183"/>
      <c r="N33285" s="183"/>
      <c r="O33285" s="183"/>
      <c r="AK33285" s="183"/>
      <c r="AL33285" s="183"/>
    </row>
    <row r="33286" spans="1:38">
      <c r="A33286" s="182"/>
      <c r="L33286" s="183"/>
      <c r="M33286" s="183"/>
      <c r="AJ33286" s="183"/>
      <c r="AK33286" s="183"/>
      <c r="AL33286" s="183"/>
    </row>
    <row r="33287" spans="1:38">
      <c r="A33287" s="182"/>
      <c r="M33287" s="183"/>
      <c r="N33287" s="183"/>
      <c r="O33287" s="183"/>
      <c r="AJ33287" s="183"/>
      <c r="AK33287" s="183"/>
      <c r="AL33287" s="183"/>
    </row>
    <row r="33288" spans="1:38">
      <c r="A33288" s="182"/>
      <c r="L33288" s="183"/>
      <c r="M33288" s="183"/>
      <c r="AJ33288" s="183"/>
      <c r="AK33288" s="183"/>
      <c r="AL33288" s="183"/>
    </row>
    <row r="33289" spans="1:38">
      <c r="A33289" s="182"/>
      <c r="AJ33289" s="183"/>
    </row>
    <row r="33290" spans="1:38">
      <c r="A33290" s="182"/>
    </row>
    <row r="33291" spans="1:38">
      <c r="A33291" s="182"/>
      <c r="M33291" s="183"/>
      <c r="N33291" s="183"/>
      <c r="O33291" s="183"/>
    </row>
    <row r="33292" spans="1:38">
      <c r="A33292" s="182"/>
      <c r="L33292" s="183"/>
      <c r="M33292" s="183"/>
    </row>
    <row r="33293" spans="1:38">
      <c r="A33293" s="182"/>
      <c r="AK33293" s="183"/>
      <c r="AL33293" s="183"/>
    </row>
    <row r="33294" spans="1:38">
      <c r="A33294" s="182"/>
      <c r="AJ33294" s="183"/>
      <c r="AK33294" s="183"/>
      <c r="AL33294" s="183"/>
    </row>
    <row r="33295" spans="1:38">
      <c r="A33295" s="182"/>
      <c r="AJ33295" s="183"/>
      <c r="AK33295" s="183"/>
      <c r="AL33295" s="183"/>
    </row>
    <row r="33296" spans="1:38">
      <c r="A33296" s="182"/>
      <c r="AJ33296" s="183"/>
      <c r="AK33296" s="183"/>
      <c r="AL33296" s="183"/>
    </row>
    <row r="33297" spans="1:38">
      <c r="A33297" s="182"/>
      <c r="AJ33297" s="183"/>
    </row>
    <row r="33298" spans="1:38">
      <c r="A33298" s="182"/>
    </row>
    <row r="33299" spans="1:38">
      <c r="A33299" s="182"/>
    </row>
    <row r="33300" spans="1:38">
      <c r="A33300" s="182"/>
    </row>
    <row r="33301" spans="1:38">
      <c r="A33301" s="182"/>
      <c r="AK33301" s="183"/>
      <c r="AL33301" s="183"/>
    </row>
    <row r="33302" spans="1:38">
      <c r="A33302" s="182"/>
      <c r="AJ33302" s="183"/>
      <c r="AK33302" s="183"/>
      <c r="AL33302" s="183"/>
    </row>
    <row r="33303" spans="1:38">
      <c r="A33303" s="182"/>
      <c r="AJ33303" s="183"/>
      <c r="AK33303" s="183"/>
      <c r="AL33303" s="183"/>
    </row>
    <row r="33304" spans="1:38">
      <c r="A33304" s="182"/>
      <c r="AJ33304" s="183"/>
      <c r="AK33304" s="183"/>
      <c r="AL33304" s="183"/>
    </row>
    <row r="33305" spans="1:38">
      <c r="A33305" s="182"/>
      <c r="AJ33305" s="183"/>
      <c r="AK33305" s="183"/>
      <c r="AL33305" s="183"/>
    </row>
    <row r="33306" spans="1:38">
      <c r="A33306" s="182"/>
      <c r="AJ33306" s="183"/>
      <c r="AK33306" s="183"/>
      <c r="AL33306" s="183"/>
    </row>
    <row r="33307" spans="1:38">
      <c r="A33307" s="182"/>
      <c r="AJ33307" s="183"/>
      <c r="AK33307" s="183"/>
      <c r="AL33307" s="183"/>
    </row>
    <row r="33308" spans="1:38">
      <c r="A33308" s="182"/>
      <c r="AJ33308" s="183"/>
      <c r="AK33308" s="183"/>
      <c r="AL33308" s="183"/>
    </row>
    <row r="33309" spans="1:38">
      <c r="A33309" s="182"/>
      <c r="AJ33309" s="183"/>
      <c r="AK33309" s="183"/>
      <c r="AL33309" s="183"/>
    </row>
    <row r="33310" spans="1:38">
      <c r="A33310" s="182"/>
      <c r="AJ33310" s="183"/>
      <c r="AK33310" s="183"/>
      <c r="AL33310" s="183"/>
    </row>
    <row r="33311" spans="1:38">
      <c r="A33311" s="182"/>
      <c r="AJ33311" s="183"/>
      <c r="AK33311" s="183"/>
      <c r="AL33311" s="183"/>
    </row>
    <row r="33312" spans="1:38">
      <c r="A33312" s="182"/>
      <c r="AJ33312" s="183"/>
      <c r="AK33312" s="183"/>
      <c r="AL33312" s="183"/>
    </row>
    <row r="33313" spans="1:38">
      <c r="A33313" s="182"/>
      <c r="AJ33313" s="183"/>
    </row>
    <row r="33314" spans="1:38">
      <c r="A33314" s="182"/>
    </row>
    <row r="33315" spans="1:38">
      <c r="A33315" s="182"/>
    </row>
    <row r="33316" spans="1:38">
      <c r="A33316" s="182"/>
    </row>
    <row r="33317" spans="1:38">
      <c r="A33317" s="182"/>
      <c r="AK33317" s="183"/>
      <c r="AL33317" s="183"/>
    </row>
    <row r="33318" spans="1:38">
      <c r="A33318" s="182"/>
      <c r="AJ33318" s="183"/>
      <c r="AK33318" s="183"/>
      <c r="AL33318" s="183"/>
    </row>
    <row r="33319" spans="1:38">
      <c r="A33319" s="182"/>
      <c r="AJ33319" s="183"/>
      <c r="AK33319" s="183"/>
      <c r="AL33319" s="183"/>
    </row>
    <row r="33320" spans="1:38">
      <c r="A33320" s="182"/>
      <c r="AJ33320" s="183"/>
      <c r="AK33320" s="183"/>
      <c r="AL33320" s="183"/>
    </row>
    <row r="33321" spans="1:38">
      <c r="A33321" s="182"/>
      <c r="AJ33321" s="183"/>
    </row>
    <row r="33322" spans="1:38">
      <c r="A33322" s="182"/>
    </row>
    <row r="33323" spans="1:38">
      <c r="A33323" s="182"/>
    </row>
    <row r="33324" spans="1:38">
      <c r="A33324" s="182"/>
    </row>
    <row r="33325" spans="1:38">
      <c r="A33325" s="182"/>
    </row>
    <row r="33326" spans="1:38">
      <c r="A33326" s="182"/>
    </row>
    <row r="33327" spans="1:38">
      <c r="A33327" s="182"/>
    </row>
    <row r="33328" spans="1:38">
      <c r="A33328" s="182"/>
    </row>
    <row r="33329" spans="1:1">
      <c r="A33329" s="182"/>
    </row>
    <row r="33330" spans="1:1">
      <c r="A33330" s="182"/>
    </row>
    <row r="33331" spans="1:1">
      <c r="A33331" s="182"/>
    </row>
    <row r="33332" spans="1:1">
      <c r="A33332" s="182"/>
    </row>
    <row r="33333" spans="1:1">
      <c r="A33333" s="182"/>
    </row>
    <row r="33334" spans="1:1">
      <c r="A33334" s="182"/>
    </row>
    <row r="33335" spans="1:1">
      <c r="A33335" s="182"/>
    </row>
    <row r="33336" spans="1:1">
      <c r="A33336" s="182"/>
    </row>
    <row r="33337" spans="1:1">
      <c r="A33337" s="182"/>
    </row>
    <row r="33338" spans="1:1">
      <c r="A33338" s="182"/>
    </row>
    <row r="33339" spans="1:1">
      <c r="A33339" s="182"/>
    </row>
    <row r="33340" spans="1:1">
      <c r="A33340" s="182"/>
    </row>
    <row r="33341" spans="1:1">
      <c r="A33341" s="182"/>
    </row>
    <row r="33342" spans="1:1">
      <c r="A33342" s="182"/>
    </row>
    <row r="33343" spans="1:1">
      <c r="A33343" s="182"/>
    </row>
    <row r="33344" spans="1:1">
      <c r="A33344" s="182"/>
    </row>
    <row r="33345" spans="1:1">
      <c r="A33345" s="182"/>
    </row>
    <row r="33346" spans="1:1">
      <c r="A33346" s="182"/>
    </row>
    <row r="33347" spans="1:1">
      <c r="A33347" s="182"/>
    </row>
    <row r="33348" spans="1:1">
      <c r="A33348" s="182"/>
    </row>
    <row r="33349" spans="1:1">
      <c r="A33349" s="182"/>
    </row>
    <row r="33350" spans="1:1">
      <c r="A33350" s="182"/>
    </row>
    <row r="33351" spans="1:1">
      <c r="A33351" s="182"/>
    </row>
    <row r="33352" spans="1:1">
      <c r="A33352" s="182"/>
    </row>
    <row r="33353" spans="1:1">
      <c r="A33353" s="182"/>
    </row>
    <row r="33354" spans="1:1">
      <c r="A33354" s="182"/>
    </row>
    <row r="33355" spans="1:1">
      <c r="A33355" s="182"/>
    </row>
    <row r="33356" spans="1:1">
      <c r="A33356" s="182"/>
    </row>
    <row r="33357" spans="1:1">
      <c r="A33357" s="182"/>
    </row>
    <row r="33358" spans="1:1">
      <c r="A33358" s="182"/>
    </row>
    <row r="33359" spans="1:1">
      <c r="A33359" s="182"/>
    </row>
    <row r="33360" spans="1:1">
      <c r="A33360" s="182"/>
    </row>
    <row r="33361" spans="1:1">
      <c r="A33361" s="182"/>
    </row>
    <row r="33362" spans="1:1">
      <c r="A33362" s="182"/>
    </row>
    <row r="33363" spans="1:1">
      <c r="A33363" s="182"/>
    </row>
    <row r="33364" spans="1:1">
      <c r="A33364" s="182"/>
    </row>
    <row r="33365" spans="1:1">
      <c r="A33365" s="182"/>
    </row>
    <row r="33366" spans="1:1">
      <c r="A33366" s="182"/>
    </row>
    <row r="33367" spans="1:1">
      <c r="A33367" s="182"/>
    </row>
    <row r="33368" spans="1:1">
      <c r="A33368" s="182"/>
    </row>
    <row r="33369" spans="1:1">
      <c r="A33369" s="182"/>
    </row>
    <row r="33370" spans="1:1">
      <c r="A33370" s="182"/>
    </row>
    <row r="33371" spans="1:1">
      <c r="A33371" s="182"/>
    </row>
    <row r="33372" spans="1:1">
      <c r="A33372" s="182"/>
    </row>
    <row r="33373" spans="1:1">
      <c r="A33373" s="182"/>
    </row>
    <row r="33374" spans="1:1">
      <c r="A33374" s="182"/>
    </row>
    <row r="33375" spans="1:1">
      <c r="A33375" s="182"/>
    </row>
    <row r="33376" spans="1:1">
      <c r="A33376" s="182"/>
    </row>
    <row r="33377" spans="1:38">
      <c r="A33377" s="182"/>
      <c r="AK33377" s="183"/>
      <c r="AL33377" s="183"/>
    </row>
    <row r="33378" spans="1:38">
      <c r="A33378" s="182"/>
      <c r="AJ33378" s="183"/>
      <c r="AK33378" s="183"/>
      <c r="AL33378" s="183"/>
    </row>
    <row r="33379" spans="1:38">
      <c r="A33379" s="182"/>
      <c r="AJ33379" s="183"/>
      <c r="AK33379" s="183"/>
      <c r="AL33379" s="183"/>
    </row>
    <row r="33380" spans="1:38">
      <c r="A33380" s="182"/>
      <c r="AJ33380" s="183"/>
      <c r="AK33380" s="183"/>
      <c r="AL33380" s="183"/>
    </row>
    <row r="33381" spans="1:38">
      <c r="A33381" s="182"/>
      <c r="AJ33381" s="183"/>
    </row>
    <row r="33382" spans="1:38">
      <c r="A33382" s="182"/>
    </row>
    <row r="33383" spans="1:38">
      <c r="A33383" s="182"/>
    </row>
    <row r="33384" spans="1:38">
      <c r="A33384" s="182"/>
    </row>
    <row r="33385" spans="1:38">
      <c r="A33385" s="182"/>
      <c r="AK33385" s="183"/>
      <c r="AL33385" s="183"/>
    </row>
    <row r="33386" spans="1:38">
      <c r="A33386" s="182"/>
      <c r="AJ33386" s="183"/>
      <c r="AK33386" s="183"/>
      <c r="AL33386" s="183"/>
    </row>
    <row r="33387" spans="1:38">
      <c r="A33387" s="182"/>
      <c r="AJ33387" s="183"/>
      <c r="AK33387" s="183"/>
      <c r="AL33387" s="183"/>
    </row>
    <row r="33388" spans="1:38">
      <c r="A33388" s="182"/>
      <c r="AJ33388" s="183"/>
      <c r="AK33388" s="183"/>
      <c r="AL33388" s="183"/>
    </row>
    <row r="33389" spans="1:38">
      <c r="A33389" s="182"/>
      <c r="AJ33389" s="183"/>
      <c r="AK33389" s="183"/>
      <c r="AL33389" s="183"/>
    </row>
    <row r="33390" spans="1:38">
      <c r="A33390" s="182"/>
      <c r="AJ33390" s="183"/>
      <c r="AK33390" s="183"/>
      <c r="AL33390" s="183"/>
    </row>
    <row r="33391" spans="1:38">
      <c r="A33391" s="182"/>
      <c r="AJ33391" s="183"/>
      <c r="AK33391" s="183"/>
      <c r="AL33391" s="183"/>
    </row>
    <row r="33392" spans="1:38">
      <c r="A33392" s="182"/>
      <c r="AJ33392" s="183"/>
      <c r="AK33392" s="183"/>
      <c r="AL33392" s="183"/>
    </row>
    <row r="33393" spans="1:38">
      <c r="A33393" s="182"/>
      <c r="AJ33393" s="183"/>
    </row>
    <row r="33394" spans="1:38">
      <c r="A33394" s="182"/>
    </row>
    <row r="33395" spans="1:38">
      <c r="A33395" s="182"/>
    </row>
    <row r="33396" spans="1:38">
      <c r="A33396" s="182"/>
    </row>
    <row r="33397" spans="1:38">
      <c r="A33397" s="182"/>
    </row>
    <row r="33398" spans="1:38">
      <c r="A33398" s="182"/>
    </row>
    <row r="33399" spans="1:38">
      <c r="A33399" s="182"/>
    </row>
    <row r="33400" spans="1:38">
      <c r="A33400" s="182"/>
    </row>
    <row r="33401" spans="1:38">
      <c r="A33401" s="182"/>
      <c r="AK33401" s="183"/>
      <c r="AL33401" s="183"/>
    </row>
    <row r="33402" spans="1:38">
      <c r="A33402" s="182"/>
      <c r="AJ33402" s="183"/>
      <c r="AK33402" s="183"/>
      <c r="AL33402" s="183"/>
    </row>
    <row r="33403" spans="1:38">
      <c r="A33403" s="182"/>
      <c r="AJ33403" s="183"/>
      <c r="AK33403" s="183"/>
      <c r="AL33403" s="183"/>
    </row>
    <row r="33404" spans="1:38">
      <c r="A33404" s="182"/>
      <c r="AJ33404" s="183"/>
      <c r="AK33404" s="183"/>
      <c r="AL33404" s="183"/>
    </row>
    <row r="33405" spans="1:38">
      <c r="A33405" s="182"/>
      <c r="AJ33405" s="183"/>
    </row>
    <row r="33406" spans="1:38">
      <c r="A33406" s="182"/>
    </row>
    <row r="33407" spans="1:38">
      <c r="A33407" s="182"/>
    </row>
    <row r="33408" spans="1:38">
      <c r="A33408" s="182"/>
    </row>
    <row r="33409" spans="1:38">
      <c r="A33409" s="182"/>
    </row>
    <row r="33410" spans="1:38">
      <c r="A33410" s="182"/>
    </row>
    <row r="33411" spans="1:38">
      <c r="A33411" s="182"/>
    </row>
    <row r="33412" spans="1:38">
      <c r="A33412" s="182"/>
    </row>
    <row r="33413" spans="1:38">
      <c r="A33413" s="182"/>
    </row>
    <row r="33414" spans="1:38">
      <c r="A33414" s="182"/>
    </row>
    <row r="33415" spans="1:38">
      <c r="A33415" s="182"/>
    </row>
    <row r="33416" spans="1:38">
      <c r="A33416" s="182"/>
    </row>
    <row r="33417" spans="1:38">
      <c r="A33417" s="182"/>
      <c r="AK33417" s="183"/>
      <c r="AL33417" s="183"/>
    </row>
    <row r="33418" spans="1:38">
      <c r="A33418" s="182"/>
      <c r="AJ33418" s="183"/>
      <c r="AK33418" s="183"/>
      <c r="AL33418" s="183"/>
    </row>
    <row r="33419" spans="1:38">
      <c r="A33419" s="182"/>
      <c r="AJ33419" s="183"/>
      <c r="AK33419" s="183"/>
      <c r="AL33419" s="183"/>
    </row>
    <row r="33420" spans="1:38">
      <c r="A33420" s="182"/>
      <c r="AJ33420" s="183"/>
      <c r="AK33420" s="183"/>
      <c r="AL33420" s="183"/>
    </row>
    <row r="33421" spans="1:38">
      <c r="A33421" s="182"/>
      <c r="AJ33421" s="183"/>
      <c r="AK33421" s="183"/>
      <c r="AL33421" s="183"/>
    </row>
    <row r="33422" spans="1:38">
      <c r="A33422" s="182"/>
      <c r="AJ33422" s="183"/>
      <c r="AK33422" s="183"/>
      <c r="AL33422" s="183"/>
    </row>
    <row r="33423" spans="1:38">
      <c r="A33423" s="182"/>
      <c r="AJ33423" s="183"/>
      <c r="AK33423" s="183"/>
      <c r="AL33423" s="183"/>
    </row>
    <row r="33424" spans="1:38">
      <c r="A33424" s="182"/>
      <c r="AJ33424" s="183"/>
      <c r="AK33424" s="183"/>
      <c r="AL33424" s="183"/>
    </row>
    <row r="33425" spans="1:38">
      <c r="A33425" s="182"/>
      <c r="AJ33425" s="183"/>
    </row>
    <row r="33426" spans="1:38">
      <c r="A33426" s="182"/>
    </row>
    <row r="33427" spans="1:38">
      <c r="A33427" s="182"/>
    </row>
    <row r="33428" spans="1:38">
      <c r="A33428" s="182"/>
    </row>
    <row r="33429" spans="1:38">
      <c r="A33429" s="182"/>
    </row>
    <row r="33430" spans="1:38">
      <c r="A33430" s="182"/>
    </row>
    <row r="33431" spans="1:38">
      <c r="A33431" s="182"/>
    </row>
    <row r="33432" spans="1:38">
      <c r="A33432" s="182"/>
    </row>
    <row r="33433" spans="1:38">
      <c r="A33433" s="182"/>
      <c r="AK33433" s="183"/>
      <c r="AL33433" s="183"/>
    </row>
    <row r="33434" spans="1:38">
      <c r="A33434" s="182"/>
      <c r="AJ33434" s="183"/>
      <c r="AK33434" s="183"/>
      <c r="AL33434" s="183"/>
    </row>
    <row r="33435" spans="1:38">
      <c r="A33435" s="182"/>
      <c r="AJ33435" s="183"/>
      <c r="AK33435" s="183"/>
      <c r="AL33435" s="183"/>
    </row>
    <row r="33436" spans="1:38">
      <c r="A33436" s="182"/>
      <c r="AJ33436" s="183"/>
      <c r="AK33436" s="183"/>
      <c r="AL33436" s="183"/>
    </row>
    <row r="33437" spans="1:38">
      <c r="A33437" s="182"/>
      <c r="AJ33437" s="183"/>
    </row>
    <row r="33438" spans="1:38">
      <c r="A33438" s="182"/>
    </row>
    <row r="33439" spans="1:38">
      <c r="A33439" s="182"/>
    </row>
    <row r="33440" spans="1:38">
      <c r="A33440" s="182"/>
    </row>
    <row r="33441" spans="1:1">
      <c r="A33441" s="182"/>
    </row>
    <row r="33442" spans="1:1">
      <c r="A33442" s="182"/>
    </row>
    <row r="33443" spans="1:1">
      <c r="A33443" s="182"/>
    </row>
    <row r="33444" spans="1:1">
      <c r="A33444" s="182"/>
    </row>
    <row r="33445" spans="1:1">
      <c r="A33445" s="182"/>
    </row>
    <row r="33446" spans="1:1">
      <c r="A33446" s="182"/>
    </row>
    <row r="33447" spans="1:1">
      <c r="A33447" s="182"/>
    </row>
    <row r="33448" spans="1:1">
      <c r="A33448" s="182"/>
    </row>
    <row r="33449" spans="1:1">
      <c r="A33449" s="182"/>
    </row>
    <row r="33450" spans="1:1">
      <c r="A33450" s="182"/>
    </row>
    <row r="33451" spans="1:1">
      <c r="A33451" s="182"/>
    </row>
    <row r="33452" spans="1:1">
      <c r="A33452" s="182"/>
    </row>
    <row r="33453" spans="1:1">
      <c r="A33453" s="182"/>
    </row>
    <row r="33454" spans="1:1">
      <c r="A33454" s="182"/>
    </row>
    <row r="33455" spans="1:1">
      <c r="A33455" s="182"/>
    </row>
    <row r="33456" spans="1:1">
      <c r="A33456" s="182"/>
    </row>
    <row r="33457" spans="1:1">
      <c r="A33457" s="182"/>
    </row>
    <row r="33458" spans="1:1">
      <c r="A33458" s="182"/>
    </row>
    <row r="33459" spans="1:1">
      <c r="A33459" s="182"/>
    </row>
    <row r="33460" spans="1:1">
      <c r="A33460" s="182"/>
    </row>
    <row r="33461" spans="1:1">
      <c r="A33461" s="182"/>
    </row>
    <row r="33462" spans="1:1">
      <c r="A33462" s="182"/>
    </row>
    <row r="33463" spans="1:1">
      <c r="A33463" s="182"/>
    </row>
    <row r="33464" spans="1:1">
      <c r="A33464" s="182"/>
    </row>
    <row r="33465" spans="1:1">
      <c r="A33465" s="182"/>
    </row>
    <row r="33466" spans="1:1">
      <c r="A33466" s="182"/>
    </row>
    <row r="33467" spans="1:1">
      <c r="A33467" s="182"/>
    </row>
    <row r="33468" spans="1:1">
      <c r="A33468" s="182"/>
    </row>
    <row r="33469" spans="1:1">
      <c r="A33469" s="182"/>
    </row>
    <row r="33470" spans="1:1">
      <c r="A33470" s="182"/>
    </row>
    <row r="33471" spans="1:1">
      <c r="A33471" s="182"/>
    </row>
    <row r="33472" spans="1:1">
      <c r="A33472" s="182"/>
    </row>
    <row r="33473" spans="1:38">
      <c r="A33473" s="182"/>
    </row>
    <row r="33474" spans="1:38">
      <c r="A33474" s="182"/>
    </row>
    <row r="33475" spans="1:38">
      <c r="A33475" s="182"/>
    </row>
    <row r="33476" spans="1:38">
      <c r="A33476" s="182"/>
    </row>
    <row r="33477" spans="1:38">
      <c r="A33477" s="182"/>
    </row>
    <row r="33478" spans="1:38">
      <c r="A33478" s="182"/>
    </row>
    <row r="33479" spans="1:38">
      <c r="A33479" s="182"/>
    </row>
    <row r="33480" spans="1:38">
      <c r="A33480" s="182"/>
    </row>
    <row r="33481" spans="1:38">
      <c r="A33481" s="182"/>
      <c r="AK33481" s="183"/>
      <c r="AL33481" s="183"/>
    </row>
    <row r="33482" spans="1:38">
      <c r="A33482" s="182"/>
      <c r="AJ33482" s="183"/>
      <c r="AK33482" s="183"/>
      <c r="AL33482" s="183"/>
    </row>
    <row r="33483" spans="1:38">
      <c r="A33483" s="182"/>
      <c r="AJ33483" s="183"/>
      <c r="AK33483" s="183"/>
      <c r="AL33483" s="183"/>
    </row>
    <row r="33484" spans="1:38">
      <c r="A33484" s="182"/>
      <c r="AJ33484" s="183"/>
      <c r="AK33484" s="183"/>
      <c r="AL33484" s="183"/>
    </row>
    <row r="33485" spans="1:38">
      <c r="A33485" s="182"/>
      <c r="AJ33485" s="183"/>
    </row>
    <row r="33486" spans="1:38">
      <c r="A33486" s="182"/>
    </row>
    <row r="33487" spans="1:38">
      <c r="A33487" s="182"/>
    </row>
    <row r="33488" spans="1:38">
      <c r="A33488" s="182"/>
    </row>
    <row r="33489" spans="1:38">
      <c r="A33489" s="182"/>
    </row>
    <row r="33490" spans="1:38">
      <c r="A33490" s="182"/>
    </row>
    <row r="33491" spans="1:38">
      <c r="A33491" s="182"/>
    </row>
    <row r="33492" spans="1:38">
      <c r="A33492" s="182"/>
    </row>
    <row r="33493" spans="1:38">
      <c r="A33493" s="182"/>
      <c r="AK33493" s="183"/>
      <c r="AL33493" s="183"/>
    </row>
    <row r="33494" spans="1:38">
      <c r="A33494" s="182"/>
      <c r="AJ33494" s="183"/>
      <c r="AK33494" s="183"/>
      <c r="AL33494" s="183"/>
    </row>
    <row r="33495" spans="1:38">
      <c r="A33495" s="182"/>
      <c r="AJ33495" s="183"/>
      <c r="AK33495" s="183"/>
      <c r="AL33495" s="183"/>
    </row>
    <row r="33496" spans="1:38">
      <c r="A33496" s="182"/>
      <c r="AJ33496" s="183"/>
      <c r="AK33496" s="183"/>
      <c r="AL33496" s="183"/>
    </row>
    <row r="33497" spans="1:38">
      <c r="A33497" s="182"/>
      <c r="AJ33497" s="183"/>
    </row>
    <row r="33498" spans="1:38">
      <c r="A33498" s="182"/>
    </row>
    <row r="33499" spans="1:38">
      <c r="A33499" s="182"/>
    </row>
    <row r="33500" spans="1:38">
      <c r="A33500" s="182"/>
    </row>
    <row r="33501" spans="1:38">
      <c r="A33501" s="182"/>
    </row>
    <row r="33502" spans="1:38">
      <c r="A33502" s="182"/>
    </row>
    <row r="33503" spans="1:38">
      <c r="A33503" s="182"/>
    </row>
    <row r="33504" spans="1:38">
      <c r="A33504" s="182"/>
    </row>
    <row r="33505" spans="1:38">
      <c r="A33505" s="182"/>
    </row>
    <row r="33506" spans="1:38">
      <c r="A33506" s="182"/>
    </row>
    <row r="33507" spans="1:38">
      <c r="A33507" s="182"/>
    </row>
    <row r="33508" spans="1:38">
      <c r="A33508" s="182"/>
    </row>
    <row r="33509" spans="1:38">
      <c r="A33509" s="182"/>
    </row>
    <row r="33510" spans="1:38">
      <c r="A33510" s="182"/>
    </row>
    <row r="33511" spans="1:38">
      <c r="A33511" s="182"/>
    </row>
    <row r="33512" spans="1:38">
      <c r="A33512" s="182"/>
    </row>
    <row r="33513" spans="1:38">
      <c r="A33513" s="182"/>
      <c r="AK33513" s="183"/>
      <c r="AL33513" s="183"/>
    </row>
    <row r="33514" spans="1:38">
      <c r="A33514" s="182"/>
      <c r="AJ33514" s="183"/>
      <c r="AK33514" s="183"/>
      <c r="AL33514" s="183"/>
    </row>
    <row r="33515" spans="1:38">
      <c r="A33515" s="182"/>
      <c r="AJ33515" s="183"/>
      <c r="AK33515" s="183"/>
      <c r="AL33515" s="183"/>
    </row>
    <row r="33516" spans="1:38">
      <c r="A33516" s="182"/>
      <c r="AJ33516" s="183"/>
      <c r="AK33516" s="183"/>
      <c r="AL33516" s="183"/>
    </row>
    <row r="33517" spans="1:38">
      <c r="A33517" s="182"/>
      <c r="AJ33517" s="183"/>
    </row>
    <row r="33518" spans="1:38">
      <c r="A33518" s="182"/>
    </row>
    <row r="33519" spans="1:38">
      <c r="A33519" s="182"/>
    </row>
    <row r="33520" spans="1:38">
      <c r="A33520" s="182"/>
    </row>
    <row r="33521" spans="1:38">
      <c r="A33521" s="182"/>
      <c r="AK33521" s="183"/>
      <c r="AL33521" s="183"/>
    </row>
    <row r="33522" spans="1:38">
      <c r="A33522" s="182"/>
      <c r="AJ33522" s="183"/>
      <c r="AK33522" s="183"/>
      <c r="AL33522" s="183"/>
    </row>
    <row r="33523" spans="1:38">
      <c r="A33523" s="182"/>
      <c r="AJ33523" s="183"/>
      <c r="AK33523" s="183"/>
      <c r="AL33523" s="183"/>
    </row>
    <row r="33524" spans="1:38">
      <c r="A33524" s="182"/>
      <c r="AJ33524" s="183"/>
      <c r="AK33524" s="183"/>
      <c r="AL33524" s="183"/>
    </row>
    <row r="33525" spans="1:38">
      <c r="A33525" s="182"/>
      <c r="AJ33525" s="183"/>
    </row>
    <row r="33526" spans="1:38">
      <c r="A33526" s="182"/>
    </row>
    <row r="33527" spans="1:38">
      <c r="A33527" s="182"/>
    </row>
    <row r="33528" spans="1:38">
      <c r="A33528" s="182"/>
    </row>
    <row r="33529" spans="1:38">
      <c r="A33529" s="182"/>
    </row>
    <row r="33530" spans="1:38">
      <c r="A33530" s="182"/>
    </row>
    <row r="33531" spans="1:38">
      <c r="A33531" s="182"/>
    </row>
    <row r="33532" spans="1:38">
      <c r="A33532" s="182"/>
    </row>
    <row r="33533" spans="1:38">
      <c r="A33533" s="182"/>
      <c r="AK33533" s="183"/>
      <c r="AL33533" s="183"/>
    </row>
    <row r="33534" spans="1:38">
      <c r="A33534" s="182"/>
      <c r="AJ33534" s="183"/>
      <c r="AK33534" s="183"/>
      <c r="AL33534" s="183"/>
    </row>
    <row r="33535" spans="1:38">
      <c r="A33535" s="182"/>
      <c r="AJ33535" s="183"/>
      <c r="AK33535" s="183"/>
      <c r="AL33535" s="183"/>
    </row>
    <row r="33536" spans="1:38">
      <c r="A33536" s="182"/>
      <c r="AJ33536" s="183"/>
      <c r="AK33536" s="183"/>
      <c r="AL33536" s="183"/>
    </row>
    <row r="33537" spans="1:36">
      <c r="A33537" s="182"/>
      <c r="AJ33537" s="183"/>
    </row>
    <row r="33538" spans="1:36">
      <c r="A33538" s="182"/>
    </row>
    <row r="33539" spans="1:36">
      <c r="A33539" s="182"/>
    </row>
    <row r="33540" spans="1:36">
      <c r="A33540" s="182"/>
    </row>
    <row r="33541" spans="1:36">
      <c r="A33541" s="182"/>
    </row>
    <row r="33542" spans="1:36">
      <c r="A33542" s="182"/>
    </row>
    <row r="33543" spans="1:36">
      <c r="A33543" s="182"/>
    </row>
    <row r="33544" spans="1:36">
      <c r="A33544" s="182"/>
    </row>
    <row r="33545" spans="1:36">
      <c r="A33545" s="182"/>
    </row>
    <row r="33546" spans="1:36">
      <c r="A33546" s="182"/>
    </row>
    <row r="33547" spans="1:36">
      <c r="A33547" s="182"/>
    </row>
    <row r="33548" spans="1:36">
      <c r="A33548" s="182"/>
    </row>
    <row r="33549" spans="1:36">
      <c r="A33549" s="182"/>
    </row>
    <row r="33550" spans="1:36">
      <c r="A33550" s="182"/>
    </row>
    <row r="33551" spans="1:36">
      <c r="A33551" s="182"/>
    </row>
    <row r="33552" spans="1:36">
      <c r="A33552" s="182"/>
    </row>
    <row r="33553" spans="1:38">
      <c r="A33553" s="182"/>
      <c r="AK33553" s="183"/>
      <c r="AL33553" s="183"/>
    </row>
    <row r="33554" spans="1:38">
      <c r="A33554" s="182"/>
      <c r="AJ33554" s="183"/>
      <c r="AK33554" s="183"/>
      <c r="AL33554" s="183"/>
    </row>
    <row r="33555" spans="1:38">
      <c r="A33555" s="182"/>
      <c r="AJ33555" s="183"/>
      <c r="AK33555" s="183"/>
      <c r="AL33555" s="183"/>
    </row>
    <row r="33556" spans="1:38">
      <c r="A33556" s="182"/>
      <c r="AJ33556" s="183"/>
      <c r="AK33556" s="183"/>
      <c r="AL33556" s="183"/>
    </row>
    <row r="33557" spans="1:38">
      <c r="A33557" s="182"/>
      <c r="AJ33557" s="183"/>
    </row>
    <row r="33558" spans="1:38">
      <c r="A33558" s="182"/>
    </row>
    <row r="33559" spans="1:38">
      <c r="A33559" s="182"/>
    </row>
    <row r="33560" spans="1:38">
      <c r="A33560" s="182"/>
    </row>
    <row r="33561" spans="1:38">
      <c r="A33561" s="182"/>
    </row>
    <row r="33562" spans="1:38">
      <c r="A33562" s="182"/>
    </row>
    <row r="33563" spans="1:38">
      <c r="A33563" s="182"/>
    </row>
    <row r="33564" spans="1:38">
      <c r="A33564" s="182"/>
    </row>
    <row r="33565" spans="1:38">
      <c r="A33565" s="182"/>
    </row>
    <row r="33566" spans="1:38">
      <c r="A33566" s="182"/>
    </row>
    <row r="33567" spans="1:38">
      <c r="A33567" s="182"/>
    </row>
    <row r="33568" spans="1:38">
      <c r="A33568" s="182"/>
    </row>
    <row r="33569" spans="1:38">
      <c r="A33569" s="182"/>
    </row>
    <row r="33570" spans="1:38">
      <c r="A33570" s="182"/>
    </row>
    <row r="33571" spans="1:38">
      <c r="A33571" s="182"/>
    </row>
    <row r="33572" spans="1:38">
      <c r="A33572" s="182"/>
    </row>
    <row r="33573" spans="1:38">
      <c r="A33573" s="182"/>
    </row>
    <row r="33574" spans="1:38">
      <c r="A33574" s="182"/>
    </row>
    <row r="33575" spans="1:38">
      <c r="A33575" s="182"/>
    </row>
    <row r="33576" spans="1:38">
      <c r="A33576" s="182"/>
    </row>
    <row r="33577" spans="1:38">
      <c r="A33577" s="182"/>
      <c r="AK33577" s="183"/>
      <c r="AL33577" s="183"/>
    </row>
    <row r="33578" spans="1:38">
      <c r="A33578" s="182"/>
      <c r="AJ33578" s="183"/>
      <c r="AK33578" s="183"/>
      <c r="AL33578" s="183"/>
    </row>
    <row r="33579" spans="1:38">
      <c r="A33579" s="182"/>
      <c r="AJ33579" s="183"/>
      <c r="AK33579" s="183"/>
      <c r="AL33579" s="183"/>
    </row>
    <row r="33580" spans="1:38">
      <c r="A33580" s="182"/>
      <c r="AJ33580" s="183"/>
      <c r="AK33580" s="183"/>
      <c r="AL33580" s="183"/>
    </row>
    <row r="33581" spans="1:38">
      <c r="A33581" s="182"/>
      <c r="AJ33581" s="183"/>
    </row>
    <row r="33582" spans="1:38">
      <c r="A33582" s="182"/>
    </row>
    <row r="33583" spans="1:38">
      <c r="A33583" s="182"/>
    </row>
    <row r="33584" spans="1:38">
      <c r="A33584" s="182"/>
    </row>
    <row r="33585" spans="1:38">
      <c r="A33585" s="182"/>
    </row>
    <row r="33586" spans="1:38">
      <c r="A33586" s="182"/>
    </row>
    <row r="33587" spans="1:38">
      <c r="A33587" s="182"/>
    </row>
    <row r="33588" spans="1:38">
      <c r="A33588" s="182"/>
    </row>
    <row r="33589" spans="1:38">
      <c r="A33589" s="182"/>
    </row>
    <row r="33590" spans="1:38">
      <c r="A33590" s="182"/>
    </row>
    <row r="33591" spans="1:38">
      <c r="A33591" s="182"/>
    </row>
    <row r="33592" spans="1:38">
      <c r="A33592" s="182"/>
    </row>
    <row r="33593" spans="1:38">
      <c r="A33593" s="182"/>
      <c r="AK33593" s="183"/>
      <c r="AL33593" s="183"/>
    </row>
    <row r="33594" spans="1:38">
      <c r="A33594" s="182"/>
      <c r="AJ33594" s="183"/>
      <c r="AK33594" s="183"/>
      <c r="AL33594" s="183"/>
    </row>
    <row r="33595" spans="1:38">
      <c r="A33595" s="182"/>
      <c r="AJ33595" s="183"/>
      <c r="AK33595" s="183"/>
      <c r="AL33595" s="183"/>
    </row>
    <row r="33596" spans="1:38">
      <c r="A33596" s="182"/>
      <c r="AJ33596" s="183"/>
      <c r="AK33596" s="183"/>
      <c r="AL33596" s="183"/>
    </row>
    <row r="33597" spans="1:38">
      <c r="A33597" s="182"/>
      <c r="AJ33597" s="183"/>
    </row>
    <row r="33598" spans="1:38">
      <c r="A33598" s="182"/>
    </row>
    <row r="33599" spans="1:38">
      <c r="A33599" s="182"/>
    </row>
    <row r="33600" spans="1:38">
      <c r="A33600" s="182"/>
    </row>
    <row r="33601" spans="1:38">
      <c r="A33601" s="182"/>
      <c r="AK33601" s="183"/>
      <c r="AL33601" s="183"/>
    </row>
    <row r="33602" spans="1:38">
      <c r="A33602" s="182"/>
      <c r="AJ33602" s="183"/>
      <c r="AK33602" s="183"/>
      <c r="AL33602" s="183"/>
    </row>
    <row r="33603" spans="1:38">
      <c r="A33603" s="182"/>
      <c r="AJ33603" s="183"/>
      <c r="AK33603" s="183"/>
      <c r="AL33603" s="183"/>
    </row>
    <row r="33604" spans="1:38">
      <c r="A33604" s="182"/>
      <c r="AJ33604" s="183"/>
      <c r="AK33604" s="183"/>
      <c r="AL33604" s="183"/>
    </row>
    <row r="33605" spans="1:38">
      <c r="A33605" s="182"/>
      <c r="AJ33605" s="183"/>
    </row>
    <row r="33606" spans="1:38">
      <c r="A33606" s="182"/>
    </row>
    <row r="33607" spans="1:38">
      <c r="A33607" s="182"/>
    </row>
    <row r="33608" spans="1:38">
      <c r="A33608" s="182"/>
    </row>
    <row r="33609" spans="1:38">
      <c r="A33609" s="182"/>
    </row>
    <row r="33610" spans="1:38">
      <c r="A33610" s="182"/>
    </row>
    <row r="33611" spans="1:38">
      <c r="A33611" s="182"/>
    </row>
    <row r="33612" spans="1:38">
      <c r="A33612" s="182"/>
    </row>
    <row r="33613" spans="1:38">
      <c r="A33613" s="182"/>
      <c r="AK33613" s="183"/>
      <c r="AL33613" s="183"/>
    </row>
    <row r="33614" spans="1:38">
      <c r="A33614" s="182"/>
      <c r="AJ33614" s="183"/>
      <c r="AK33614" s="183"/>
      <c r="AL33614" s="183"/>
    </row>
    <row r="33615" spans="1:38">
      <c r="A33615" s="182"/>
      <c r="AJ33615" s="183"/>
      <c r="AK33615" s="183"/>
      <c r="AL33615" s="183"/>
    </row>
    <row r="33616" spans="1:38">
      <c r="A33616" s="182"/>
      <c r="AJ33616" s="183"/>
      <c r="AK33616" s="183"/>
      <c r="AL33616" s="183"/>
    </row>
    <row r="33617" spans="1:38">
      <c r="A33617" s="182"/>
      <c r="AJ33617" s="183"/>
      <c r="AK33617" s="183"/>
      <c r="AL33617" s="183"/>
    </row>
    <row r="33618" spans="1:38">
      <c r="A33618" s="182"/>
      <c r="AJ33618" s="183"/>
      <c r="AK33618" s="183"/>
      <c r="AL33618" s="183"/>
    </row>
    <row r="33619" spans="1:38">
      <c r="A33619" s="182"/>
      <c r="AJ33619" s="183"/>
      <c r="AK33619" s="183"/>
      <c r="AL33619" s="183"/>
    </row>
    <row r="33620" spans="1:38">
      <c r="A33620" s="182"/>
      <c r="AJ33620" s="183"/>
      <c r="AK33620" s="183"/>
      <c r="AL33620" s="183"/>
    </row>
    <row r="33621" spans="1:38">
      <c r="A33621" s="182"/>
      <c r="AJ33621" s="183"/>
    </row>
    <row r="33622" spans="1:38">
      <c r="A33622" s="182"/>
    </row>
    <row r="33623" spans="1:38">
      <c r="A33623" s="182"/>
    </row>
    <row r="33624" spans="1:38">
      <c r="A33624" s="182"/>
    </row>
    <row r="33625" spans="1:38">
      <c r="A33625" s="182"/>
      <c r="AK33625" s="183"/>
      <c r="AL33625" s="183"/>
    </row>
    <row r="33626" spans="1:38">
      <c r="A33626" s="182"/>
      <c r="AJ33626" s="183"/>
      <c r="AK33626" s="183"/>
      <c r="AL33626" s="183"/>
    </row>
    <row r="33627" spans="1:38">
      <c r="A33627" s="182"/>
      <c r="AJ33627" s="183"/>
      <c r="AK33627" s="183"/>
      <c r="AL33627" s="183"/>
    </row>
    <row r="33628" spans="1:38">
      <c r="A33628" s="182"/>
      <c r="AJ33628" s="183"/>
      <c r="AK33628" s="183"/>
      <c r="AL33628" s="183"/>
    </row>
    <row r="33629" spans="1:38">
      <c r="A33629" s="182"/>
      <c r="AJ33629" s="183"/>
    </row>
    <row r="33630" spans="1:38">
      <c r="A33630" s="182"/>
    </row>
    <row r="33631" spans="1:38">
      <c r="A33631" s="182"/>
    </row>
    <row r="33632" spans="1:38">
      <c r="A33632" s="182"/>
    </row>
    <row r="33633" spans="1:38">
      <c r="A33633" s="182"/>
      <c r="AK33633" s="183"/>
      <c r="AL33633" s="183"/>
    </row>
    <row r="33634" spans="1:38">
      <c r="A33634" s="182"/>
      <c r="AJ33634" s="183"/>
      <c r="AK33634" s="183"/>
      <c r="AL33634" s="183"/>
    </row>
    <row r="33635" spans="1:38">
      <c r="A33635" s="182"/>
      <c r="AJ33635" s="183"/>
      <c r="AK33635" s="183"/>
      <c r="AL33635" s="183"/>
    </row>
    <row r="33636" spans="1:38">
      <c r="A33636" s="182"/>
      <c r="AJ33636" s="183"/>
      <c r="AK33636" s="183"/>
      <c r="AL33636" s="183"/>
    </row>
    <row r="33637" spans="1:38">
      <c r="A33637" s="182"/>
      <c r="AJ33637" s="183"/>
    </row>
    <row r="33638" spans="1:38">
      <c r="A33638" s="182"/>
    </row>
    <row r="33639" spans="1:38">
      <c r="A33639" s="182"/>
    </row>
    <row r="33640" spans="1:38">
      <c r="A33640" s="182"/>
    </row>
    <row r="33641" spans="1:38">
      <c r="A33641" s="182"/>
    </row>
    <row r="33642" spans="1:38">
      <c r="A33642" s="182"/>
    </row>
    <row r="33643" spans="1:38">
      <c r="A33643" s="182"/>
    </row>
    <row r="33644" spans="1:38">
      <c r="A33644" s="182"/>
    </row>
    <row r="33645" spans="1:38">
      <c r="A33645" s="182"/>
    </row>
    <row r="33646" spans="1:38">
      <c r="A33646" s="182"/>
    </row>
    <row r="33647" spans="1:38">
      <c r="A33647" s="182"/>
    </row>
    <row r="33648" spans="1:38">
      <c r="A33648" s="182"/>
    </row>
    <row r="33649" spans="1:38">
      <c r="A33649" s="182"/>
    </row>
    <row r="33650" spans="1:38">
      <c r="A33650" s="182"/>
    </row>
    <row r="33651" spans="1:38">
      <c r="A33651" s="182"/>
    </row>
    <row r="33652" spans="1:38">
      <c r="A33652" s="182"/>
    </row>
    <row r="33653" spans="1:38">
      <c r="A33653" s="182"/>
    </row>
    <row r="33654" spans="1:38">
      <c r="A33654" s="182"/>
    </row>
    <row r="33655" spans="1:38">
      <c r="A33655" s="182"/>
    </row>
    <row r="33656" spans="1:38">
      <c r="A33656" s="182"/>
    </row>
    <row r="33657" spans="1:38">
      <c r="A33657" s="182"/>
    </row>
    <row r="33658" spans="1:38">
      <c r="A33658" s="182"/>
    </row>
    <row r="33659" spans="1:38">
      <c r="A33659" s="182"/>
    </row>
    <row r="33660" spans="1:38">
      <c r="A33660" s="182"/>
    </row>
    <row r="33661" spans="1:38">
      <c r="A33661" s="182"/>
      <c r="AK33661" s="183"/>
      <c r="AL33661" s="183"/>
    </row>
    <row r="33662" spans="1:38">
      <c r="A33662" s="182"/>
      <c r="AJ33662" s="183"/>
      <c r="AK33662" s="183"/>
      <c r="AL33662" s="183"/>
    </row>
    <row r="33663" spans="1:38">
      <c r="A33663" s="182"/>
      <c r="AJ33663" s="183"/>
      <c r="AK33663" s="183"/>
      <c r="AL33663" s="183"/>
    </row>
    <row r="33664" spans="1:38">
      <c r="A33664" s="182"/>
      <c r="AJ33664" s="183"/>
      <c r="AK33664" s="183"/>
      <c r="AL33664" s="183"/>
    </row>
    <row r="33665" spans="1:38">
      <c r="A33665" s="182"/>
      <c r="AJ33665" s="183"/>
    </row>
    <row r="33666" spans="1:38">
      <c r="A33666" s="182"/>
    </row>
    <row r="33667" spans="1:38">
      <c r="A33667" s="182"/>
    </row>
    <row r="33668" spans="1:38">
      <c r="A33668" s="182"/>
    </row>
    <row r="33669" spans="1:38">
      <c r="A33669" s="182"/>
      <c r="AK33669" s="183"/>
      <c r="AL33669" s="183"/>
    </row>
    <row r="33670" spans="1:38">
      <c r="A33670" s="182"/>
      <c r="AJ33670" s="183"/>
      <c r="AK33670" s="183"/>
      <c r="AL33670" s="183"/>
    </row>
    <row r="33671" spans="1:38">
      <c r="A33671" s="182"/>
      <c r="AJ33671" s="183"/>
      <c r="AK33671" s="183"/>
      <c r="AL33671" s="183"/>
    </row>
    <row r="33672" spans="1:38">
      <c r="A33672" s="182"/>
      <c r="AJ33672" s="183"/>
      <c r="AK33672" s="183"/>
      <c r="AL33672" s="183"/>
    </row>
    <row r="33673" spans="1:38">
      <c r="A33673" s="182"/>
      <c r="AJ33673" s="183"/>
    </row>
    <row r="33674" spans="1:38">
      <c r="A33674" s="182"/>
    </row>
    <row r="33675" spans="1:38">
      <c r="A33675" s="182"/>
    </row>
    <row r="33676" spans="1:38">
      <c r="A33676" s="182"/>
    </row>
    <row r="33677" spans="1:38">
      <c r="A33677" s="182"/>
      <c r="AK33677" s="183"/>
      <c r="AL33677" s="183"/>
    </row>
    <row r="33678" spans="1:38">
      <c r="A33678" s="182"/>
      <c r="AJ33678" s="183"/>
      <c r="AK33678" s="183"/>
      <c r="AL33678" s="183"/>
    </row>
    <row r="33679" spans="1:38">
      <c r="A33679" s="182"/>
      <c r="AJ33679" s="183"/>
      <c r="AK33679" s="183"/>
      <c r="AL33679" s="183"/>
    </row>
    <row r="33680" spans="1:38">
      <c r="A33680" s="182"/>
      <c r="AJ33680" s="183"/>
      <c r="AK33680" s="183"/>
      <c r="AL33680" s="183"/>
    </row>
    <row r="33681" spans="1:38">
      <c r="A33681" s="182"/>
      <c r="AJ33681" s="183"/>
    </row>
    <row r="33682" spans="1:38">
      <c r="A33682" s="182"/>
    </row>
    <row r="33683" spans="1:38">
      <c r="A33683" s="182"/>
    </row>
    <row r="33684" spans="1:38">
      <c r="A33684" s="182"/>
    </row>
    <row r="33685" spans="1:38">
      <c r="A33685" s="182"/>
      <c r="AK33685" s="183"/>
      <c r="AL33685" s="183"/>
    </row>
    <row r="33686" spans="1:38">
      <c r="A33686" s="182"/>
      <c r="AJ33686" s="183"/>
      <c r="AK33686" s="183"/>
      <c r="AL33686" s="183"/>
    </row>
    <row r="33687" spans="1:38">
      <c r="A33687" s="182"/>
      <c r="AJ33687" s="183"/>
      <c r="AK33687" s="183"/>
      <c r="AL33687" s="183"/>
    </row>
    <row r="33688" spans="1:38">
      <c r="A33688" s="182"/>
      <c r="AJ33688" s="183"/>
      <c r="AK33688" s="183"/>
      <c r="AL33688" s="183"/>
    </row>
    <row r="33689" spans="1:38">
      <c r="A33689" s="182"/>
      <c r="AJ33689" s="183"/>
    </row>
    <row r="33690" spans="1:38">
      <c r="A33690" s="182"/>
    </row>
    <row r="33691" spans="1:38">
      <c r="A33691" s="182"/>
    </row>
    <row r="33692" spans="1:38">
      <c r="A33692" s="182"/>
    </row>
    <row r="33693" spans="1:38">
      <c r="A33693" s="182"/>
    </row>
    <row r="33694" spans="1:38">
      <c r="A33694" s="182"/>
    </row>
    <row r="33695" spans="1:38">
      <c r="A33695" s="182"/>
    </row>
    <row r="33696" spans="1:38">
      <c r="A33696" s="182"/>
    </row>
    <row r="33697" spans="1:38">
      <c r="A33697" s="182"/>
    </row>
    <row r="33698" spans="1:38">
      <c r="A33698" s="182"/>
    </row>
    <row r="33699" spans="1:38">
      <c r="A33699" s="182"/>
    </row>
    <row r="33700" spans="1:38">
      <c r="A33700" s="182"/>
    </row>
    <row r="33701" spans="1:38">
      <c r="A33701" s="182"/>
      <c r="AK33701" s="183"/>
      <c r="AL33701" s="183"/>
    </row>
    <row r="33702" spans="1:38">
      <c r="A33702" s="182"/>
      <c r="AJ33702" s="183"/>
      <c r="AK33702" s="183"/>
      <c r="AL33702" s="183"/>
    </row>
    <row r="33703" spans="1:38">
      <c r="A33703" s="182"/>
      <c r="AJ33703" s="183"/>
      <c r="AK33703" s="183"/>
      <c r="AL33703" s="183"/>
    </row>
    <row r="33704" spans="1:38">
      <c r="A33704" s="182"/>
      <c r="AJ33704" s="183"/>
      <c r="AK33704" s="183"/>
      <c r="AL33704" s="183"/>
    </row>
    <row r="33705" spans="1:38">
      <c r="A33705" s="182"/>
      <c r="AJ33705" s="183"/>
      <c r="AK33705" s="183"/>
      <c r="AL33705" s="183"/>
    </row>
    <row r="33706" spans="1:38">
      <c r="A33706" s="182"/>
      <c r="AJ33706" s="183"/>
      <c r="AK33706" s="183"/>
      <c r="AL33706" s="183"/>
    </row>
    <row r="33707" spans="1:38">
      <c r="A33707" s="182"/>
      <c r="AJ33707" s="183"/>
      <c r="AK33707" s="183"/>
      <c r="AL33707" s="183"/>
    </row>
    <row r="33708" spans="1:38">
      <c r="A33708" s="182"/>
      <c r="AJ33708" s="183"/>
      <c r="AK33708" s="183"/>
      <c r="AL33708" s="183"/>
    </row>
    <row r="33709" spans="1:38">
      <c r="A33709" s="182"/>
      <c r="AJ33709" s="183"/>
      <c r="AK33709" s="183"/>
      <c r="AL33709" s="183"/>
    </row>
    <row r="33710" spans="1:38">
      <c r="A33710" s="182"/>
      <c r="AJ33710" s="183"/>
      <c r="AK33710" s="183"/>
      <c r="AL33710" s="183"/>
    </row>
    <row r="33711" spans="1:38">
      <c r="A33711" s="182"/>
      <c r="AJ33711" s="183"/>
      <c r="AK33711" s="183"/>
      <c r="AL33711" s="183"/>
    </row>
    <row r="33712" spans="1:38">
      <c r="A33712" s="182"/>
      <c r="AJ33712" s="183"/>
      <c r="AK33712" s="183"/>
      <c r="AL33712" s="183"/>
    </row>
    <row r="33713" spans="1:38">
      <c r="A33713" s="182"/>
      <c r="AJ33713" s="183"/>
      <c r="AK33713" s="183"/>
      <c r="AL33713" s="183"/>
    </row>
    <row r="33714" spans="1:38">
      <c r="A33714" s="182"/>
      <c r="AJ33714" s="183"/>
      <c r="AK33714" s="183"/>
      <c r="AL33714" s="183"/>
    </row>
    <row r="33715" spans="1:38">
      <c r="A33715" s="182"/>
      <c r="AJ33715" s="183"/>
      <c r="AK33715" s="183"/>
      <c r="AL33715" s="183"/>
    </row>
    <row r="33716" spans="1:38">
      <c r="A33716" s="182"/>
      <c r="AJ33716" s="183"/>
      <c r="AK33716" s="183"/>
      <c r="AL33716" s="183"/>
    </row>
    <row r="33717" spans="1:38">
      <c r="A33717" s="182"/>
      <c r="AJ33717" s="183"/>
      <c r="AK33717" s="183"/>
      <c r="AL33717" s="183"/>
    </row>
    <row r="33718" spans="1:38">
      <c r="A33718" s="182"/>
      <c r="AJ33718" s="183"/>
      <c r="AK33718" s="183"/>
      <c r="AL33718" s="183"/>
    </row>
    <row r="33719" spans="1:38">
      <c r="A33719" s="182"/>
      <c r="AJ33719" s="183"/>
      <c r="AK33719" s="183"/>
      <c r="AL33719" s="183"/>
    </row>
    <row r="33720" spans="1:38">
      <c r="A33720" s="182"/>
      <c r="AJ33720" s="183"/>
      <c r="AK33720" s="183"/>
      <c r="AL33720" s="183"/>
    </row>
    <row r="33721" spans="1:38">
      <c r="A33721" s="182"/>
      <c r="AJ33721" s="183"/>
      <c r="AK33721" s="183"/>
      <c r="AL33721" s="183"/>
    </row>
    <row r="33722" spans="1:38">
      <c r="A33722" s="182"/>
      <c r="AJ33722" s="183"/>
      <c r="AK33722" s="183"/>
      <c r="AL33722" s="183"/>
    </row>
    <row r="33723" spans="1:38">
      <c r="A33723" s="182"/>
      <c r="AJ33723" s="183"/>
      <c r="AK33723" s="183"/>
      <c r="AL33723" s="183"/>
    </row>
    <row r="33724" spans="1:38">
      <c r="A33724" s="182"/>
      <c r="AJ33724" s="183"/>
      <c r="AK33724" s="183"/>
      <c r="AL33724" s="183"/>
    </row>
    <row r="33725" spans="1:38">
      <c r="A33725" s="182"/>
      <c r="AJ33725" s="183"/>
      <c r="AK33725" s="183"/>
      <c r="AL33725" s="183"/>
    </row>
    <row r="33726" spans="1:38">
      <c r="A33726" s="182"/>
      <c r="AJ33726" s="183"/>
      <c r="AK33726" s="183"/>
      <c r="AL33726" s="183"/>
    </row>
    <row r="33727" spans="1:38">
      <c r="A33727" s="182"/>
      <c r="AJ33727" s="183"/>
      <c r="AK33727" s="183"/>
      <c r="AL33727" s="183"/>
    </row>
    <row r="33728" spans="1:38">
      <c r="A33728" s="182"/>
      <c r="AJ33728" s="183"/>
      <c r="AK33728" s="183"/>
      <c r="AL33728" s="183"/>
    </row>
    <row r="33729" spans="1:36">
      <c r="A33729" s="182"/>
      <c r="AJ33729" s="183"/>
    </row>
    <row r="33730" spans="1:36">
      <c r="A33730" s="182"/>
    </row>
    <row r="33731" spans="1:36">
      <c r="A33731" s="182"/>
    </row>
    <row r="33732" spans="1:36">
      <c r="A33732" s="182"/>
    </row>
    <row r="33733" spans="1:36">
      <c r="A33733" s="182"/>
    </row>
    <row r="33734" spans="1:36">
      <c r="A33734" s="182"/>
    </row>
    <row r="33735" spans="1:36">
      <c r="A33735" s="182"/>
    </row>
    <row r="33736" spans="1:36">
      <c r="A33736" s="182"/>
    </row>
    <row r="33737" spans="1:36">
      <c r="A33737" s="182"/>
    </row>
    <row r="33738" spans="1:36">
      <c r="A33738" s="182"/>
    </row>
    <row r="33739" spans="1:36">
      <c r="A33739" s="182"/>
    </row>
    <row r="33740" spans="1:36">
      <c r="A33740" s="182"/>
    </row>
    <row r="33741" spans="1:36">
      <c r="A33741" s="182"/>
    </row>
    <row r="33742" spans="1:36">
      <c r="A33742" s="182"/>
    </row>
    <row r="33743" spans="1:36">
      <c r="A33743" s="182"/>
    </row>
    <row r="33744" spans="1:36">
      <c r="A33744" s="182"/>
    </row>
    <row r="33745" spans="1:38">
      <c r="A33745" s="182"/>
      <c r="AK33745" s="183"/>
      <c r="AL33745" s="183"/>
    </row>
    <row r="33746" spans="1:38">
      <c r="A33746" s="182"/>
      <c r="AJ33746" s="183"/>
      <c r="AK33746" s="183"/>
      <c r="AL33746" s="183"/>
    </row>
    <row r="33747" spans="1:38">
      <c r="A33747" s="182"/>
      <c r="AJ33747" s="183"/>
      <c r="AK33747" s="183"/>
      <c r="AL33747" s="183"/>
    </row>
    <row r="33748" spans="1:38">
      <c r="A33748" s="182"/>
      <c r="AJ33748" s="183"/>
      <c r="AK33748" s="183"/>
      <c r="AL33748" s="183"/>
    </row>
    <row r="33749" spans="1:38">
      <c r="A33749" s="182"/>
      <c r="AJ33749" s="183"/>
    </row>
    <row r="33750" spans="1:38">
      <c r="A33750" s="182"/>
    </row>
    <row r="33751" spans="1:38">
      <c r="A33751" s="182"/>
    </row>
    <row r="33752" spans="1:38">
      <c r="A33752" s="182"/>
    </row>
    <row r="33753" spans="1:38">
      <c r="A33753" s="182"/>
    </row>
    <row r="33754" spans="1:38">
      <c r="A33754" s="182"/>
    </row>
    <row r="33755" spans="1:38">
      <c r="A33755" s="182"/>
    </row>
    <row r="33756" spans="1:38">
      <c r="A33756" s="182"/>
    </row>
    <row r="33757" spans="1:38">
      <c r="A33757" s="182"/>
    </row>
    <row r="33758" spans="1:38">
      <c r="A33758" s="182"/>
    </row>
    <row r="33759" spans="1:38">
      <c r="A33759" s="182"/>
    </row>
    <row r="33760" spans="1:38">
      <c r="A33760" s="182"/>
    </row>
    <row r="33761" spans="1:38">
      <c r="A33761" s="182"/>
    </row>
    <row r="33762" spans="1:38">
      <c r="A33762" s="182"/>
    </row>
    <row r="33763" spans="1:38">
      <c r="A33763" s="182"/>
    </row>
    <row r="33764" spans="1:38">
      <c r="A33764" s="182"/>
    </row>
    <row r="33765" spans="1:38">
      <c r="A33765" s="182"/>
    </row>
    <row r="33766" spans="1:38">
      <c r="A33766" s="182"/>
    </row>
    <row r="33767" spans="1:38">
      <c r="A33767" s="182"/>
    </row>
    <row r="33768" spans="1:38">
      <c r="A33768" s="182"/>
    </row>
    <row r="33769" spans="1:38">
      <c r="A33769" s="182"/>
    </row>
    <row r="33770" spans="1:38">
      <c r="A33770" s="182"/>
    </row>
    <row r="33771" spans="1:38">
      <c r="A33771" s="182"/>
    </row>
    <row r="33772" spans="1:38">
      <c r="A33772" s="182"/>
    </row>
    <row r="33773" spans="1:38">
      <c r="A33773" s="182"/>
      <c r="AK33773" s="183"/>
      <c r="AL33773" s="183"/>
    </row>
    <row r="33774" spans="1:38">
      <c r="A33774" s="182"/>
      <c r="AJ33774" s="183"/>
      <c r="AK33774" s="183"/>
      <c r="AL33774" s="183"/>
    </row>
    <row r="33775" spans="1:38">
      <c r="A33775" s="182"/>
      <c r="AJ33775" s="183"/>
      <c r="AK33775" s="183"/>
      <c r="AL33775" s="183"/>
    </row>
    <row r="33776" spans="1:38">
      <c r="A33776" s="182"/>
      <c r="AJ33776" s="183"/>
      <c r="AK33776" s="183"/>
      <c r="AL33776" s="183"/>
    </row>
    <row r="33777" spans="1:38">
      <c r="A33777" s="182"/>
      <c r="AJ33777" s="183"/>
      <c r="AK33777" s="183"/>
      <c r="AL33777" s="183"/>
    </row>
    <row r="33778" spans="1:38">
      <c r="A33778" s="182"/>
      <c r="AJ33778" s="183"/>
      <c r="AK33778" s="183"/>
      <c r="AL33778" s="183"/>
    </row>
    <row r="33779" spans="1:38">
      <c r="A33779" s="182"/>
      <c r="AJ33779" s="183"/>
      <c r="AK33779" s="183"/>
      <c r="AL33779" s="183"/>
    </row>
    <row r="33780" spans="1:38">
      <c r="A33780" s="182"/>
      <c r="AJ33780" s="183"/>
      <c r="AK33780" s="183"/>
      <c r="AL33780" s="183"/>
    </row>
    <row r="33781" spans="1:38">
      <c r="A33781" s="182"/>
      <c r="AJ33781" s="183"/>
    </row>
    <row r="33782" spans="1:38">
      <c r="A33782" s="182"/>
    </row>
    <row r="33783" spans="1:38">
      <c r="A33783" s="182"/>
    </row>
    <row r="33784" spans="1:38">
      <c r="A33784" s="182"/>
    </row>
    <row r="33785" spans="1:38">
      <c r="A33785" s="182"/>
    </row>
    <row r="33786" spans="1:38">
      <c r="A33786" s="182"/>
    </row>
    <row r="33787" spans="1:38">
      <c r="A33787" s="182"/>
    </row>
    <row r="33788" spans="1:38">
      <c r="A33788" s="182"/>
    </row>
    <row r="33789" spans="1:38">
      <c r="A33789" s="182"/>
      <c r="AK33789" s="183"/>
      <c r="AL33789" s="183"/>
    </row>
    <row r="33790" spans="1:38">
      <c r="A33790" s="182"/>
      <c r="M33790" s="183"/>
      <c r="N33790" s="183"/>
      <c r="O33790" s="183"/>
      <c r="AJ33790" s="183"/>
      <c r="AK33790" s="183"/>
      <c r="AL33790" s="183"/>
    </row>
    <row r="33791" spans="1:38">
      <c r="A33791" s="182"/>
      <c r="L33791" s="183"/>
      <c r="M33791" s="183"/>
      <c r="N33791" s="183"/>
      <c r="AJ33791" s="183"/>
      <c r="AK33791" s="183"/>
      <c r="AL33791" s="183"/>
    </row>
    <row r="33792" spans="1:38">
      <c r="A33792" s="182"/>
      <c r="L33792" s="183"/>
      <c r="AJ33792" s="183"/>
      <c r="AK33792" s="183"/>
      <c r="AL33792" s="183"/>
    </row>
    <row r="33793" spans="1:38">
      <c r="A33793" s="182"/>
      <c r="AJ33793" s="183"/>
      <c r="AK33793" s="183"/>
      <c r="AL33793" s="183"/>
    </row>
    <row r="33794" spans="1:38">
      <c r="A33794" s="182"/>
      <c r="AJ33794" s="183"/>
      <c r="AK33794" s="183"/>
      <c r="AL33794" s="183"/>
    </row>
    <row r="33795" spans="1:38">
      <c r="A33795" s="182"/>
      <c r="AJ33795" s="183"/>
      <c r="AK33795" s="183"/>
      <c r="AL33795" s="183"/>
    </row>
    <row r="33796" spans="1:38">
      <c r="A33796" s="182"/>
      <c r="AJ33796" s="183"/>
      <c r="AK33796" s="183"/>
      <c r="AL33796" s="183"/>
    </row>
    <row r="33797" spans="1:38">
      <c r="A33797" s="182"/>
      <c r="M33797" s="183"/>
      <c r="N33797" s="183"/>
      <c r="O33797" s="183"/>
      <c r="AJ33797" s="183"/>
      <c r="AK33797" s="183"/>
      <c r="AL33797" s="183"/>
    </row>
    <row r="33798" spans="1:38">
      <c r="A33798" s="182"/>
      <c r="L33798" s="183"/>
      <c r="M33798" s="183"/>
      <c r="AJ33798" s="183"/>
      <c r="AK33798" s="183"/>
      <c r="AL33798" s="183"/>
    </row>
    <row r="33799" spans="1:38">
      <c r="A33799" s="182"/>
      <c r="AJ33799" s="183"/>
      <c r="AK33799" s="183"/>
      <c r="AL33799" s="183"/>
    </row>
    <row r="33800" spans="1:38">
      <c r="A33800" s="182"/>
      <c r="AJ33800" s="183"/>
      <c r="AK33800" s="183"/>
      <c r="AL33800" s="183"/>
    </row>
    <row r="33801" spans="1:38">
      <c r="A33801" s="182"/>
      <c r="AJ33801" s="183"/>
      <c r="AK33801" s="183"/>
      <c r="AL33801" s="183"/>
    </row>
    <row r="33802" spans="1:38">
      <c r="A33802" s="182"/>
      <c r="M33802" s="183"/>
      <c r="N33802" s="183"/>
      <c r="O33802" s="183"/>
      <c r="AJ33802" s="183"/>
      <c r="AK33802" s="183"/>
      <c r="AL33802" s="183"/>
    </row>
    <row r="33803" spans="1:38">
      <c r="A33803" s="182"/>
      <c r="L33803" s="183"/>
      <c r="M33803" s="183"/>
      <c r="N33803" s="183"/>
      <c r="O33803" s="183"/>
      <c r="AJ33803" s="183"/>
      <c r="AK33803" s="183"/>
      <c r="AL33803" s="183"/>
    </row>
    <row r="33804" spans="1:38">
      <c r="A33804" s="182"/>
      <c r="L33804" s="183"/>
      <c r="M33804" s="183"/>
      <c r="N33804" s="183"/>
      <c r="O33804" s="183"/>
      <c r="AJ33804" s="183"/>
      <c r="AK33804" s="183"/>
      <c r="AL33804" s="183"/>
    </row>
    <row r="33805" spans="1:38">
      <c r="A33805" s="182"/>
      <c r="L33805" s="183"/>
      <c r="M33805" s="183"/>
      <c r="N33805" s="183"/>
      <c r="O33805" s="183"/>
      <c r="AJ33805" s="183"/>
    </row>
    <row r="33806" spans="1:38">
      <c r="A33806" s="182"/>
      <c r="M33806" s="183"/>
    </row>
    <row r="33807" spans="1:38">
      <c r="A33807" s="182"/>
    </row>
    <row r="33808" spans="1:38">
      <c r="A33808" s="182"/>
      <c r="M33808" s="183"/>
      <c r="N33808" s="183"/>
      <c r="O33808" s="183"/>
    </row>
    <row r="33809" spans="1:38">
      <c r="A33809" s="182"/>
      <c r="L33809" s="183"/>
      <c r="M33809" s="183"/>
      <c r="AK33809" s="183"/>
      <c r="AL33809" s="183"/>
    </row>
    <row r="33810" spans="1:38">
      <c r="A33810" s="182"/>
      <c r="AJ33810" s="183"/>
      <c r="AK33810" s="183"/>
      <c r="AL33810" s="183"/>
    </row>
    <row r="33811" spans="1:38">
      <c r="A33811" s="182"/>
      <c r="AJ33811" s="183"/>
      <c r="AK33811" s="183"/>
      <c r="AL33811" s="183"/>
    </row>
    <row r="33812" spans="1:38">
      <c r="A33812" s="182"/>
      <c r="AJ33812" s="183"/>
      <c r="AK33812" s="183"/>
      <c r="AL33812" s="183"/>
    </row>
    <row r="33813" spans="1:38">
      <c r="A33813" s="182"/>
      <c r="AJ33813" s="183"/>
      <c r="AK33813" s="183"/>
      <c r="AL33813" s="183"/>
    </row>
    <row r="33814" spans="1:38">
      <c r="A33814" s="182"/>
      <c r="AJ33814" s="183"/>
      <c r="AK33814" s="183"/>
      <c r="AL33814" s="183"/>
    </row>
    <row r="33815" spans="1:38">
      <c r="A33815" s="182"/>
      <c r="AJ33815" s="183"/>
      <c r="AK33815" s="183"/>
      <c r="AL33815" s="183"/>
    </row>
    <row r="33816" spans="1:38">
      <c r="A33816" s="182"/>
      <c r="AJ33816" s="183"/>
      <c r="AK33816" s="183"/>
      <c r="AL33816" s="183"/>
    </row>
    <row r="33817" spans="1:38">
      <c r="A33817" s="182"/>
      <c r="AJ33817" s="183"/>
    </row>
    <row r="33818" spans="1:38">
      <c r="A33818" s="182"/>
    </row>
    <row r="33819" spans="1:38">
      <c r="A33819" s="182"/>
    </row>
    <row r="33820" spans="1:38">
      <c r="A33820" s="182"/>
    </row>
    <row r="33821" spans="1:38">
      <c r="A33821" s="182"/>
    </row>
    <row r="33822" spans="1:38">
      <c r="A33822" s="182"/>
    </row>
    <row r="33823" spans="1:38">
      <c r="A33823" s="182"/>
    </row>
    <row r="33824" spans="1:38">
      <c r="A33824" s="182"/>
    </row>
    <row r="33825" spans="1:1">
      <c r="A33825" s="182"/>
    </row>
    <row r="33826" spans="1:1">
      <c r="A33826" s="182"/>
    </row>
    <row r="33827" spans="1:1">
      <c r="A33827" s="182"/>
    </row>
    <row r="33828" spans="1:1">
      <c r="A33828" s="182"/>
    </row>
    <row r="33829" spans="1:1">
      <c r="A33829" s="182"/>
    </row>
    <row r="33830" spans="1:1">
      <c r="A33830" s="182"/>
    </row>
    <row r="33831" spans="1:1">
      <c r="A33831" s="182"/>
    </row>
    <row r="33832" spans="1:1">
      <c r="A33832" s="182"/>
    </row>
    <row r="33833" spans="1:1">
      <c r="A33833" s="182"/>
    </row>
    <row r="33834" spans="1:1">
      <c r="A33834" s="182"/>
    </row>
    <row r="33835" spans="1:1">
      <c r="A33835" s="182"/>
    </row>
    <row r="33836" spans="1:1">
      <c r="A33836" s="182"/>
    </row>
    <row r="33837" spans="1:1">
      <c r="A33837" s="182"/>
    </row>
    <row r="33838" spans="1:1">
      <c r="A33838" s="182"/>
    </row>
    <row r="33839" spans="1:1">
      <c r="A33839" s="182"/>
    </row>
    <row r="33840" spans="1:1">
      <c r="A33840" s="182"/>
    </row>
    <row r="33841" spans="1:38">
      <c r="A33841" s="182"/>
    </row>
    <row r="33842" spans="1:38">
      <c r="A33842" s="182"/>
    </row>
    <row r="33843" spans="1:38">
      <c r="A33843" s="182"/>
    </row>
    <row r="33844" spans="1:38">
      <c r="A33844" s="182"/>
    </row>
    <row r="33845" spans="1:38">
      <c r="A33845" s="182"/>
      <c r="AK33845" s="183"/>
      <c r="AL33845" s="183"/>
    </row>
    <row r="33846" spans="1:38">
      <c r="A33846" s="182"/>
      <c r="AJ33846" s="183"/>
      <c r="AK33846" s="183"/>
      <c r="AL33846" s="183"/>
    </row>
    <row r="33847" spans="1:38">
      <c r="A33847" s="182"/>
      <c r="N33847" s="183"/>
      <c r="O33847" s="183"/>
      <c r="AJ33847" s="183"/>
      <c r="AK33847" s="183"/>
      <c r="AL33847" s="183"/>
    </row>
    <row r="33848" spans="1:38">
      <c r="A33848" s="182"/>
      <c r="M33848" s="183"/>
      <c r="AJ33848" s="183"/>
      <c r="AK33848" s="183"/>
      <c r="AL33848" s="183"/>
    </row>
    <row r="33849" spans="1:38">
      <c r="A33849" s="182"/>
      <c r="AJ33849" s="183"/>
    </row>
    <row r="33850" spans="1:38">
      <c r="A33850" s="182"/>
    </row>
    <row r="33851" spans="1:38">
      <c r="A33851" s="182"/>
    </row>
    <row r="33852" spans="1:38">
      <c r="A33852" s="182"/>
    </row>
    <row r="33853" spans="1:38">
      <c r="A33853" s="182"/>
    </row>
    <row r="33854" spans="1:38">
      <c r="A33854" s="182"/>
    </row>
    <row r="33855" spans="1:38">
      <c r="A33855" s="182"/>
    </row>
    <row r="33856" spans="1:38">
      <c r="A33856" s="182"/>
    </row>
    <row r="33857" spans="1:38">
      <c r="A33857" s="182"/>
    </row>
    <row r="33858" spans="1:38">
      <c r="A33858" s="182"/>
    </row>
    <row r="33859" spans="1:38">
      <c r="A33859" s="182"/>
    </row>
    <row r="33860" spans="1:38">
      <c r="A33860" s="182"/>
    </row>
    <row r="33861" spans="1:38">
      <c r="A33861" s="182"/>
    </row>
    <row r="33862" spans="1:38">
      <c r="A33862" s="182"/>
    </row>
    <row r="33863" spans="1:38">
      <c r="A33863" s="182"/>
    </row>
    <row r="33864" spans="1:38">
      <c r="A33864" s="182"/>
    </row>
    <row r="33865" spans="1:38">
      <c r="A33865" s="182"/>
    </row>
    <row r="33866" spans="1:38">
      <c r="A33866" s="182"/>
    </row>
    <row r="33867" spans="1:38">
      <c r="A33867" s="182"/>
    </row>
    <row r="33868" spans="1:38">
      <c r="A33868" s="182"/>
    </row>
    <row r="33869" spans="1:38">
      <c r="A33869" s="182"/>
      <c r="AK33869" s="183"/>
      <c r="AL33869" s="183"/>
    </row>
    <row r="33870" spans="1:38">
      <c r="A33870" s="182"/>
      <c r="AJ33870" s="183"/>
      <c r="AK33870" s="183"/>
      <c r="AL33870" s="183"/>
    </row>
    <row r="33871" spans="1:38">
      <c r="A33871" s="182"/>
      <c r="AJ33871" s="183"/>
      <c r="AK33871" s="183"/>
      <c r="AL33871" s="183"/>
    </row>
    <row r="33872" spans="1:38">
      <c r="A33872" s="182"/>
      <c r="AJ33872" s="183"/>
      <c r="AK33872" s="183"/>
      <c r="AL33872" s="183"/>
    </row>
    <row r="33873" spans="1:38">
      <c r="A33873" s="182"/>
      <c r="AJ33873" s="183"/>
      <c r="AK33873" s="183"/>
      <c r="AL33873" s="183"/>
    </row>
    <row r="33874" spans="1:38">
      <c r="A33874" s="182"/>
      <c r="AJ33874" s="183"/>
      <c r="AK33874" s="183"/>
      <c r="AL33874" s="183"/>
    </row>
    <row r="33875" spans="1:38">
      <c r="A33875" s="182"/>
      <c r="AJ33875" s="183"/>
      <c r="AK33875" s="183"/>
      <c r="AL33875" s="183"/>
    </row>
    <row r="33876" spans="1:38">
      <c r="A33876" s="182"/>
      <c r="AJ33876" s="183"/>
      <c r="AK33876" s="183"/>
      <c r="AL33876" s="183"/>
    </row>
    <row r="33877" spans="1:38">
      <c r="A33877" s="182"/>
      <c r="AJ33877" s="183"/>
    </row>
    <row r="33878" spans="1:38">
      <c r="A33878" s="182"/>
    </row>
    <row r="33879" spans="1:38">
      <c r="A33879" s="182"/>
    </row>
    <row r="33880" spans="1:38">
      <c r="A33880" s="182"/>
    </row>
    <row r="33881" spans="1:38">
      <c r="A33881" s="182"/>
    </row>
    <row r="33882" spans="1:38">
      <c r="A33882" s="182"/>
    </row>
    <row r="33883" spans="1:38">
      <c r="A33883" s="182"/>
    </row>
    <row r="33884" spans="1:38">
      <c r="A33884" s="182"/>
    </row>
    <row r="33885" spans="1:38">
      <c r="A33885" s="182"/>
    </row>
    <row r="33886" spans="1:38">
      <c r="A33886" s="182"/>
    </row>
    <row r="33887" spans="1:38">
      <c r="A33887" s="182"/>
    </row>
    <row r="33888" spans="1:38">
      <c r="A33888" s="182"/>
    </row>
    <row r="33889" spans="1:38">
      <c r="A33889" s="182"/>
      <c r="AK33889" s="183"/>
      <c r="AL33889" s="183"/>
    </row>
    <row r="33890" spans="1:38">
      <c r="A33890" s="182"/>
      <c r="AJ33890" s="183"/>
      <c r="AK33890" s="183"/>
      <c r="AL33890" s="183"/>
    </row>
    <row r="33891" spans="1:38">
      <c r="A33891" s="182"/>
      <c r="AJ33891" s="183"/>
      <c r="AK33891" s="183"/>
      <c r="AL33891" s="183"/>
    </row>
    <row r="33892" spans="1:38">
      <c r="A33892" s="182"/>
      <c r="AJ33892" s="183"/>
      <c r="AK33892" s="183"/>
      <c r="AL33892" s="183"/>
    </row>
    <row r="33893" spans="1:38">
      <c r="A33893" s="182"/>
      <c r="AJ33893" s="183"/>
    </row>
    <row r="33894" spans="1:38">
      <c r="A33894" s="182"/>
    </row>
    <row r="33895" spans="1:38">
      <c r="A33895" s="182"/>
    </row>
    <row r="33896" spans="1:38">
      <c r="A33896" s="182"/>
    </row>
    <row r="33897" spans="1:38">
      <c r="A33897" s="182"/>
      <c r="AK33897" s="183"/>
      <c r="AL33897" s="183"/>
    </row>
    <row r="33898" spans="1:38">
      <c r="A33898" s="182"/>
      <c r="AJ33898" s="183"/>
      <c r="AK33898" s="183"/>
      <c r="AL33898" s="183"/>
    </row>
    <row r="33899" spans="1:38">
      <c r="A33899" s="182"/>
      <c r="AJ33899" s="183"/>
      <c r="AK33899" s="183"/>
      <c r="AL33899" s="183"/>
    </row>
    <row r="33900" spans="1:38">
      <c r="A33900" s="182"/>
      <c r="AJ33900" s="183"/>
      <c r="AK33900" s="183"/>
      <c r="AL33900" s="183"/>
    </row>
    <row r="33901" spans="1:38">
      <c r="A33901" s="182"/>
      <c r="AJ33901" s="183"/>
      <c r="AK33901" s="183"/>
      <c r="AL33901" s="183"/>
    </row>
    <row r="33902" spans="1:38">
      <c r="A33902" s="182"/>
      <c r="AJ33902" s="183"/>
      <c r="AK33902" s="183"/>
      <c r="AL33902" s="183"/>
    </row>
    <row r="33903" spans="1:38">
      <c r="A33903" s="182"/>
      <c r="AJ33903" s="183"/>
      <c r="AK33903" s="183"/>
      <c r="AL33903" s="183"/>
    </row>
    <row r="33904" spans="1:38">
      <c r="A33904" s="182"/>
      <c r="AJ33904" s="183"/>
      <c r="AK33904" s="183"/>
      <c r="AL33904" s="183"/>
    </row>
    <row r="33905" spans="1:38">
      <c r="A33905" s="182"/>
      <c r="AJ33905" s="183"/>
    </row>
    <row r="33906" spans="1:38">
      <c r="A33906" s="182"/>
    </row>
    <row r="33907" spans="1:38">
      <c r="A33907" s="182"/>
    </row>
    <row r="33908" spans="1:38">
      <c r="A33908" s="182"/>
    </row>
    <row r="33909" spans="1:38">
      <c r="A33909" s="182"/>
    </row>
    <row r="33910" spans="1:38">
      <c r="A33910" s="182"/>
    </row>
    <row r="33911" spans="1:38">
      <c r="A33911" s="182"/>
    </row>
    <row r="33912" spans="1:38">
      <c r="A33912" s="182"/>
    </row>
    <row r="33913" spans="1:38">
      <c r="A33913" s="182"/>
      <c r="AK33913" s="183"/>
      <c r="AL33913" s="183"/>
    </row>
    <row r="33914" spans="1:38">
      <c r="A33914" s="182"/>
      <c r="AJ33914" s="183"/>
      <c r="AK33914" s="183"/>
      <c r="AL33914" s="183"/>
    </row>
    <row r="33915" spans="1:38">
      <c r="A33915" s="182"/>
      <c r="AJ33915" s="183"/>
      <c r="AK33915" s="183"/>
      <c r="AL33915" s="183"/>
    </row>
    <row r="33916" spans="1:38">
      <c r="A33916" s="182"/>
      <c r="AJ33916" s="183"/>
      <c r="AK33916" s="183"/>
      <c r="AL33916" s="183"/>
    </row>
    <row r="33917" spans="1:38">
      <c r="A33917" s="182"/>
      <c r="AJ33917" s="183"/>
    </row>
    <row r="33918" spans="1:38">
      <c r="A33918" s="182"/>
    </row>
    <row r="33919" spans="1:38">
      <c r="A33919" s="182"/>
    </row>
    <row r="33920" spans="1:38">
      <c r="A33920" s="182"/>
    </row>
    <row r="33921" spans="1:38">
      <c r="A33921" s="182"/>
      <c r="AK33921" s="183"/>
      <c r="AL33921" s="183"/>
    </row>
    <row r="33922" spans="1:38">
      <c r="A33922" s="182"/>
      <c r="AJ33922" s="183"/>
      <c r="AK33922" s="183"/>
      <c r="AL33922" s="183"/>
    </row>
    <row r="33923" spans="1:38">
      <c r="A33923" s="182"/>
      <c r="AJ33923" s="183"/>
      <c r="AK33923" s="183"/>
      <c r="AL33923" s="183"/>
    </row>
    <row r="33924" spans="1:38">
      <c r="A33924" s="182"/>
      <c r="R33924" s="183"/>
      <c r="S33924" s="183"/>
      <c r="AJ33924" s="183"/>
      <c r="AK33924" s="183"/>
      <c r="AL33924" s="183"/>
    </row>
    <row r="33925" spans="1:38">
      <c r="A33925" s="182"/>
      <c r="Q33925" s="183"/>
      <c r="R33925" s="183"/>
      <c r="S33925" s="183"/>
      <c r="AJ33925" s="183"/>
    </row>
    <row r="33926" spans="1:38">
      <c r="A33926" s="182"/>
      <c r="Q33926" s="183"/>
      <c r="R33926" s="183"/>
      <c r="S33926" s="183"/>
    </row>
    <row r="33927" spans="1:38">
      <c r="A33927" s="182"/>
      <c r="Q33927" s="183"/>
    </row>
    <row r="33928" spans="1:38">
      <c r="A33928" s="182"/>
    </row>
    <row r="33929" spans="1:38">
      <c r="A33929" s="182"/>
    </row>
    <row r="33930" spans="1:38">
      <c r="A33930" s="182"/>
    </row>
    <row r="33931" spans="1:38">
      <c r="A33931" s="182"/>
    </row>
    <row r="33932" spans="1:38">
      <c r="A33932" s="182"/>
    </row>
    <row r="33933" spans="1:38">
      <c r="A33933" s="182"/>
    </row>
    <row r="33934" spans="1:38">
      <c r="A33934" s="182"/>
    </row>
    <row r="33935" spans="1:38">
      <c r="A33935" s="182"/>
    </row>
    <row r="33936" spans="1:38">
      <c r="A33936" s="182"/>
    </row>
    <row r="33937" spans="1:38">
      <c r="A33937" s="182"/>
    </row>
    <row r="33938" spans="1:38">
      <c r="A33938" s="182"/>
    </row>
    <row r="33939" spans="1:38">
      <c r="A33939" s="182"/>
    </row>
    <row r="33940" spans="1:38">
      <c r="A33940" s="182"/>
    </row>
    <row r="33941" spans="1:38">
      <c r="A33941" s="182"/>
    </row>
    <row r="33942" spans="1:38">
      <c r="A33942" s="182"/>
    </row>
    <row r="33943" spans="1:38">
      <c r="A33943" s="182"/>
    </row>
    <row r="33944" spans="1:38">
      <c r="A33944" s="182"/>
    </row>
    <row r="33945" spans="1:38">
      <c r="A33945" s="182"/>
      <c r="AK33945" s="183"/>
      <c r="AL33945" s="183"/>
    </row>
    <row r="33946" spans="1:38">
      <c r="A33946" s="182"/>
      <c r="AJ33946" s="183"/>
      <c r="AK33946" s="183"/>
      <c r="AL33946" s="183"/>
    </row>
    <row r="33947" spans="1:38">
      <c r="A33947" s="182"/>
      <c r="AJ33947" s="183"/>
      <c r="AK33947" s="183"/>
      <c r="AL33947" s="183"/>
    </row>
    <row r="33948" spans="1:38">
      <c r="A33948" s="182"/>
      <c r="AJ33948" s="183"/>
      <c r="AK33948" s="183"/>
      <c r="AL33948" s="183"/>
    </row>
    <row r="33949" spans="1:38">
      <c r="A33949" s="182"/>
      <c r="AJ33949" s="183"/>
    </row>
    <row r="33950" spans="1:38">
      <c r="A33950" s="182"/>
    </row>
    <row r="33951" spans="1:38">
      <c r="A33951" s="182"/>
    </row>
    <row r="33952" spans="1:38">
      <c r="A33952" s="182"/>
    </row>
    <row r="33953" spans="1:38">
      <c r="A33953" s="182"/>
    </row>
    <row r="33954" spans="1:38">
      <c r="A33954" s="182"/>
    </row>
    <row r="33955" spans="1:38">
      <c r="A33955" s="182"/>
    </row>
    <row r="33956" spans="1:38">
      <c r="A33956" s="182"/>
    </row>
    <row r="33957" spans="1:38">
      <c r="A33957" s="182"/>
      <c r="AK33957" s="183"/>
      <c r="AL33957" s="183"/>
    </row>
    <row r="33958" spans="1:38">
      <c r="A33958" s="182"/>
      <c r="AJ33958" s="183"/>
      <c r="AK33958" s="183"/>
      <c r="AL33958" s="183"/>
    </row>
    <row r="33959" spans="1:38">
      <c r="A33959" s="182"/>
      <c r="AJ33959" s="183"/>
      <c r="AK33959" s="183"/>
      <c r="AL33959" s="183"/>
    </row>
    <row r="33960" spans="1:38">
      <c r="A33960" s="182"/>
      <c r="AJ33960" s="183"/>
      <c r="AK33960" s="183"/>
      <c r="AL33960" s="183"/>
    </row>
    <row r="33961" spans="1:38">
      <c r="A33961" s="182"/>
      <c r="AJ33961" s="183"/>
    </row>
    <row r="33962" spans="1:38">
      <c r="A33962" s="182"/>
    </row>
    <row r="33963" spans="1:38">
      <c r="A33963" s="182"/>
    </row>
    <row r="33964" spans="1:38">
      <c r="A33964" s="182"/>
    </row>
    <row r="33965" spans="1:38">
      <c r="A33965" s="182"/>
      <c r="AK33965" s="183"/>
      <c r="AL33965" s="183"/>
    </row>
    <row r="33966" spans="1:38">
      <c r="A33966" s="182"/>
      <c r="AJ33966" s="183"/>
      <c r="AK33966" s="183"/>
      <c r="AL33966" s="183"/>
    </row>
    <row r="33967" spans="1:38">
      <c r="A33967" s="182"/>
      <c r="AJ33967" s="183"/>
      <c r="AK33967" s="183"/>
      <c r="AL33967" s="183"/>
    </row>
    <row r="33968" spans="1:38">
      <c r="A33968" s="182"/>
      <c r="AJ33968" s="183"/>
      <c r="AK33968" s="183"/>
      <c r="AL33968" s="183"/>
    </row>
    <row r="33969" spans="1:38">
      <c r="A33969" s="182"/>
      <c r="AJ33969" s="183"/>
    </row>
    <row r="33970" spans="1:38">
      <c r="A33970" s="182"/>
    </row>
    <row r="33971" spans="1:38">
      <c r="A33971" s="182"/>
    </row>
    <row r="33972" spans="1:38">
      <c r="A33972" s="182"/>
    </row>
    <row r="33973" spans="1:38">
      <c r="A33973" s="182"/>
    </row>
    <row r="33974" spans="1:38">
      <c r="A33974" s="182"/>
    </row>
    <row r="33975" spans="1:38">
      <c r="A33975" s="182"/>
    </row>
    <row r="33976" spans="1:38">
      <c r="A33976" s="182"/>
    </row>
    <row r="33977" spans="1:38">
      <c r="A33977" s="182"/>
    </row>
    <row r="33978" spans="1:38">
      <c r="A33978" s="182"/>
    </row>
    <row r="33979" spans="1:38">
      <c r="A33979" s="182"/>
    </row>
    <row r="33980" spans="1:38">
      <c r="A33980" s="182"/>
    </row>
    <row r="33981" spans="1:38">
      <c r="A33981" s="182"/>
      <c r="AK33981" s="183"/>
      <c r="AL33981" s="183"/>
    </row>
    <row r="33982" spans="1:38">
      <c r="A33982" s="182"/>
      <c r="AJ33982" s="183"/>
      <c r="AK33982" s="183"/>
      <c r="AL33982" s="183"/>
    </row>
    <row r="33983" spans="1:38">
      <c r="A33983" s="182"/>
      <c r="AJ33983" s="183"/>
      <c r="AK33983" s="183"/>
      <c r="AL33983" s="183"/>
    </row>
    <row r="33984" spans="1:38">
      <c r="A33984" s="182"/>
      <c r="AJ33984" s="183"/>
      <c r="AK33984" s="183"/>
      <c r="AL33984" s="183"/>
    </row>
    <row r="33985" spans="1:38">
      <c r="A33985" s="182"/>
      <c r="AJ33985" s="183"/>
      <c r="AK33985" s="183"/>
      <c r="AL33985" s="183"/>
    </row>
    <row r="33986" spans="1:38">
      <c r="A33986" s="182"/>
      <c r="AJ33986" s="183"/>
      <c r="AK33986" s="183"/>
      <c r="AL33986" s="183"/>
    </row>
    <row r="33987" spans="1:38">
      <c r="A33987" s="182"/>
      <c r="AJ33987" s="183"/>
      <c r="AK33987" s="183"/>
      <c r="AL33987" s="183"/>
    </row>
    <row r="33988" spans="1:38">
      <c r="A33988" s="182"/>
      <c r="M33988" s="183"/>
      <c r="N33988" s="183"/>
      <c r="AJ33988" s="183"/>
      <c r="AK33988" s="183"/>
      <c r="AL33988" s="183"/>
    </row>
    <row r="33989" spans="1:38">
      <c r="A33989" s="182"/>
      <c r="L33989" s="183"/>
      <c r="AJ33989" s="183"/>
    </row>
    <row r="33990" spans="1:38">
      <c r="A33990" s="182"/>
    </row>
    <row r="33991" spans="1:38">
      <c r="A33991" s="182"/>
    </row>
    <row r="33992" spans="1:38">
      <c r="A33992" s="182"/>
    </row>
    <row r="33993" spans="1:38">
      <c r="A33993" s="182"/>
      <c r="AK33993" s="183"/>
      <c r="AL33993" s="183"/>
    </row>
    <row r="33994" spans="1:38">
      <c r="A33994" s="182"/>
      <c r="AJ33994" s="183"/>
      <c r="AK33994" s="183"/>
      <c r="AL33994" s="183"/>
    </row>
    <row r="33995" spans="1:38">
      <c r="A33995" s="182"/>
      <c r="AJ33995" s="183"/>
      <c r="AK33995" s="183"/>
      <c r="AL33995" s="183"/>
    </row>
    <row r="33996" spans="1:38">
      <c r="A33996" s="182"/>
      <c r="AJ33996" s="183"/>
      <c r="AK33996" s="183"/>
      <c r="AL33996" s="183"/>
    </row>
    <row r="33997" spans="1:38">
      <c r="A33997" s="182"/>
      <c r="AJ33997" s="183"/>
    </row>
    <row r="33998" spans="1:38">
      <c r="A33998" s="182"/>
    </row>
    <row r="33999" spans="1:38">
      <c r="A33999" s="182"/>
    </row>
    <row r="34000" spans="1:38">
      <c r="A34000" s="182"/>
    </row>
    <row r="34001" spans="1:38">
      <c r="A34001" s="182"/>
      <c r="AK34001" s="183"/>
      <c r="AL34001" s="183"/>
    </row>
    <row r="34002" spans="1:38">
      <c r="A34002" s="182"/>
      <c r="AJ34002" s="183"/>
      <c r="AK34002" s="183"/>
      <c r="AL34002" s="183"/>
    </row>
    <row r="34003" spans="1:38">
      <c r="A34003" s="182"/>
      <c r="AJ34003" s="183"/>
      <c r="AK34003" s="183"/>
      <c r="AL34003" s="183"/>
    </row>
    <row r="34004" spans="1:38">
      <c r="A34004" s="182"/>
      <c r="AJ34004" s="183"/>
      <c r="AK34004" s="183"/>
      <c r="AL34004" s="183"/>
    </row>
    <row r="34005" spans="1:38">
      <c r="A34005" s="182"/>
      <c r="AJ34005" s="183"/>
      <c r="AK34005" s="183"/>
      <c r="AL34005" s="183"/>
    </row>
    <row r="34006" spans="1:38">
      <c r="A34006" s="182"/>
      <c r="AJ34006" s="183"/>
      <c r="AK34006" s="183"/>
      <c r="AL34006" s="183"/>
    </row>
    <row r="34007" spans="1:38">
      <c r="A34007" s="182"/>
      <c r="AJ34007" s="183"/>
      <c r="AK34007" s="183"/>
      <c r="AL34007" s="183"/>
    </row>
    <row r="34008" spans="1:38">
      <c r="A34008" s="182"/>
      <c r="AJ34008" s="183"/>
      <c r="AK34008" s="183"/>
      <c r="AL34008" s="183"/>
    </row>
    <row r="34009" spans="1:38">
      <c r="A34009" s="182"/>
      <c r="AJ34009" s="183"/>
    </row>
    <row r="34010" spans="1:38">
      <c r="A34010" s="182"/>
    </row>
    <row r="34011" spans="1:38">
      <c r="A34011" s="182"/>
    </row>
    <row r="34012" spans="1:38">
      <c r="A34012" s="182"/>
    </row>
    <row r="34013" spans="1:38">
      <c r="A34013" s="182"/>
    </row>
    <row r="34014" spans="1:38">
      <c r="A34014" s="182"/>
    </row>
    <row r="34015" spans="1:38">
      <c r="A34015" s="182"/>
    </row>
    <row r="34016" spans="1:38">
      <c r="A34016" s="182"/>
    </row>
    <row r="34017" spans="1:38">
      <c r="A34017" s="182"/>
    </row>
    <row r="34018" spans="1:38">
      <c r="A34018" s="182"/>
    </row>
    <row r="34019" spans="1:38">
      <c r="A34019" s="182"/>
    </row>
    <row r="34020" spans="1:38">
      <c r="A34020" s="182"/>
    </row>
    <row r="34021" spans="1:38">
      <c r="A34021" s="182"/>
      <c r="AK34021" s="183"/>
      <c r="AL34021" s="183"/>
    </row>
    <row r="34022" spans="1:38">
      <c r="A34022" s="182"/>
      <c r="AJ34022" s="183"/>
      <c r="AK34022" s="183"/>
      <c r="AL34022" s="183"/>
    </row>
    <row r="34023" spans="1:38">
      <c r="A34023" s="182"/>
      <c r="AJ34023" s="183"/>
      <c r="AK34023" s="183"/>
      <c r="AL34023" s="183"/>
    </row>
    <row r="34024" spans="1:38">
      <c r="A34024" s="182"/>
      <c r="AJ34024" s="183"/>
      <c r="AK34024" s="183"/>
      <c r="AL34024" s="183"/>
    </row>
    <row r="34025" spans="1:38">
      <c r="A34025" s="182"/>
      <c r="AJ34025" s="183"/>
    </row>
    <row r="34026" spans="1:38">
      <c r="A34026" s="182"/>
    </row>
    <row r="34027" spans="1:38">
      <c r="A34027" s="182"/>
    </row>
    <row r="34028" spans="1:38">
      <c r="A34028" s="182"/>
    </row>
    <row r="34029" spans="1:38">
      <c r="A34029" s="182"/>
    </row>
    <row r="34030" spans="1:38">
      <c r="A34030" s="182"/>
    </row>
    <row r="34031" spans="1:38">
      <c r="A34031" s="182"/>
    </row>
    <row r="34032" spans="1:38">
      <c r="A34032" s="182"/>
    </row>
    <row r="34033" spans="1:15">
      <c r="A34033" s="182"/>
    </row>
    <row r="34034" spans="1:15">
      <c r="A34034" s="182"/>
    </row>
    <row r="34035" spans="1:15">
      <c r="A34035" s="182"/>
    </row>
    <row r="34036" spans="1:15">
      <c r="A34036" s="182"/>
    </row>
    <row r="34037" spans="1:15">
      <c r="A34037" s="182"/>
    </row>
    <row r="34038" spans="1:15">
      <c r="A34038" s="182"/>
    </row>
    <row r="34039" spans="1:15">
      <c r="A34039" s="182"/>
    </row>
    <row r="34040" spans="1:15">
      <c r="A34040" s="182"/>
    </row>
    <row r="34041" spans="1:15">
      <c r="A34041" s="182"/>
    </row>
    <row r="34042" spans="1:15">
      <c r="A34042" s="182"/>
      <c r="M34042" s="183"/>
      <c r="N34042" s="183"/>
      <c r="O34042" s="183"/>
    </row>
    <row r="34043" spans="1:15">
      <c r="A34043" s="182"/>
      <c r="L34043" s="183"/>
      <c r="M34043" s="183"/>
    </row>
    <row r="34044" spans="1:15">
      <c r="A34044" s="182"/>
    </row>
    <row r="34045" spans="1:15">
      <c r="A34045" s="182"/>
    </row>
    <row r="34046" spans="1:15">
      <c r="A34046" s="182"/>
    </row>
    <row r="34047" spans="1:15">
      <c r="A34047" s="182"/>
    </row>
    <row r="34048" spans="1:15">
      <c r="A34048" s="182"/>
    </row>
    <row r="34049" spans="1:14">
      <c r="A34049" s="182"/>
    </row>
    <row r="34050" spans="1:14">
      <c r="A34050" s="182"/>
    </row>
    <row r="34051" spans="1:14">
      <c r="A34051" s="182"/>
      <c r="M34051" s="183"/>
      <c r="N34051" s="183"/>
    </row>
    <row r="34052" spans="1:14">
      <c r="A34052" s="182"/>
      <c r="L34052" s="183"/>
    </row>
    <row r="34053" spans="1:14">
      <c r="A34053" s="182"/>
    </row>
    <row r="34054" spans="1:14">
      <c r="A34054" s="182"/>
      <c r="M34054" s="183"/>
      <c r="N34054" s="183"/>
    </row>
    <row r="34055" spans="1:14">
      <c r="A34055" s="182"/>
      <c r="L34055" s="183"/>
    </row>
    <row r="34056" spans="1:14">
      <c r="A34056" s="182"/>
    </row>
    <row r="34057" spans="1:14">
      <c r="A34057" s="182"/>
    </row>
    <row r="34058" spans="1:14">
      <c r="A34058" s="182"/>
    </row>
    <row r="34059" spans="1:14">
      <c r="A34059" s="182"/>
    </row>
    <row r="34060" spans="1:14">
      <c r="A34060" s="182"/>
    </row>
    <row r="34061" spans="1:14">
      <c r="A34061" s="182"/>
    </row>
    <row r="34062" spans="1:14">
      <c r="A34062" s="182"/>
      <c r="M34062" s="183"/>
      <c r="N34062" s="183"/>
    </row>
    <row r="34063" spans="1:14">
      <c r="A34063" s="182"/>
      <c r="L34063" s="183"/>
    </row>
    <row r="34064" spans="1:14">
      <c r="A34064" s="182"/>
    </row>
    <row r="34065" spans="1:15">
      <c r="A34065" s="182"/>
    </row>
    <row r="34066" spans="1:15">
      <c r="A34066" s="182"/>
      <c r="M34066" s="183"/>
      <c r="N34066" s="183"/>
      <c r="O34066" s="183"/>
    </row>
    <row r="34067" spans="1:15">
      <c r="A34067" s="182"/>
      <c r="L34067" s="183"/>
      <c r="M34067" s="183"/>
    </row>
    <row r="34068" spans="1:15">
      <c r="A34068" s="182"/>
    </row>
    <row r="34069" spans="1:15">
      <c r="A34069" s="182"/>
    </row>
    <row r="34070" spans="1:15">
      <c r="A34070" s="182"/>
      <c r="M34070" s="183"/>
      <c r="N34070" s="183"/>
      <c r="O34070" s="183"/>
    </row>
    <row r="34071" spans="1:15">
      <c r="A34071" s="182"/>
      <c r="L34071" s="183"/>
      <c r="M34071" s="183"/>
    </row>
    <row r="34072" spans="1:15">
      <c r="A34072" s="182"/>
    </row>
    <row r="34073" spans="1:15">
      <c r="A34073" s="182"/>
    </row>
    <row r="34074" spans="1:15">
      <c r="A34074" s="182"/>
    </row>
    <row r="34075" spans="1:15">
      <c r="A34075" s="182"/>
    </row>
    <row r="34076" spans="1:15">
      <c r="A34076" s="182"/>
    </row>
    <row r="34077" spans="1:15">
      <c r="A34077" s="182"/>
    </row>
    <row r="34078" spans="1:15">
      <c r="A34078" s="182"/>
      <c r="M34078" s="183"/>
      <c r="N34078" s="183"/>
    </row>
    <row r="34079" spans="1:15">
      <c r="A34079" s="182"/>
      <c r="L34079" s="183"/>
    </row>
    <row r="34080" spans="1:15">
      <c r="A34080" s="182"/>
    </row>
    <row r="34081" spans="1:38">
      <c r="A34081" s="182"/>
      <c r="AK34081" s="183"/>
      <c r="AL34081" s="183"/>
    </row>
    <row r="34082" spans="1:38">
      <c r="A34082" s="182"/>
      <c r="AJ34082" s="183"/>
      <c r="AK34082" s="183"/>
      <c r="AL34082" s="183"/>
    </row>
    <row r="34083" spans="1:38">
      <c r="A34083" s="182"/>
      <c r="AJ34083" s="183"/>
      <c r="AK34083" s="183"/>
      <c r="AL34083" s="183"/>
    </row>
    <row r="34084" spans="1:38">
      <c r="A34084" s="182"/>
      <c r="AJ34084" s="183"/>
      <c r="AK34084" s="183"/>
      <c r="AL34084" s="183"/>
    </row>
    <row r="34085" spans="1:38">
      <c r="A34085" s="182"/>
      <c r="AJ34085" s="183"/>
      <c r="AK34085" s="183"/>
      <c r="AL34085" s="183"/>
    </row>
    <row r="34086" spans="1:38">
      <c r="A34086" s="182"/>
      <c r="AJ34086" s="183"/>
      <c r="AK34086" s="183"/>
      <c r="AL34086" s="183"/>
    </row>
    <row r="34087" spans="1:38">
      <c r="A34087" s="182"/>
      <c r="AJ34087" s="183"/>
      <c r="AK34087" s="183"/>
      <c r="AL34087" s="183"/>
    </row>
    <row r="34088" spans="1:38">
      <c r="A34088" s="182"/>
      <c r="AJ34088" s="183"/>
      <c r="AK34088" s="183"/>
      <c r="AL34088" s="183"/>
    </row>
    <row r="34089" spans="1:38">
      <c r="A34089" s="182"/>
      <c r="AJ34089" s="183"/>
    </row>
    <row r="34090" spans="1:38">
      <c r="A34090" s="182"/>
    </row>
    <row r="34091" spans="1:38">
      <c r="A34091" s="182"/>
    </row>
    <row r="34092" spans="1:38">
      <c r="A34092" s="182"/>
    </row>
    <row r="34093" spans="1:38">
      <c r="A34093" s="182"/>
      <c r="AK34093" s="183"/>
      <c r="AL34093" s="183"/>
    </row>
    <row r="34094" spans="1:38">
      <c r="A34094" s="182"/>
      <c r="AJ34094" s="183"/>
      <c r="AK34094" s="183"/>
      <c r="AL34094" s="183"/>
    </row>
    <row r="34095" spans="1:38">
      <c r="A34095" s="182"/>
      <c r="AJ34095" s="183"/>
      <c r="AK34095" s="183"/>
      <c r="AL34095" s="183"/>
    </row>
    <row r="34096" spans="1:38">
      <c r="A34096" s="182"/>
      <c r="AJ34096" s="183"/>
      <c r="AK34096" s="183"/>
      <c r="AL34096" s="183"/>
    </row>
    <row r="34097" spans="1:38">
      <c r="A34097" s="182"/>
      <c r="AJ34097" s="183"/>
      <c r="AK34097" s="183"/>
      <c r="AL34097" s="183"/>
    </row>
    <row r="34098" spans="1:38">
      <c r="A34098" s="182"/>
      <c r="AJ34098" s="183"/>
      <c r="AK34098" s="183"/>
      <c r="AL34098" s="183"/>
    </row>
    <row r="34099" spans="1:38">
      <c r="A34099" s="182"/>
      <c r="AJ34099" s="183"/>
      <c r="AK34099" s="183"/>
      <c r="AL34099" s="183"/>
    </row>
    <row r="34100" spans="1:38">
      <c r="A34100" s="182"/>
      <c r="AJ34100" s="183"/>
      <c r="AK34100" s="183"/>
      <c r="AL34100" s="183"/>
    </row>
    <row r="34101" spans="1:38">
      <c r="A34101" s="182"/>
      <c r="AJ34101" s="183"/>
    </row>
    <row r="34102" spans="1:38">
      <c r="A34102" s="182"/>
    </row>
    <row r="34103" spans="1:38">
      <c r="A34103" s="182"/>
    </row>
    <row r="34104" spans="1:38">
      <c r="A34104" s="182"/>
    </row>
    <row r="34105" spans="1:38">
      <c r="A34105" s="182"/>
    </row>
    <row r="34106" spans="1:38">
      <c r="A34106" s="182"/>
    </row>
    <row r="34107" spans="1:38">
      <c r="A34107" s="182"/>
    </row>
    <row r="34108" spans="1:38">
      <c r="A34108" s="182"/>
    </row>
    <row r="34109" spans="1:38">
      <c r="A34109" s="182"/>
    </row>
    <row r="34110" spans="1:38">
      <c r="A34110" s="182"/>
    </row>
    <row r="34111" spans="1:38">
      <c r="A34111" s="182"/>
    </row>
    <row r="34112" spans="1:38">
      <c r="A34112" s="182"/>
    </row>
    <row r="34113" spans="1:38">
      <c r="A34113" s="182"/>
    </row>
    <row r="34114" spans="1:38">
      <c r="A34114" s="182"/>
    </row>
    <row r="34115" spans="1:38">
      <c r="A34115" s="182"/>
    </row>
    <row r="34116" spans="1:38">
      <c r="A34116" s="182"/>
    </row>
    <row r="34117" spans="1:38">
      <c r="A34117" s="182"/>
    </row>
    <row r="34118" spans="1:38">
      <c r="A34118" s="182"/>
    </row>
    <row r="34119" spans="1:38">
      <c r="A34119" s="182"/>
    </row>
    <row r="34120" spans="1:38">
      <c r="A34120" s="182"/>
    </row>
    <row r="34121" spans="1:38">
      <c r="A34121" s="182"/>
    </row>
    <row r="34122" spans="1:38">
      <c r="A34122" s="182"/>
    </row>
    <row r="34123" spans="1:38">
      <c r="A34123" s="182"/>
    </row>
    <row r="34124" spans="1:38">
      <c r="A34124" s="182"/>
    </row>
    <row r="34125" spans="1:38">
      <c r="A34125" s="182"/>
      <c r="AK34125" s="183"/>
      <c r="AL34125" s="183"/>
    </row>
    <row r="34126" spans="1:38">
      <c r="A34126" s="182"/>
      <c r="AJ34126" s="183"/>
      <c r="AK34126" s="183"/>
      <c r="AL34126" s="183"/>
    </row>
    <row r="34127" spans="1:38">
      <c r="A34127" s="182"/>
      <c r="AJ34127" s="183"/>
      <c r="AK34127" s="183"/>
      <c r="AL34127" s="183"/>
    </row>
    <row r="34128" spans="1:38">
      <c r="A34128" s="182"/>
      <c r="AJ34128" s="183"/>
      <c r="AK34128" s="183"/>
      <c r="AL34128" s="183"/>
    </row>
    <row r="34129" spans="1:38">
      <c r="A34129" s="182"/>
      <c r="AJ34129" s="183"/>
    </row>
    <row r="34130" spans="1:38">
      <c r="A34130" s="182"/>
    </row>
    <row r="34131" spans="1:38">
      <c r="A34131" s="182"/>
    </row>
    <row r="34132" spans="1:38">
      <c r="A34132" s="182"/>
    </row>
    <row r="34133" spans="1:38">
      <c r="A34133" s="182"/>
    </row>
    <row r="34134" spans="1:38">
      <c r="A34134" s="182"/>
    </row>
    <row r="34135" spans="1:38">
      <c r="A34135" s="182"/>
    </row>
    <row r="34136" spans="1:38">
      <c r="A34136" s="182"/>
    </row>
    <row r="34137" spans="1:38">
      <c r="A34137" s="182"/>
      <c r="AK34137" s="183"/>
      <c r="AL34137" s="183"/>
    </row>
    <row r="34138" spans="1:38">
      <c r="A34138" s="182"/>
      <c r="AJ34138" s="183"/>
      <c r="AK34138" s="183"/>
      <c r="AL34138" s="183"/>
    </row>
    <row r="34139" spans="1:38">
      <c r="A34139" s="182"/>
      <c r="AJ34139" s="183"/>
      <c r="AK34139" s="183"/>
      <c r="AL34139" s="183"/>
    </row>
    <row r="34140" spans="1:38">
      <c r="A34140" s="182"/>
      <c r="AJ34140" s="183"/>
      <c r="AK34140" s="183"/>
      <c r="AL34140" s="183"/>
    </row>
    <row r="34141" spans="1:38">
      <c r="A34141" s="182"/>
      <c r="AJ34141" s="183"/>
      <c r="AK34141" s="183"/>
      <c r="AL34141" s="183"/>
    </row>
    <row r="34142" spans="1:38">
      <c r="A34142" s="182"/>
      <c r="AJ34142" s="183"/>
      <c r="AK34142" s="183"/>
      <c r="AL34142" s="183"/>
    </row>
    <row r="34143" spans="1:38">
      <c r="A34143" s="182"/>
      <c r="AJ34143" s="183"/>
      <c r="AK34143" s="183"/>
      <c r="AL34143" s="183"/>
    </row>
    <row r="34144" spans="1:38">
      <c r="A34144" s="182"/>
      <c r="AJ34144" s="183"/>
      <c r="AK34144" s="183"/>
      <c r="AL34144" s="183"/>
    </row>
    <row r="34145" spans="1:38">
      <c r="A34145" s="182"/>
      <c r="AJ34145" s="183"/>
    </row>
    <row r="34146" spans="1:38">
      <c r="A34146" s="182"/>
    </row>
    <row r="34147" spans="1:38">
      <c r="A34147" s="182"/>
    </row>
    <row r="34148" spans="1:38">
      <c r="A34148" s="182"/>
    </row>
    <row r="34149" spans="1:38">
      <c r="A34149" s="182"/>
      <c r="AK34149" s="183"/>
      <c r="AL34149" s="183"/>
    </row>
    <row r="34150" spans="1:38">
      <c r="A34150" s="182"/>
      <c r="AJ34150" s="183"/>
      <c r="AK34150" s="183"/>
      <c r="AL34150" s="183"/>
    </row>
    <row r="34151" spans="1:38">
      <c r="A34151" s="182"/>
      <c r="AJ34151" s="183"/>
      <c r="AK34151" s="183"/>
      <c r="AL34151" s="183"/>
    </row>
    <row r="34152" spans="1:38">
      <c r="A34152" s="182"/>
      <c r="AJ34152" s="183"/>
      <c r="AK34152" s="183"/>
      <c r="AL34152" s="183"/>
    </row>
    <row r="34153" spans="1:38">
      <c r="A34153" s="182"/>
      <c r="AJ34153" s="183"/>
    </row>
    <row r="34154" spans="1:38">
      <c r="A34154" s="182"/>
    </row>
    <row r="34155" spans="1:38">
      <c r="A34155" s="182"/>
    </row>
    <row r="34156" spans="1:38">
      <c r="A34156" s="182"/>
    </row>
    <row r="34157" spans="1:38">
      <c r="A34157" s="182"/>
    </row>
    <row r="34158" spans="1:38">
      <c r="A34158" s="182"/>
    </row>
    <row r="34159" spans="1:38">
      <c r="A34159" s="182"/>
    </row>
    <row r="34160" spans="1:38">
      <c r="A34160" s="182"/>
    </row>
    <row r="34161" spans="1:38">
      <c r="A34161" s="182"/>
    </row>
    <row r="34162" spans="1:38">
      <c r="A34162" s="182"/>
    </row>
    <row r="34163" spans="1:38">
      <c r="A34163" s="182"/>
    </row>
    <row r="34164" spans="1:38">
      <c r="A34164" s="182"/>
    </row>
    <row r="34165" spans="1:38">
      <c r="A34165" s="182"/>
    </row>
    <row r="34166" spans="1:38">
      <c r="A34166" s="182"/>
    </row>
    <row r="34167" spans="1:38">
      <c r="A34167" s="182"/>
    </row>
    <row r="34168" spans="1:38">
      <c r="A34168" s="182"/>
    </row>
    <row r="34169" spans="1:38">
      <c r="A34169" s="182"/>
      <c r="AK34169" s="183"/>
      <c r="AL34169" s="183"/>
    </row>
    <row r="34170" spans="1:38">
      <c r="A34170" s="182"/>
      <c r="AJ34170" s="183"/>
      <c r="AK34170" s="183"/>
      <c r="AL34170" s="183"/>
    </row>
    <row r="34171" spans="1:38">
      <c r="A34171" s="182"/>
      <c r="AJ34171" s="183"/>
      <c r="AK34171" s="183"/>
      <c r="AL34171" s="183"/>
    </row>
    <row r="34172" spans="1:38">
      <c r="A34172" s="182"/>
      <c r="AJ34172" s="183"/>
      <c r="AK34172" s="183"/>
      <c r="AL34172" s="183"/>
    </row>
    <row r="34173" spans="1:38">
      <c r="A34173" s="182"/>
      <c r="AJ34173" s="183"/>
    </row>
    <row r="34174" spans="1:38">
      <c r="A34174" s="182"/>
    </row>
    <row r="34175" spans="1:38">
      <c r="A34175" s="182"/>
    </row>
    <row r="34176" spans="1:38">
      <c r="A34176" s="182"/>
    </row>
    <row r="34177" spans="1:38">
      <c r="A34177" s="182"/>
    </row>
    <row r="34178" spans="1:38">
      <c r="A34178" s="182"/>
    </row>
    <row r="34179" spans="1:38">
      <c r="A34179" s="182"/>
    </row>
    <row r="34180" spans="1:38">
      <c r="A34180" s="182"/>
    </row>
    <row r="34181" spans="1:38">
      <c r="A34181" s="182"/>
      <c r="AK34181" s="183"/>
      <c r="AL34181" s="183"/>
    </row>
    <row r="34182" spans="1:38">
      <c r="A34182" s="182"/>
      <c r="AJ34182" s="183"/>
      <c r="AK34182" s="183"/>
      <c r="AL34182" s="183"/>
    </row>
    <row r="34183" spans="1:38">
      <c r="A34183" s="182"/>
      <c r="AJ34183" s="183"/>
      <c r="AK34183" s="183"/>
      <c r="AL34183" s="183"/>
    </row>
    <row r="34184" spans="1:38">
      <c r="A34184" s="182"/>
      <c r="AJ34184" s="183"/>
      <c r="AK34184" s="183"/>
      <c r="AL34184" s="183"/>
    </row>
    <row r="34185" spans="1:38">
      <c r="A34185" s="182"/>
      <c r="AJ34185" s="183"/>
      <c r="AK34185" s="183"/>
      <c r="AL34185" s="183"/>
    </row>
    <row r="34186" spans="1:38">
      <c r="A34186" s="182"/>
      <c r="AJ34186" s="183"/>
      <c r="AK34186" s="183"/>
      <c r="AL34186" s="183"/>
    </row>
    <row r="34187" spans="1:38">
      <c r="A34187" s="182"/>
      <c r="AJ34187" s="183"/>
      <c r="AK34187" s="183"/>
      <c r="AL34187" s="183"/>
    </row>
    <row r="34188" spans="1:38">
      <c r="A34188" s="182"/>
      <c r="AJ34188" s="183"/>
      <c r="AK34188" s="183"/>
      <c r="AL34188" s="183"/>
    </row>
    <row r="34189" spans="1:38">
      <c r="A34189" s="182"/>
      <c r="AJ34189" s="183"/>
      <c r="AK34189" s="183"/>
      <c r="AL34189" s="183"/>
    </row>
    <row r="34190" spans="1:38">
      <c r="A34190" s="182"/>
      <c r="AJ34190" s="183"/>
      <c r="AK34190" s="183"/>
      <c r="AL34190" s="183"/>
    </row>
    <row r="34191" spans="1:38">
      <c r="A34191" s="182"/>
      <c r="AJ34191" s="183"/>
      <c r="AK34191" s="183"/>
      <c r="AL34191" s="183"/>
    </row>
    <row r="34192" spans="1:38">
      <c r="A34192" s="182"/>
      <c r="AJ34192" s="183"/>
      <c r="AK34192" s="183"/>
      <c r="AL34192" s="183"/>
    </row>
    <row r="34193" spans="1:38">
      <c r="A34193" s="182"/>
      <c r="AJ34193" s="183"/>
      <c r="AK34193" s="183"/>
      <c r="AL34193" s="183"/>
    </row>
    <row r="34194" spans="1:38">
      <c r="A34194" s="182"/>
      <c r="AJ34194" s="183"/>
      <c r="AK34194" s="183"/>
      <c r="AL34194" s="183"/>
    </row>
    <row r="34195" spans="1:38">
      <c r="A34195" s="182"/>
      <c r="AJ34195" s="183"/>
      <c r="AK34195" s="183"/>
      <c r="AL34195" s="183"/>
    </row>
    <row r="34196" spans="1:38">
      <c r="A34196" s="182"/>
      <c r="AJ34196" s="183"/>
      <c r="AK34196" s="183"/>
      <c r="AL34196" s="183"/>
    </row>
    <row r="34197" spans="1:38">
      <c r="A34197" s="182"/>
      <c r="AJ34197" s="183"/>
    </row>
    <row r="34198" spans="1:38">
      <c r="A34198" s="182"/>
    </row>
    <row r="34199" spans="1:38">
      <c r="A34199" s="182"/>
    </row>
    <row r="34200" spans="1:38">
      <c r="A34200" s="182"/>
    </row>
    <row r="34201" spans="1:38">
      <c r="A34201" s="182"/>
    </row>
    <row r="34202" spans="1:38">
      <c r="A34202" s="182"/>
    </row>
    <row r="34203" spans="1:38">
      <c r="A34203" s="182"/>
    </row>
    <row r="34204" spans="1:38">
      <c r="A34204" s="182"/>
    </row>
    <row r="34205" spans="1:38">
      <c r="A34205" s="182"/>
    </row>
    <row r="34206" spans="1:38">
      <c r="A34206" s="182"/>
    </row>
    <row r="34207" spans="1:38">
      <c r="A34207" s="182"/>
    </row>
    <row r="34208" spans="1:38">
      <c r="A34208" s="182"/>
    </row>
    <row r="34209" spans="1:1">
      <c r="A34209" s="182"/>
    </row>
    <row r="34210" spans="1:1">
      <c r="A34210" s="182"/>
    </row>
    <row r="34211" spans="1:1">
      <c r="A34211" s="182"/>
    </row>
    <row r="34212" spans="1:1">
      <c r="A34212" s="182"/>
    </row>
    <row r="34213" spans="1:1">
      <c r="A34213" s="182"/>
    </row>
    <row r="34214" spans="1:1">
      <c r="A34214" s="182"/>
    </row>
    <row r="34215" spans="1:1">
      <c r="A34215" s="182"/>
    </row>
    <row r="34216" spans="1:1">
      <c r="A34216" s="182"/>
    </row>
    <row r="34217" spans="1:1">
      <c r="A34217" s="182"/>
    </row>
    <row r="34218" spans="1:1">
      <c r="A34218" s="182"/>
    </row>
    <row r="34219" spans="1:1">
      <c r="A34219" s="182"/>
    </row>
    <row r="34220" spans="1:1">
      <c r="A34220" s="182"/>
    </row>
    <row r="34221" spans="1:1">
      <c r="A34221" s="182"/>
    </row>
    <row r="34222" spans="1:1">
      <c r="A34222" s="182"/>
    </row>
    <row r="34223" spans="1:1">
      <c r="A34223" s="182"/>
    </row>
    <row r="34224" spans="1:1">
      <c r="A34224" s="182"/>
    </row>
    <row r="34225" spans="1:1">
      <c r="A34225" s="182"/>
    </row>
    <row r="34226" spans="1:1">
      <c r="A34226" s="182"/>
    </row>
    <row r="34227" spans="1:1">
      <c r="A34227" s="182"/>
    </row>
    <row r="34228" spans="1:1">
      <c r="A34228" s="182"/>
    </row>
    <row r="34229" spans="1:1">
      <c r="A34229" s="182"/>
    </row>
    <row r="34230" spans="1:1">
      <c r="A34230" s="182"/>
    </row>
    <row r="34231" spans="1:1">
      <c r="A34231" s="182"/>
    </row>
    <row r="34232" spans="1:1">
      <c r="A34232" s="182"/>
    </row>
    <row r="34233" spans="1:1">
      <c r="A34233" s="182"/>
    </row>
    <row r="34234" spans="1:1">
      <c r="A34234" s="182"/>
    </row>
    <row r="34235" spans="1:1">
      <c r="A34235" s="182"/>
    </row>
    <row r="34236" spans="1:1">
      <c r="A34236" s="182"/>
    </row>
    <row r="34237" spans="1:1">
      <c r="A34237" s="182"/>
    </row>
    <row r="34238" spans="1:1">
      <c r="A34238" s="182"/>
    </row>
    <row r="34239" spans="1:1">
      <c r="A34239" s="182"/>
    </row>
    <row r="34240" spans="1:1">
      <c r="A34240" s="182"/>
    </row>
    <row r="34241" spans="1:38">
      <c r="A34241" s="182"/>
      <c r="AK34241" s="183"/>
      <c r="AL34241" s="183"/>
    </row>
    <row r="34242" spans="1:38">
      <c r="A34242" s="182"/>
      <c r="AJ34242" s="183"/>
      <c r="AK34242" s="183"/>
      <c r="AL34242" s="183"/>
    </row>
    <row r="34243" spans="1:38">
      <c r="A34243" s="182"/>
      <c r="AJ34243" s="183"/>
      <c r="AK34243" s="183"/>
      <c r="AL34243" s="183"/>
    </row>
    <row r="34244" spans="1:38">
      <c r="A34244" s="182"/>
      <c r="AJ34244" s="183"/>
      <c r="AK34244" s="183"/>
      <c r="AL34244" s="183"/>
    </row>
    <row r="34245" spans="1:38">
      <c r="A34245" s="182"/>
      <c r="AJ34245" s="183"/>
      <c r="AK34245" s="183"/>
      <c r="AL34245" s="183"/>
    </row>
    <row r="34246" spans="1:38">
      <c r="A34246" s="182"/>
      <c r="AJ34246" s="183"/>
      <c r="AK34246" s="183"/>
      <c r="AL34246" s="183"/>
    </row>
    <row r="34247" spans="1:38">
      <c r="A34247" s="182"/>
      <c r="AJ34247" s="183"/>
      <c r="AK34247" s="183"/>
      <c r="AL34247" s="183"/>
    </row>
    <row r="34248" spans="1:38">
      <c r="A34248" s="182"/>
      <c r="AJ34248" s="183"/>
      <c r="AK34248" s="183"/>
      <c r="AL34248" s="183"/>
    </row>
    <row r="34249" spans="1:38">
      <c r="A34249" s="182"/>
      <c r="AJ34249" s="183"/>
    </row>
    <row r="34250" spans="1:38">
      <c r="A34250" s="182"/>
    </row>
    <row r="34251" spans="1:38">
      <c r="A34251" s="182"/>
    </row>
    <row r="34252" spans="1:38">
      <c r="A34252" s="182"/>
    </row>
    <row r="34253" spans="1:38">
      <c r="A34253" s="182"/>
    </row>
    <row r="34254" spans="1:38">
      <c r="A34254" s="182"/>
    </row>
    <row r="34255" spans="1:38">
      <c r="A34255" s="182"/>
    </row>
    <row r="34256" spans="1:38">
      <c r="A34256" s="182"/>
    </row>
    <row r="34257" spans="1:38">
      <c r="A34257" s="182"/>
      <c r="AK34257" s="183"/>
      <c r="AL34257" s="183"/>
    </row>
    <row r="34258" spans="1:38">
      <c r="A34258" s="182"/>
      <c r="AJ34258" s="183"/>
      <c r="AK34258" s="183"/>
      <c r="AL34258" s="183"/>
    </row>
    <row r="34259" spans="1:38">
      <c r="A34259" s="182"/>
      <c r="AJ34259" s="183"/>
      <c r="AK34259" s="183"/>
      <c r="AL34259" s="183"/>
    </row>
    <row r="34260" spans="1:38">
      <c r="A34260" s="182"/>
      <c r="AJ34260" s="183"/>
      <c r="AK34260" s="183"/>
      <c r="AL34260" s="183"/>
    </row>
    <row r="34261" spans="1:38">
      <c r="A34261" s="182"/>
      <c r="AJ34261" s="183"/>
    </row>
    <row r="34262" spans="1:38">
      <c r="A34262" s="182"/>
    </row>
    <row r="34263" spans="1:38">
      <c r="A34263" s="182"/>
    </row>
    <row r="34264" spans="1:38">
      <c r="A34264" s="182"/>
    </row>
    <row r="34265" spans="1:38">
      <c r="A34265" s="182"/>
      <c r="AK34265" s="183"/>
      <c r="AL34265" s="183"/>
    </row>
    <row r="34266" spans="1:38">
      <c r="A34266" s="182"/>
      <c r="AJ34266" s="183"/>
      <c r="AK34266" s="183"/>
      <c r="AL34266" s="183"/>
    </row>
    <row r="34267" spans="1:38">
      <c r="A34267" s="182"/>
      <c r="AJ34267" s="183"/>
      <c r="AK34267" s="183"/>
      <c r="AL34267" s="183"/>
    </row>
    <row r="34268" spans="1:38">
      <c r="A34268" s="182"/>
      <c r="AJ34268" s="183"/>
      <c r="AK34268" s="183"/>
      <c r="AL34268" s="183"/>
    </row>
    <row r="34269" spans="1:38">
      <c r="A34269" s="182"/>
      <c r="AJ34269" s="183"/>
    </row>
    <row r="34270" spans="1:38">
      <c r="A34270" s="182"/>
    </row>
    <row r="34271" spans="1:38">
      <c r="A34271" s="182"/>
    </row>
    <row r="34272" spans="1:38">
      <c r="A34272" s="182"/>
    </row>
    <row r="34273" spans="1:38">
      <c r="A34273" s="182"/>
    </row>
    <row r="34274" spans="1:38">
      <c r="A34274" s="182"/>
    </row>
    <row r="34275" spans="1:38">
      <c r="A34275" s="182"/>
    </row>
    <row r="34276" spans="1:38">
      <c r="A34276" s="182"/>
    </row>
    <row r="34277" spans="1:38">
      <c r="A34277" s="182"/>
      <c r="AK34277" s="183"/>
      <c r="AL34277" s="183"/>
    </row>
    <row r="34278" spans="1:38">
      <c r="A34278" s="182"/>
      <c r="AJ34278" s="183"/>
      <c r="AK34278" s="183"/>
      <c r="AL34278" s="183"/>
    </row>
    <row r="34279" spans="1:38">
      <c r="A34279" s="182"/>
      <c r="AJ34279" s="183"/>
      <c r="AK34279" s="183"/>
      <c r="AL34279" s="183"/>
    </row>
    <row r="34280" spans="1:38">
      <c r="A34280" s="182"/>
      <c r="AJ34280" s="183"/>
      <c r="AK34280" s="183"/>
      <c r="AL34280" s="183"/>
    </row>
    <row r="34281" spans="1:38">
      <c r="A34281" s="182"/>
      <c r="AJ34281" s="183"/>
    </row>
    <row r="34282" spans="1:38">
      <c r="A34282" s="182"/>
    </row>
    <row r="34283" spans="1:38">
      <c r="A34283" s="182"/>
    </row>
    <row r="34284" spans="1:38">
      <c r="A34284" s="182"/>
    </row>
    <row r="34285" spans="1:38">
      <c r="A34285" s="182"/>
    </row>
    <row r="34286" spans="1:38">
      <c r="A34286" s="182"/>
    </row>
    <row r="34287" spans="1:38">
      <c r="A34287" s="182"/>
    </row>
    <row r="34288" spans="1:38">
      <c r="A34288" s="182"/>
    </row>
    <row r="34289" spans="1:38">
      <c r="A34289" s="182"/>
    </row>
    <row r="34290" spans="1:38">
      <c r="A34290" s="182"/>
    </row>
    <row r="34291" spans="1:38">
      <c r="A34291" s="182"/>
    </row>
    <row r="34292" spans="1:38">
      <c r="A34292" s="182"/>
    </row>
    <row r="34293" spans="1:38">
      <c r="A34293" s="182"/>
    </row>
    <row r="34294" spans="1:38">
      <c r="A34294" s="182"/>
    </row>
    <row r="34295" spans="1:38">
      <c r="A34295" s="182"/>
    </row>
    <row r="34296" spans="1:38">
      <c r="A34296" s="182"/>
    </row>
    <row r="34297" spans="1:38">
      <c r="A34297" s="182"/>
      <c r="AK34297" s="183"/>
      <c r="AL34297" s="183"/>
    </row>
    <row r="34298" spans="1:38">
      <c r="A34298" s="182"/>
      <c r="AJ34298" s="183"/>
      <c r="AK34298" s="183"/>
      <c r="AL34298" s="183"/>
    </row>
    <row r="34299" spans="1:38">
      <c r="A34299" s="182"/>
      <c r="AJ34299" s="183"/>
      <c r="AK34299" s="183"/>
      <c r="AL34299" s="183"/>
    </row>
    <row r="34300" spans="1:38">
      <c r="A34300" s="182"/>
      <c r="AJ34300" s="183"/>
      <c r="AK34300" s="183"/>
      <c r="AL34300" s="183"/>
    </row>
    <row r="34301" spans="1:38">
      <c r="A34301" s="182"/>
      <c r="AJ34301" s="183"/>
    </row>
    <row r="34302" spans="1:38">
      <c r="A34302" s="182"/>
    </row>
    <row r="34303" spans="1:38">
      <c r="A34303" s="182"/>
    </row>
    <row r="34304" spans="1:38">
      <c r="A34304" s="182"/>
    </row>
    <row r="34305" spans="1:1">
      <c r="A34305" s="182"/>
    </row>
    <row r="34306" spans="1:1">
      <c r="A34306" s="182"/>
    </row>
    <row r="34307" spans="1:1">
      <c r="A34307" s="182"/>
    </row>
    <row r="34308" spans="1:1">
      <c r="A34308" s="182"/>
    </row>
    <row r="34309" spans="1:1">
      <c r="A34309" s="182"/>
    </row>
    <row r="34310" spans="1:1">
      <c r="A34310" s="182"/>
    </row>
    <row r="34311" spans="1:1">
      <c r="A34311" s="182"/>
    </row>
    <row r="34312" spans="1:1">
      <c r="A34312" s="182"/>
    </row>
    <row r="34313" spans="1:1">
      <c r="A34313" s="182"/>
    </row>
    <row r="34314" spans="1:1">
      <c r="A34314" s="182"/>
    </row>
    <row r="34315" spans="1:1">
      <c r="A34315" s="182"/>
    </row>
    <row r="34316" spans="1:1">
      <c r="A34316" s="182"/>
    </row>
    <row r="34317" spans="1:1">
      <c r="A34317" s="182"/>
    </row>
    <row r="34318" spans="1:1">
      <c r="A34318" s="182"/>
    </row>
    <row r="34319" spans="1:1">
      <c r="A34319" s="182"/>
    </row>
    <row r="34320" spans="1:1">
      <c r="A34320" s="182"/>
    </row>
    <row r="34321" spans="1:1">
      <c r="A34321" s="182"/>
    </row>
    <row r="34322" spans="1:1">
      <c r="A34322" s="182"/>
    </row>
    <row r="34323" spans="1:1">
      <c r="A34323" s="182"/>
    </row>
    <row r="34324" spans="1:1">
      <c r="A34324" s="182"/>
    </row>
    <row r="34325" spans="1:1">
      <c r="A34325" s="182"/>
    </row>
    <row r="34326" spans="1:1">
      <c r="A34326" s="182"/>
    </row>
    <row r="34327" spans="1:1">
      <c r="A34327" s="182"/>
    </row>
    <row r="34328" spans="1:1">
      <c r="A34328" s="182"/>
    </row>
    <row r="34329" spans="1:1">
      <c r="A34329" s="182"/>
    </row>
    <row r="34330" spans="1:1">
      <c r="A34330" s="182"/>
    </row>
    <row r="34331" spans="1:1">
      <c r="A34331" s="182"/>
    </row>
    <row r="34332" spans="1:1">
      <c r="A34332" s="182"/>
    </row>
    <row r="34333" spans="1:1">
      <c r="A34333" s="182"/>
    </row>
    <row r="34334" spans="1:1">
      <c r="A34334" s="182"/>
    </row>
    <row r="34335" spans="1:1">
      <c r="A34335" s="182"/>
    </row>
    <row r="34336" spans="1:1">
      <c r="A34336" s="182"/>
    </row>
    <row r="34337" spans="1:38">
      <c r="A34337" s="182"/>
      <c r="AK34337" s="183"/>
      <c r="AL34337" s="183"/>
    </row>
    <row r="34338" spans="1:38">
      <c r="A34338" s="182"/>
      <c r="AJ34338" s="183"/>
      <c r="AK34338" s="183"/>
      <c r="AL34338" s="183"/>
    </row>
    <row r="34339" spans="1:38">
      <c r="A34339" s="182"/>
      <c r="AJ34339" s="183"/>
      <c r="AK34339" s="183"/>
      <c r="AL34339" s="183"/>
    </row>
    <row r="34340" spans="1:38">
      <c r="A34340" s="182"/>
      <c r="AJ34340" s="183"/>
      <c r="AK34340" s="183"/>
      <c r="AL34340" s="183"/>
    </row>
    <row r="34341" spans="1:38">
      <c r="A34341" s="182"/>
      <c r="AJ34341" s="183"/>
    </row>
    <row r="34342" spans="1:38">
      <c r="A34342" s="182"/>
    </row>
    <row r="34343" spans="1:38">
      <c r="A34343" s="182"/>
    </row>
    <row r="34344" spans="1:38">
      <c r="A34344" s="182"/>
    </row>
    <row r="34345" spans="1:38">
      <c r="A34345" s="182"/>
      <c r="AK34345" s="183"/>
      <c r="AL34345" s="183"/>
    </row>
    <row r="34346" spans="1:38">
      <c r="A34346" s="182"/>
      <c r="AJ34346" s="183"/>
      <c r="AK34346" s="183"/>
      <c r="AL34346" s="183"/>
    </row>
    <row r="34347" spans="1:38">
      <c r="A34347" s="182"/>
      <c r="AJ34347" s="183"/>
      <c r="AK34347" s="183"/>
      <c r="AL34347" s="183"/>
    </row>
    <row r="34348" spans="1:38">
      <c r="A34348" s="182"/>
      <c r="AJ34348" s="183"/>
      <c r="AK34348" s="183"/>
      <c r="AL34348" s="183"/>
    </row>
    <row r="34349" spans="1:38">
      <c r="A34349" s="182"/>
      <c r="AJ34349" s="183"/>
    </row>
    <row r="34350" spans="1:38">
      <c r="A34350" s="182"/>
    </row>
    <row r="34351" spans="1:38">
      <c r="A34351" s="182"/>
    </row>
    <row r="34352" spans="1:38">
      <c r="A34352" s="182"/>
    </row>
    <row r="34353" spans="1:1">
      <c r="A34353" s="182"/>
    </row>
    <row r="34354" spans="1:1">
      <c r="A34354" s="182"/>
    </row>
    <row r="34355" spans="1:1">
      <c r="A34355" s="182"/>
    </row>
    <row r="34356" spans="1:1">
      <c r="A34356" s="182"/>
    </row>
    <row r="34357" spans="1:1">
      <c r="A34357" s="182"/>
    </row>
    <row r="34358" spans="1:1">
      <c r="A34358" s="182"/>
    </row>
    <row r="34359" spans="1:1">
      <c r="A34359" s="182"/>
    </row>
    <row r="34360" spans="1:1">
      <c r="A34360" s="182"/>
    </row>
    <row r="34361" spans="1:1">
      <c r="A34361" s="182"/>
    </row>
    <row r="34362" spans="1:1">
      <c r="A34362" s="182"/>
    </row>
    <row r="34363" spans="1:1">
      <c r="A34363" s="182"/>
    </row>
    <row r="34364" spans="1:1">
      <c r="A34364" s="182"/>
    </row>
    <row r="34365" spans="1:1">
      <c r="A34365" s="182"/>
    </row>
    <row r="34366" spans="1:1">
      <c r="A34366" s="182"/>
    </row>
    <row r="34367" spans="1:1">
      <c r="A34367" s="182"/>
    </row>
    <row r="34368" spans="1:1">
      <c r="A34368" s="182"/>
    </row>
    <row r="34369" spans="1:1">
      <c r="A34369" s="182"/>
    </row>
    <row r="34370" spans="1:1">
      <c r="A34370" s="182"/>
    </row>
    <row r="34371" spans="1:1">
      <c r="A34371" s="182"/>
    </row>
    <row r="34372" spans="1:1">
      <c r="A34372" s="182"/>
    </row>
    <row r="34373" spans="1:1">
      <c r="A34373" s="182"/>
    </row>
    <row r="34374" spans="1:1">
      <c r="A34374" s="182"/>
    </row>
    <row r="34375" spans="1:1">
      <c r="A34375" s="182"/>
    </row>
    <row r="34376" spans="1:1">
      <c r="A34376" s="182"/>
    </row>
    <row r="34377" spans="1:1">
      <c r="A34377" s="182"/>
    </row>
    <row r="34378" spans="1:1">
      <c r="A34378" s="182"/>
    </row>
    <row r="34379" spans="1:1">
      <c r="A34379" s="182"/>
    </row>
    <row r="34380" spans="1:1">
      <c r="A34380" s="182"/>
    </row>
    <row r="34381" spans="1:1">
      <c r="A34381" s="182"/>
    </row>
    <row r="34382" spans="1:1">
      <c r="A34382" s="182"/>
    </row>
    <row r="34383" spans="1:1">
      <c r="A34383" s="182"/>
    </row>
    <row r="34384" spans="1:1">
      <c r="A34384" s="182"/>
    </row>
    <row r="34385" spans="1:1">
      <c r="A34385" s="182"/>
    </row>
    <row r="34386" spans="1:1">
      <c r="A34386" s="182"/>
    </row>
    <row r="34387" spans="1:1">
      <c r="A34387" s="182"/>
    </row>
    <row r="34388" spans="1:1">
      <c r="A34388" s="182"/>
    </row>
    <row r="34389" spans="1:1">
      <c r="A34389" s="182"/>
    </row>
    <row r="34390" spans="1:1">
      <c r="A34390" s="182"/>
    </row>
    <row r="34391" spans="1:1">
      <c r="A34391" s="182"/>
    </row>
    <row r="34392" spans="1:1">
      <c r="A34392" s="182"/>
    </row>
    <row r="34393" spans="1:1">
      <c r="A34393" s="182"/>
    </row>
    <row r="34394" spans="1:1">
      <c r="A34394" s="182"/>
    </row>
    <row r="34395" spans="1:1">
      <c r="A34395" s="182"/>
    </row>
    <row r="34396" spans="1:1">
      <c r="A34396" s="182"/>
    </row>
    <row r="34397" spans="1:1">
      <c r="A34397" s="182"/>
    </row>
    <row r="34398" spans="1:1">
      <c r="A34398" s="182"/>
    </row>
    <row r="34399" spans="1:1">
      <c r="A34399" s="182"/>
    </row>
    <row r="34400" spans="1:1">
      <c r="A34400" s="182"/>
    </row>
    <row r="34401" spans="1:1">
      <c r="A34401" s="182"/>
    </row>
    <row r="34402" spans="1:1">
      <c r="A34402" s="182"/>
    </row>
    <row r="34403" spans="1:1">
      <c r="A34403" s="182"/>
    </row>
    <row r="34404" spans="1:1">
      <c r="A34404" s="182"/>
    </row>
    <row r="34405" spans="1:1">
      <c r="A34405" s="182"/>
    </row>
    <row r="34406" spans="1:1">
      <c r="A34406" s="182"/>
    </row>
    <row r="34407" spans="1:1">
      <c r="A34407" s="182"/>
    </row>
    <row r="34408" spans="1:1">
      <c r="A34408" s="182"/>
    </row>
    <row r="34409" spans="1:1">
      <c r="A34409" s="182"/>
    </row>
    <row r="34410" spans="1:1">
      <c r="A34410" s="182"/>
    </row>
    <row r="34411" spans="1:1">
      <c r="A34411" s="182"/>
    </row>
    <row r="34412" spans="1:1">
      <c r="A34412" s="182"/>
    </row>
    <row r="34413" spans="1:1">
      <c r="A34413" s="182"/>
    </row>
    <row r="34414" spans="1:1">
      <c r="A34414" s="182"/>
    </row>
    <row r="34415" spans="1:1">
      <c r="A34415" s="182"/>
    </row>
    <row r="34416" spans="1:1">
      <c r="A34416" s="182"/>
    </row>
    <row r="34417" spans="1:1">
      <c r="A34417" s="182"/>
    </row>
    <row r="34418" spans="1:1">
      <c r="A34418" s="182"/>
    </row>
    <row r="34419" spans="1:1">
      <c r="A34419" s="182"/>
    </row>
    <row r="34420" spans="1:1">
      <c r="A34420" s="182"/>
    </row>
    <row r="34421" spans="1:1">
      <c r="A34421" s="182"/>
    </row>
    <row r="34422" spans="1:1">
      <c r="A34422" s="182"/>
    </row>
    <row r="34423" spans="1:1">
      <c r="A34423" s="182"/>
    </row>
    <row r="34424" spans="1:1">
      <c r="A34424" s="182"/>
    </row>
    <row r="34425" spans="1:1">
      <c r="A34425" s="182"/>
    </row>
    <row r="34426" spans="1:1">
      <c r="A34426" s="182"/>
    </row>
    <row r="34427" spans="1:1">
      <c r="A34427" s="182"/>
    </row>
    <row r="34428" spans="1:1">
      <c r="A34428" s="182"/>
    </row>
    <row r="34429" spans="1:1">
      <c r="A34429" s="182"/>
    </row>
    <row r="34430" spans="1:1">
      <c r="A34430" s="182"/>
    </row>
    <row r="34431" spans="1:1">
      <c r="A34431" s="182"/>
    </row>
    <row r="34432" spans="1:1">
      <c r="A34432" s="182"/>
    </row>
    <row r="34433" spans="1:1">
      <c r="A34433" s="182"/>
    </row>
    <row r="34434" spans="1:1">
      <c r="A34434" s="182"/>
    </row>
    <row r="34435" spans="1:1">
      <c r="A34435" s="182"/>
    </row>
    <row r="34436" spans="1:1">
      <c r="A34436" s="182"/>
    </row>
    <row r="34437" spans="1:1">
      <c r="A34437" s="182"/>
    </row>
    <row r="34438" spans="1:1">
      <c r="A34438" s="182"/>
    </row>
    <row r="34439" spans="1:1">
      <c r="A34439" s="182"/>
    </row>
    <row r="34440" spans="1:1">
      <c r="A34440" s="182"/>
    </row>
    <row r="34441" spans="1:1">
      <c r="A34441" s="182"/>
    </row>
    <row r="34442" spans="1:1">
      <c r="A34442" s="182"/>
    </row>
    <row r="34443" spans="1:1">
      <c r="A34443" s="182"/>
    </row>
    <row r="34444" spans="1:1">
      <c r="A34444" s="182"/>
    </row>
    <row r="34445" spans="1:1">
      <c r="A34445" s="182"/>
    </row>
    <row r="34446" spans="1:1">
      <c r="A34446" s="182"/>
    </row>
    <row r="34447" spans="1:1">
      <c r="A34447" s="182"/>
    </row>
    <row r="34448" spans="1:1">
      <c r="A34448" s="182"/>
    </row>
    <row r="34449" spans="1:14">
      <c r="A34449" s="182"/>
    </row>
    <row r="34450" spans="1:14">
      <c r="A34450" s="182"/>
      <c r="M34450" s="183"/>
      <c r="N34450" s="183"/>
    </row>
    <row r="34451" spans="1:14">
      <c r="A34451" s="182"/>
      <c r="L34451" s="183"/>
      <c r="M34451" s="183"/>
      <c r="N34451" s="183"/>
    </row>
    <row r="34452" spans="1:14">
      <c r="A34452" s="182"/>
      <c r="L34452" s="183"/>
    </row>
    <row r="34453" spans="1:14">
      <c r="A34453" s="182"/>
    </row>
    <row r="34454" spans="1:14">
      <c r="A34454" s="182"/>
    </row>
    <row r="34455" spans="1:14">
      <c r="A34455" s="182"/>
    </row>
    <row r="34456" spans="1:14">
      <c r="A34456" s="182"/>
    </row>
    <row r="34457" spans="1:14">
      <c r="A34457" s="182"/>
    </row>
    <row r="34458" spans="1:14">
      <c r="A34458" s="182"/>
    </row>
    <row r="34459" spans="1:14">
      <c r="A34459" s="182"/>
    </row>
    <row r="34460" spans="1:14">
      <c r="A34460" s="182"/>
    </row>
    <row r="34461" spans="1:14">
      <c r="A34461" s="182"/>
    </row>
    <row r="34462" spans="1:14">
      <c r="A34462" s="182"/>
    </row>
    <row r="34463" spans="1:14">
      <c r="A34463" s="182"/>
    </row>
    <row r="34464" spans="1:14">
      <c r="A34464" s="182"/>
    </row>
    <row r="34465" spans="1:1">
      <c r="A34465" s="182"/>
    </row>
    <row r="34466" spans="1:1">
      <c r="A34466" s="182"/>
    </row>
    <row r="34467" spans="1:1">
      <c r="A34467" s="182"/>
    </row>
    <row r="34468" spans="1:1">
      <c r="A34468" s="182"/>
    </row>
    <row r="34469" spans="1:1">
      <c r="A34469" s="182"/>
    </row>
    <row r="34470" spans="1:1">
      <c r="A34470" s="182"/>
    </row>
    <row r="34471" spans="1:1">
      <c r="A34471" s="182"/>
    </row>
    <row r="34472" spans="1:1">
      <c r="A34472" s="182"/>
    </row>
    <row r="34473" spans="1:1">
      <c r="A34473" s="182"/>
    </row>
    <row r="34474" spans="1:1">
      <c r="A34474" s="182"/>
    </row>
    <row r="34475" spans="1:1">
      <c r="A34475" s="182"/>
    </row>
    <row r="34476" spans="1:1">
      <c r="A34476" s="182"/>
    </row>
    <row r="34477" spans="1:1">
      <c r="A34477" s="182"/>
    </row>
    <row r="34478" spans="1:1">
      <c r="A34478" s="182"/>
    </row>
    <row r="34479" spans="1:1">
      <c r="A34479" s="182"/>
    </row>
    <row r="34480" spans="1:1">
      <c r="A34480" s="182"/>
    </row>
    <row r="34481" spans="1:38">
      <c r="A34481" s="182"/>
      <c r="AK34481" s="183"/>
      <c r="AL34481" s="183"/>
    </row>
    <row r="34482" spans="1:38">
      <c r="A34482" s="182"/>
      <c r="AJ34482" s="183"/>
      <c r="AK34482" s="183"/>
      <c r="AL34482" s="183"/>
    </row>
    <row r="34483" spans="1:38">
      <c r="A34483" s="182"/>
      <c r="AJ34483" s="183"/>
      <c r="AK34483" s="183"/>
      <c r="AL34483" s="183"/>
    </row>
    <row r="34484" spans="1:38">
      <c r="A34484" s="182"/>
      <c r="AJ34484" s="183"/>
      <c r="AK34484" s="183"/>
      <c r="AL34484" s="183"/>
    </row>
    <row r="34485" spans="1:38">
      <c r="A34485" s="182"/>
      <c r="AJ34485" s="183"/>
      <c r="AK34485" s="183"/>
      <c r="AL34485" s="183"/>
    </row>
    <row r="34486" spans="1:38">
      <c r="A34486" s="182"/>
      <c r="AJ34486" s="183"/>
      <c r="AK34486" s="183"/>
      <c r="AL34486" s="183"/>
    </row>
    <row r="34487" spans="1:38">
      <c r="A34487" s="182"/>
      <c r="AJ34487" s="183"/>
      <c r="AK34487" s="183"/>
      <c r="AL34487" s="183"/>
    </row>
    <row r="34488" spans="1:38">
      <c r="A34488" s="182"/>
      <c r="AJ34488" s="183"/>
      <c r="AK34488" s="183"/>
      <c r="AL34488" s="183"/>
    </row>
    <row r="34489" spans="1:38">
      <c r="A34489" s="182"/>
      <c r="AJ34489" s="183"/>
    </row>
    <row r="34490" spans="1:38">
      <c r="A34490" s="182"/>
    </row>
    <row r="34491" spans="1:38">
      <c r="A34491" s="182"/>
    </row>
    <row r="34492" spans="1:38">
      <c r="A34492" s="182"/>
    </row>
    <row r="34493" spans="1:38">
      <c r="A34493" s="182"/>
    </row>
    <row r="34494" spans="1:38">
      <c r="A34494" s="182"/>
    </row>
    <row r="34495" spans="1:38">
      <c r="A34495" s="182"/>
    </row>
    <row r="34496" spans="1:38">
      <c r="A34496" s="182"/>
    </row>
    <row r="34497" spans="1:1">
      <c r="A34497" s="182"/>
    </row>
    <row r="34498" spans="1:1">
      <c r="A34498" s="182"/>
    </row>
    <row r="34499" spans="1:1">
      <c r="A34499" s="182"/>
    </row>
    <row r="34500" spans="1:1">
      <c r="A34500" s="182"/>
    </row>
    <row r="34501" spans="1:1">
      <c r="A34501" s="182"/>
    </row>
    <row r="34502" spans="1:1">
      <c r="A34502" s="182"/>
    </row>
    <row r="34503" spans="1:1">
      <c r="A34503" s="182"/>
    </row>
    <row r="34504" spans="1:1">
      <c r="A34504" s="182"/>
    </row>
    <row r="34505" spans="1:1">
      <c r="A34505" s="182"/>
    </row>
    <row r="34506" spans="1:1">
      <c r="A34506" s="182"/>
    </row>
    <row r="34507" spans="1:1">
      <c r="A34507" s="182"/>
    </row>
    <row r="34508" spans="1:1">
      <c r="A34508" s="182"/>
    </row>
    <row r="34509" spans="1:1">
      <c r="A34509" s="182"/>
    </row>
    <row r="34510" spans="1:1">
      <c r="A34510" s="182"/>
    </row>
    <row r="34511" spans="1:1">
      <c r="A34511" s="182"/>
    </row>
    <row r="34512" spans="1:1">
      <c r="A34512" s="182"/>
    </row>
    <row r="34513" spans="1:14">
      <c r="A34513" s="182"/>
    </row>
    <row r="34514" spans="1:14">
      <c r="A34514" s="182"/>
    </row>
    <row r="34515" spans="1:14">
      <c r="A34515" s="182"/>
    </row>
    <row r="34516" spans="1:14">
      <c r="A34516" s="182"/>
    </row>
    <row r="34517" spans="1:14">
      <c r="A34517" s="182"/>
    </row>
    <row r="34518" spans="1:14">
      <c r="A34518" s="182"/>
    </row>
    <row r="34519" spans="1:14">
      <c r="A34519" s="182"/>
      <c r="M34519" s="183"/>
      <c r="N34519" s="183"/>
    </row>
    <row r="34520" spans="1:14">
      <c r="A34520" s="182"/>
      <c r="L34520" s="183"/>
    </row>
    <row r="34521" spans="1:14">
      <c r="A34521" s="182"/>
    </row>
    <row r="34522" spans="1:14">
      <c r="A34522" s="182"/>
    </row>
    <row r="34523" spans="1:14">
      <c r="A34523" s="182"/>
    </row>
    <row r="34524" spans="1:14">
      <c r="A34524" s="182"/>
    </row>
    <row r="34525" spans="1:14">
      <c r="A34525" s="182"/>
    </row>
    <row r="34526" spans="1:14">
      <c r="A34526" s="182"/>
    </row>
    <row r="34527" spans="1:14">
      <c r="A34527" s="182"/>
    </row>
    <row r="34528" spans="1:14">
      <c r="A34528" s="182"/>
    </row>
    <row r="34529" spans="1:38">
      <c r="A34529" s="182"/>
    </row>
    <row r="34530" spans="1:38">
      <c r="A34530" s="182"/>
    </row>
    <row r="34531" spans="1:38">
      <c r="A34531" s="182"/>
    </row>
    <row r="34532" spans="1:38">
      <c r="A34532" s="182"/>
    </row>
    <row r="34533" spans="1:38">
      <c r="A34533" s="182"/>
      <c r="AK34533" s="183"/>
      <c r="AL34533" s="183"/>
    </row>
    <row r="34534" spans="1:38">
      <c r="A34534" s="182"/>
      <c r="AJ34534" s="183"/>
      <c r="AK34534" s="183"/>
      <c r="AL34534" s="183"/>
    </row>
    <row r="34535" spans="1:38">
      <c r="A34535" s="182"/>
      <c r="AJ34535" s="183"/>
      <c r="AK34535" s="183"/>
      <c r="AL34535" s="183"/>
    </row>
    <row r="34536" spans="1:38">
      <c r="A34536" s="182"/>
      <c r="AJ34536" s="183"/>
      <c r="AK34536" s="183"/>
      <c r="AL34536" s="183"/>
    </row>
    <row r="34537" spans="1:38">
      <c r="A34537" s="182"/>
      <c r="AJ34537" s="183"/>
    </row>
    <row r="34538" spans="1:38">
      <c r="A34538" s="182"/>
    </row>
    <row r="34539" spans="1:38">
      <c r="A34539" s="182"/>
    </row>
    <row r="34540" spans="1:38">
      <c r="A34540" s="182"/>
    </row>
    <row r="34541" spans="1:38">
      <c r="A34541" s="182"/>
    </row>
    <row r="34542" spans="1:38">
      <c r="A34542" s="182"/>
    </row>
    <row r="34543" spans="1:38">
      <c r="A34543" s="182"/>
    </row>
    <row r="34544" spans="1:38">
      <c r="A34544" s="182"/>
    </row>
    <row r="34545" spans="1:38">
      <c r="A34545" s="182"/>
    </row>
    <row r="34546" spans="1:38">
      <c r="A34546" s="182"/>
    </row>
    <row r="34547" spans="1:38">
      <c r="A34547" s="182"/>
    </row>
    <row r="34548" spans="1:38">
      <c r="A34548" s="182"/>
    </row>
    <row r="34549" spans="1:38">
      <c r="A34549" s="182"/>
      <c r="AK34549" s="183"/>
      <c r="AL34549" s="183"/>
    </row>
    <row r="34550" spans="1:38">
      <c r="A34550" s="182"/>
      <c r="AJ34550" s="183"/>
      <c r="AK34550" s="183"/>
      <c r="AL34550" s="183"/>
    </row>
    <row r="34551" spans="1:38">
      <c r="A34551" s="182"/>
      <c r="AJ34551" s="183"/>
      <c r="AK34551" s="183"/>
      <c r="AL34551" s="183"/>
    </row>
    <row r="34552" spans="1:38">
      <c r="A34552" s="182"/>
      <c r="AJ34552" s="183"/>
      <c r="AK34552" s="183"/>
      <c r="AL34552" s="183"/>
    </row>
    <row r="34553" spans="1:38">
      <c r="A34553" s="182"/>
      <c r="AJ34553" s="183"/>
    </row>
    <row r="34554" spans="1:38">
      <c r="A34554" s="182"/>
    </row>
    <row r="34555" spans="1:38">
      <c r="A34555" s="182"/>
    </row>
    <row r="34556" spans="1:38">
      <c r="A34556" s="182"/>
    </row>
    <row r="34557" spans="1:38">
      <c r="A34557" s="182"/>
      <c r="AK34557" s="183"/>
      <c r="AL34557" s="183"/>
    </row>
    <row r="34558" spans="1:38">
      <c r="A34558" s="182"/>
      <c r="AJ34558" s="183"/>
      <c r="AK34558" s="183"/>
      <c r="AL34558" s="183"/>
    </row>
    <row r="34559" spans="1:38">
      <c r="A34559" s="182"/>
      <c r="AJ34559" s="183"/>
      <c r="AK34559" s="183"/>
      <c r="AL34559" s="183"/>
    </row>
    <row r="34560" spans="1:38">
      <c r="A34560" s="182"/>
      <c r="AJ34560" s="183"/>
      <c r="AK34560" s="183"/>
      <c r="AL34560" s="183"/>
    </row>
    <row r="34561" spans="1:38">
      <c r="A34561" s="182"/>
      <c r="AJ34561" s="183"/>
    </row>
    <row r="34562" spans="1:38">
      <c r="A34562" s="182"/>
    </row>
    <row r="34563" spans="1:38">
      <c r="A34563" s="182"/>
    </row>
    <row r="34564" spans="1:38">
      <c r="A34564" s="182"/>
    </row>
    <row r="34565" spans="1:38">
      <c r="A34565" s="182"/>
      <c r="AK34565" s="183"/>
      <c r="AL34565" s="183"/>
    </row>
    <row r="34566" spans="1:38">
      <c r="A34566" s="182"/>
      <c r="AJ34566" s="183"/>
      <c r="AK34566" s="183"/>
      <c r="AL34566" s="183"/>
    </row>
    <row r="34567" spans="1:38">
      <c r="A34567" s="182"/>
      <c r="AJ34567" s="183"/>
      <c r="AK34567" s="183"/>
      <c r="AL34567" s="183"/>
    </row>
    <row r="34568" spans="1:38">
      <c r="A34568" s="182"/>
      <c r="AJ34568" s="183"/>
      <c r="AK34568" s="183"/>
      <c r="AL34568" s="183"/>
    </row>
    <row r="34569" spans="1:38">
      <c r="A34569" s="182"/>
      <c r="AJ34569" s="183"/>
    </row>
    <row r="34570" spans="1:38">
      <c r="A34570" s="182"/>
    </row>
    <row r="34571" spans="1:38">
      <c r="A34571" s="182"/>
    </row>
    <row r="34572" spans="1:38">
      <c r="A34572" s="182"/>
    </row>
    <row r="34573" spans="1:38">
      <c r="A34573" s="182"/>
    </row>
    <row r="34574" spans="1:38">
      <c r="A34574" s="182"/>
    </row>
    <row r="34575" spans="1:38">
      <c r="A34575" s="182"/>
    </row>
    <row r="34576" spans="1:38">
      <c r="A34576" s="182"/>
    </row>
    <row r="34577" spans="1:38">
      <c r="A34577" s="182"/>
    </row>
    <row r="34578" spans="1:38">
      <c r="A34578" s="182"/>
    </row>
    <row r="34579" spans="1:38">
      <c r="A34579" s="182"/>
    </row>
    <row r="34580" spans="1:38">
      <c r="A34580" s="182"/>
    </row>
    <row r="34581" spans="1:38">
      <c r="A34581" s="182"/>
    </row>
    <row r="34582" spans="1:38">
      <c r="A34582" s="182"/>
      <c r="N34582" s="183"/>
      <c r="O34582" s="183"/>
    </row>
    <row r="34583" spans="1:38">
      <c r="A34583" s="182"/>
      <c r="M34583" s="183"/>
    </row>
    <row r="34584" spans="1:38">
      <c r="A34584" s="182"/>
    </row>
    <row r="34585" spans="1:38">
      <c r="A34585" s="182"/>
      <c r="AK34585" s="183"/>
      <c r="AL34585" s="183"/>
    </row>
    <row r="34586" spans="1:38">
      <c r="A34586" s="182"/>
      <c r="AJ34586" s="183"/>
      <c r="AK34586" s="183"/>
      <c r="AL34586" s="183"/>
    </row>
    <row r="34587" spans="1:38">
      <c r="A34587" s="182"/>
      <c r="AJ34587" s="183"/>
      <c r="AK34587" s="183"/>
      <c r="AL34587" s="183"/>
    </row>
    <row r="34588" spans="1:38">
      <c r="A34588" s="182"/>
      <c r="AJ34588" s="183"/>
      <c r="AK34588" s="183"/>
      <c r="AL34588" s="183"/>
    </row>
    <row r="34589" spans="1:38">
      <c r="A34589" s="182"/>
      <c r="AJ34589" s="183"/>
    </row>
    <row r="34590" spans="1:38">
      <c r="A34590" s="182"/>
    </row>
    <row r="34591" spans="1:38">
      <c r="A34591" s="182"/>
    </row>
    <row r="34592" spans="1:38">
      <c r="A34592" s="182"/>
    </row>
    <row r="34593" spans="1:38">
      <c r="A34593" s="182"/>
    </row>
    <row r="34594" spans="1:38">
      <c r="A34594" s="182"/>
    </row>
    <row r="34595" spans="1:38">
      <c r="A34595" s="182"/>
    </row>
    <row r="34596" spans="1:38">
      <c r="A34596" s="182"/>
    </row>
    <row r="34597" spans="1:38">
      <c r="A34597" s="182"/>
    </row>
    <row r="34598" spans="1:38">
      <c r="A34598" s="182"/>
    </row>
    <row r="34599" spans="1:38">
      <c r="A34599" s="182"/>
    </row>
    <row r="34600" spans="1:38">
      <c r="A34600" s="182"/>
    </row>
    <row r="34601" spans="1:38">
      <c r="A34601" s="182"/>
      <c r="AK34601" s="183"/>
      <c r="AL34601" s="183"/>
    </row>
    <row r="34602" spans="1:38">
      <c r="A34602" s="182"/>
      <c r="AJ34602" s="183"/>
      <c r="AK34602" s="183"/>
      <c r="AL34602" s="183"/>
    </row>
    <row r="34603" spans="1:38">
      <c r="A34603" s="182"/>
      <c r="AJ34603" s="183"/>
      <c r="AK34603" s="183"/>
      <c r="AL34603" s="183"/>
    </row>
    <row r="34604" spans="1:38">
      <c r="A34604" s="182"/>
      <c r="AJ34604" s="183"/>
      <c r="AK34604" s="183"/>
      <c r="AL34604" s="183"/>
    </row>
    <row r="34605" spans="1:38">
      <c r="A34605" s="182"/>
      <c r="AJ34605" s="183"/>
      <c r="AK34605" s="183"/>
      <c r="AL34605" s="183"/>
    </row>
    <row r="34606" spans="1:38">
      <c r="A34606" s="182"/>
      <c r="AJ34606" s="183"/>
      <c r="AK34606" s="183"/>
      <c r="AL34606" s="183"/>
    </row>
    <row r="34607" spans="1:38">
      <c r="A34607" s="182"/>
      <c r="AJ34607" s="183"/>
      <c r="AK34607" s="183"/>
      <c r="AL34607" s="183"/>
    </row>
    <row r="34608" spans="1:38">
      <c r="A34608" s="182"/>
      <c r="AJ34608" s="183"/>
      <c r="AK34608" s="183"/>
      <c r="AL34608" s="183"/>
    </row>
    <row r="34609" spans="1:36">
      <c r="A34609" s="182"/>
      <c r="AJ34609" s="183"/>
    </row>
    <row r="34610" spans="1:36">
      <c r="A34610" s="182"/>
    </row>
    <row r="34611" spans="1:36">
      <c r="A34611" s="182"/>
    </row>
    <row r="34612" spans="1:36">
      <c r="A34612" s="182"/>
    </row>
    <row r="34613" spans="1:36">
      <c r="A34613" s="182"/>
    </row>
    <row r="34614" spans="1:36">
      <c r="A34614" s="182"/>
    </row>
    <row r="34615" spans="1:36">
      <c r="A34615" s="182"/>
    </row>
    <row r="34616" spans="1:36">
      <c r="A34616" s="182"/>
    </row>
    <row r="34617" spans="1:36">
      <c r="A34617" s="182"/>
    </row>
    <row r="34618" spans="1:36">
      <c r="A34618" s="182"/>
    </row>
    <row r="34619" spans="1:36">
      <c r="A34619" s="182"/>
    </row>
    <row r="34620" spans="1:36">
      <c r="A34620" s="182"/>
    </row>
    <row r="34621" spans="1:36">
      <c r="A34621" s="182"/>
    </row>
    <row r="34622" spans="1:36">
      <c r="A34622" s="182"/>
    </row>
    <row r="34623" spans="1:36">
      <c r="A34623" s="182"/>
    </row>
    <row r="34624" spans="1:36">
      <c r="A34624" s="182"/>
    </row>
    <row r="34625" spans="1:14">
      <c r="A34625" s="182"/>
    </row>
    <row r="34626" spans="1:14">
      <c r="A34626" s="182"/>
    </row>
    <row r="34627" spans="1:14">
      <c r="A34627" s="182"/>
    </row>
    <row r="34628" spans="1:14">
      <c r="A34628" s="182"/>
    </row>
    <row r="34629" spans="1:14">
      <c r="A34629" s="182"/>
    </row>
    <row r="34630" spans="1:14">
      <c r="A34630" s="182"/>
    </row>
    <row r="34631" spans="1:14">
      <c r="A34631" s="182"/>
    </row>
    <row r="34632" spans="1:14">
      <c r="A34632" s="182"/>
    </row>
    <row r="34633" spans="1:14">
      <c r="A34633" s="182"/>
    </row>
    <row r="34634" spans="1:14">
      <c r="A34634" s="182"/>
    </row>
    <row r="34635" spans="1:14">
      <c r="A34635" s="182"/>
    </row>
    <row r="34636" spans="1:14">
      <c r="A34636" s="182"/>
    </row>
    <row r="34637" spans="1:14">
      <c r="A34637" s="182"/>
      <c r="M34637" s="183"/>
      <c r="N34637" s="183"/>
    </row>
    <row r="34638" spans="1:14">
      <c r="A34638" s="182"/>
      <c r="L34638" s="183"/>
    </row>
    <row r="34639" spans="1:14">
      <c r="A34639" s="182"/>
    </row>
    <row r="34640" spans="1:14">
      <c r="A34640" s="182"/>
    </row>
    <row r="34641" spans="1:38">
      <c r="A34641" s="182"/>
    </row>
    <row r="34642" spans="1:38">
      <c r="A34642" s="182"/>
    </row>
    <row r="34643" spans="1:38">
      <c r="A34643" s="182"/>
    </row>
    <row r="34644" spans="1:38">
      <c r="A34644" s="182"/>
    </row>
    <row r="34645" spans="1:38">
      <c r="A34645" s="182"/>
    </row>
    <row r="34646" spans="1:38">
      <c r="A34646" s="182"/>
    </row>
    <row r="34647" spans="1:38">
      <c r="A34647" s="182"/>
    </row>
    <row r="34648" spans="1:38">
      <c r="A34648" s="182"/>
    </row>
    <row r="34649" spans="1:38">
      <c r="A34649" s="182"/>
    </row>
    <row r="34650" spans="1:38">
      <c r="A34650" s="182"/>
    </row>
    <row r="34651" spans="1:38">
      <c r="A34651" s="182"/>
    </row>
    <row r="34652" spans="1:38">
      <c r="A34652" s="182"/>
    </row>
    <row r="34653" spans="1:38">
      <c r="A34653" s="182"/>
      <c r="AK34653" s="183"/>
      <c r="AL34653" s="183"/>
    </row>
    <row r="34654" spans="1:38">
      <c r="A34654" s="182"/>
      <c r="AJ34654" s="183"/>
      <c r="AK34654" s="183"/>
      <c r="AL34654" s="183"/>
    </row>
    <row r="34655" spans="1:38">
      <c r="A34655" s="182"/>
      <c r="AJ34655" s="183"/>
      <c r="AK34655" s="183"/>
      <c r="AL34655" s="183"/>
    </row>
    <row r="34656" spans="1:38">
      <c r="A34656" s="182"/>
      <c r="AJ34656" s="183"/>
      <c r="AK34656" s="183"/>
      <c r="AL34656" s="183"/>
    </row>
    <row r="34657" spans="1:36">
      <c r="A34657" s="182"/>
      <c r="AJ34657" s="183"/>
    </row>
    <row r="34658" spans="1:36">
      <c r="A34658" s="182"/>
    </row>
    <row r="34659" spans="1:36">
      <c r="A34659" s="182"/>
    </row>
    <row r="34660" spans="1:36">
      <c r="A34660" s="182"/>
    </row>
    <row r="34661" spans="1:36">
      <c r="A34661" s="182"/>
    </row>
    <row r="34662" spans="1:36">
      <c r="A34662" s="182"/>
    </row>
    <row r="34663" spans="1:36">
      <c r="A34663" s="182"/>
    </row>
    <row r="34664" spans="1:36">
      <c r="A34664" s="182"/>
    </row>
    <row r="34665" spans="1:36">
      <c r="A34665" s="182"/>
    </row>
    <row r="34666" spans="1:36">
      <c r="A34666" s="182"/>
    </row>
    <row r="34667" spans="1:36">
      <c r="A34667" s="182"/>
    </row>
    <row r="34668" spans="1:36">
      <c r="A34668" s="182"/>
    </row>
    <row r="34669" spans="1:36">
      <c r="A34669" s="182"/>
    </row>
    <row r="34670" spans="1:36">
      <c r="A34670" s="182"/>
    </row>
    <row r="34671" spans="1:36">
      <c r="A34671" s="182"/>
    </row>
    <row r="34672" spans="1:36">
      <c r="A34672" s="182"/>
    </row>
    <row r="34673" spans="1:38">
      <c r="A34673" s="182"/>
      <c r="AK34673" s="183"/>
      <c r="AL34673" s="183"/>
    </row>
    <row r="34674" spans="1:38">
      <c r="A34674" s="182"/>
      <c r="AJ34674" s="183"/>
      <c r="AK34674" s="183"/>
      <c r="AL34674" s="183"/>
    </row>
    <row r="34675" spans="1:38">
      <c r="A34675" s="182"/>
      <c r="AJ34675" s="183"/>
      <c r="AK34675" s="183"/>
      <c r="AL34675" s="183"/>
    </row>
    <row r="34676" spans="1:38">
      <c r="A34676" s="182"/>
      <c r="AJ34676" s="183"/>
      <c r="AK34676" s="183"/>
      <c r="AL34676" s="183"/>
    </row>
    <row r="34677" spans="1:38">
      <c r="A34677" s="182"/>
      <c r="AJ34677" s="183"/>
    </row>
    <row r="34678" spans="1:38">
      <c r="A34678" s="182"/>
    </row>
    <row r="34679" spans="1:38">
      <c r="A34679" s="182"/>
    </row>
    <row r="34680" spans="1:38">
      <c r="A34680" s="182"/>
    </row>
    <row r="34681" spans="1:38">
      <c r="A34681" s="182"/>
    </row>
    <row r="34682" spans="1:38">
      <c r="A34682" s="182"/>
    </row>
    <row r="34683" spans="1:38">
      <c r="A34683" s="182"/>
    </row>
    <row r="34684" spans="1:38">
      <c r="A34684" s="182"/>
    </row>
    <row r="34685" spans="1:38">
      <c r="A34685" s="182"/>
    </row>
    <row r="34686" spans="1:38">
      <c r="A34686" s="182"/>
    </row>
    <row r="34687" spans="1:38">
      <c r="A34687" s="182"/>
    </row>
    <row r="34688" spans="1:38">
      <c r="A34688" s="182"/>
    </row>
    <row r="34689" spans="1:1">
      <c r="A34689" s="182"/>
    </row>
    <row r="34690" spans="1:1">
      <c r="A34690" s="182"/>
    </row>
    <row r="34691" spans="1:1">
      <c r="A34691" s="182"/>
    </row>
    <row r="34692" spans="1:1">
      <c r="A34692" s="182"/>
    </row>
    <row r="34693" spans="1:1">
      <c r="A34693" s="182"/>
    </row>
    <row r="34694" spans="1:1">
      <c r="A34694" s="182"/>
    </row>
    <row r="34695" spans="1:1">
      <c r="A34695" s="182"/>
    </row>
    <row r="34696" spans="1:1">
      <c r="A34696" s="182"/>
    </row>
    <row r="34697" spans="1:1">
      <c r="A34697" s="182"/>
    </row>
    <row r="34698" spans="1:1">
      <c r="A34698" s="182"/>
    </row>
    <row r="34699" spans="1:1">
      <c r="A34699" s="182"/>
    </row>
    <row r="34700" spans="1:1">
      <c r="A34700" s="182"/>
    </row>
    <row r="34701" spans="1:1">
      <c r="A34701" s="182"/>
    </row>
    <row r="34702" spans="1:1">
      <c r="A34702" s="182"/>
    </row>
    <row r="34703" spans="1:1">
      <c r="A34703" s="182"/>
    </row>
    <row r="34704" spans="1:1">
      <c r="A34704" s="182"/>
    </row>
    <row r="34705" spans="1:38">
      <c r="A34705" s="182"/>
      <c r="AK34705" s="183"/>
      <c r="AL34705" s="183"/>
    </row>
    <row r="34706" spans="1:38">
      <c r="A34706" s="182"/>
      <c r="AJ34706" s="183"/>
      <c r="AK34706" s="183"/>
      <c r="AL34706" s="183"/>
    </row>
    <row r="34707" spans="1:38">
      <c r="A34707" s="182"/>
      <c r="AJ34707" s="183"/>
      <c r="AK34707" s="183"/>
      <c r="AL34707" s="183"/>
    </row>
    <row r="34708" spans="1:38">
      <c r="A34708" s="182"/>
      <c r="AJ34708" s="183"/>
      <c r="AK34708" s="183"/>
      <c r="AL34708" s="183"/>
    </row>
    <row r="34709" spans="1:38">
      <c r="A34709" s="182"/>
      <c r="AJ34709" s="183"/>
    </row>
    <row r="34710" spans="1:38">
      <c r="A34710" s="182"/>
    </row>
    <row r="34711" spans="1:38">
      <c r="A34711" s="182"/>
    </row>
    <row r="34712" spans="1:38">
      <c r="A34712" s="182"/>
    </row>
    <row r="34713" spans="1:38">
      <c r="A34713" s="182"/>
    </row>
    <row r="34714" spans="1:38">
      <c r="A34714" s="182"/>
    </row>
    <row r="34715" spans="1:38">
      <c r="A34715" s="182"/>
    </row>
    <row r="34716" spans="1:38">
      <c r="A34716" s="182"/>
    </row>
    <row r="34717" spans="1:38">
      <c r="A34717" s="182"/>
    </row>
    <row r="34718" spans="1:38">
      <c r="A34718" s="182"/>
    </row>
    <row r="34719" spans="1:38">
      <c r="A34719" s="182"/>
    </row>
    <row r="34720" spans="1:38">
      <c r="A34720" s="182"/>
    </row>
    <row r="34721" spans="1:38">
      <c r="A34721" s="182"/>
      <c r="AK34721" s="183"/>
      <c r="AL34721" s="183"/>
    </row>
    <row r="34722" spans="1:38">
      <c r="A34722" s="182"/>
      <c r="AJ34722" s="183"/>
      <c r="AK34722" s="183"/>
      <c r="AL34722" s="183"/>
    </row>
    <row r="34723" spans="1:38">
      <c r="A34723" s="182"/>
      <c r="AJ34723" s="183"/>
      <c r="AK34723" s="183"/>
      <c r="AL34723" s="183"/>
    </row>
    <row r="34724" spans="1:38">
      <c r="A34724" s="182"/>
      <c r="AJ34724" s="183"/>
      <c r="AK34724" s="183"/>
      <c r="AL34724" s="183"/>
    </row>
    <row r="34725" spans="1:38">
      <c r="A34725" s="182"/>
      <c r="AJ34725" s="183"/>
    </row>
    <row r="34726" spans="1:38">
      <c r="A34726" s="182"/>
    </row>
    <row r="34727" spans="1:38">
      <c r="A34727" s="182"/>
    </row>
    <row r="34728" spans="1:38">
      <c r="A34728" s="182"/>
    </row>
    <row r="34729" spans="1:38">
      <c r="A34729" s="182"/>
      <c r="AK34729" s="183"/>
      <c r="AL34729" s="183"/>
    </row>
    <row r="34730" spans="1:38">
      <c r="A34730" s="182"/>
      <c r="AJ34730" s="183"/>
      <c r="AK34730" s="183"/>
      <c r="AL34730" s="183"/>
    </row>
    <row r="34731" spans="1:38">
      <c r="A34731" s="182"/>
      <c r="AJ34731" s="183"/>
      <c r="AK34731" s="183"/>
      <c r="AL34731" s="183"/>
    </row>
    <row r="34732" spans="1:38">
      <c r="A34732" s="182"/>
      <c r="AJ34732" s="183"/>
      <c r="AK34732" s="183"/>
      <c r="AL34732" s="183"/>
    </row>
    <row r="34733" spans="1:38">
      <c r="A34733" s="182"/>
      <c r="AJ34733" s="183"/>
      <c r="AK34733" s="183"/>
      <c r="AL34733" s="183"/>
    </row>
    <row r="34734" spans="1:38">
      <c r="A34734" s="182"/>
      <c r="AJ34734" s="183"/>
      <c r="AK34734" s="183"/>
      <c r="AL34734" s="183"/>
    </row>
    <row r="34735" spans="1:38">
      <c r="A34735" s="182"/>
      <c r="AJ34735" s="183"/>
      <c r="AK34735" s="183"/>
      <c r="AL34735" s="183"/>
    </row>
    <row r="34736" spans="1:38">
      <c r="A34736" s="182"/>
      <c r="AJ34736" s="183"/>
      <c r="AK34736" s="183"/>
      <c r="AL34736" s="183"/>
    </row>
    <row r="34737" spans="1:38">
      <c r="A34737" s="182"/>
      <c r="AJ34737" s="183"/>
    </row>
    <row r="34738" spans="1:38">
      <c r="A34738" s="182"/>
    </row>
    <row r="34739" spans="1:38">
      <c r="A34739" s="182"/>
    </row>
    <row r="34740" spans="1:38">
      <c r="A34740" s="182"/>
    </row>
    <row r="34741" spans="1:38">
      <c r="A34741" s="182"/>
      <c r="AK34741" s="183"/>
      <c r="AL34741" s="183"/>
    </row>
    <row r="34742" spans="1:38">
      <c r="A34742" s="182"/>
      <c r="AJ34742" s="183"/>
      <c r="AK34742" s="183"/>
      <c r="AL34742" s="183"/>
    </row>
    <row r="34743" spans="1:38">
      <c r="A34743" s="182"/>
      <c r="AJ34743" s="183"/>
      <c r="AK34743" s="183"/>
      <c r="AL34743" s="183"/>
    </row>
    <row r="34744" spans="1:38">
      <c r="A34744" s="182"/>
      <c r="AJ34744" s="183"/>
      <c r="AK34744" s="183"/>
      <c r="AL34744" s="183"/>
    </row>
    <row r="34745" spans="1:38">
      <c r="A34745" s="182"/>
      <c r="AJ34745" s="183"/>
    </row>
    <row r="34746" spans="1:38">
      <c r="A34746" s="182"/>
    </row>
    <row r="34747" spans="1:38">
      <c r="A34747" s="182"/>
    </row>
    <row r="34748" spans="1:38">
      <c r="A34748" s="182"/>
    </row>
    <row r="34749" spans="1:38">
      <c r="A34749" s="182"/>
      <c r="AK34749" s="183"/>
      <c r="AL34749" s="183"/>
    </row>
    <row r="34750" spans="1:38">
      <c r="A34750" s="182"/>
      <c r="AJ34750" s="183"/>
      <c r="AK34750" s="183"/>
      <c r="AL34750" s="183"/>
    </row>
    <row r="34751" spans="1:38">
      <c r="A34751" s="182"/>
      <c r="AJ34751" s="183"/>
      <c r="AK34751" s="183"/>
      <c r="AL34751" s="183"/>
    </row>
    <row r="34752" spans="1:38">
      <c r="A34752" s="182"/>
      <c r="AJ34752" s="183"/>
      <c r="AK34752" s="183"/>
      <c r="AL34752" s="183"/>
    </row>
    <row r="34753" spans="1:38">
      <c r="A34753" s="182"/>
      <c r="AJ34753" s="183"/>
      <c r="AK34753" s="183"/>
      <c r="AL34753" s="183"/>
    </row>
    <row r="34754" spans="1:38">
      <c r="A34754" s="182"/>
      <c r="AJ34754" s="183"/>
      <c r="AK34754" s="183"/>
      <c r="AL34754" s="183"/>
    </row>
    <row r="34755" spans="1:38">
      <c r="A34755" s="182"/>
      <c r="AJ34755" s="183"/>
      <c r="AK34755" s="183"/>
      <c r="AL34755" s="183"/>
    </row>
    <row r="34756" spans="1:38">
      <c r="A34756" s="182"/>
      <c r="AJ34756" s="183"/>
      <c r="AK34756" s="183"/>
      <c r="AL34756" s="183"/>
    </row>
    <row r="34757" spans="1:38">
      <c r="A34757" s="182"/>
      <c r="AJ34757" s="183"/>
    </row>
    <row r="34758" spans="1:38">
      <c r="A34758" s="182"/>
    </row>
    <row r="34759" spans="1:38">
      <c r="A34759" s="182"/>
    </row>
    <row r="34760" spans="1:38">
      <c r="A34760" s="182"/>
    </row>
    <row r="34761" spans="1:38">
      <c r="A34761" s="182"/>
    </row>
    <row r="34762" spans="1:38">
      <c r="A34762" s="182"/>
    </row>
    <row r="34763" spans="1:38">
      <c r="A34763" s="182"/>
    </row>
    <row r="34764" spans="1:38">
      <c r="A34764" s="182"/>
    </row>
    <row r="34765" spans="1:38">
      <c r="A34765" s="182"/>
    </row>
    <row r="34766" spans="1:38">
      <c r="A34766" s="182"/>
    </row>
    <row r="34767" spans="1:38">
      <c r="A34767" s="182"/>
    </row>
    <row r="34768" spans="1:38">
      <c r="A34768" s="182"/>
    </row>
    <row r="34769" spans="1:1">
      <c r="A34769" s="182"/>
    </row>
    <row r="34770" spans="1:1">
      <c r="A34770" s="182"/>
    </row>
    <row r="34771" spans="1:1">
      <c r="A34771" s="182"/>
    </row>
    <row r="34772" spans="1:1">
      <c r="A34772" s="182"/>
    </row>
    <row r="34773" spans="1:1">
      <c r="A34773" s="182"/>
    </row>
    <row r="34774" spans="1:1">
      <c r="A34774" s="182"/>
    </row>
    <row r="34775" spans="1:1">
      <c r="A34775" s="182"/>
    </row>
    <row r="34776" spans="1:1">
      <c r="A34776" s="182"/>
    </row>
    <row r="34777" spans="1:1">
      <c r="A34777" s="182"/>
    </row>
    <row r="34778" spans="1:1">
      <c r="A34778" s="182"/>
    </row>
    <row r="34779" spans="1:1">
      <c r="A34779" s="182"/>
    </row>
    <row r="34780" spans="1:1">
      <c r="A34780" s="182"/>
    </row>
    <row r="34781" spans="1:1">
      <c r="A34781" s="182"/>
    </row>
    <row r="34782" spans="1:1">
      <c r="A34782" s="182"/>
    </row>
    <row r="34783" spans="1:1">
      <c r="A34783" s="182"/>
    </row>
    <row r="34784" spans="1:1">
      <c r="A34784" s="182"/>
    </row>
    <row r="34785" spans="1:1">
      <c r="A34785" s="182"/>
    </row>
    <row r="34786" spans="1:1">
      <c r="A34786" s="182"/>
    </row>
    <row r="34787" spans="1:1">
      <c r="A34787" s="182"/>
    </row>
    <row r="34788" spans="1:1">
      <c r="A34788" s="182"/>
    </row>
    <row r="34789" spans="1:1">
      <c r="A34789" s="182"/>
    </row>
    <row r="34790" spans="1:1">
      <c r="A34790" s="182"/>
    </row>
    <row r="34791" spans="1:1">
      <c r="A34791" s="182"/>
    </row>
    <row r="34792" spans="1:1">
      <c r="A34792" s="182"/>
    </row>
    <row r="34793" spans="1:1">
      <c r="A34793" s="182"/>
    </row>
    <row r="34794" spans="1:1">
      <c r="A34794" s="182"/>
    </row>
    <row r="34795" spans="1:1">
      <c r="A34795" s="182"/>
    </row>
    <row r="34796" spans="1:1">
      <c r="A34796" s="182"/>
    </row>
    <row r="34797" spans="1:1">
      <c r="A34797" s="182"/>
    </row>
    <row r="34798" spans="1:1">
      <c r="A34798" s="182"/>
    </row>
    <row r="34799" spans="1:1">
      <c r="A34799" s="182"/>
    </row>
    <row r="34800" spans="1:1">
      <c r="A34800" s="182"/>
    </row>
    <row r="34801" spans="1:38">
      <c r="A34801" s="182"/>
    </row>
    <row r="34802" spans="1:38">
      <c r="A34802" s="182"/>
    </row>
    <row r="34803" spans="1:38">
      <c r="A34803" s="182"/>
    </row>
    <row r="34804" spans="1:38">
      <c r="A34804" s="182"/>
    </row>
    <row r="34805" spans="1:38">
      <c r="A34805" s="182"/>
      <c r="AK34805" s="183"/>
      <c r="AL34805" s="183"/>
    </row>
    <row r="34806" spans="1:38">
      <c r="A34806" s="182"/>
      <c r="AJ34806" s="183"/>
      <c r="AK34806" s="183"/>
      <c r="AL34806" s="183"/>
    </row>
    <row r="34807" spans="1:38">
      <c r="A34807" s="182"/>
      <c r="AJ34807" s="183"/>
      <c r="AK34807" s="183"/>
      <c r="AL34807" s="183"/>
    </row>
    <row r="34808" spans="1:38">
      <c r="A34808" s="182"/>
      <c r="N34808" s="183"/>
      <c r="O34808" s="183"/>
      <c r="AJ34808" s="183"/>
      <c r="AK34808" s="183"/>
      <c r="AL34808" s="183"/>
    </row>
    <row r="34809" spans="1:38">
      <c r="A34809" s="182"/>
      <c r="M34809" s="183"/>
      <c r="AJ34809" s="183"/>
    </row>
    <row r="34810" spans="1:38">
      <c r="A34810" s="182"/>
    </row>
    <row r="34811" spans="1:38">
      <c r="A34811" s="182"/>
    </row>
    <row r="34812" spans="1:38">
      <c r="A34812" s="182"/>
    </row>
    <row r="34813" spans="1:38">
      <c r="A34813" s="182"/>
    </row>
    <row r="34814" spans="1:38">
      <c r="A34814" s="182"/>
    </row>
    <row r="34815" spans="1:38">
      <c r="A34815" s="182"/>
    </row>
    <row r="34816" spans="1:38">
      <c r="A34816" s="182"/>
    </row>
    <row r="34817" spans="1:38">
      <c r="A34817" s="182"/>
    </row>
    <row r="34818" spans="1:38">
      <c r="A34818" s="182"/>
    </row>
    <row r="34819" spans="1:38">
      <c r="A34819" s="182"/>
    </row>
    <row r="34820" spans="1:38">
      <c r="A34820" s="182"/>
    </row>
    <row r="34821" spans="1:38">
      <c r="A34821" s="182"/>
    </row>
    <row r="34822" spans="1:38">
      <c r="A34822" s="182"/>
    </row>
    <row r="34823" spans="1:38">
      <c r="A34823" s="182"/>
    </row>
    <row r="34824" spans="1:38">
      <c r="A34824" s="182"/>
    </row>
    <row r="34825" spans="1:38">
      <c r="A34825" s="182"/>
      <c r="AK34825" s="183"/>
      <c r="AL34825" s="183"/>
    </row>
    <row r="34826" spans="1:38">
      <c r="A34826" s="182"/>
      <c r="AJ34826" s="183"/>
      <c r="AK34826" s="183"/>
      <c r="AL34826" s="183"/>
    </row>
    <row r="34827" spans="1:38">
      <c r="A34827" s="182"/>
      <c r="AJ34827" s="183"/>
      <c r="AK34827" s="183"/>
      <c r="AL34827" s="183"/>
    </row>
    <row r="34828" spans="1:38">
      <c r="A34828" s="182"/>
      <c r="AJ34828" s="183"/>
      <c r="AK34828" s="183"/>
      <c r="AL34828" s="183"/>
    </row>
    <row r="34829" spans="1:38">
      <c r="A34829" s="182"/>
      <c r="AJ34829" s="183"/>
    </row>
    <row r="34830" spans="1:38">
      <c r="A34830" s="182"/>
    </row>
    <row r="34831" spans="1:38">
      <c r="A34831" s="182"/>
    </row>
    <row r="34832" spans="1:38">
      <c r="A34832" s="182"/>
    </row>
    <row r="34833" spans="1:38">
      <c r="A34833" s="182"/>
      <c r="AK34833" s="183"/>
      <c r="AL34833" s="183"/>
    </row>
    <row r="34834" spans="1:38">
      <c r="A34834" s="182"/>
      <c r="AJ34834" s="183"/>
      <c r="AK34834" s="183"/>
      <c r="AL34834" s="183"/>
    </row>
    <row r="34835" spans="1:38">
      <c r="A34835" s="182"/>
      <c r="AJ34835" s="183"/>
      <c r="AK34835" s="183"/>
      <c r="AL34835" s="183"/>
    </row>
    <row r="34836" spans="1:38">
      <c r="A34836" s="182"/>
      <c r="AJ34836" s="183"/>
      <c r="AK34836" s="183"/>
      <c r="AL34836" s="183"/>
    </row>
    <row r="34837" spans="1:38">
      <c r="A34837" s="182"/>
      <c r="AJ34837" s="183"/>
      <c r="AK34837" s="183"/>
      <c r="AL34837" s="183"/>
    </row>
    <row r="34838" spans="1:38">
      <c r="A34838" s="182"/>
      <c r="AJ34838" s="183"/>
      <c r="AK34838" s="183"/>
      <c r="AL34838" s="183"/>
    </row>
    <row r="34839" spans="1:38">
      <c r="A34839" s="182"/>
      <c r="AJ34839" s="183"/>
      <c r="AK34839" s="183"/>
      <c r="AL34839" s="183"/>
    </row>
    <row r="34840" spans="1:38">
      <c r="A34840" s="182"/>
      <c r="AJ34840" s="183"/>
      <c r="AK34840" s="183"/>
      <c r="AL34840" s="183"/>
    </row>
    <row r="34841" spans="1:38">
      <c r="A34841" s="182"/>
      <c r="AJ34841" s="183"/>
    </row>
    <row r="34842" spans="1:38">
      <c r="A34842" s="182"/>
    </row>
    <row r="34843" spans="1:38">
      <c r="A34843" s="182"/>
    </row>
    <row r="34844" spans="1:38">
      <c r="A34844" s="182"/>
    </row>
    <row r="34845" spans="1:38">
      <c r="A34845" s="182"/>
      <c r="AK34845" s="183"/>
      <c r="AL34845" s="183"/>
    </row>
    <row r="34846" spans="1:38">
      <c r="A34846" s="182"/>
      <c r="AJ34846" s="183"/>
      <c r="AK34846" s="183"/>
      <c r="AL34846" s="183"/>
    </row>
    <row r="34847" spans="1:38">
      <c r="A34847" s="182"/>
      <c r="AJ34847" s="183"/>
      <c r="AK34847" s="183"/>
      <c r="AL34847" s="183"/>
    </row>
    <row r="34848" spans="1:38">
      <c r="A34848" s="182"/>
      <c r="AJ34848" s="183"/>
      <c r="AK34848" s="183"/>
      <c r="AL34848" s="183"/>
    </row>
    <row r="34849" spans="1:38">
      <c r="A34849" s="182"/>
      <c r="AJ34849" s="183"/>
    </row>
    <row r="34850" spans="1:38">
      <c r="A34850" s="182"/>
    </row>
    <row r="34851" spans="1:38">
      <c r="A34851" s="182"/>
    </row>
    <row r="34852" spans="1:38">
      <c r="A34852" s="182"/>
    </row>
    <row r="34853" spans="1:38">
      <c r="A34853" s="182"/>
    </row>
    <row r="34854" spans="1:38">
      <c r="A34854" s="182"/>
    </row>
    <row r="34855" spans="1:38">
      <c r="A34855" s="182"/>
    </row>
    <row r="34856" spans="1:38">
      <c r="A34856" s="182"/>
    </row>
    <row r="34857" spans="1:38">
      <c r="A34857" s="182"/>
      <c r="AK34857" s="183"/>
      <c r="AL34857" s="183"/>
    </row>
    <row r="34858" spans="1:38">
      <c r="A34858" s="182"/>
      <c r="AJ34858" s="183"/>
      <c r="AK34858" s="183"/>
      <c r="AL34858" s="183"/>
    </row>
    <row r="34859" spans="1:38">
      <c r="A34859" s="182"/>
      <c r="AJ34859" s="183"/>
      <c r="AK34859" s="183"/>
      <c r="AL34859" s="183"/>
    </row>
    <row r="34860" spans="1:38">
      <c r="A34860" s="182"/>
      <c r="AJ34860" s="183"/>
      <c r="AK34860" s="183"/>
      <c r="AL34860" s="183"/>
    </row>
    <row r="34861" spans="1:38">
      <c r="A34861" s="182"/>
      <c r="AJ34861" s="183"/>
    </row>
    <row r="34862" spans="1:38">
      <c r="A34862" s="182"/>
    </row>
    <row r="34863" spans="1:38">
      <c r="A34863" s="182"/>
    </row>
    <row r="34864" spans="1:38">
      <c r="A34864" s="182"/>
    </row>
    <row r="34865" spans="1:38">
      <c r="A34865" s="182"/>
      <c r="AK34865" s="183"/>
      <c r="AL34865" s="183"/>
    </row>
    <row r="34866" spans="1:38">
      <c r="A34866" s="182"/>
      <c r="AJ34866" s="183"/>
      <c r="AK34866" s="183"/>
      <c r="AL34866" s="183"/>
    </row>
    <row r="34867" spans="1:38">
      <c r="A34867" s="182"/>
      <c r="AJ34867" s="183"/>
      <c r="AK34867" s="183"/>
      <c r="AL34867" s="183"/>
    </row>
    <row r="34868" spans="1:38">
      <c r="A34868" s="182"/>
      <c r="AJ34868" s="183"/>
      <c r="AK34868" s="183"/>
      <c r="AL34868" s="183"/>
    </row>
    <row r="34869" spans="1:38">
      <c r="A34869" s="182"/>
      <c r="AJ34869" s="183"/>
      <c r="AK34869" s="183"/>
      <c r="AL34869" s="183"/>
    </row>
    <row r="34870" spans="1:38">
      <c r="A34870" s="182"/>
      <c r="AJ34870" s="183"/>
      <c r="AK34870" s="183"/>
      <c r="AL34870" s="183"/>
    </row>
    <row r="34871" spans="1:38">
      <c r="A34871" s="182"/>
      <c r="AJ34871" s="183"/>
      <c r="AK34871" s="183"/>
      <c r="AL34871" s="183"/>
    </row>
    <row r="34872" spans="1:38">
      <c r="A34872" s="182"/>
      <c r="AJ34872" s="183"/>
      <c r="AK34872" s="183"/>
      <c r="AL34872" s="183"/>
    </row>
    <row r="34873" spans="1:38">
      <c r="A34873" s="182"/>
      <c r="AJ34873" s="183"/>
    </row>
    <row r="34874" spans="1:38">
      <c r="A34874" s="182"/>
    </row>
    <row r="34875" spans="1:38">
      <c r="A34875" s="182"/>
    </row>
    <row r="34876" spans="1:38">
      <c r="A34876" s="182"/>
    </row>
    <row r="34877" spans="1:38">
      <c r="A34877" s="182"/>
    </row>
    <row r="34878" spans="1:38">
      <c r="A34878" s="182"/>
    </row>
    <row r="34879" spans="1:38">
      <c r="A34879" s="182"/>
    </row>
    <row r="34880" spans="1:38">
      <c r="A34880" s="182"/>
    </row>
    <row r="34881" spans="1:38">
      <c r="A34881" s="182"/>
    </row>
    <row r="34882" spans="1:38">
      <c r="A34882" s="182"/>
    </row>
    <row r="34883" spans="1:38">
      <c r="A34883" s="182"/>
    </row>
    <row r="34884" spans="1:38">
      <c r="A34884" s="182"/>
    </row>
    <row r="34885" spans="1:38">
      <c r="A34885" s="182"/>
      <c r="AK34885" s="183"/>
      <c r="AL34885" s="183"/>
    </row>
    <row r="34886" spans="1:38">
      <c r="A34886" s="182"/>
      <c r="AJ34886" s="183"/>
      <c r="AK34886" s="183"/>
      <c r="AL34886" s="183"/>
    </row>
    <row r="34887" spans="1:38">
      <c r="A34887" s="182"/>
      <c r="AJ34887" s="183"/>
      <c r="AK34887" s="183"/>
      <c r="AL34887" s="183"/>
    </row>
    <row r="34888" spans="1:38">
      <c r="A34888" s="182"/>
      <c r="AJ34888" s="183"/>
      <c r="AK34888" s="183"/>
      <c r="AL34888" s="183"/>
    </row>
    <row r="34889" spans="1:38">
      <c r="A34889" s="182"/>
      <c r="AJ34889" s="183"/>
    </row>
    <row r="34890" spans="1:38">
      <c r="A34890" s="182"/>
    </row>
    <row r="34891" spans="1:38">
      <c r="A34891" s="182"/>
    </row>
    <row r="34892" spans="1:38">
      <c r="A34892" s="182"/>
    </row>
    <row r="34893" spans="1:38">
      <c r="A34893" s="182"/>
    </row>
    <row r="34894" spans="1:38">
      <c r="A34894" s="182"/>
    </row>
    <row r="34895" spans="1:38">
      <c r="A34895" s="182"/>
    </row>
    <row r="34896" spans="1:38">
      <c r="A34896" s="182"/>
    </row>
    <row r="34897" spans="1:38">
      <c r="A34897" s="182"/>
    </row>
    <row r="34898" spans="1:38">
      <c r="A34898" s="182"/>
    </row>
    <row r="34899" spans="1:38">
      <c r="A34899" s="182"/>
    </row>
    <row r="34900" spans="1:38">
      <c r="A34900" s="182"/>
    </row>
    <row r="34901" spans="1:38">
      <c r="A34901" s="182"/>
      <c r="AK34901" s="183"/>
      <c r="AL34901" s="183"/>
    </row>
    <row r="34902" spans="1:38">
      <c r="A34902" s="182"/>
      <c r="AJ34902" s="183"/>
      <c r="AK34902" s="183"/>
      <c r="AL34902" s="183"/>
    </row>
    <row r="34903" spans="1:38">
      <c r="A34903" s="182"/>
      <c r="AJ34903" s="183"/>
      <c r="AK34903" s="183"/>
      <c r="AL34903" s="183"/>
    </row>
    <row r="34904" spans="1:38">
      <c r="A34904" s="182"/>
      <c r="AJ34904" s="183"/>
      <c r="AK34904" s="183"/>
      <c r="AL34904" s="183"/>
    </row>
    <row r="34905" spans="1:38">
      <c r="A34905" s="182"/>
      <c r="AJ34905" s="183"/>
    </row>
    <row r="34906" spans="1:38">
      <c r="A34906" s="182"/>
    </row>
    <row r="34907" spans="1:38">
      <c r="A34907" s="182"/>
    </row>
    <row r="34908" spans="1:38">
      <c r="A34908" s="182"/>
    </row>
    <row r="34909" spans="1:38">
      <c r="A34909" s="182"/>
    </row>
    <row r="34910" spans="1:38">
      <c r="A34910" s="182"/>
    </row>
    <row r="34911" spans="1:38">
      <c r="A34911" s="182"/>
    </row>
    <row r="34912" spans="1:38">
      <c r="A34912" s="182"/>
    </row>
    <row r="34913" spans="1:38">
      <c r="A34913" s="182"/>
      <c r="AK34913" s="183"/>
      <c r="AL34913" s="183"/>
    </row>
    <row r="34914" spans="1:38">
      <c r="A34914" s="182"/>
      <c r="AJ34914" s="183"/>
      <c r="AK34914" s="183"/>
      <c r="AL34914" s="183"/>
    </row>
    <row r="34915" spans="1:38">
      <c r="A34915" s="182"/>
      <c r="AJ34915" s="183"/>
      <c r="AK34915" s="183"/>
      <c r="AL34915" s="183"/>
    </row>
    <row r="34916" spans="1:38">
      <c r="A34916" s="182"/>
      <c r="AJ34916" s="183"/>
      <c r="AK34916" s="183"/>
      <c r="AL34916" s="183"/>
    </row>
    <row r="34917" spans="1:38">
      <c r="A34917" s="182"/>
      <c r="AJ34917" s="183"/>
    </row>
    <row r="34918" spans="1:38">
      <c r="A34918" s="182"/>
    </row>
    <row r="34919" spans="1:38">
      <c r="A34919" s="182"/>
    </row>
    <row r="34920" spans="1:38">
      <c r="A34920" s="182"/>
    </row>
    <row r="34921" spans="1:38">
      <c r="A34921" s="182"/>
      <c r="AK34921" s="183"/>
      <c r="AL34921" s="183"/>
    </row>
    <row r="34922" spans="1:38">
      <c r="A34922" s="182"/>
      <c r="AJ34922" s="183"/>
      <c r="AK34922" s="183"/>
      <c r="AL34922" s="183"/>
    </row>
    <row r="34923" spans="1:38">
      <c r="A34923" s="182"/>
      <c r="AJ34923" s="183"/>
      <c r="AK34923" s="183"/>
      <c r="AL34923" s="183"/>
    </row>
    <row r="34924" spans="1:38">
      <c r="A34924" s="182"/>
      <c r="AJ34924" s="183"/>
      <c r="AK34924" s="183"/>
      <c r="AL34924" s="183"/>
    </row>
    <row r="34925" spans="1:38">
      <c r="A34925" s="182"/>
      <c r="AJ34925" s="183"/>
    </row>
    <row r="34926" spans="1:38">
      <c r="A34926" s="182"/>
    </row>
    <row r="34927" spans="1:38">
      <c r="A34927" s="182"/>
    </row>
    <row r="34928" spans="1:38">
      <c r="A34928" s="182"/>
    </row>
    <row r="34929" spans="1:38">
      <c r="A34929" s="182"/>
    </row>
    <row r="34930" spans="1:38">
      <c r="A34930" s="182"/>
    </row>
    <row r="34931" spans="1:38">
      <c r="A34931" s="182"/>
    </row>
    <row r="34932" spans="1:38">
      <c r="A34932" s="182"/>
    </row>
    <row r="34933" spans="1:38">
      <c r="A34933" s="182"/>
    </row>
    <row r="34934" spans="1:38">
      <c r="A34934" s="182"/>
    </row>
    <row r="34935" spans="1:38">
      <c r="A34935" s="182"/>
    </row>
    <row r="34936" spans="1:38">
      <c r="A34936" s="182"/>
    </row>
    <row r="34937" spans="1:38">
      <c r="A34937" s="182"/>
      <c r="AK34937" s="183"/>
      <c r="AL34937" s="183"/>
    </row>
    <row r="34938" spans="1:38">
      <c r="A34938" s="182"/>
      <c r="AJ34938" s="183"/>
      <c r="AK34938" s="183"/>
      <c r="AL34938" s="183"/>
    </row>
    <row r="34939" spans="1:38">
      <c r="A34939" s="182"/>
      <c r="AJ34939" s="183"/>
      <c r="AK34939" s="183"/>
      <c r="AL34939" s="183"/>
    </row>
    <row r="34940" spans="1:38">
      <c r="A34940" s="182"/>
      <c r="AJ34940" s="183"/>
      <c r="AK34940" s="183"/>
      <c r="AL34940" s="183"/>
    </row>
    <row r="34941" spans="1:38">
      <c r="A34941" s="182"/>
      <c r="AJ34941" s="183"/>
    </row>
    <row r="34942" spans="1:38">
      <c r="A34942" s="182"/>
    </row>
    <row r="34943" spans="1:38">
      <c r="A34943" s="182"/>
    </row>
    <row r="34944" spans="1:38">
      <c r="A34944" s="182"/>
    </row>
    <row r="34945" spans="1:38">
      <c r="A34945" s="182"/>
    </row>
    <row r="34946" spans="1:38">
      <c r="A34946" s="182"/>
    </row>
    <row r="34947" spans="1:38">
      <c r="A34947" s="182"/>
    </row>
    <row r="34948" spans="1:38">
      <c r="A34948" s="182"/>
    </row>
    <row r="34949" spans="1:38">
      <c r="A34949" s="182"/>
      <c r="AK34949" s="183"/>
      <c r="AL34949" s="183"/>
    </row>
    <row r="34950" spans="1:38">
      <c r="A34950" s="182"/>
      <c r="AJ34950" s="183"/>
      <c r="AK34950" s="183"/>
      <c r="AL34950" s="183"/>
    </row>
    <row r="34951" spans="1:38">
      <c r="A34951" s="182"/>
      <c r="AJ34951" s="183"/>
      <c r="AK34951" s="183"/>
      <c r="AL34951" s="183"/>
    </row>
    <row r="34952" spans="1:38">
      <c r="A34952" s="182"/>
      <c r="AJ34952" s="183"/>
      <c r="AK34952" s="183"/>
      <c r="AL34952" s="183"/>
    </row>
    <row r="34953" spans="1:38">
      <c r="A34953" s="182"/>
      <c r="AJ34953" s="183"/>
    </row>
    <row r="34954" spans="1:38">
      <c r="A34954" s="182"/>
    </row>
    <row r="34955" spans="1:38">
      <c r="A34955" s="182"/>
    </row>
    <row r="34956" spans="1:38">
      <c r="A34956" s="182"/>
    </row>
    <row r="34957" spans="1:38">
      <c r="A34957" s="182"/>
    </row>
    <row r="34958" spans="1:38">
      <c r="A34958" s="182"/>
    </row>
    <row r="34959" spans="1:38">
      <c r="A34959" s="182"/>
    </row>
    <row r="34960" spans="1:38">
      <c r="A34960" s="182"/>
    </row>
    <row r="34961" spans="1:1">
      <c r="A34961" s="182"/>
    </row>
    <row r="34962" spans="1:1">
      <c r="A34962" s="182"/>
    </row>
    <row r="34963" spans="1:1">
      <c r="A34963" s="182"/>
    </row>
    <row r="34964" spans="1:1">
      <c r="A34964" s="182"/>
    </row>
    <row r="34965" spans="1:1">
      <c r="A34965" s="182"/>
    </row>
    <row r="34966" spans="1:1">
      <c r="A34966" s="182"/>
    </row>
    <row r="34967" spans="1:1">
      <c r="A34967" s="182"/>
    </row>
    <row r="34968" spans="1:1">
      <c r="A34968" s="182"/>
    </row>
    <row r="34969" spans="1:1">
      <c r="A34969" s="182"/>
    </row>
    <row r="34970" spans="1:1">
      <c r="A34970" s="182"/>
    </row>
    <row r="34971" spans="1:1">
      <c r="A34971" s="182"/>
    </row>
    <row r="34972" spans="1:1">
      <c r="A34972" s="182"/>
    </row>
    <row r="34973" spans="1:1">
      <c r="A34973" s="182"/>
    </row>
    <row r="34974" spans="1:1">
      <c r="A34974" s="182"/>
    </row>
    <row r="34975" spans="1:1">
      <c r="A34975" s="182"/>
    </row>
    <row r="34976" spans="1:1">
      <c r="A34976" s="182"/>
    </row>
    <row r="34977" spans="1:38">
      <c r="A34977" s="182"/>
    </row>
    <row r="34978" spans="1:38">
      <c r="A34978" s="182"/>
    </row>
    <row r="34979" spans="1:38">
      <c r="A34979" s="182"/>
    </row>
    <row r="34980" spans="1:38">
      <c r="A34980" s="182"/>
    </row>
    <row r="34981" spans="1:38">
      <c r="A34981" s="182"/>
    </row>
    <row r="34982" spans="1:38">
      <c r="A34982" s="182"/>
    </row>
    <row r="34983" spans="1:38">
      <c r="A34983" s="182"/>
    </row>
    <row r="34984" spans="1:38">
      <c r="A34984" s="182"/>
    </row>
    <row r="34985" spans="1:38">
      <c r="A34985" s="182"/>
      <c r="AK34985" s="183"/>
      <c r="AL34985" s="183"/>
    </row>
    <row r="34986" spans="1:38">
      <c r="A34986" s="182"/>
      <c r="AJ34986" s="183"/>
      <c r="AK34986" s="183"/>
      <c r="AL34986" s="183"/>
    </row>
    <row r="34987" spans="1:38">
      <c r="A34987" s="182"/>
      <c r="AJ34987" s="183"/>
      <c r="AK34987" s="183"/>
      <c r="AL34987" s="183"/>
    </row>
    <row r="34988" spans="1:38">
      <c r="A34988" s="182"/>
      <c r="AJ34988" s="183"/>
      <c r="AK34988" s="183"/>
      <c r="AL34988" s="183"/>
    </row>
    <row r="34989" spans="1:38">
      <c r="A34989" s="182"/>
      <c r="AJ34989" s="183"/>
    </row>
    <row r="34990" spans="1:38">
      <c r="A34990" s="182"/>
    </row>
    <row r="34991" spans="1:38">
      <c r="A34991" s="182"/>
    </row>
    <row r="34992" spans="1:38">
      <c r="A34992" s="182"/>
    </row>
    <row r="34993" spans="1:1">
      <c r="A34993" s="182"/>
    </row>
    <row r="34994" spans="1:1">
      <c r="A34994" s="182"/>
    </row>
    <row r="34995" spans="1:1">
      <c r="A34995" s="182"/>
    </row>
    <row r="34996" spans="1:1">
      <c r="A34996" s="182"/>
    </row>
    <row r="34997" spans="1:1">
      <c r="A34997" s="182"/>
    </row>
    <row r="34998" spans="1:1">
      <c r="A34998" s="182"/>
    </row>
    <row r="34999" spans="1:1">
      <c r="A34999" s="182"/>
    </row>
    <row r="35000" spans="1:1">
      <c r="A35000" s="182"/>
    </row>
    <row r="35001" spans="1:1">
      <c r="A35001" s="182"/>
    </row>
    <row r="35002" spans="1:1">
      <c r="A35002" s="182"/>
    </row>
    <row r="35003" spans="1:1">
      <c r="A35003" s="182"/>
    </row>
    <row r="35004" spans="1:1">
      <c r="A35004" s="182"/>
    </row>
    <row r="35005" spans="1:1">
      <c r="A35005" s="182"/>
    </row>
    <row r="35006" spans="1:1">
      <c r="A35006" s="182"/>
    </row>
    <row r="35007" spans="1:1">
      <c r="A35007" s="182"/>
    </row>
    <row r="35008" spans="1:1">
      <c r="A35008" s="182"/>
    </row>
    <row r="35009" spans="1:1">
      <c r="A35009" s="182"/>
    </row>
    <row r="35010" spans="1:1">
      <c r="A35010" s="182"/>
    </row>
    <row r="35011" spans="1:1">
      <c r="A35011" s="182"/>
    </row>
    <row r="35012" spans="1:1">
      <c r="A35012" s="182"/>
    </row>
    <row r="35013" spans="1:1">
      <c r="A35013" s="182"/>
    </row>
    <row r="35014" spans="1:1">
      <c r="A35014" s="182"/>
    </row>
    <row r="35015" spans="1:1">
      <c r="A35015" s="182"/>
    </row>
    <row r="35016" spans="1:1">
      <c r="A35016" s="182"/>
    </row>
    <row r="35017" spans="1:1">
      <c r="A35017" s="182"/>
    </row>
    <row r="35018" spans="1:1">
      <c r="A35018" s="182"/>
    </row>
    <row r="35019" spans="1:1">
      <c r="A35019" s="182"/>
    </row>
    <row r="35020" spans="1:1">
      <c r="A35020" s="182"/>
    </row>
    <row r="35021" spans="1:1">
      <c r="A35021" s="182"/>
    </row>
    <row r="35022" spans="1:1">
      <c r="A35022" s="182"/>
    </row>
    <row r="35023" spans="1:1">
      <c r="A35023" s="182"/>
    </row>
    <row r="35024" spans="1:1">
      <c r="A35024" s="182"/>
    </row>
    <row r="35025" spans="1:1">
      <c r="A35025" s="182"/>
    </row>
    <row r="35026" spans="1:1">
      <c r="A35026" s="182"/>
    </row>
    <row r="35027" spans="1:1">
      <c r="A35027" s="182"/>
    </row>
    <row r="35028" spans="1:1">
      <c r="A35028" s="182"/>
    </row>
    <row r="35029" spans="1:1">
      <c r="A35029" s="182"/>
    </row>
    <row r="35030" spans="1:1">
      <c r="A35030" s="182"/>
    </row>
    <row r="35031" spans="1:1">
      <c r="A35031" s="182"/>
    </row>
    <row r="35032" spans="1:1">
      <c r="A35032" s="182"/>
    </row>
    <row r="35033" spans="1:1">
      <c r="A35033" s="182"/>
    </row>
    <row r="35034" spans="1:1">
      <c r="A35034" s="182"/>
    </row>
    <row r="35035" spans="1:1">
      <c r="A35035" s="182"/>
    </row>
    <row r="35036" spans="1:1">
      <c r="A35036" s="182"/>
    </row>
    <row r="35037" spans="1:1">
      <c r="A35037" s="182"/>
    </row>
    <row r="35038" spans="1:1">
      <c r="A35038" s="182"/>
    </row>
    <row r="35039" spans="1:1">
      <c r="A35039" s="182"/>
    </row>
    <row r="35040" spans="1:1">
      <c r="A35040" s="182"/>
    </row>
    <row r="35041" spans="1:38">
      <c r="A35041" s="182"/>
      <c r="AK35041" s="183"/>
      <c r="AL35041" s="183"/>
    </row>
    <row r="35042" spans="1:38">
      <c r="A35042" s="182"/>
      <c r="AJ35042" s="183"/>
      <c r="AK35042" s="183"/>
      <c r="AL35042" s="183"/>
    </row>
    <row r="35043" spans="1:38">
      <c r="A35043" s="182"/>
      <c r="AJ35043" s="183"/>
      <c r="AK35043" s="183"/>
      <c r="AL35043" s="183"/>
    </row>
    <row r="35044" spans="1:38">
      <c r="A35044" s="182"/>
      <c r="AJ35044" s="183"/>
      <c r="AK35044" s="183"/>
      <c r="AL35044" s="183"/>
    </row>
    <row r="35045" spans="1:38">
      <c r="A35045" s="182"/>
      <c r="AJ35045" s="183"/>
    </row>
    <row r="35046" spans="1:38">
      <c r="A35046" s="182"/>
    </row>
    <row r="35047" spans="1:38">
      <c r="A35047" s="182"/>
    </row>
    <row r="35048" spans="1:38">
      <c r="A35048" s="182"/>
    </row>
    <row r="35049" spans="1:38">
      <c r="A35049" s="182"/>
    </row>
    <row r="35050" spans="1:38">
      <c r="A35050" s="182"/>
    </row>
    <row r="35051" spans="1:38">
      <c r="A35051" s="182"/>
    </row>
    <row r="35052" spans="1:38">
      <c r="A35052" s="182"/>
    </row>
    <row r="35053" spans="1:38">
      <c r="A35053" s="182"/>
      <c r="AK35053" s="183"/>
      <c r="AL35053" s="183"/>
    </row>
    <row r="35054" spans="1:38">
      <c r="A35054" s="182"/>
      <c r="AJ35054" s="183"/>
      <c r="AK35054" s="183"/>
      <c r="AL35054" s="183"/>
    </row>
    <row r="35055" spans="1:38">
      <c r="A35055" s="182"/>
      <c r="AJ35055" s="183"/>
      <c r="AK35055" s="183"/>
      <c r="AL35055" s="183"/>
    </row>
    <row r="35056" spans="1:38">
      <c r="A35056" s="182"/>
      <c r="AJ35056" s="183"/>
      <c r="AK35056" s="183"/>
      <c r="AL35056" s="183"/>
    </row>
    <row r="35057" spans="1:38">
      <c r="A35057" s="182"/>
      <c r="AJ35057" s="183"/>
    </row>
    <row r="35058" spans="1:38">
      <c r="A35058" s="182"/>
    </row>
    <row r="35059" spans="1:38">
      <c r="A35059" s="182"/>
    </row>
    <row r="35060" spans="1:38">
      <c r="A35060" s="182"/>
    </row>
    <row r="35061" spans="1:38">
      <c r="A35061" s="182"/>
      <c r="AK35061" s="183"/>
      <c r="AL35061" s="183"/>
    </row>
    <row r="35062" spans="1:38">
      <c r="A35062" s="182"/>
      <c r="AJ35062" s="183"/>
      <c r="AK35062" s="183"/>
      <c r="AL35062" s="183"/>
    </row>
    <row r="35063" spans="1:38">
      <c r="A35063" s="182"/>
      <c r="AJ35063" s="183"/>
      <c r="AK35063" s="183"/>
      <c r="AL35063" s="183"/>
    </row>
    <row r="35064" spans="1:38">
      <c r="A35064" s="182"/>
      <c r="AJ35064" s="183"/>
      <c r="AK35064" s="183"/>
      <c r="AL35064" s="183"/>
    </row>
    <row r="35065" spans="1:38">
      <c r="A35065" s="182"/>
      <c r="AJ35065" s="183"/>
      <c r="AK35065" s="183"/>
      <c r="AL35065" s="183"/>
    </row>
    <row r="35066" spans="1:38">
      <c r="A35066" s="182"/>
      <c r="AJ35066" s="183"/>
      <c r="AK35066" s="183"/>
      <c r="AL35066" s="183"/>
    </row>
    <row r="35067" spans="1:38">
      <c r="A35067" s="182"/>
      <c r="AJ35067" s="183"/>
      <c r="AK35067" s="183"/>
      <c r="AL35067" s="183"/>
    </row>
    <row r="35068" spans="1:38">
      <c r="A35068" s="182"/>
      <c r="AJ35068" s="183"/>
      <c r="AK35068" s="183"/>
      <c r="AL35068" s="183"/>
    </row>
    <row r="35069" spans="1:38">
      <c r="A35069" s="182"/>
      <c r="AJ35069" s="183"/>
    </row>
    <row r="35070" spans="1:38">
      <c r="A35070" s="182"/>
    </row>
    <row r="35071" spans="1:38">
      <c r="A35071" s="182"/>
    </row>
    <row r="35072" spans="1:38">
      <c r="A35072" s="182"/>
    </row>
    <row r="35073" spans="1:38">
      <c r="A35073" s="182"/>
    </row>
    <row r="35074" spans="1:38">
      <c r="A35074" s="182"/>
    </row>
    <row r="35075" spans="1:38">
      <c r="A35075" s="182"/>
    </row>
    <row r="35076" spans="1:38">
      <c r="A35076" s="182"/>
    </row>
    <row r="35077" spans="1:38">
      <c r="A35077" s="182"/>
      <c r="AK35077" s="183"/>
      <c r="AL35077" s="183"/>
    </row>
    <row r="35078" spans="1:38">
      <c r="A35078" s="182"/>
      <c r="AJ35078" s="183"/>
      <c r="AK35078" s="183"/>
      <c r="AL35078" s="183"/>
    </row>
    <row r="35079" spans="1:38">
      <c r="A35079" s="182"/>
      <c r="AJ35079" s="183"/>
      <c r="AK35079" s="183"/>
      <c r="AL35079" s="183"/>
    </row>
    <row r="35080" spans="1:38">
      <c r="A35080" s="182"/>
      <c r="AJ35080" s="183"/>
      <c r="AK35080" s="183"/>
      <c r="AL35080" s="183"/>
    </row>
    <row r="35081" spans="1:38">
      <c r="A35081" s="182"/>
      <c r="AJ35081" s="183"/>
    </row>
    <row r="35082" spans="1:38">
      <c r="A35082" s="182"/>
    </row>
    <row r="35083" spans="1:38">
      <c r="A35083" s="182"/>
    </row>
    <row r="35084" spans="1:38">
      <c r="A35084" s="182"/>
    </row>
    <row r="35085" spans="1:38">
      <c r="A35085" s="182"/>
    </row>
    <row r="35086" spans="1:38">
      <c r="A35086" s="182"/>
    </row>
    <row r="35087" spans="1:38">
      <c r="A35087" s="182"/>
    </row>
    <row r="35088" spans="1:38">
      <c r="A35088" s="182"/>
    </row>
    <row r="35089" spans="1:1">
      <c r="A35089" s="182"/>
    </row>
    <row r="35090" spans="1:1">
      <c r="A35090" s="182"/>
    </row>
    <row r="35091" spans="1:1">
      <c r="A35091" s="182"/>
    </row>
    <row r="35092" spans="1:1">
      <c r="A35092" s="182"/>
    </row>
    <row r="35093" spans="1:1">
      <c r="A35093" s="182"/>
    </row>
    <row r="35094" spans="1:1">
      <c r="A35094" s="182"/>
    </row>
    <row r="35095" spans="1:1">
      <c r="A35095" s="182"/>
    </row>
    <row r="35096" spans="1:1">
      <c r="A35096" s="182"/>
    </row>
    <row r="35097" spans="1:1">
      <c r="A35097" s="182"/>
    </row>
    <row r="35098" spans="1:1">
      <c r="A35098" s="182"/>
    </row>
    <row r="35099" spans="1:1">
      <c r="A35099" s="182"/>
    </row>
    <row r="35100" spans="1:1">
      <c r="A35100" s="182"/>
    </row>
    <row r="35101" spans="1:1">
      <c r="A35101" s="182"/>
    </row>
    <row r="35102" spans="1:1">
      <c r="A35102" s="182"/>
    </row>
    <row r="35103" spans="1:1">
      <c r="A35103" s="182"/>
    </row>
    <row r="35104" spans="1:1">
      <c r="A35104" s="182"/>
    </row>
    <row r="35105" spans="1:1">
      <c r="A35105" s="182"/>
    </row>
    <row r="35106" spans="1:1">
      <c r="A35106" s="182"/>
    </row>
    <row r="35107" spans="1:1">
      <c r="A35107" s="182"/>
    </row>
    <row r="35108" spans="1:1">
      <c r="A35108" s="182"/>
    </row>
    <row r="35109" spans="1:1">
      <c r="A35109" s="182"/>
    </row>
    <row r="35110" spans="1:1">
      <c r="A35110" s="182"/>
    </row>
    <row r="35111" spans="1:1">
      <c r="A35111" s="182"/>
    </row>
    <row r="35112" spans="1:1">
      <c r="A35112" s="182"/>
    </row>
    <row r="35113" spans="1:1">
      <c r="A35113" s="182"/>
    </row>
    <row r="35114" spans="1:1">
      <c r="A35114" s="182"/>
    </row>
    <row r="35115" spans="1:1">
      <c r="A35115" s="182"/>
    </row>
    <row r="35116" spans="1:1">
      <c r="A35116" s="182"/>
    </row>
    <row r="35117" spans="1:1">
      <c r="A35117" s="182"/>
    </row>
    <row r="35118" spans="1:1">
      <c r="A35118" s="182"/>
    </row>
    <row r="35119" spans="1:1">
      <c r="A35119" s="182"/>
    </row>
    <row r="35120" spans="1:1">
      <c r="A35120" s="182"/>
    </row>
    <row r="35121" spans="1:1">
      <c r="A35121" s="182"/>
    </row>
    <row r="35122" spans="1:1">
      <c r="A35122" s="182"/>
    </row>
    <row r="35123" spans="1:1">
      <c r="A35123" s="182"/>
    </row>
    <row r="35124" spans="1:1">
      <c r="A35124" s="182"/>
    </row>
    <row r="35125" spans="1:1">
      <c r="A35125" s="182"/>
    </row>
    <row r="35126" spans="1:1">
      <c r="A35126" s="182"/>
    </row>
    <row r="35127" spans="1:1">
      <c r="A35127" s="182"/>
    </row>
    <row r="35128" spans="1:1">
      <c r="A35128" s="182"/>
    </row>
    <row r="35129" spans="1:1">
      <c r="A35129" s="182"/>
    </row>
    <row r="35130" spans="1:1">
      <c r="A35130" s="182"/>
    </row>
    <row r="35131" spans="1:1">
      <c r="A35131" s="182"/>
    </row>
    <row r="35132" spans="1:1">
      <c r="A35132" s="182"/>
    </row>
    <row r="35133" spans="1:1">
      <c r="A35133" s="182"/>
    </row>
    <row r="35134" spans="1:1">
      <c r="A35134" s="182"/>
    </row>
    <row r="35135" spans="1:1">
      <c r="A35135" s="182"/>
    </row>
    <row r="35136" spans="1:1">
      <c r="A35136" s="182"/>
    </row>
    <row r="35137" spans="1:14">
      <c r="A35137" s="182"/>
    </row>
    <row r="35138" spans="1:14">
      <c r="A35138" s="182"/>
    </row>
    <row r="35139" spans="1:14">
      <c r="A35139" s="182"/>
    </row>
    <row r="35140" spans="1:14">
      <c r="A35140" s="182"/>
    </row>
    <row r="35141" spans="1:14">
      <c r="A35141" s="182"/>
    </row>
    <row r="35142" spans="1:14">
      <c r="A35142" s="182"/>
    </row>
    <row r="35143" spans="1:14">
      <c r="A35143" s="182"/>
      <c r="M35143" s="183"/>
      <c r="N35143" s="183"/>
    </row>
    <row r="35144" spans="1:14">
      <c r="A35144" s="182"/>
      <c r="L35144" s="183"/>
      <c r="M35144" s="183"/>
      <c r="N35144" s="183"/>
    </row>
    <row r="35145" spans="1:14">
      <c r="A35145" s="182"/>
      <c r="L35145" s="183"/>
      <c r="M35145" s="183"/>
      <c r="N35145" s="183"/>
    </row>
    <row r="35146" spans="1:14">
      <c r="A35146" s="182"/>
      <c r="L35146" s="183"/>
      <c r="M35146" s="183"/>
      <c r="N35146" s="183"/>
    </row>
    <row r="35147" spans="1:14">
      <c r="A35147" s="182"/>
      <c r="L35147" s="183"/>
      <c r="M35147" s="183"/>
      <c r="N35147" s="183"/>
    </row>
    <row r="35148" spans="1:14">
      <c r="A35148" s="182"/>
      <c r="L35148" s="183"/>
      <c r="M35148" s="183"/>
      <c r="N35148" s="183"/>
    </row>
    <row r="35149" spans="1:14">
      <c r="A35149" s="182"/>
      <c r="L35149" s="183"/>
      <c r="M35149" s="183"/>
      <c r="N35149" s="183"/>
    </row>
    <row r="35150" spans="1:14">
      <c r="A35150" s="182"/>
      <c r="L35150" s="183"/>
      <c r="M35150" s="183"/>
      <c r="N35150" s="183"/>
    </row>
    <row r="35151" spans="1:14">
      <c r="A35151" s="182"/>
      <c r="L35151" s="183"/>
      <c r="M35151" s="183"/>
      <c r="N35151" s="183"/>
    </row>
    <row r="35152" spans="1:14">
      <c r="A35152" s="182"/>
      <c r="L35152" s="183"/>
      <c r="M35152" s="183"/>
      <c r="N35152" s="183"/>
    </row>
    <row r="35153" spans="1:14">
      <c r="A35153" s="182"/>
      <c r="L35153" s="183"/>
      <c r="M35153" s="183"/>
      <c r="N35153" s="183"/>
    </row>
    <row r="35154" spans="1:14">
      <c r="A35154" s="182"/>
      <c r="L35154" s="183"/>
      <c r="M35154" s="183"/>
      <c r="N35154" s="183"/>
    </row>
    <row r="35155" spans="1:14">
      <c r="A35155" s="182"/>
      <c r="L35155" s="183"/>
      <c r="M35155" s="183"/>
      <c r="N35155" s="183"/>
    </row>
    <row r="35156" spans="1:14">
      <c r="A35156" s="182"/>
      <c r="L35156" s="183"/>
    </row>
    <row r="35157" spans="1:14">
      <c r="A35157" s="182"/>
    </row>
    <row r="35158" spans="1:14">
      <c r="A35158" s="182"/>
    </row>
    <row r="35159" spans="1:14">
      <c r="A35159" s="182"/>
    </row>
    <row r="35160" spans="1:14">
      <c r="A35160" s="182"/>
    </row>
    <row r="35161" spans="1:14">
      <c r="A35161" s="182"/>
    </row>
    <row r="35162" spans="1:14">
      <c r="A35162" s="182"/>
    </row>
    <row r="35163" spans="1:14">
      <c r="A35163" s="182"/>
    </row>
    <row r="35164" spans="1:14">
      <c r="A35164" s="182"/>
    </row>
    <row r="35165" spans="1:14">
      <c r="A35165" s="182"/>
    </row>
    <row r="35166" spans="1:14">
      <c r="A35166" s="182"/>
    </row>
    <row r="35167" spans="1:14">
      <c r="A35167" s="182"/>
    </row>
    <row r="35168" spans="1:14">
      <c r="A35168" s="182"/>
    </row>
    <row r="35169" spans="1:38">
      <c r="A35169" s="182"/>
    </row>
    <row r="35170" spans="1:38">
      <c r="A35170" s="182"/>
    </row>
    <row r="35171" spans="1:38">
      <c r="A35171" s="182"/>
    </row>
    <row r="35172" spans="1:38">
      <c r="A35172" s="182"/>
    </row>
    <row r="35173" spans="1:38">
      <c r="A35173" s="182"/>
    </row>
    <row r="35174" spans="1:38">
      <c r="A35174" s="182"/>
    </row>
    <row r="35175" spans="1:38">
      <c r="A35175" s="182"/>
    </row>
    <row r="35176" spans="1:38">
      <c r="A35176" s="182"/>
    </row>
    <row r="35177" spans="1:38">
      <c r="A35177" s="182"/>
      <c r="AK35177" s="183"/>
      <c r="AL35177" s="183"/>
    </row>
    <row r="35178" spans="1:38">
      <c r="A35178" s="182"/>
      <c r="AJ35178" s="183"/>
      <c r="AK35178" s="183"/>
      <c r="AL35178" s="183"/>
    </row>
    <row r="35179" spans="1:38">
      <c r="A35179" s="182"/>
      <c r="AJ35179" s="183"/>
      <c r="AK35179" s="183"/>
      <c r="AL35179" s="183"/>
    </row>
    <row r="35180" spans="1:38">
      <c r="A35180" s="182"/>
      <c r="AJ35180" s="183"/>
      <c r="AK35180" s="183"/>
      <c r="AL35180" s="183"/>
    </row>
    <row r="35181" spans="1:38">
      <c r="A35181" s="182"/>
      <c r="AJ35181" s="183"/>
      <c r="AK35181" s="183"/>
      <c r="AL35181" s="183"/>
    </row>
    <row r="35182" spans="1:38">
      <c r="A35182" s="182"/>
      <c r="AJ35182" s="183"/>
      <c r="AK35182" s="183"/>
      <c r="AL35182" s="183"/>
    </row>
    <row r="35183" spans="1:38">
      <c r="A35183" s="182"/>
      <c r="AJ35183" s="183"/>
      <c r="AK35183" s="183"/>
      <c r="AL35183" s="183"/>
    </row>
    <row r="35184" spans="1:38">
      <c r="A35184" s="182"/>
      <c r="AJ35184" s="183"/>
      <c r="AK35184" s="183"/>
      <c r="AL35184" s="183"/>
    </row>
    <row r="35185" spans="1:36">
      <c r="A35185" s="182"/>
      <c r="AJ35185" s="183"/>
    </row>
    <row r="35186" spans="1:36">
      <c r="A35186" s="182"/>
    </row>
    <row r="35187" spans="1:36">
      <c r="A35187" s="182"/>
    </row>
    <row r="35188" spans="1:36">
      <c r="A35188" s="182"/>
    </row>
    <row r="35189" spans="1:36">
      <c r="A35189" s="182"/>
    </row>
    <row r="35190" spans="1:36">
      <c r="A35190" s="182"/>
    </row>
    <row r="35191" spans="1:36">
      <c r="A35191" s="182"/>
      <c r="N35191" s="183"/>
      <c r="O35191" s="183"/>
    </row>
    <row r="35192" spans="1:36">
      <c r="A35192" s="182"/>
      <c r="M35192" s="183"/>
    </row>
    <row r="35193" spans="1:36">
      <c r="A35193" s="182"/>
    </row>
    <row r="35194" spans="1:36">
      <c r="A35194" s="182"/>
    </row>
    <row r="35195" spans="1:36">
      <c r="A35195" s="182"/>
    </row>
    <row r="35196" spans="1:36">
      <c r="A35196" s="182"/>
    </row>
    <row r="35197" spans="1:36">
      <c r="A35197" s="182"/>
    </row>
    <row r="35198" spans="1:36">
      <c r="A35198" s="182"/>
    </row>
    <row r="35199" spans="1:36">
      <c r="A35199" s="182"/>
    </row>
    <row r="35200" spans="1:36">
      <c r="A35200" s="182"/>
    </row>
    <row r="35201" spans="1:1">
      <c r="A35201" s="182"/>
    </row>
    <row r="35202" spans="1:1">
      <c r="A35202" s="182"/>
    </row>
    <row r="35203" spans="1:1">
      <c r="A35203" s="182"/>
    </row>
    <row r="35204" spans="1:1">
      <c r="A35204" s="182"/>
    </row>
    <row r="35205" spans="1:1">
      <c r="A35205" s="182"/>
    </row>
    <row r="35206" spans="1:1">
      <c r="A35206" s="182"/>
    </row>
    <row r="35207" spans="1:1">
      <c r="A35207" s="182"/>
    </row>
    <row r="35208" spans="1:1">
      <c r="A35208" s="182"/>
    </row>
    <row r="35209" spans="1:1">
      <c r="A35209" s="182"/>
    </row>
    <row r="35210" spans="1:1">
      <c r="A35210" s="182"/>
    </row>
    <row r="35211" spans="1:1">
      <c r="A35211" s="182"/>
    </row>
    <row r="35212" spans="1:1">
      <c r="A35212" s="182"/>
    </row>
    <row r="35213" spans="1:1">
      <c r="A35213" s="182"/>
    </row>
    <row r="35214" spans="1:1">
      <c r="A35214" s="182"/>
    </row>
    <row r="35215" spans="1:1">
      <c r="A35215" s="182"/>
    </row>
    <row r="35216" spans="1:1">
      <c r="A35216" s="182"/>
    </row>
    <row r="35217" spans="1:38">
      <c r="A35217" s="182"/>
      <c r="AK35217" s="183"/>
      <c r="AL35217" s="183"/>
    </row>
    <row r="35218" spans="1:38">
      <c r="A35218" s="182"/>
      <c r="AJ35218" s="183"/>
      <c r="AK35218" s="183"/>
      <c r="AL35218" s="183"/>
    </row>
    <row r="35219" spans="1:38">
      <c r="A35219" s="182"/>
      <c r="AJ35219" s="183"/>
      <c r="AK35219" s="183"/>
      <c r="AL35219" s="183"/>
    </row>
    <row r="35220" spans="1:38">
      <c r="A35220" s="182"/>
      <c r="AJ35220" s="183"/>
      <c r="AK35220" s="183"/>
      <c r="AL35220" s="183"/>
    </row>
    <row r="35221" spans="1:38">
      <c r="A35221" s="182"/>
      <c r="AJ35221" s="183"/>
    </row>
    <row r="35222" spans="1:38">
      <c r="A35222" s="182"/>
    </row>
    <row r="35223" spans="1:38">
      <c r="A35223" s="182"/>
    </row>
    <row r="35224" spans="1:38">
      <c r="A35224" s="182"/>
    </row>
    <row r="35225" spans="1:38">
      <c r="A35225" s="182"/>
    </row>
    <row r="35226" spans="1:38">
      <c r="A35226" s="182"/>
    </row>
    <row r="35227" spans="1:38">
      <c r="A35227" s="182"/>
    </row>
    <row r="35228" spans="1:38">
      <c r="A35228" s="182"/>
    </row>
    <row r="35229" spans="1:38">
      <c r="A35229" s="182"/>
    </row>
    <row r="35230" spans="1:38">
      <c r="A35230" s="182"/>
    </row>
    <row r="35231" spans="1:38">
      <c r="A35231" s="182"/>
    </row>
    <row r="35232" spans="1:38">
      <c r="A35232" s="182"/>
    </row>
    <row r="35233" spans="1:38">
      <c r="A35233" s="182"/>
    </row>
    <row r="35234" spans="1:38">
      <c r="A35234" s="182"/>
    </row>
    <row r="35235" spans="1:38">
      <c r="A35235" s="182"/>
    </row>
    <row r="35236" spans="1:38">
      <c r="A35236" s="182"/>
    </row>
    <row r="35237" spans="1:38">
      <c r="A35237" s="182"/>
    </row>
    <row r="35238" spans="1:38">
      <c r="A35238" s="182"/>
    </row>
    <row r="35239" spans="1:38">
      <c r="A35239" s="182"/>
    </row>
    <row r="35240" spans="1:38">
      <c r="A35240" s="182"/>
    </row>
    <row r="35241" spans="1:38">
      <c r="A35241" s="182"/>
      <c r="AK35241" s="183"/>
      <c r="AL35241" s="183"/>
    </row>
    <row r="35242" spans="1:38">
      <c r="A35242" s="182"/>
      <c r="AJ35242" s="183"/>
      <c r="AK35242" s="183"/>
      <c r="AL35242" s="183"/>
    </row>
    <row r="35243" spans="1:38">
      <c r="A35243" s="182"/>
      <c r="AJ35243" s="183"/>
      <c r="AK35243" s="183"/>
      <c r="AL35243" s="183"/>
    </row>
    <row r="35244" spans="1:38">
      <c r="A35244" s="182"/>
      <c r="AJ35244" s="183"/>
      <c r="AK35244" s="183"/>
      <c r="AL35244" s="183"/>
    </row>
    <row r="35245" spans="1:38">
      <c r="A35245" s="182"/>
      <c r="AJ35245" s="183"/>
    </row>
    <row r="35246" spans="1:38">
      <c r="A35246" s="182"/>
    </row>
    <row r="35247" spans="1:38">
      <c r="A35247" s="182"/>
    </row>
    <row r="35248" spans="1:38">
      <c r="A35248" s="182"/>
    </row>
    <row r="35249" spans="1:1">
      <c r="A35249" s="182"/>
    </row>
    <row r="35250" spans="1:1">
      <c r="A35250" s="182"/>
    </row>
    <row r="35251" spans="1:1">
      <c r="A35251" s="182"/>
    </row>
    <row r="35252" spans="1:1">
      <c r="A35252" s="182"/>
    </row>
    <row r="35253" spans="1:1">
      <c r="A35253" s="182"/>
    </row>
    <row r="35254" spans="1:1">
      <c r="A35254" s="182"/>
    </row>
    <row r="35255" spans="1:1">
      <c r="A35255" s="182"/>
    </row>
    <row r="35256" spans="1:1">
      <c r="A35256" s="182"/>
    </row>
    <row r="35257" spans="1:1">
      <c r="A35257" s="182"/>
    </row>
    <row r="35258" spans="1:1">
      <c r="A35258" s="182"/>
    </row>
    <row r="35259" spans="1:1">
      <c r="A35259" s="182"/>
    </row>
    <row r="35260" spans="1:1">
      <c r="A35260" s="182"/>
    </row>
    <row r="35261" spans="1:1">
      <c r="A35261" s="182"/>
    </row>
    <row r="35262" spans="1:1">
      <c r="A35262" s="182"/>
    </row>
    <row r="35263" spans="1:1">
      <c r="A35263" s="182"/>
    </row>
    <row r="35264" spans="1:1">
      <c r="A35264" s="182"/>
    </row>
    <row r="35265" spans="1:1">
      <c r="A35265" s="182"/>
    </row>
    <row r="35266" spans="1:1">
      <c r="A35266" s="182"/>
    </row>
    <row r="35267" spans="1:1">
      <c r="A35267" s="182"/>
    </row>
    <row r="35268" spans="1:1">
      <c r="A35268" s="182"/>
    </row>
    <row r="35269" spans="1:1">
      <c r="A35269" s="182"/>
    </row>
    <row r="35270" spans="1:1">
      <c r="A35270" s="182"/>
    </row>
    <row r="35271" spans="1:1">
      <c r="A35271" s="182"/>
    </row>
    <row r="35272" spans="1:1">
      <c r="A35272" s="182"/>
    </row>
    <row r="35273" spans="1:1">
      <c r="A35273" s="182"/>
    </row>
    <row r="35274" spans="1:1">
      <c r="A35274" s="182"/>
    </row>
    <row r="35275" spans="1:1">
      <c r="A35275" s="182"/>
    </row>
    <row r="35276" spans="1:1">
      <c r="A35276" s="182"/>
    </row>
    <row r="35277" spans="1:1">
      <c r="A35277" s="182"/>
    </row>
    <row r="35278" spans="1:1">
      <c r="A35278" s="182"/>
    </row>
    <row r="35279" spans="1:1">
      <c r="A35279" s="182"/>
    </row>
    <row r="35280" spans="1:1">
      <c r="A35280" s="182"/>
    </row>
    <row r="35281" spans="1:1">
      <c r="A35281" s="182"/>
    </row>
    <row r="35282" spans="1:1">
      <c r="A35282" s="182"/>
    </row>
    <row r="35283" spans="1:1">
      <c r="A35283" s="182"/>
    </row>
    <row r="35284" spans="1:1">
      <c r="A35284" s="182"/>
    </row>
    <row r="35285" spans="1:1">
      <c r="A35285" s="182"/>
    </row>
    <row r="35286" spans="1:1">
      <c r="A35286" s="182"/>
    </row>
    <row r="35287" spans="1:1">
      <c r="A35287" s="182"/>
    </row>
    <row r="35288" spans="1:1">
      <c r="A35288" s="182"/>
    </row>
    <row r="35289" spans="1:1">
      <c r="A35289" s="182"/>
    </row>
    <row r="35290" spans="1:1">
      <c r="A35290" s="182"/>
    </row>
    <row r="35291" spans="1:1">
      <c r="A35291" s="182"/>
    </row>
    <row r="35292" spans="1:1">
      <c r="A35292" s="182"/>
    </row>
    <row r="35293" spans="1:1">
      <c r="A35293" s="182"/>
    </row>
    <row r="35294" spans="1:1">
      <c r="A35294" s="182"/>
    </row>
    <row r="35295" spans="1:1">
      <c r="A35295" s="182"/>
    </row>
    <row r="35296" spans="1:1">
      <c r="A35296" s="182"/>
    </row>
    <row r="35297" spans="1:38">
      <c r="A35297" s="182"/>
      <c r="AK35297" s="183"/>
      <c r="AL35297" s="183"/>
    </row>
    <row r="35298" spans="1:38">
      <c r="A35298" s="182"/>
      <c r="AJ35298" s="183"/>
      <c r="AK35298" s="183"/>
      <c r="AL35298" s="183"/>
    </row>
    <row r="35299" spans="1:38">
      <c r="A35299" s="182"/>
      <c r="AJ35299" s="183"/>
      <c r="AK35299" s="183"/>
      <c r="AL35299" s="183"/>
    </row>
    <row r="35300" spans="1:38">
      <c r="A35300" s="182"/>
      <c r="AJ35300" s="183"/>
      <c r="AK35300" s="183"/>
      <c r="AL35300" s="183"/>
    </row>
    <row r="35301" spans="1:38">
      <c r="A35301" s="182"/>
      <c r="AJ35301" s="183"/>
    </row>
    <row r="35302" spans="1:38">
      <c r="A35302" s="182"/>
    </row>
    <row r="35303" spans="1:38">
      <c r="A35303" s="182"/>
    </row>
    <row r="35304" spans="1:38">
      <c r="A35304" s="182"/>
      <c r="N35304" s="183"/>
      <c r="O35304" s="183"/>
    </row>
    <row r="35305" spans="1:38">
      <c r="A35305" s="182"/>
      <c r="M35305" s="183"/>
      <c r="N35305" s="183"/>
      <c r="O35305" s="183"/>
    </row>
    <row r="35306" spans="1:38">
      <c r="A35306" s="182"/>
      <c r="M35306" s="183"/>
    </row>
    <row r="35307" spans="1:38">
      <c r="A35307" s="182"/>
    </row>
    <row r="35308" spans="1:38">
      <c r="A35308" s="182"/>
    </row>
    <row r="35309" spans="1:38">
      <c r="A35309" s="182"/>
    </row>
    <row r="35310" spans="1:38">
      <c r="A35310" s="182"/>
    </row>
    <row r="35311" spans="1:38">
      <c r="A35311" s="182"/>
    </row>
    <row r="35312" spans="1:38">
      <c r="A35312" s="182"/>
    </row>
    <row r="35313" spans="1:38">
      <c r="A35313" s="182"/>
      <c r="AK35313" s="183"/>
      <c r="AL35313" s="183"/>
    </row>
    <row r="35314" spans="1:38">
      <c r="A35314" s="182"/>
      <c r="AJ35314" s="183"/>
      <c r="AK35314" s="183"/>
      <c r="AL35314" s="183"/>
    </row>
    <row r="35315" spans="1:38">
      <c r="A35315" s="182"/>
      <c r="AJ35315" s="183"/>
      <c r="AK35315" s="183"/>
      <c r="AL35315" s="183"/>
    </row>
    <row r="35316" spans="1:38">
      <c r="A35316" s="182"/>
      <c r="AJ35316" s="183"/>
      <c r="AK35316" s="183"/>
      <c r="AL35316" s="183"/>
    </row>
    <row r="35317" spans="1:38">
      <c r="A35317" s="182"/>
      <c r="AJ35317" s="183"/>
    </row>
    <row r="35318" spans="1:38">
      <c r="A35318" s="182"/>
    </row>
    <row r="35319" spans="1:38">
      <c r="A35319" s="182"/>
    </row>
    <row r="35320" spans="1:38">
      <c r="A35320" s="182"/>
      <c r="N35320" s="183"/>
      <c r="O35320" s="183"/>
    </row>
    <row r="35321" spans="1:38">
      <c r="A35321" s="182"/>
      <c r="M35321" s="183"/>
      <c r="AK35321" s="183"/>
      <c r="AL35321" s="183"/>
    </row>
    <row r="35322" spans="1:38">
      <c r="A35322" s="182"/>
      <c r="AJ35322" s="183"/>
      <c r="AK35322" s="183"/>
      <c r="AL35322" s="183"/>
    </row>
    <row r="35323" spans="1:38">
      <c r="A35323" s="182"/>
      <c r="AJ35323" s="183"/>
      <c r="AK35323" s="183"/>
      <c r="AL35323" s="183"/>
    </row>
    <row r="35324" spans="1:38">
      <c r="A35324" s="182"/>
      <c r="AJ35324" s="183"/>
      <c r="AK35324" s="183"/>
      <c r="AL35324" s="183"/>
    </row>
    <row r="35325" spans="1:38">
      <c r="A35325" s="182"/>
      <c r="AJ35325" s="183"/>
    </row>
    <row r="35326" spans="1:38">
      <c r="A35326" s="182"/>
    </row>
    <row r="35327" spans="1:38">
      <c r="A35327" s="182"/>
    </row>
    <row r="35328" spans="1:38">
      <c r="A35328" s="182"/>
    </row>
    <row r="35329" spans="1:38">
      <c r="A35329" s="182"/>
      <c r="AK35329" s="183"/>
      <c r="AL35329" s="183"/>
    </row>
    <row r="35330" spans="1:38">
      <c r="A35330" s="182"/>
      <c r="AJ35330" s="183"/>
      <c r="AK35330" s="183"/>
      <c r="AL35330" s="183"/>
    </row>
    <row r="35331" spans="1:38">
      <c r="A35331" s="182"/>
      <c r="AJ35331" s="183"/>
      <c r="AK35331" s="183"/>
      <c r="AL35331" s="183"/>
    </row>
    <row r="35332" spans="1:38">
      <c r="A35332" s="182"/>
      <c r="AJ35332" s="183"/>
      <c r="AK35332" s="183"/>
      <c r="AL35332" s="183"/>
    </row>
    <row r="35333" spans="1:38">
      <c r="A35333" s="182"/>
      <c r="AJ35333" s="183"/>
    </row>
    <row r="35334" spans="1:38">
      <c r="A35334" s="182"/>
    </row>
    <row r="35335" spans="1:38">
      <c r="A35335" s="182"/>
    </row>
    <row r="35336" spans="1:38">
      <c r="A35336" s="182"/>
    </row>
    <row r="35337" spans="1:38">
      <c r="A35337" s="182"/>
      <c r="AK35337" s="183"/>
      <c r="AL35337" s="183"/>
    </row>
    <row r="35338" spans="1:38">
      <c r="A35338" s="182"/>
      <c r="AJ35338" s="183"/>
      <c r="AK35338" s="183"/>
      <c r="AL35338" s="183"/>
    </row>
    <row r="35339" spans="1:38">
      <c r="A35339" s="182"/>
      <c r="AJ35339" s="183"/>
      <c r="AK35339" s="183"/>
      <c r="AL35339" s="183"/>
    </row>
    <row r="35340" spans="1:38">
      <c r="A35340" s="182"/>
      <c r="AJ35340" s="183"/>
      <c r="AK35340" s="183"/>
      <c r="AL35340" s="183"/>
    </row>
    <row r="35341" spans="1:38">
      <c r="A35341" s="182"/>
      <c r="AJ35341" s="183"/>
      <c r="AK35341" s="183"/>
      <c r="AL35341" s="183"/>
    </row>
    <row r="35342" spans="1:38">
      <c r="A35342" s="182"/>
      <c r="AJ35342" s="183"/>
      <c r="AK35342" s="183"/>
      <c r="AL35342" s="183"/>
    </row>
    <row r="35343" spans="1:38">
      <c r="A35343" s="182"/>
      <c r="AJ35343" s="183"/>
      <c r="AK35343" s="183"/>
      <c r="AL35343" s="183"/>
    </row>
    <row r="35344" spans="1:38">
      <c r="A35344" s="182"/>
      <c r="AJ35344" s="183"/>
      <c r="AK35344" s="183"/>
      <c r="AL35344" s="183"/>
    </row>
    <row r="35345" spans="1:36">
      <c r="A35345" s="182"/>
      <c r="AJ35345" s="183"/>
    </row>
    <row r="35346" spans="1:36">
      <c r="A35346" s="182"/>
    </row>
    <row r="35347" spans="1:36">
      <c r="A35347" s="182"/>
    </row>
    <row r="35348" spans="1:36">
      <c r="A35348" s="182"/>
    </row>
    <row r="35349" spans="1:36">
      <c r="A35349" s="182"/>
    </row>
    <row r="35350" spans="1:36">
      <c r="A35350" s="182"/>
    </row>
    <row r="35351" spans="1:36">
      <c r="A35351" s="182"/>
    </row>
    <row r="35352" spans="1:36">
      <c r="A35352" s="182"/>
    </row>
    <row r="35353" spans="1:36">
      <c r="A35353" s="182"/>
    </row>
    <row r="35354" spans="1:36">
      <c r="A35354" s="182"/>
    </row>
    <row r="35355" spans="1:36">
      <c r="A35355" s="182"/>
    </row>
    <row r="35356" spans="1:36">
      <c r="A35356" s="182"/>
    </row>
    <row r="35357" spans="1:36">
      <c r="A35357" s="182"/>
    </row>
    <row r="35358" spans="1:36">
      <c r="A35358" s="182"/>
    </row>
    <row r="35359" spans="1:36">
      <c r="A35359" s="182"/>
    </row>
    <row r="35360" spans="1:36">
      <c r="A35360" s="182"/>
    </row>
    <row r="35361" spans="1:1">
      <c r="A35361" s="182"/>
    </row>
    <row r="35362" spans="1:1">
      <c r="A35362" s="182"/>
    </row>
    <row r="35363" spans="1:1">
      <c r="A35363" s="182"/>
    </row>
    <row r="35364" spans="1:1">
      <c r="A35364" s="182"/>
    </row>
    <row r="35365" spans="1:1">
      <c r="A35365" s="182"/>
    </row>
    <row r="35366" spans="1:1">
      <c r="A35366" s="182"/>
    </row>
    <row r="35367" spans="1:1">
      <c r="A35367" s="182"/>
    </row>
    <row r="35368" spans="1:1">
      <c r="A35368" s="182"/>
    </row>
    <row r="35369" spans="1:1">
      <c r="A35369" s="182"/>
    </row>
    <row r="35370" spans="1:1">
      <c r="A35370" s="182"/>
    </row>
    <row r="35371" spans="1:1">
      <c r="A35371" s="182"/>
    </row>
    <row r="35372" spans="1:1">
      <c r="A35372" s="182"/>
    </row>
    <row r="35373" spans="1:1">
      <c r="A35373" s="182"/>
    </row>
    <row r="35374" spans="1:1">
      <c r="A35374" s="182"/>
    </row>
    <row r="35375" spans="1:1">
      <c r="A35375" s="182"/>
    </row>
    <row r="35376" spans="1:1">
      <c r="A35376" s="182"/>
    </row>
    <row r="35377" spans="1:14">
      <c r="A35377" s="182"/>
    </row>
    <row r="35378" spans="1:14">
      <c r="A35378" s="182"/>
    </row>
    <row r="35379" spans="1:14">
      <c r="A35379" s="182"/>
    </row>
    <row r="35380" spans="1:14">
      <c r="A35380" s="182"/>
    </row>
    <row r="35381" spans="1:14">
      <c r="A35381" s="182"/>
    </row>
    <row r="35382" spans="1:14">
      <c r="A35382" s="182"/>
    </row>
    <row r="35383" spans="1:14">
      <c r="A35383" s="182"/>
      <c r="M35383" s="183"/>
      <c r="N35383" s="183"/>
    </row>
    <row r="35384" spans="1:14">
      <c r="A35384" s="182"/>
      <c r="L35384" s="183"/>
    </row>
    <row r="35385" spans="1:14">
      <c r="A35385" s="182"/>
    </row>
    <row r="35386" spans="1:14">
      <c r="A35386" s="182"/>
    </row>
    <row r="35387" spans="1:14">
      <c r="A35387" s="182"/>
    </row>
    <row r="35388" spans="1:14">
      <c r="A35388" s="182"/>
    </row>
    <row r="35389" spans="1:14">
      <c r="A35389" s="182"/>
    </row>
    <row r="35390" spans="1:14">
      <c r="A35390" s="182"/>
    </row>
    <row r="35391" spans="1:14">
      <c r="A35391" s="182"/>
    </row>
    <row r="35392" spans="1:14">
      <c r="A35392" s="182"/>
    </row>
    <row r="35393" spans="1:38">
      <c r="A35393" s="182"/>
      <c r="AK35393" s="183"/>
      <c r="AL35393" s="183"/>
    </row>
    <row r="35394" spans="1:38">
      <c r="A35394" s="182"/>
      <c r="AJ35394" s="183"/>
      <c r="AK35394" s="183"/>
      <c r="AL35394" s="183"/>
    </row>
    <row r="35395" spans="1:38">
      <c r="A35395" s="182"/>
      <c r="AJ35395" s="183"/>
      <c r="AK35395" s="183"/>
      <c r="AL35395" s="183"/>
    </row>
    <row r="35396" spans="1:38">
      <c r="A35396" s="182"/>
      <c r="AJ35396" s="183"/>
      <c r="AK35396" s="183"/>
      <c r="AL35396" s="183"/>
    </row>
    <row r="35397" spans="1:38">
      <c r="A35397" s="182"/>
      <c r="AJ35397" s="183"/>
    </row>
    <row r="35398" spans="1:38">
      <c r="A35398" s="182"/>
    </row>
    <row r="35399" spans="1:38">
      <c r="A35399" s="182"/>
      <c r="M35399" s="183"/>
      <c r="N35399" s="183"/>
    </row>
    <row r="35400" spans="1:38">
      <c r="A35400" s="182"/>
      <c r="L35400" s="183"/>
    </row>
    <row r="35401" spans="1:38">
      <c r="A35401" s="182"/>
    </row>
    <row r="35402" spans="1:38">
      <c r="A35402" s="182"/>
    </row>
    <row r="35403" spans="1:38">
      <c r="A35403" s="182"/>
    </row>
    <row r="35404" spans="1:38">
      <c r="A35404" s="182"/>
    </row>
    <row r="35405" spans="1:38">
      <c r="A35405" s="182"/>
    </row>
    <row r="35406" spans="1:38">
      <c r="A35406" s="182"/>
    </row>
    <row r="35407" spans="1:38">
      <c r="A35407" s="182"/>
    </row>
    <row r="35408" spans="1:38">
      <c r="A35408" s="182"/>
    </row>
    <row r="35409" spans="1:38">
      <c r="A35409" s="182"/>
    </row>
    <row r="35410" spans="1:38">
      <c r="A35410" s="182"/>
    </row>
    <row r="35411" spans="1:38">
      <c r="A35411" s="182"/>
      <c r="M35411" s="183"/>
      <c r="N35411" s="183"/>
      <c r="O35411" s="183"/>
    </row>
    <row r="35412" spans="1:38">
      <c r="A35412" s="182"/>
      <c r="L35412" s="183"/>
      <c r="M35412" s="183"/>
    </row>
    <row r="35413" spans="1:38">
      <c r="A35413" s="182"/>
      <c r="AK35413" s="183"/>
      <c r="AL35413" s="183"/>
    </row>
    <row r="35414" spans="1:38">
      <c r="A35414" s="182"/>
      <c r="AJ35414" s="183"/>
      <c r="AK35414" s="183"/>
      <c r="AL35414" s="183"/>
    </row>
    <row r="35415" spans="1:38">
      <c r="A35415" s="182"/>
      <c r="AJ35415" s="183"/>
      <c r="AK35415" s="183"/>
      <c r="AL35415" s="183"/>
    </row>
    <row r="35416" spans="1:38">
      <c r="A35416" s="182"/>
      <c r="AJ35416" s="183"/>
      <c r="AK35416" s="183"/>
      <c r="AL35416" s="183"/>
    </row>
    <row r="35417" spans="1:38">
      <c r="A35417" s="182"/>
      <c r="AJ35417" s="183"/>
      <c r="AK35417" s="183"/>
      <c r="AL35417" s="183"/>
    </row>
    <row r="35418" spans="1:38">
      <c r="A35418" s="182"/>
      <c r="AJ35418" s="183"/>
      <c r="AK35418" s="183"/>
      <c r="AL35418" s="183"/>
    </row>
    <row r="35419" spans="1:38">
      <c r="A35419" s="182"/>
      <c r="AJ35419" s="183"/>
      <c r="AK35419" s="183"/>
      <c r="AL35419" s="183"/>
    </row>
    <row r="35420" spans="1:38">
      <c r="A35420" s="182"/>
      <c r="AJ35420" s="183"/>
      <c r="AK35420" s="183"/>
      <c r="AL35420" s="183"/>
    </row>
    <row r="35421" spans="1:38">
      <c r="A35421" s="182"/>
      <c r="AJ35421" s="183"/>
    </row>
    <row r="35422" spans="1:38">
      <c r="A35422" s="182"/>
    </row>
    <row r="35423" spans="1:38">
      <c r="A35423" s="182"/>
    </row>
    <row r="35424" spans="1:38">
      <c r="A35424" s="182"/>
    </row>
    <row r="35425" spans="1:38">
      <c r="A35425" s="182"/>
    </row>
    <row r="35426" spans="1:38">
      <c r="A35426" s="182"/>
    </row>
    <row r="35427" spans="1:38">
      <c r="A35427" s="182"/>
    </row>
    <row r="35428" spans="1:38">
      <c r="A35428" s="182"/>
    </row>
    <row r="35429" spans="1:38">
      <c r="A35429" s="182"/>
    </row>
    <row r="35430" spans="1:38">
      <c r="A35430" s="182"/>
    </row>
    <row r="35431" spans="1:38">
      <c r="A35431" s="182"/>
    </row>
    <row r="35432" spans="1:38">
      <c r="A35432" s="182"/>
    </row>
    <row r="35433" spans="1:38">
      <c r="A35433" s="182"/>
      <c r="AK35433" s="183"/>
      <c r="AL35433" s="183"/>
    </row>
    <row r="35434" spans="1:38">
      <c r="A35434" s="182"/>
      <c r="AJ35434" s="183"/>
      <c r="AK35434" s="183"/>
      <c r="AL35434" s="183"/>
    </row>
    <row r="35435" spans="1:38">
      <c r="A35435" s="182"/>
      <c r="AJ35435" s="183"/>
      <c r="AK35435" s="183"/>
      <c r="AL35435" s="183"/>
    </row>
    <row r="35436" spans="1:38">
      <c r="A35436" s="182"/>
      <c r="AJ35436" s="183"/>
      <c r="AK35436" s="183"/>
      <c r="AL35436" s="183"/>
    </row>
    <row r="35437" spans="1:38">
      <c r="A35437" s="182"/>
      <c r="AJ35437" s="183"/>
    </row>
    <row r="35438" spans="1:38">
      <c r="A35438" s="182"/>
    </row>
    <row r="35439" spans="1:38">
      <c r="A35439" s="182"/>
    </row>
    <row r="35440" spans="1:38">
      <c r="A35440" s="182"/>
    </row>
    <row r="35441" spans="1:38">
      <c r="A35441" s="182"/>
      <c r="AK35441" s="183"/>
      <c r="AL35441" s="183"/>
    </row>
    <row r="35442" spans="1:38">
      <c r="A35442" s="182"/>
      <c r="AJ35442" s="183"/>
      <c r="AK35442" s="183"/>
      <c r="AL35442" s="183"/>
    </row>
    <row r="35443" spans="1:38">
      <c r="A35443" s="182"/>
      <c r="AJ35443" s="183"/>
      <c r="AK35443" s="183"/>
      <c r="AL35443" s="183"/>
    </row>
    <row r="35444" spans="1:38">
      <c r="A35444" s="182"/>
      <c r="AJ35444" s="183"/>
      <c r="AK35444" s="183"/>
      <c r="AL35444" s="183"/>
    </row>
    <row r="35445" spans="1:38">
      <c r="A35445" s="182"/>
      <c r="AJ35445" s="183"/>
    </row>
    <row r="35446" spans="1:38">
      <c r="A35446" s="182"/>
    </row>
    <row r="35447" spans="1:38">
      <c r="A35447" s="182"/>
    </row>
    <row r="35448" spans="1:38">
      <c r="A35448" s="182"/>
    </row>
    <row r="35449" spans="1:38">
      <c r="A35449" s="182"/>
      <c r="AK35449" s="183"/>
      <c r="AL35449" s="183"/>
    </row>
    <row r="35450" spans="1:38">
      <c r="A35450" s="182"/>
      <c r="AJ35450" s="183"/>
      <c r="AK35450" s="183"/>
      <c r="AL35450" s="183"/>
    </row>
    <row r="35451" spans="1:38">
      <c r="A35451" s="182"/>
      <c r="AJ35451" s="183"/>
      <c r="AK35451" s="183"/>
      <c r="AL35451" s="183"/>
    </row>
    <row r="35452" spans="1:38">
      <c r="A35452" s="182"/>
      <c r="AJ35452" s="183"/>
      <c r="AK35452" s="183"/>
      <c r="AL35452" s="183"/>
    </row>
    <row r="35453" spans="1:38">
      <c r="A35453" s="182"/>
      <c r="AJ35453" s="183"/>
      <c r="AK35453" s="183"/>
      <c r="AL35453" s="183"/>
    </row>
    <row r="35454" spans="1:38">
      <c r="A35454" s="182"/>
      <c r="AJ35454" s="183"/>
      <c r="AK35454" s="183"/>
      <c r="AL35454" s="183"/>
    </row>
    <row r="35455" spans="1:38">
      <c r="A35455" s="182"/>
      <c r="AJ35455" s="183"/>
      <c r="AK35455" s="183"/>
      <c r="AL35455" s="183"/>
    </row>
    <row r="35456" spans="1:38">
      <c r="A35456" s="182"/>
      <c r="AJ35456" s="183"/>
      <c r="AK35456" s="183"/>
      <c r="AL35456" s="183"/>
    </row>
    <row r="35457" spans="1:38">
      <c r="A35457" s="182"/>
      <c r="AJ35457" s="183"/>
    </row>
    <row r="35458" spans="1:38">
      <c r="A35458" s="182"/>
    </row>
    <row r="35459" spans="1:38">
      <c r="A35459" s="182"/>
    </row>
    <row r="35460" spans="1:38">
      <c r="A35460" s="182"/>
    </row>
    <row r="35461" spans="1:38">
      <c r="A35461" s="182"/>
      <c r="AK35461" s="183"/>
      <c r="AL35461" s="183"/>
    </row>
    <row r="35462" spans="1:38">
      <c r="A35462" s="182"/>
      <c r="AJ35462" s="183"/>
      <c r="AK35462" s="183"/>
      <c r="AL35462" s="183"/>
    </row>
    <row r="35463" spans="1:38">
      <c r="A35463" s="182"/>
      <c r="AJ35463" s="183"/>
      <c r="AK35463" s="183"/>
      <c r="AL35463" s="183"/>
    </row>
    <row r="35464" spans="1:38">
      <c r="A35464" s="182"/>
      <c r="AJ35464" s="183"/>
      <c r="AK35464" s="183"/>
      <c r="AL35464" s="183"/>
    </row>
    <row r="35465" spans="1:38">
      <c r="A35465" s="182"/>
      <c r="AJ35465" s="183"/>
    </row>
    <row r="35466" spans="1:38">
      <c r="A35466" s="182"/>
    </row>
    <row r="35467" spans="1:38">
      <c r="A35467" s="182"/>
    </row>
    <row r="35468" spans="1:38">
      <c r="A35468" s="182"/>
    </row>
    <row r="35469" spans="1:38">
      <c r="A35469" s="182"/>
    </row>
    <row r="35470" spans="1:38">
      <c r="A35470" s="182"/>
    </row>
    <row r="35471" spans="1:38">
      <c r="A35471" s="182"/>
    </row>
    <row r="35472" spans="1:38">
      <c r="A35472" s="182"/>
    </row>
    <row r="35473" spans="1:15">
      <c r="A35473" s="182"/>
    </row>
    <row r="35474" spans="1:15">
      <c r="A35474" s="182"/>
    </row>
    <row r="35475" spans="1:15">
      <c r="A35475" s="182"/>
    </row>
    <row r="35476" spans="1:15">
      <c r="A35476" s="182"/>
    </row>
    <row r="35477" spans="1:15">
      <c r="A35477" s="182"/>
    </row>
    <row r="35478" spans="1:15">
      <c r="A35478" s="182"/>
    </row>
    <row r="35479" spans="1:15">
      <c r="A35479" s="182"/>
    </row>
    <row r="35480" spans="1:15">
      <c r="A35480" s="182"/>
      <c r="N35480" s="183"/>
      <c r="O35480" s="183"/>
    </row>
    <row r="35481" spans="1:15">
      <c r="A35481" s="182"/>
      <c r="M35481" s="183"/>
    </row>
    <row r="35482" spans="1:15">
      <c r="A35482" s="182"/>
    </row>
    <row r="35483" spans="1:15">
      <c r="A35483" s="182"/>
    </row>
    <row r="35484" spans="1:15">
      <c r="A35484" s="182"/>
    </row>
    <row r="35485" spans="1:15">
      <c r="A35485" s="182"/>
    </row>
    <row r="35486" spans="1:15">
      <c r="A35486" s="182"/>
    </row>
    <row r="35487" spans="1:15">
      <c r="A35487" s="182"/>
    </row>
    <row r="35488" spans="1:15">
      <c r="A35488" s="182"/>
    </row>
    <row r="35489" spans="1:1">
      <c r="A35489" s="182"/>
    </row>
    <row r="35490" spans="1:1">
      <c r="A35490" s="182"/>
    </row>
    <row r="35491" spans="1:1">
      <c r="A35491" s="182"/>
    </row>
    <row r="35492" spans="1:1">
      <c r="A35492" s="182"/>
    </row>
    <row r="35493" spans="1:1">
      <c r="A35493" s="182"/>
    </row>
    <row r="35494" spans="1:1">
      <c r="A35494" s="182"/>
    </row>
    <row r="35495" spans="1:1">
      <c r="A35495" s="182"/>
    </row>
    <row r="35496" spans="1:1">
      <c r="A35496" s="182"/>
    </row>
    <row r="35497" spans="1:1">
      <c r="A35497" s="182"/>
    </row>
    <row r="35498" spans="1:1">
      <c r="A35498" s="182"/>
    </row>
    <row r="35499" spans="1:1">
      <c r="A35499" s="182"/>
    </row>
    <row r="35500" spans="1:1">
      <c r="A35500" s="182"/>
    </row>
    <row r="35501" spans="1:1">
      <c r="A35501" s="182"/>
    </row>
    <row r="35502" spans="1:1">
      <c r="A35502" s="182"/>
    </row>
    <row r="35503" spans="1:1">
      <c r="A35503" s="182"/>
    </row>
    <row r="35504" spans="1:1">
      <c r="A35504" s="182"/>
    </row>
    <row r="35505" spans="1:38">
      <c r="A35505" s="182"/>
    </row>
    <row r="35506" spans="1:38">
      <c r="A35506" s="182"/>
    </row>
    <row r="35507" spans="1:38">
      <c r="A35507" s="182"/>
    </row>
    <row r="35508" spans="1:38">
      <c r="A35508" s="182"/>
    </row>
    <row r="35509" spans="1:38">
      <c r="A35509" s="182"/>
    </row>
    <row r="35510" spans="1:38">
      <c r="A35510" s="182"/>
    </row>
    <row r="35511" spans="1:38">
      <c r="A35511" s="182"/>
    </row>
    <row r="35512" spans="1:38">
      <c r="A35512" s="182"/>
    </row>
    <row r="35513" spans="1:38">
      <c r="A35513" s="182"/>
    </row>
    <row r="35514" spans="1:38">
      <c r="A35514" s="182"/>
    </row>
    <row r="35515" spans="1:38">
      <c r="A35515" s="182"/>
    </row>
    <row r="35516" spans="1:38">
      <c r="A35516" s="182"/>
    </row>
    <row r="35517" spans="1:38">
      <c r="A35517" s="182"/>
      <c r="AK35517" s="183"/>
      <c r="AL35517" s="183"/>
    </row>
    <row r="35518" spans="1:38">
      <c r="A35518" s="182"/>
      <c r="AJ35518" s="183"/>
      <c r="AK35518" s="183"/>
      <c r="AL35518" s="183"/>
    </row>
    <row r="35519" spans="1:38">
      <c r="A35519" s="182"/>
      <c r="AJ35519" s="183"/>
      <c r="AK35519" s="183"/>
      <c r="AL35519" s="183"/>
    </row>
    <row r="35520" spans="1:38">
      <c r="A35520" s="182"/>
      <c r="AJ35520" s="183"/>
      <c r="AK35520" s="183"/>
      <c r="AL35520" s="183"/>
    </row>
    <row r="35521" spans="1:38">
      <c r="A35521" s="182"/>
      <c r="AJ35521" s="183"/>
    </row>
    <row r="35522" spans="1:38">
      <c r="A35522" s="182"/>
    </row>
    <row r="35523" spans="1:38">
      <c r="A35523" s="182"/>
    </row>
    <row r="35524" spans="1:38">
      <c r="A35524" s="182"/>
    </row>
    <row r="35525" spans="1:38">
      <c r="A35525" s="182"/>
      <c r="AK35525" s="183"/>
      <c r="AL35525" s="183"/>
    </row>
    <row r="35526" spans="1:38">
      <c r="A35526" s="182"/>
      <c r="AJ35526" s="183"/>
      <c r="AK35526" s="183"/>
      <c r="AL35526" s="183"/>
    </row>
    <row r="35527" spans="1:38">
      <c r="A35527" s="182"/>
      <c r="AJ35527" s="183"/>
      <c r="AK35527" s="183"/>
      <c r="AL35527" s="183"/>
    </row>
    <row r="35528" spans="1:38">
      <c r="A35528" s="182"/>
      <c r="AJ35528" s="183"/>
      <c r="AK35528" s="183"/>
      <c r="AL35528" s="183"/>
    </row>
    <row r="35529" spans="1:38">
      <c r="A35529" s="182"/>
      <c r="AJ35529" s="183"/>
      <c r="AK35529" s="183"/>
      <c r="AL35529" s="183"/>
    </row>
    <row r="35530" spans="1:38">
      <c r="A35530" s="182"/>
      <c r="AJ35530" s="183"/>
      <c r="AK35530" s="183"/>
      <c r="AL35530" s="183"/>
    </row>
    <row r="35531" spans="1:38">
      <c r="A35531" s="182"/>
      <c r="AJ35531" s="183"/>
      <c r="AK35531" s="183"/>
      <c r="AL35531" s="183"/>
    </row>
    <row r="35532" spans="1:38">
      <c r="A35532" s="182"/>
      <c r="AJ35532" s="183"/>
      <c r="AK35532" s="183"/>
      <c r="AL35532" s="183"/>
    </row>
    <row r="35533" spans="1:38">
      <c r="A35533" s="182"/>
      <c r="AJ35533" s="183"/>
    </row>
    <row r="35534" spans="1:38">
      <c r="A35534" s="182"/>
    </row>
    <row r="35535" spans="1:38">
      <c r="A35535" s="182"/>
    </row>
    <row r="35536" spans="1:38">
      <c r="A35536" s="182"/>
    </row>
    <row r="35537" spans="1:1">
      <c r="A35537" s="182"/>
    </row>
    <row r="35538" spans="1:1">
      <c r="A35538" s="182"/>
    </row>
    <row r="35539" spans="1:1">
      <c r="A35539" s="182"/>
    </row>
    <row r="35540" spans="1:1">
      <c r="A35540" s="182"/>
    </row>
    <row r="35541" spans="1:1">
      <c r="A35541" s="182"/>
    </row>
    <row r="35542" spans="1:1">
      <c r="A35542" s="182"/>
    </row>
    <row r="35543" spans="1:1">
      <c r="A35543" s="182"/>
    </row>
    <row r="35544" spans="1:1">
      <c r="A35544" s="182"/>
    </row>
    <row r="35545" spans="1:1">
      <c r="A35545" s="182"/>
    </row>
    <row r="35546" spans="1:1">
      <c r="A35546" s="182"/>
    </row>
    <row r="35547" spans="1:1">
      <c r="A35547" s="182"/>
    </row>
    <row r="35548" spans="1:1">
      <c r="A35548" s="182"/>
    </row>
    <row r="35549" spans="1:1">
      <c r="A35549" s="182"/>
    </row>
    <row r="35550" spans="1:1">
      <c r="A35550" s="182"/>
    </row>
    <row r="35551" spans="1:1">
      <c r="A35551" s="182"/>
    </row>
    <row r="35552" spans="1:1">
      <c r="A35552" s="182"/>
    </row>
    <row r="35553" spans="1:1">
      <c r="A35553" s="182"/>
    </row>
    <row r="35554" spans="1:1">
      <c r="A35554" s="182"/>
    </row>
    <row r="35555" spans="1:1">
      <c r="A35555" s="182"/>
    </row>
    <row r="35556" spans="1:1">
      <c r="A35556" s="182"/>
    </row>
    <row r="35557" spans="1:1">
      <c r="A35557" s="182"/>
    </row>
    <row r="35558" spans="1:1">
      <c r="A35558" s="182"/>
    </row>
    <row r="35559" spans="1:1">
      <c r="A35559" s="182"/>
    </row>
    <row r="35560" spans="1:1">
      <c r="A35560" s="182"/>
    </row>
    <row r="35561" spans="1:1">
      <c r="A35561" s="182"/>
    </row>
    <row r="35562" spans="1:1">
      <c r="A35562" s="182"/>
    </row>
    <row r="35563" spans="1:1">
      <c r="A35563" s="182"/>
    </row>
    <row r="35564" spans="1:1">
      <c r="A35564" s="182"/>
    </row>
    <row r="35565" spans="1:1">
      <c r="A35565" s="182"/>
    </row>
    <row r="35566" spans="1:1">
      <c r="A35566" s="182"/>
    </row>
    <row r="35567" spans="1:1">
      <c r="A35567" s="182"/>
    </row>
    <row r="35568" spans="1:1">
      <c r="A35568" s="182"/>
    </row>
    <row r="35569" spans="1:14">
      <c r="A35569" s="182"/>
    </row>
    <row r="35570" spans="1:14">
      <c r="A35570" s="182"/>
    </row>
    <row r="35571" spans="1:14">
      <c r="A35571" s="182"/>
    </row>
    <row r="35572" spans="1:14">
      <c r="A35572" s="182"/>
    </row>
    <row r="35573" spans="1:14">
      <c r="A35573" s="182"/>
    </row>
    <row r="35574" spans="1:14">
      <c r="A35574" s="182"/>
    </row>
    <row r="35575" spans="1:14">
      <c r="A35575" s="182"/>
      <c r="M35575" s="183"/>
      <c r="N35575" s="183"/>
    </row>
    <row r="35576" spans="1:14">
      <c r="A35576" s="182"/>
      <c r="L35576" s="183"/>
    </row>
    <row r="35577" spans="1:14">
      <c r="A35577" s="182"/>
    </row>
    <row r="35578" spans="1:14">
      <c r="A35578" s="182"/>
    </row>
    <row r="35579" spans="1:14">
      <c r="A35579" s="182"/>
    </row>
    <row r="35580" spans="1:14">
      <c r="A35580" s="182"/>
    </row>
    <row r="35581" spans="1:14">
      <c r="A35581" s="182"/>
    </row>
    <row r="35582" spans="1:14">
      <c r="A35582" s="182"/>
    </row>
    <row r="35583" spans="1:14">
      <c r="A35583" s="182"/>
    </row>
    <row r="35584" spans="1:14">
      <c r="A35584" s="182"/>
    </row>
    <row r="35585" spans="1:1">
      <c r="A35585" s="182"/>
    </row>
    <row r="35586" spans="1:1">
      <c r="A35586" s="182"/>
    </row>
    <row r="35587" spans="1:1">
      <c r="A35587" s="182"/>
    </row>
    <row r="35588" spans="1:1">
      <c r="A35588" s="182"/>
    </row>
    <row r="35589" spans="1:1">
      <c r="A35589" s="182"/>
    </row>
    <row r="35590" spans="1:1">
      <c r="A35590" s="182"/>
    </row>
    <row r="35591" spans="1:1">
      <c r="A35591" s="182"/>
    </row>
    <row r="35592" spans="1:1">
      <c r="A35592" s="182"/>
    </row>
    <row r="35593" spans="1:1">
      <c r="A35593" s="182"/>
    </row>
    <row r="35594" spans="1:1">
      <c r="A35594" s="182"/>
    </row>
    <row r="35595" spans="1:1">
      <c r="A35595" s="182"/>
    </row>
    <row r="35596" spans="1:1">
      <c r="A35596" s="182"/>
    </row>
    <row r="35597" spans="1:1">
      <c r="A35597" s="182"/>
    </row>
    <row r="35598" spans="1:1">
      <c r="A35598" s="182"/>
    </row>
    <row r="35599" spans="1:1">
      <c r="A35599" s="182"/>
    </row>
    <row r="35600" spans="1:1">
      <c r="A35600" s="182"/>
    </row>
    <row r="35601" spans="1:38">
      <c r="A35601" s="182"/>
      <c r="AK35601" s="183"/>
      <c r="AL35601" s="183"/>
    </row>
    <row r="35602" spans="1:38">
      <c r="A35602" s="182"/>
      <c r="AJ35602" s="183"/>
      <c r="AK35602" s="183"/>
      <c r="AL35602" s="183"/>
    </row>
    <row r="35603" spans="1:38">
      <c r="A35603" s="182"/>
      <c r="AJ35603" s="183"/>
      <c r="AK35603" s="183"/>
      <c r="AL35603" s="183"/>
    </row>
    <row r="35604" spans="1:38">
      <c r="A35604" s="182"/>
      <c r="AJ35604" s="183"/>
      <c r="AK35604" s="183"/>
      <c r="AL35604" s="183"/>
    </row>
    <row r="35605" spans="1:38">
      <c r="A35605" s="182"/>
      <c r="AJ35605" s="183"/>
    </row>
    <row r="35606" spans="1:38">
      <c r="A35606" s="182"/>
    </row>
    <row r="35607" spans="1:38">
      <c r="A35607" s="182"/>
    </row>
    <row r="35608" spans="1:38">
      <c r="A35608" s="182"/>
    </row>
    <row r="35609" spans="1:38">
      <c r="A35609" s="182"/>
    </row>
    <row r="35610" spans="1:38">
      <c r="A35610" s="182"/>
    </row>
    <row r="35611" spans="1:38">
      <c r="A35611" s="182"/>
    </row>
    <row r="35612" spans="1:38">
      <c r="A35612" s="182"/>
    </row>
    <row r="35613" spans="1:38">
      <c r="A35613" s="182"/>
      <c r="AK35613" s="183"/>
      <c r="AL35613" s="183"/>
    </row>
    <row r="35614" spans="1:38">
      <c r="A35614" s="182"/>
      <c r="AJ35614" s="183"/>
      <c r="AK35614" s="183"/>
      <c r="AL35614" s="183"/>
    </row>
    <row r="35615" spans="1:38">
      <c r="A35615" s="182"/>
      <c r="AJ35615" s="183"/>
      <c r="AK35615" s="183"/>
      <c r="AL35615" s="183"/>
    </row>
    <row r="35616" spans="1:38">
      <c r="A35616" s="182"/>
      <c r="AJ35616" s="183"/>
      <c r="AK35616" s="183"/>
      <c r="AL35616" s="183"/>
    </row>
    <row r="35617" spans="1:38">
      <c r="A35617" s="182"/>
      <c r="AJ35617" s="183"/>
    </row>
    <row r="35618" spans="1:38">
      <c r="A35618" s="182"/>
    </row>
    <row r="35619" spans="1:38">
      <c r="A35619" s="182"/>
    </row>
    <row r="35620" spans="1:38">
      <c r="A35620" s="182"/>
    </row>
    <row r="35621" spans="1:38">
      <c r="A35621" s="182"/>
      <c r="AK35621" s="183"/>
      <c r="AL35621" s="183"/>
    </row>
    <row r="35622" spans="1:38">
      <c r="A35622" s="182"/>
      <c r="AJ35622" s="183"/>
      <c r="AK35622" s="183"/>
      <c r="AL35622" s="183"/>
    </row>
    <row r="35623" spans="1:38">
      <c r="A35623" s="182"/>
      <c r="AJ35623" s="183"/>
      <c r="AK35623" s="183"/>
      <c r="AL35623" s="183"/>
    </row>
    <row r="35624" spans="1:38">
      <c r="A35624" s="182"/>
      <c r="AJ35624" s="183"/>
      <c r="AK35624" s="183"/>
      <c r="AL35624" s="183"/>
    </row>
    <row r="35625" spans="1:38">
      <c r="A35625" s="182"/>
      <c r="AJ35625" s="183"/>
    </row>
    <row r="35626" spans="1:38">
      <c r="A35626" s="182"/>
    </row>
    <row r="35627" spans="1:38">
      <c r="A35627" s="182"/>
    </row>
    <row r="35628" spans="1:38">
      <c r="A35628" s="182"/>
    </row>
    <row r="35629" spans="1:38">
      <c r="A35629" s="182"/>
    </row>
    <row r="35630" spans="1:38">
      <c r="A35630" s="182"/>
    </row>
    <row r="35631" spans="1:38">
      <c r="A35631" s="182"/>
    </row>
    <row r="35632" spans="1:38">
      <c r="A35632" s="182"/>
    </row>
    <row r="35633" spans="1:1">
      <c r="A35633" s="182"/>
    </row>
    <row r="35634" spans="1:1">
      <c r="A35634" s="182"/>
    </row>
    <row r="35635" spans="1:1">
      <c r="A35635" s="182"/>
    </row>
    <row r="35636" spans="1:1">
      <c r="A35636" s="182"/>
    </row>
    <row r="35637" spans="1:1">
      <c r="A35637" s="182"/>
    </row>
    <row r="35638" spans="1:1">
      <c r="A35638" s="182"/>
    </row>
    <row r="35639" spans="1:1">
      <c r="A35639" s="182"/>
    </row>
    <row r="35640" spans="1:1">
      <c r="A35640" s="182"/>
    </row>
    <row r="35641" spans="1:1">
      <c r="A35641" s="182"/>
    </row>
    <row r="35642" spans="1:1">
      <c r="A35642" s="182"/>
    </row>
    <row r="35643" spans="1:1">
      <c r="A35643" s="182"/>
    </row>
    <row r="35644" spans="1:1">
      <c r="A35644" s="182"/>
    </row>
    <row r="35645" spans="1:1">
      <c r="A35645" s="182"/>
    </row>
    <row r="35646" spans="1:1">
      <c r="A35646" s="182"/>
    </row>
    <row r="35647" spans="1:1">
      <c r="A35647" s="182"/>
    </row>
    <row r="35648" spans="1:1">
      <c r="A35648" s="182"/>
    </row>
    <row r="35649" spans="1:1">
      <c r="A35649" s="182"/>
    </row>
    <row r="35650" spans="1:1">
      <c r="A35650" s="182"/>
    </row>
    <row r="35651" spans="1:1">
      <c r="A35651" s="182"/>
    </row>
    <row r="35652" spans="1:1">
      <c r="A35652" s="182"/>
    </row>
    <row r="35653" spans="1:1">
      <c r="A35653" s="182"/>
    </row>
    <row r="35654" spans="1:1">
      <c r="A35654" s="182"/>
    </row>
    <row r="35655" spans="1:1">
      <c r="A35655" s="182"/>
    </row>
    <row r="35656" spans="1:1">
      <c r="A35656" s="182"/>
    </row>
    <row r="35657" spans="1:1">
      <c r="A35657" s="182"/>
    </row>
    <row r="35658" spans="1:1">
      <c r="A35658" s="182"/>
    </row>
    <row r="35659" spans="1:1">
      <c r="A35659" s="182"/>
    </row>
    <row r="35660" spans="1:1">
      <c r="A35660" s="182"/>
    </row>
    <row r="35661" spans="1:1">
      <c r="A35661" s="182"/>
    </row>
    <row r="35662" spans="1:1">
      <c r="A35662" s="182"/>
    </row>
    <row r="35663" spans="1:1">
      <c r="A35663" s="182"/>
    </row>
    <row r="35664" spans="1:1">
      <c r="A35664" s="182"/>
    </row>
    <row r="35665" spans="1:38">
      <c r="A35665" s="182"/>
    </row>
    <row r="35666" spans="1:38">
      <c r="A35666" s="182"/>
    </row>
    <row r="35667" spans="1:38">
      <c r="A35667" s="182"/>
    </row>
    <row r="35668" spans="1:38">
      <c r="A35668" s="182"/>
    </row>
    <row r="35669" spans="1:38">
      <c r="A35669" s="182"/>
      <c r="AK35669" s="183"/>
      <c r="AL35669" s="183"/>
    </row>
    <row r="35670" spans="1:38">
      <c r="A35670" s="182"/>
      <c r="AJ35670" s="183"/>
      <c r="AK35670" s="183"/>
      <c r="AL35670" s="183"/>
    </row>
    <row r="35671" spans="1:38">
      <c r="A35671" s="182"/>
      <c r="AJ35671" s="183"/>
      <c r="AK35671" s="183"/>
      <c r="AL35671" s="183"/>
    </row>
    <row r="35672" spans="1:38">
      <c r="A35672" s="182"/>
      <c r="AJ35672" s="183"/>
      <c r="AK35672" s="183"/>
      <c r="AL35672" s="183"/>
    </row>
    <row r="35673" spans="1:38">
      <c r="A35673" s="182"/>
      <c r="AJ35673" s="183"/>
    </row>
    <row r="35674" spans="1:38">
      <c r="A35674" s="182"/>
    </row>
    <row r="35675" spans="1:38">
      <c r="A35675" s="182"/>
    </row>
    <row r="35676" spans="1:38">
      <c r="A35676" s="182"/>
    </row>
    <row r="35677" spans="1:38">
      <c r="A35677" s="182"/>
    </row>
    <row r="35678" spans="1:38">
      <c r="A35678" s="182"/>
    </row>
    <row r="35679" spans="1:38">
      <c r="A35679" s="182"/>
    </row>
    <row r="35680" spans="1:38">
      <c r="A35680" s="182"/>
    </row>
    <row r="35681" spans="1:1">
      <c r="A35681" s="182"/>
    </row>
    <row r="35682" spans="1:1">
      <c r="A35682" s="182"/>
    </row>
    <row r="35683" spans="1:1">
      <c r="A35683" s="182"/>
    </row>
    <row r="35684" spans="1:1">
      <c r="A35684" s="182"/>
    </row>
    <row r="35685" spans="1:1">
      <c r="A35685" s="182"/>
    </row>
    <row r="35686" spans="1:1">
      <c r="A35686" s="182"/>
    </row>
    <row r="35687" spans="1:1">
      <c r="A35687" s="182"/>
    </row>
    <row r="35688" spans="1:1">
      <c r="A35688" s="182"/>
    </row>
    <row r="35689" spans="1:1">
      <c r="A35689" s="182"/>
    </row>
    <row r="35690" spans="1:1">
      <c r="A35690" s="182"/>
    </row>
    <row r="35691" spans="1:1">
      <c r="A35691" s="182"/>
    </row>
    <row r="35692" spans="1:1">
      <c r="A35692" s="182"/>
    </row>
    <row r="35693" spans="1:1">
      <c r="A35693" s="182"/>
    </row>
    <row r="35694" spans="1:1">
      <c r="A35694" s="182"/>
    </row>
    <row r="35695" spans="1:1">
      <c r="A35695" s="182"/>
    </row>
    <row r="35696" spans="1:1">
      <c r="A35696" s="182"/>
    </row>
    <row r="35697" spans="1:38">
      <c r="A35697" s="182"/>
    </row>
    <row r="35698" spans="1:38">
      <c r="A35698" s="182"/>
    </row>
    <row r="35699" spans="1:38">
      <c r="A35699" s="182"/>
    </row>
    <row r="35700" spans="1:38">
      <c r="A35700" s="182"/>
    </row>
    <row r="35701" spans="1:38">
      <c r="A35701" s="182"/>
      <c r="AK35701" s="183"/>
      <c r="AL35701" s="183"/>
    </row>
    <row r="35702" spans="1:38">
      <c r="A35702" s="182"/>
      <c r="AJ35702" s="183"/>
      <c r="AK35702" s="183"/>
      <c r="AL35702" s="183"/>
    </row>
    <row r="35703" spans="1:38">
      <c r="A35703" s="182"/>
      <c r="AJ35703" s="183"/>
      <c r="AK35703" s="183"/>
      <c r="AL35703" s="183"/>
    </row>
    <row r="35704" spans="1:38">
      <c r="A35704" s="182"/>
      <c r="AJ35704" s="183"/>
      <c r="AK35704" s="183"/>
      <c r="AL35704" s="183"/>
    </row>
    <row r="35705" spans="1:38">
      <c r="A35705" s="182"/>
      <c r="AJ35705" s="183"/>
      <c r="AK35705" s="183"/>
      <c r="AL35705" s="183"/>
    </row>
    <row r="35706" spans="1:38">
      <c r="A35706" s="182"/>
      <c r="AJ35706" s="183"/>
      <c r="AK35706" s="183"/>
      <c r="AL35706" s="183"/>
    </row>
    <row r="35707" spans="1:38">
      <c r="A35707" s="182"/>
      <c r="AJ35707" s="183"/>
      <c r="AK35707" s="183"/>
      <c r="AL35707" s="183"/>
    </row>
    <row r="35708" spans="1:38">
      <c r="A35708" s="182"/>
      <c r="AJ35708" s="183"/>
      <c r="AK35708" s="183"/>
      <c r="AL35708" s="183"/>
    </row>
    <row r="35709" spans="1:38">
      <c r="A35709" s="182"/>
      <c r="AJ35709" s="183"/>
    </row>
    <row r="35710" spans="1:38">
      <c r="A35710" s="182"/>
    </row>
    <row r="35711" spans="1:38">
      <c r="A35711" s="182"/>
    </row>
    <row r="35712" spans="1:38">
      <c r="A35712" s="182"/>
    </row>
    <row r="35713" spans="1:38">
      <c r="A35713" s="182"/>
    </row>
    <row r="35714" spans="1:38">
      <c r="A35714" s="182"/>
    </row>
    <row r="35715" spans="1:38">
      <c r="A35715" s="182"/>
    </row>
    <row r="35716" spans="1:38">
      <c r="A35716" s="182"/>
    </row>
    <row r="35717" spans="1:38">
      <c r="A35717" s="182"/>
    </row>
    <row r="35718" spans="1:38">
      <c r="A35718" s="182"/>
    </row>
    <row r="35719" spans="1:38">
      <c r="A35719" s="182"/>
    </row>
    <row r="35720" spans="1:38">
      <c r="A35720" s="182"/>
    </row>
    <row r="35721" spans="1:38">
      <c r="A35721" s="182"/>
    </row>
    <row r="35722" spans="1:38">
      <c r="A35722" s="182"/>
    </row>
    <row r="35723" spans="1:38">
      <c r="A35723" s="182"/>
    </row>
    <row r="35724" spans="1:38">
      <c r="A35724" s="182"/>
    </row>
    <row r="35725" spans="1:38">
      <c r="A35725" s="182"/>
      <c r="AK35725" s="183"/>
      <c r="AL35725" s="183"/>
    </row>
    <row r="35726" spans="1:38">
      <c r="A35726" s="182"/>
      <c r="AJ35726" s="183"/>
      <c r="AK35726" s="183"/>
      <c r="AL35726" s="183"/>
    </row>
    <row r="35727" spans="1:38">
      <c r="A35727" s="182"/>
      <c r="AJ35727" s="183"/>
      <c r="AK35727" s="183"/>
      <c r="AL35727" s="183"/>
    </row>
    <row r="35728" spans="1:38">
      <c r="A35728" s="182"/>
      <c r="AJ35728" s="183"/>
      <c r="AK35728" s="183"/>
      <c r="AL35728" s="183"/>
    </row>
    <row r="35729" spans="1:38">
      <c r="A35729" s="182"/>
      <c r="AJ35729" s="183"/>
    </row>
    <row r="35730" spans="1:38">
      <c r="A35730" s="182"/>
    </row>
    <row r="35731" spans="1:38">
      <c r="A35731" s="182"/>
    </row>
    <row r="35732" spans="1:38">
      <c r="A35732" s="182"/>
    </row>
    <row r="35733" spans="1:38">
      <c r="A35733" s="182"/>
    </row>
    <row r="35734" spans="1:38">
      <c r="A35734" s="182"/>
    </row>
    <row r="35735" spans="1:38">
      <c r="A35735" s="182"/>
    </row>
    <row r="35736" spans="1:38">
      <c r="A35736" s="182"/>
      <c r="M35736" s="183"/>
      <c r="N35736" s="183"/>
      <c r="O35736" s="183"/>
    </row>
    <row r="35737" spans="1:38">
      <c r="A35737" s="182"/>
      <c r="L35737" s="183"/>
      <c r="M35737" s="183"/>
      <c r="AK35737" s="183"/>
      <c r="AL35737" s="183"/>
    </row>
    <row r="35738" spans="1:38">
      <c r="A35738" s="182"/>
      <c r="AJ35738" s="183"/>
      <c r="AK35738" s="183"/>
      <c r="AL35738" s="183"/>
    </row>
    <row r="35739" spans="1:38">
      <c r="A35739" s="182"/>
      <c r="AJ35739" s="183"/>
      <c r="AK35739" s="183"/>
      <c r="AL35739" s="183"/>
    </row>
    <row r="35740" spans="1:38">
      <c r="A35740" s="182"/>
      <c r="AJ35740" s="183"/>
      <c r="AK35740" s="183"/>
      <c r="AL35740" s="183"/>
    </row>
    <row r="35741" spans="1:38">
      <c r="A35741" s="182"/>
      <c r="AJ35741" s="183"/>
    </row>
    <row r="35742" spans="1:38">
      <c r="A35742" s="182"/>
    </row>
    <row r="35743" spans="1:38">
      <c r="A35743" s="182"/>
    </row>
    <row r="35744" spans="1:38">
      <c r="A35744" s="182"/>
    </row>
    <row r="35745" spans="1:38">
      <c r="A35745" s="182"/>
      <c r="AK35745" s="183"/>
      <c r="AL35745" s="183"/>
    </row>
    <row r="35746" spans="1:38">
      <c r="A35746" s="182"/>
      <c r="AJ35746" s="183"/>
      <c r="AK35746" s="183"/>
      <c r="AL35746" s="183"/>
    </row>
    <row r="35747" spans="1:38">
      <c r="A35747" s="182"/>
      <c r="AJ35747" s="183"/>
      <c r="AK35747" s="183"/>
      <c r="AL35747" s="183"/>
    </row>
    <row r="35748" spans="1:38">
      <c r="A35748" s="182"/>
      <c r="AJ35748" s="183"/>
      <c r="AK35748" s="183"/>
      <c r="AL35748" s="183"/>
    </row>
    <row r="35749" spans="1:38">
      <c r="A35749" s="182"/>
      <c r="AJ35749" s="183"/>
    </row>
    <row r="35750" spans="1:38">
      <c r="A35750" s="182"/>
    </row>
    <row r="35751" spans="1:38">
      <c r="A35751" s="182"/>
    </row>
    <row r="35752" spans="1:38">
      <c r="A35752" s="182"/>
    </row>
    <row r="35753" spans="1:38">
      <c r="A35753" s="182"/>
    </row>
    <row r="35754" spans="1:38">
      <c r="A35754" s="182"/>
    </row>
    <row r="35755" spans="1:38">
      <c r="A35755" s="182"/>
    </row>
    <row r="35756" spans="1:38">
      <c r="A35756" s="182"/>
    </row>
    <row r="35757" spans="1:38">
      <c r="A35757" s="182"/>
    </row>
    <row r="35758" spans="1:38">
      <c r="A35758" s="182"/>
    </row>
    <row r="35759" spans="1:38">
      <c r="A35759" s="182"/>
    </row>
    <row r="35760" spans="1:38">
      <c r="A35760" s="182"/>
    </row>
    <row r="35761" spans="1:38">
      <c r="A35761" s="182"/>
      <c r="AK35761" s="183"/>
      <c r="AL35761" s="183"/>
    </row>
    <row r="35762" spans="1:38">
      <c r="A35762" s="182"/>
      <c r="AJ35762" s="183"/>
      <c r="AK35762" s="183"/>
      <c r="AL35762" s="183"/>
    </row>
    <row r="35763" spans="1:38">
      <c r="A35763" s="182"/>
      <c r="AJ35763" s="183"/>
      <c r="AK35763" s="183"/>
      <c r="AL35763" s="183"/>
    </row>
    <row r="35764" spans="1:38">
      <c r="A35764" s="182"/>
      <c r="AJ35764" s="183"/>
      <c r="AK35764" s="183"/>
      <c r="AL35764" s="183"/>
    </row>
    <row r="35765" spans="1:38">
      <c r="A35765" s="182"/>
      <c r="AJ35765" s="183"/>
      <c r="AK35765" s="183"/>
      <c r="AL35765" s="183"/>
    </row>
    <row r="35766" spans="1:38">
      <c r="A35766" s="182"/>
      <c r="AJ35766" s="183"/>
      <c r="AK35766" s="183"/>
      <c r="AL35766" s="183"/>
    </row>
    <row r="35767" spans="1:38">
      <c r="A35767" s="182"/>
      <c r="AJ35767" s="183"/>
      <c r="AK35767" s="183"/>
      <c r="AL35767" s="183"/>
    </row>
    <row r="35768" spans="1:38">
      <c r="A35768" s="182"/>
      <c r="AJ35768" s="183"/>
      <c r="AK35768" s="183"/>
      <c r="AL35768" s="183"/>
    </row>
    <row r="35769" spans="1:38">
      <c r="A35769" s="182"/>
      <c r="AJ35769" s="183"/>
      <c r="AK35769" s="183"/>
      <c r="AL35769" s="183"/>
    </row>
    <row r="35770" spans="1:38">
      <c r="A35770" s="182"/>
      <c r="AJ35770" s="183"/>
      <c r="AK35770" s="183"/>
      <c r="AL35770" s="183"/>
    </row>
    <row r="35771" spans="1:38">
      <c r="A35771" s="182"/>
      <c r="AJ35771" s="183"/>
      <c r="AK35771" s="183"/>
      <c r="AL35771" s="183"/>
    </row>
    <row r="35772" spans="1:38">
      <c r="A35772" s="182"/>
      <c r="AJ35772" s="183"/>
      <c r="AK35772" s="183"/>
      <c r="AL35772" s="183"/>
    </row>
    <row r="35773" spans="1:38">
      <c r="A35773" s="182"/>
      <c r="AJ35773" s="183"/>
    </row>
    <row r="35774" spans="1:38">
      <c r="A35774" s="182"/>
    </row>
    <row r="35775" spans="1:38">
      <c r="A35775" s="182"/>
    </row>
    <row r="35776" spans="1:38">
      <c r="A35776" s="182"/>
    </row>
    <row r="35777" spans="1:38">
      <c r="A35777" s="182"/>
      <c r="AK35777" s="183"/>
      <c r="AL35777" s="183"/>
    </row>
    <row r="35778" spans="1:38">
      <c r="A35778" s="182"/>
      <c r="AJ35778" s="183"/>
      <c r="AK35778" s="183"/>
      <c r="AL35778" s="183"/>
    </row>
    <row r="35779" spans="1:38">
      <c r="A35779" s="182"/>
      <c r="AJ35779" s="183"/>
      <c r="AK35779" s="183"/>
      <c r="AL35779" s="183"/>
    </row>
    <row r="35780" spans="1:38">
      <c r="A35780" s="182"/>
      <c r="AJ35780" s="183"/>
      <c r="AK35780" s="183"/>
      <c r="AL35780" s="183"/>
    </row>
    <row r="35781" spans="1:38">
      <c r="A35781" s="182"/>
      <c r="AJ35781" s="183"/>
    </row>
    <row r="35782" spans="1:38">
      <c r="A35782" s="182"/>
    </row>
    <row r="35783" spans="1:38">
      <c r="A35783" s="182"/>
    </row>
    <row r="35784" spans="1:38">
      <c r="A35784" s="182"/>
    </row>
    <row r="35785" spans="1:38">
      <c r="A35785" s="182"/>
    </row>
    <row r="35786" spans="1:38">
      <c r="A35786" s="182"/>
    </row>
    <row r="35787" spans="1:38">
      <c r="A35787" s="182"/>
    </row>
    <row r="35788" spans="1:38">
      <c r="A35788" s="182"/>
    </row>
    <row r="35789" spans="1:38">
      <c r="A35789" s="182"/>
    </row>
    <row r="35790" spans="1:38">
      <c r="A35790" s="182"/>
    </row>
    <row r="35791" spans="1:38">
      <c r="A35791" s="182"/>
    </row>
    <row r="35792" spans="1:38">
      <c r="A35792" s="182"/>
    </row>
    <row r="35793" spans="1:38">
      <c r="A35793" s="182"/>
      <c r="AK35793" s="183"/>
      <c r="AL35793" s="183"/>
    </row>
    <row r="35794" spans="1:38">
      <c r="A35794" s="182"/>
      <c r="AJ35794" s="183"/>
      <c r="AK35794" s="183"/>
      <c r="AL35794" s="183"/>
    </row>
    <row r="35795" spans="1:38">
      <c r="A35795" s="182"/>
      <c r="AJ35795" s="183"/>
      <c r="AK35795" s="183"/>
      <c r="AL35795" s="183"/>
    </row>
    <row r="35796" spans="1:38">
      <c r="A35796" s="182"/>
      <c r="AJ35796" s="183"/>
      <c r="AK35796" s="183"/>
      <c r="AL35796" s="183"/>
    </row>
    <row r="35797" spans="1:38">
      <c r="A35797" s="182"/>
      <c r="AJ35797" s="183"/>
    </row>
    <row r="35798" spans="1:38">
      <c r="A35798" s="182"/>
    </row>
    <row r="35799" spans="1:38">
      <c r="A35799" s="182"/>
    </row>
    <row r="35800" spans="1:38">
      <c r="A35800" s="182"/>
    </row>
    <row r="35801" spans="1:38">
      <c r="A35801" s="182"/>
    </row>
    <row r="35802" spans="1:38">
      <c r="A35802" s="182"/>
    </row>
    <row r="35803" spans="1:38">
      <c r="A35803" s="182"/>
    </row>
    <row r="35804" spans="1:38">
      <c r="A35804" s="182"/>
    </row>
    <row r="35805" spans="1:38">
      <c r="A35805" s="182"/>
      <c r="AK35805" s="183"/>
      <c r="AL35805" s="183"/>
    </row>
    <row r="35806" spans="1:38">
      <c r="A35806" s="182"/>
      <c r="AJ35806" s="183"/>
      <c r="AK35806" s="183"/>
      <c r="AL35806" s="183"/>
    </row>
    <row r="35807" spans="1:38">
      <c r="A35807" s="182"/>
      <c r="AJ35807" s="183"/>
      <c r="AK35807" s="183"/>
      <c r="AL35807" s="183"/>
    </row>
    <row r="35808" spans="1:38">
      <c r="A35808" s="182"/>
      <c r="AJ35808" s="183"/>
      <c r="AK35808" s="183"/>
      <c r="AL35808" s="183"/>
    </row>
    <row r="35809" spans="1:38">
      <c r="A35809" s="182"/>
      <c r="AJ35809" s="183"/>
      <c r="AK35809" s="183"/>
      <c r="AL35809" s="183"/>
    </row>
    <row r="35810" spans="1:38">
      <c r="A35810" s="182"/>
      <c r="AJ35810" s="183"/>
      <c r="AK35810" s="183"/>
      <c r="AL35810" s="183"/>
    </row>
    <row r="35811" spans="1:38">
      <c r="A35811" s="182"/>
      <c r="AJ35811" s="183"/>
      <c r="AK35811" s="183"/>
      <c r="AL35811" s="183"/>
    </row>
    <row r="35812" spans="1:38">
      <c r="A35812" s="182"/>
      <c r="AJ35812" s="183"/>
      <c r="AK35812" s="183"/>
      <c r="AL35812" s="183"/>
    </row>
    <row r="35813" spans="1:38">
      <c r="A35813" s="182"/>
      <c r="AJ35813" s="183"/>
      <c r="AK35813" s="183"/>
      <c r="AL35813" s="183"/>
    </row>
    <row r="35814" spans="1:38">
      <c r="A35814" s="182"/>
      <c r="AJ35814" s="183"/>
      <c r="AK35814" s="183"/>
      <c r="AL35814" s="183"/>
    </row>
    <row r="35815" spans="1:38">
      <c r="A35815" s="182"/>
      <c r="AJ35815" s="183"/>
      <c r="AK35815" s="183"/>
      <c r="AL35815" s="183"/>
    </row>
    <row r="35816" spans="1:38">
      <c r="A35816" s="182"/>
      <c r="AJ35816" s="183"/>
      <c r="AK35816" s="183"/>
      <c r="AL35816" s="183"/>
    </row>
    <row r="35817" spans="1:38">
      <c r="A35817" s="182"/>
      <c r="AJ35817" s="183"/>
      <c r="AK35817" s="183"/>
      <c r="AL35817" s="183"/>
    </row>
    <row r="35818" spans="1:38">
      <c r="A35818" s="182"/>
      <c r="AJ35818" s="183"/>
      <c r="AK35818" s="183"/>
      <c r="AL35818" s="183"/>
    </row>
    <row r="35819" spans="1:38">
      <c r="A35819" s="182"/>
      <c r="AJ35819" s="183"/>
      <c r="AK35819" s="183"/>
      <c r="AL35819" s="183"/>
    </row>
    <row r="35820" spans="1:38">
      <c r="A35820" s="182"/>
      <c r="AJ35820" s="183"/>
      <c r="AK35820" s="183"/>
      <c r="AL35820" s="183"/>
    </row>
    <row r="35821" spans="1:38">
      <c r="A35821" s="182"/>
      <c r="AJ35821" s="183"/>
      <c r="AK35821" s="183"/>
      <c r="AL35821" s="183"/>
    </row>
    <row r="35822" spans="1:38">
      <c r="A35822" s="182"/>
      <c r="AJ35822" s="183"/>
      <c r="AK35822" s="183"/>
      <c r="AL35822" s="183"/>
    </row>
    <row r="35823" spans="1:38">
      <c r="A35823" s="182"/>
      <c r="AJ35823" s="183"/>
      <c r="AK35823" s="183"/>
      <c r="AL35823" s="183"/>
    </row>
    <row r="35824" spans="1:38">
      <c r="A35824" s="182"/>
      <c r="AJ35824" s="183"/>
      <c r="AK35824" s="183"/>
      <c r="AL35824" s="183"/>
    </row>
    <row r="35825" spans="1:38">
      <c r="A35825" s="182"/>
      <c r="AJ35825" s="183"/>
    </row>
    <row r="35826" spans="1:38">
      <c r="A35826" s="182"/>
    </row>
    <row r="35827" spans="1:38">
      <c r="A35827" s="182"/>
    </row>
    <row r="35828" spans="1:38">
      <c r="A35828" s="182"/>
    </row>
    <row r="35829" spans="1:38">
      <c r="A35829" s="182"/>
      <c r="AK35829" s="183"/>
      <c r="AL35829" s="183"/>
    </row>
    <row r="35830" spans="1:38">
      <c r="A35830" s="182"/>
      <c r="AJ35830" s="183"/>
      <c r="AK35830" s="183"/>
      <c r="AL35830" s="183"/>
    </row>
    <row r="35831" spans="1:38">
      <c r="A35831" s="182"/>
      <c r="AJ35831" s="183"/>
      <c r="AK35831" s="183"/>
      <c r="AL35831" s="183"/>
    </row>
    <row r="35832" spans="1:38">
      <c r="A35832" s="182"/>
      <c r="AJ35832" s="183"/>
      <c r="AK35832" s="183"/>
      <c r="AL35832" s="183"/>
    </row>
    <row r="35833" spans="1:38">
      <c r="A35833" s="182"/>
      <c r="AJ35833" s="183"/>
      <c r="AK35833" s="183"/>
      <c r="AL35833" s="183"/>
    </row>
    <row r="35834" spans="1:38">
      <c r="A35834" s="182"/>
      <c r="AJ35834" s="183"/>
      <c r="AK35834" s="183"/>
      <c r="AL35834" s="183"/>
    </row>
    <row r="35835" spans="1:38">
      <c r="A35835" s="182"/>
      <c r="AJ35835" s="183"/>
      <c r="AK35835" s="183"/>
      <c r="AL35835" s="183"/>
    </row>
    <row r="35836" spans="1:38">
      <c r="A35836" s="182"/>
      <c r="AJ35836" s="183"/>
      <c r="AK35836" s="183"/>
      <c r="AL35836" s="183"/>
    </row>
    <row r="35837" spans="1:38">
      <c r="A35837" s="182"/>
      <c r="AJ35837" s="183"/>
    </row>
    <row r="35838" spans="1:38">
      <c r="A35838" s="182"/>
    </row>
    <row r="35839" spans="1:38">
      <c r="A35839" s="182"/>
    </row>
    <row r="35840" spans="1:38">
      <c r="A35840" s="182"/>
    </row>
    <row r="35841" spans="1:38">
      <c r="A35841" s="182"/>
      <c r="AK35841" s="183"/>
      <c r="AL35841" s="183"/>
    </row>
    <row r="35842" spans="1:38">
      <c r="A35842" s="182"/>
      <c r="AJ35842" s="183"/>
      <c r="AK35842" s="183"/>
      <c r="AL35842" s="183"/>
    </row>
    <row r="35843" spans="1:38">
      <c r="A35843" s="182"/>
      <c r="AJ35843" s="183"/>
      <c r="AK35843" s="183"/>
      <c r="AL35843" s="183"/>
    </row>
    <row r="35844" spans="1:38">
      <c r="A35844" s="182"/>
      <c r="AJ35844" s="183"/>
      <c r="AK35844" s="183"/>
      <c r="AL35844" s="183"/>
    </row>
    <row r="35845" spans="1:38">
      <c r="A35845" s="182"/>
      <c r="AJ35845" s="183"/>
    </row>
    <row r="35846" spans="1:38">
      <c r="A35846" s="182"/>
    </row>
    <row r="35847" spans="1:38">
      <c r="A35847" s="182"/>
    </row>
    <row r="35848" spans="1:38">
      <c r="A35848" s="182"/>
    </row>
    <row r="35849" spans="1:38">
      <c r="A35849" s="182"/>
    </row>
    <row r="35850" spans="1:38">
      <c r="A35850" s="182"/>
    </row>
    <row r="35851" spans="1:38">
      <c r="A35851" s="182"/>
    </row>
    <row r="35852" spans="1:38">
      <c r="A35852" s="182"/>
    </row>
    <row r="35853" spans="1:38">
      <c r="A35853" s="182"/>
      <c r="AK35853" s="183"/>
      <c r="AL35853" s="183"/>
    </row>
    <row r="35854" spans="1:38">
      <c r="A35854" s="182"/>
      <c r="AJ35854" s="183"/>
      <c r="AK35854" s="183"/>
      <c r="AL35854" s="183"/>
    </row>
    <row r="35855" spans="1:38">
      <c r="A35855" s="182"/>
      <c r="AJ35855" s="183"/>
      <c r="AK35855" s="183"/>
      <c r="AL35855" s="183"/>
    </row>
    <row r="35856" spans="1:38">
      <c r="A35856" s="182"/>
      <c r="AJ35856" s="183"/>
      <c r="AK35856" s="183"/>
      <c r="AL35856" s="183"/>
    </row>
    <row r="35857" spans="1:36">
      <c r="A35857" s="182"/>
      <c r="AJ35857" s="183"/>
    </row>
    <row r="35858" spans="1:36">
      <c r="A35858" s="182"/>
    </row>
    <row r="35859" spans="1:36">
      <c r="A35859" s="182"/>
    </row>
    <row r="35860" spans="1:36">
      <c r="A35860" s="182"/>
    </row>
    <row r="35861" spans="1:36">
      <c r="A35861" s="182"/>
    </row>
    <row r="35862" spans="1:36">
      <c r="A35862" s="182"/>
    </row>
    <row r="35863" spans="1:36">
      <c r="A35863" s="182"/>
    </row>
    <row r="35864" spans="1:36">
      <c r="A35864" s="182"/>
    </row>
    <row r="35865" spans="1:36">
      <c r="A35865" s="182"/>
    </row>
    <row r="35866" spans="1:36">
      <c r="A35866" s="182"/>
    </row>
    <row r="35867" spans="1:36">
      <c r="A35867" s="182"/>
    </row>
    <row r="35868" spans="1:36">
      <c r="A35868" s="182"/>
    </row>
    <row r="35869" spans="1:36">
      <c r="A35869" s="182"/>
    </row>
    <row r="35870" spans="1:36">
      <c r="A35870" s="182"/>
    </row>
    <row r="35871" spans="1:36">
      <c r="A35871" s="182"/>
    </row>
    <row r="35872" spans="1:36">
      <c r="A35872" s="182"/>
    </row>
    <row r="35873" spans="1:38">
      <c r="A35873" s="182"/>
    </row>
    <row r="35874" spans="1:38">
      <c r="A35874" s="182"/>
    </row>
    <row r="35875" spans="1:38">
      <c r="A35875" s="182"/>
    </row>
    <row r="35876" spans="1:38">
      <c r="A35876" s="182"/>
    </row>
    <row r="35877" spans="1:38">
      <c r="A35877" s="182"/>
    </row>
    <row r="35878" spans="1:38">
      <c r="A35878" s="182"/>
    </row>
    <row r="35879" spans="1:38">
      <c r="A35879" s="182"/>
    </row>
    <row r="35880" spans="1:38">
      <c r="A35880" s="182"/>
    </row>
    <row r="35881" spans="1:38">
      <c r="A35881" s="182"/>
      <c r="AK35881" s="183"/>
      <c r="AL35881" s="183"/>
    </row>
    <row r="35882" spans="1:38">
      <c r="A35882" s="182"/>
      <c r="AJ35882" s="183"/>
      <c r="AK35882" s="183"/>
      <c r="AL35882" s="183"/>
    </row>
    <row r="35883" spans="1:38">
      <c r="A35883" s="182"/>
      <c r="AJ35883" s="183"/>
      <c r="AK35883" s="183"/>
      <c r="AL35883" s="183"/>
    </row>
    <row r="35884" spans="1:38">
      <c r="A35884" s="182"/>
      <c r="AJ35884" s="183"/>
      <c r="AK35884" s="183"/>
      <c r="AL35884" s="183"/>
    </row>
    <row r="35885" spans="1:38">
      <c r="A35885" s="182"/>
      <c r="AJ35885" s="183"/>
    </row>
    <row r="35886" spans="1:38">
      <c r="A35886" s="182"/>
    </row>
    <row r="35887" spans="1:38">
      <c r="A35887" s="182"/>
    </row>
    <row r="35888" spans="1:38">
      <c r="A35888" s="182"/>
    </row>
    <row r="35889" spans="1:38">
      <c r="A35889" s="182"/>
    </row>
    <row r="35890" spans="1:38">
      <c r="A35890" s="182"/>
    </row>
    <row r="35891" spans="1:38">
      <c r="A35891" s="182"/>
    </row>
    <row r="35892" spans="1:38">
      <c r="A35892" s="182"/>
    </row>
    <row r="35893" spans="1:38">
      <c r="A35893" s="182"/>
      <c r="AK35893" s="183"/>
      <c r="AL35893" s="183"/>
    </row>
    <row r="35894" spans="1:38">
      <c r="A35894" s="182"/>
      <c r="AJ35894" s="183"/>
      <c r="AK35894" s="183"/>
      <c r="AL35894" s="183"/>
    </row>
    <row r="35895" spans="1:38">
      <c r="A35895" s="182"/>
      <c r="AJ35895" s="183"/>
      <c r="AK35895" s="183"/>
      <c r="AL35895" s="183"/>
    </row>
    <row r="35896" spans="1:38">
      <c r="A35896" s="182"/>
      <c r="AJ35896" s="183"/>
      <c r="AK35896" s="183"/>
      <c r="AL35896" s="183"/>
    </row>
    <row r="35897" spans="1:38">
      <c r="A35897" s="182"/>
      <c r="AJ35897" s="183"/>
    </row>
    <row r="35898" spans="1:38">
      <c r="A35898" s="182"/>
    </row>
    <row r="35899" spans="1:38">
      <c r="A35899" s="182"/>
    </row>
    <row r="35900" spans="1:38">
      <c r="A35900" s="182"/>
    </row>
    <row r="35901" spans="1:38">
      <c r="A35901" s="182"/>
    </row>
    <row r="35902" spans="1:38">
      <c r="A35902" s="182"/>
    </row>
    <row r="35903" spans="1:38">
      <c r="A35903" s="182"/>
    </row>
    <row r="35904" spans="1:38">
      <c r="A35904" s="182"/>
    </row>
    <row r="35905" spans="1:38">
      <c r="A35905" s="182"/>
    </row>
    <row r="35906" spans="1:38">
      <c r="A35906" s="182"/>
    </row>
    <row r="35907" spans="1:38">
      <c r="A35907" s="182"/>
    </row>
    <row r="35908" spans="1:38">
      <c r="A35908" s="182"/>
    </row>
    <row r="35909" spans="1:38">
      <c r="A35909" s="182"/>
      <c r="AK35909" s="183"/>
      <c r="AL35909" s="183"/>
    </row>
    <row r="35910" spans="1:38">
      <c r="A35910" s="182"/>
      <c r="AJ35910" s="183"/>
      <c r="AK35910" s="183"/>
      <c r="AL35910" s="183"/>
    </row>
    <row r="35911" spans="1:38">
      <c r="A35911" s="182"/>
      <c r="AJ35911" s="183"/>
      <c r="AK35911" s="183"/>
      <c r="AL35911" s="183"/>
    </row>
    <row r="35912" spans="1:38">
      <c r="A35912" s="182"/>
      <c r="AJ35912" s="183"/>
      <c r="AK35912" s="183"/>
      <c r="AL35912" s="183"/>
    </row>
    <row r="35913" spans="1:38">
      <c r="A35913" s="182"/>
      <c r="AJ35913" s="183"/>
    </row>
    <row r="35914" spans="1:38">
      <c r="A35914" s="182"/>
    </row>
    <row r="35915" spans="1:38">
      <c r="A35915" s="182"/>
    </row>
    <row r="35916" spans="1:38">
      <c r="A35916" s="182"/>
    </row>
    <row r="35917" spans="1:38">
      <c r="A35917" s="182"/>
      <c r="AK35917" s="183"/>
      <c r="AL35917" s="183"/>
    </row>
    <row r="35918" spans="1:38">
      <c r="A35918" s="182"/>
      <c r="AJ35918" s="183"/>
      <c r="AK35918" s="183"/>
      <c r="AL35918" s="183"/>
    </row>
    <row r="35919" spans="1:38">
      <c r="A35919" s="182"/>
      <c r="AJ35919" s="183"/>
      <c r="AK35919" s="183"/>
      <c r="AL35919" s="183"/>
    </row>
    <row r="35920" spans="1:38">
      <c r="A35920" s="182"/>
      <c r="AJ35920" s="183"/>
      <c r="AK35920" s="183"/>
      <c r="AL35920" s="183"/>
    </row>
    <row r="35921" spans="1:38">
      <c r="A35921" s="182"/>
      <c r="AJ35921" s="183"/>
    </row>
    <row r="35922" spans="1:38">
      <c r="A35922" s="182"/>
    </row>
    <row r="35923" spans="1:38">
      <c r="A35923" s="182"/>
    </row>
    <row r="35924" spans="1:38">
      <c r="A35924" s="182"/>
    </row>
    <row r="35925" spans="1:38">
      <c r="A35925" s="182"/>
      <c r="AK35925" s="183"/>
      <c r="AL35925" s="183"/>
    </row>
    <row r="35926" spans="1:38">
      <c r="A35926" s="182"/>
      <c r="AJ35926" s="183"/>
      <c r="AK35926" s="183"/>
      <c r="AL35926" s="183"/>
    </row>
    <row r="35927" spans="1:38">
      <c r="A35927" s="182"/>
      <c r="AJ35927" s="183"/>
      <c r="AK35927" s="183"/>
      <c r="AL35927" s="183"/>
    </row>
    <row r="35928" spans="1:38">
      <c r="A35928" s="182"/>
      <c r="AJ35928" s="183"/>
      <c r="AK35928" s="183"/>
      <c r="AL35928" s="183"/>
    </row>
    <row r="35929" spans="1:38">
      <c r="A35929" s="182"/>
      <c r="AJ35929" s="183"/>
      <c r="AK35929" s="183"/>
      <c r="AL35929" s="183"/>
    </row>
    <row r="35930" spans="1:38">
      <c r="A35930" s="182"/>
      <c r="AJ35930" s="183"/>
      <c r="AK35930" s="183"/>
      <c r="AL35930" s="183"/>
    </row>
    <row r="35931" spans="1:38">
      <c r="A35931" s="182"/>
      <c r="AJ35931" s="183"/>
      <c r="AK35931" s="183"/>
      <c r="AL35931" s="183"/>
    </row>
    <row r="35932" spans="1:38">
      <c r="A35932" s="182"/>
      <c r="AJ35932" s="183"/>
      <c r="AK35932" s="183"/>
      <c r="AL35932" s="183"/>
    </row>
    <row r="35933" spans="1:38">
      <c r="A35933" s="182"/>
      <c r="AJ35933" s="183"/>
      <c r="AK35933" s="183"/>
      <c r="AL35933" s="183"/>
    </row>
    <row r="35934" spans="1:38">
      <c r="A35934" s="182"/>
      <c r="AJ35934" s="183"/>
      <c r="AK35934" s="183"/>
      <c r="AL35934" s="183"/>
    </row>
    <row r="35935" spans="1:38">
      <c r="A35935" s="182"/>
      <c r="AJ35935" s="183"/>
      <c r="AK35935" s="183"/>
      <c r="AL35935" s="183"/>
    </row>
    <row r="35936" spans="1:38">
      <c r="A35936" s="182"/>
      <c r="AJ35936" s="183"/>
      <c r="AK35936" s="183"/>
      <c r="AL35936" s="183"/>
    </row>
    <row r="35937" spans="1:38">
      <c r="A35937" s="182"/>
      <c r="AJ35937" s="183"/>
      <c r="AK35937" s="183"/>
      <c r="AL35937" s="183"/>
    </row>
    <row r="35938" spans="1:38">
      <c r="A35938" s="182"/>
      <c r="AJ35938" s="183"/>
      <c r="AK35938" s="183"/>
      <c r="AL35938" s="183"/>
    </row>
    <row r="35939" spans="1:38">
      <c r="A35939" s="182"/>
      <c r="AJ35939" s="183"/>
      <c r="AK35939" s="183"/>
      <c r="AL35939" s="183"/>
    </row>
    <row r="35940" spans="1:38">
      <c r="A35940" s="182"/>
      <c r="AJ35940" s="183"/>
      <c r="AK35940" s="183"/>
      <c r="AL35940" s="183"/>
    </row>
    <row r="35941" spans="1:38">
      <c r="A35941" s="182"/>
      <c r="AJ35941" s="183"/>
    </row>
    <row r="35942" spans="1:38">
      <c r="A35942" s="182"/>
    </row>
    <row r="35943" spans="1:38">
      <c r="A35943" s="182"/>
    </row>
    <row r="35944" spans="1:38">
      <c r="A35944" s="182"/>
    </row>
    <row r="35945" spans="1:38">
      <c r="A35945" s="182"/>
    </row>
    <row r="35946" spans="1:38">
      <c r="A35946" s="182"/>
    </row>
    <row r="35947" spans="1:38">
      <c r="A35947" s="182"/>
    </row>
    <row r="35948" spans="1:38">
      <c r="A35948" s="182"/>
    </row>
    <row r="35949" spans="1:38">
      <c r="A35949" s="182"/>
    </row>
    <row r="35950" spans="1:38">
      <c r="A35950" s="182"/>
    </row>
    <row r="35951" spans="1:38">
      <c r="A35951" s="182"/>
    </row>
    <row r="35952" spans="1:38">
      <c r="A35952" s="182"/>
    </row>
    <row r="35953" spans="1:1">
      <c r="A35953" s="182"/>
    </row>
    <row r="35954" spans="1:1">
      <c r="A35954" s="182"/>
    </row>
    <row r="35955" spans="1:1">
      <c r="A35955" s="182"/>
    </row>
    <row r="35956" spans="1:1">
      <c r="A35956" s="182"/>
    </row>
    <row r="35957" spans="1:1">
      <c r="A35957" s="182"/>
    </row>
    <row r="35958" spans="1:1">
      <c r="A35958" s="182"/>
    </row>
    <row r="35959" spans="1:1">
      <c r="A35959" s="182"/>
    </row>
    <row r="35960" spans="1:1">
      <c r="A35960" s="182"/>
    </row>
    <row r="35961" spans="1:1">
      <c r="A35961" s="182"/>
    </row>
    <row r="35962" spans="1:1">
      <c r="A35962" s="182"/>
    </row>
    <row r="35963" spans="1:1">
      <c r="A35963" s="182"/>
    </row>
    <row r="35964" spans="1:1">
      <c r="A35964" s="182"/>
    </row>
    <row r="35965" spans="1:1">
      <c r="A35965" s="182"/>
    </row>
    <row r="35966" spans="1:1">
      <c r="A35966" s="182"/>
    </row>
    <row r="35967" spans="1:1">
      <c r="A35967" s="182"/>
    </row>
    <row r="35968" spans="1:1">
      <c r="A35968" s="182"/>
    </row>
    <row r="35969" spans="1:38">
      <c r="A35969" s="182"/>
      <c r="AK35969" s="183"/>
      <c r="AL35969" s="183"/>
    </row>
    <row r="35970" spans="1:38">
      <c r="A35970" s="182"/>
      <c r="AJ35970" s="183"/>
      <c r="AK35970" s="183"/>
      <c r="AL35970" s="183"/>
    </row>
    <row r="35971" spans="1:38">
      <c r="A35971" s="182"/>
      <c r="AJ35971" s="183"/>
      <c r="AK35971" s="183"/>
      <c r="AL35971" s="183"/>
    </row>
    <row r="35972" spans="1:38">
      <c r="A35972" s="182"/>
      <c r="AJ35972" s="183"/>
      <c r="AK35972" s="183"/>
      <c r="AL35972" s="183"/>
    </row>
    <row r="35973" spans="1:38">
      <c r="A35973" s="182"/>
      <c r="AJ35973" s="183"/>
    </row>
    <row r="35974" spans="1:38">
      <c r="A35974" s="182"/>
    </row>
    <row r="35975" spans="1:38">
      <c r="A35975" s="182"/>
    </row>
    <row r="35976" spans="1:38">
      <c r="A35976" s="182"/>
    </row>
    <row r="35977" spans="1:38">
      <c r="A35977" s="182"/>
    </row>
    <row r="35978" spans="1:38">
      <c r="A35978" s="182"/>
    </row>
    <row r="35979" spans="1:38">
      <c r="A35979" s="182"/>
    </row>
    <row r="35980" spans="1:38">
      <c r="A35980" s="182"/>
    </row>
    <row r="35981" spans="1:38">
      <c r="A35981" s="182"/>
    </row>
  </sheetData>
  <conditionalFormatting sqref="C1">
    <cfRule type="expression" dxfId="38" priority="5">
      <formula>AND(COUNTA($B1:$P1)&gt;0,C1="")</formula>
    </cfRule>
  </conditionalFormatting>
  <conditionalFormatting sqref="D1">
    <cfRule type="duplicateValues" dxfId="37" priority="53"/>
  </conditionalFormatting>
  <conditionalFormatting sqref="E1">
    <cfRule type="duplicateValues" dxfId="36" priority="50"/>
  </conditionalFormatting>
  <conditionalFormatting sqref="F1">
    <cfRule type="duplicateValues" dxfId="35" priority="47"/>
  </conditionalFormatting>
  <conditionalFormatting sqref="O1">
    <cfRule type="duplicateValues" dxfId="34" priority="44"/>
  </conditionalFormatting>
  <conditionalFormatting sqref="G1">
    <cfRule type="duplicateValues" dxfId="33" priority="41"/>
  </conditionalFormatting>
  <conditionalFormatting sqref="H1">
    <cfRule type="duplicateValues" dxfId="32" priority="38"/>
  </conditionalFormatting>
  <conditionalFormatting sqref="I1">
    <cfRule type="duplicateValues" dxfId="31" priority="35"/>
  </conditionalFormatting>
  <conditionalFormatting sqref="J1">
    <cfRule type="duplicateValues" dxfId="30" priority="32"/>
  </conditionalFormatting>
  <conditionalFormatting sqref="K1">
    <cfRule type="duplicateValues" dxfId="29" priority="29"/>
  </conditionalFormatting>
  <conditionalFormatting sqref="L1">
    <cfRule type="duplicateValues" dxfId="28" priority="26"/>
  </conditionalFormatting>
  <conditionalFormatting sqref="M1">
    <cfRule type="duplicateValues" dxfId="27" priority="23"/>
  </conditionalFormatting>
  <conditionalFormatting sqref="N1">
    <cfRule type="duplicateValues" dxfId="26" priority="20"/>
  </conditionalFormatting>
  <conditionalFormatting sqref="C1">
    <cfRule type="duplicateValues" dxfId="25" priority="17"/>
  </conditionalFormatting>
  <conditionalFormatting sqref="O1">
    <cfRule type="expression" dxfId="24" priority="158">
      <formula>AND(COUNTA($B13:$O13)=0,O1&lt;&gt;"")</formula>
    </cfRule>
  </conditionalFormatting>
  <conditionalFormatting sqref="E1">
    <cfRule type="expression" dxfId="23" priority="159">
      <formula>AND(COUNTA($B3:$O3)=0,E1&lt;&gt;"")</formula>
    </cfRule>
  </conditionalFormatting>
  <conditionalFormatting sqref="F1">
    <cfRule type="expression" dxfId="22" priority="160">
      <formula>AND(COUNTA($B4:$O4)=0,F1&lt;&gt;"")</formula>
    </cfRule>
  </conditionalFormatting>
  <conditionalFormatting sqref="G1">
    <cfRule type="expression" dxfId="21" priority="161">
      <formula>AND(COUNTA($B5:$O5)=0,G1&lt;&gt;"")</formula>
    </cfRule>
  </conditionalFormatting>
  <conditionalFormatting sqref="H1">
    <cfRule type="expression" dxfId="20" priority="162">
      <formula>AND(COUNTA($B6:$O6)=0,H1&lt;&gt;"")</formula>
    </cfRule>
  </conditionalFormatting>
  <conditionalFormatting sqref="I1">
    <cfRule type="expression" dxfId="19" priority="163">
      <formula>AND(COUNTA($B8:$O8)&gt;0,I1="")</formula>
    </cfRule>
  </conditionalFormatting>
  <conditionalFormatting sqref="H1">
    <cfRule type="expression" dxfId="18" priority="164">
      <formula>AND(COUNTA($B7:$O7)&gt;0,H1="")</formula>
    </cfRule>
  </conditionalFormatting>
  <conditionalFormatting sqref="G1">
    <cfRule type="expression" dxfId="17" priority="165">
      <formula>AND(COUNTA($B6:$O6)&gt;0,G1="")</formula>
    </cfRule>
  </conditionalFormatting>
  <conditionalFormatting sqref="F1">
    <cfRule type="expression" dxfId="16" priority="166">
      <formula>AND(COUNTA($B5:$O5)&gt;0,F1="")</formula>
    </cfRule>
  </conditionalFormatting>
  <conditionalFormatting sqref="E1">
    <cfRule type="expression" dxfId="15" priority="167">
      <formula>AND(COUNTA($B4:$O4)&gt;0,E1="")</formula>
    </cfRule>
  </conditionalFormatting>
  <conditionalFormatting sqref="D1">
    <cfRule type="expression" dxfId="14" priority="168">
      <formula>AND(COUNTA($B2:$O2)=0,D1&lt;&gt;"")</formula>
    </cfRule>
  </conditionalFormatting>
  <conditionalFormatting sqref="D1">
    <cfRule type="expression" dxfId="13" priority="169">
      <formula>AND(COUNTA($B3:$O3)&gt;0,D1="")</formula>
    </cfRule>
  </conditionalFormatting>
  <conditionalFormatting sqref="J1">
    <cfRule type="expression" dxfId="12" priority="170">
      <formula>AND(COUNTA($B8:$O8)=0,J1&lt;&gt;"")</formula>
    </cfRule>
  </conditionalFormatting>
  <conditionalFormatting sqref="J1">
    <cfRule type="expression" dxfId="11" priority="171">
      <formula>AND(COUNTA($B9:$O9)&gt;0,J1="")</formula>
    </cfRule>
  </conditionalFormatting>
  <conditionalFormatting sqref="K1">
    <cfRule type="expression" dxfId="10" priority="172">
      <formula>AND(COUNTA($B9:$O9)=0,K1&lt;&gt;"")</formula>
    </cfRule>
  </conditionalFormatting>
  <conditionalFormatting sqref="K1">
    <cfRule type="expression" dxfId="9" priority="173">
      <formula>AND(COUNTA($B10:$O10)&gt;0,K1="")</formula>
    </cfRule>
  </conditionalFormatting>
  <conditionalFormatting sqref="L1">
    <cfRule type="expression" dxfId="8" priority="174">
      <formula>AND(COUNTA($B10:$O10)=0,L1&lt;&gt;"")</formula>
    </cfRule>
  </conditionalFormatting>
  <conditionalFormatting sqref="L1">
    <cfRule type="expression" dxfId="7" priority="175">
      <formula>AND(COUNTA($B11:$O11)&gt;0,L1="")</formula>
    </cfRule>
  </conditionalFormatting>
  <conditionalFormatting sqref="M1">
    <cfRule type="expression" dxfId="6" priority="176">
      <formula>AND(COUNTA($B11:$O11)=0,M1&lt;&gt;"")</formula>
    </cfRule>
  </conditionalFormatting>
  <conditionalFormatting sqref="M1">
    <cfRule type="expression" dxfId="5" priority="177">
      <formula>AND(COUNTA($B12:$O12)&gt;0,M1="")</formula>
    </cfRule>
  </conditionalFormatting>
  <conditionalFormatting sqref="I1">
    <cfRule type="expression" dxfId="4" priority="178">
      <formula>AND(COUNTA($B7:$O7)=0,I1&lt;&gt;"")</formula>
    </cfRule>
  </conditionalFormatting>
  <conditionalFormatting sqref="N1">
    <cfRule type="expression" dxfId="3" priority="179">
      <formula>AND(COUNTA($B12:$O12)=0,N1&lt;&gt;"")</formula>
    </cfRule>
  </conditionalFormatting>
  <conditionalFormatting sqref="N1">
    <cfRule type="expression" dxfId="2" priority="180">
      <formula>AND(COUNTA($B13:$O13)&gt;0,N1="")</formula>
    </cfRule>
  </conditionalFormatting>
  <conditionalFormatting sqref="O1">
    <cfRule type="expression" dxfId="1" priority="181">
      <formula>AND(COUNTA($B14:$O14)&gt;0,O1="")</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1:AE812"/>
  <sheetViews>
    <sheetView topLeftCell="AD1" workbookViewId="0">
      <selection activeCell="AE2" sqref="AE2:AE181"/>
    </sheetView>
  </sheetViews>
  <sheetFormatPr defaultColWidth="8.86328125" defaultRowHeight="14.25"/>
  <cols>
    <col min="1" max="1" width="8.265625" bestFit="1" customWidth="1"/>
    <col min="2" max="2" width="13.86328125" bestFit="1" customWidth="1"/>
    <col min="3" max="3" width="22.73046875" bestFit="1" customWidth="1"/>
    <col min="4" max="4" width="21.3984375" bestFit="1" customWidth="1"/>
    <col min="5" max="6" width="23.1328125" bestFit="1" customWidth="1"/>
    <col min="7" max="7" width="27.265625" bestFit="1" customWidth="1"/>
    <col min="8" max="8" width="24.1328125" bestFit="1" customWidth="1"/>
    <col min="9" max="9" width="21.3984375" style="4" bestFit="1" customWidth="1"/>
    <col min="10" max="10" width="36" style="4" bestFit="1" customWidth="1"/>
    <col min="11" max="11" width="18.3984375" style="4" bestFit="1" customWidth="1"/>
    <col min="12" max="12" width="15.265625" bestFit="1" customWidth="1"/>
    <col min="13" max="13" width="31.265625" style="4" bestFit="1" customWidth="1"/>
    <col min="14" max="14" width="23.1328125" style="4" bestFit="1" customWidth="1"/>
    <col min="15" max="15" width="20.1328125" bestFit="1" customWidth="1"/>
    <col min="16" max="16" width="20.1328125" style="4" bestFit="1" customWidth="1"/>
    <col min="17" max="17" width="11.3984375" bestFit="1" customWidth="1"/>
    <col min="18" max="18" width="19.3984375" bestFit="1" customWidth="1"/>
    <col min="19" max="19" width="20.265625" style="4" bestFit="1" customWidth="1"/>
    <col min="20" max="20" width="23.265625" bestFit="1" customWidth="1"/>
    <col min="21" max="21" width="19.86328125" bestFit="1" customWidth="1"/>
    <col min="22" max="22" width="34.265625" bestFit="1" customWidth="1"/>
    <col min="23" max="23" width="31.3984375" bestFit="1" customWidth="1"/>
    <col min="24" max="24" width="13.3984375" bestFit="1" customWidth="1"/>
    <col min="25" max="25" width="17.265625" bestFit="1" customWidth="1"/>
    <col min="26" max="26" width="27.3984375" style="4" bestFit="1" customWidth="1"/>
    <col min="27" max="27" width="9.3984375" bestFit="1" customWidth="1"/>
    <col min="28" max="28" width="22.3984375" style="4" bestFit="1" customWidth="1"/>
    <col min="29" max="29" width="64.3984375" bestFit="1" customWidth="1"/>
    <col min="30" max="30" width="19.1328125" bestFit="1" customWidth="1"/>
    <col min="31" max="31" width="36.86328125" customWidth="1"/>
    <col min="33" max="33" width="22.265625" bestFit="1" customWidth="1"/>
    <col min="34" max="34" width="70.3984375" bestFit="1" customWidth="1"/>
    <col min="35" max="36" width="14.265625" bestFit="1" customWidth="1"/>
    <col min="41" max="41" width="16.86328125" bestFit="1" customWidth="1"/>
    <col min="43" max="43" width="11.1328125" bestFit="1" customWidth="1"/>
    <col min="44" max="44" width="23.3984375" bestFit="1" customWidth="1"/>
  </cols>
  <sheetData>
    <row r="1" spans="1:31">
      <c r="A1" s="1" t="s">
        <v>68</v>
      </c>
      <c r="B1" s="1" t="s">
        <v>73</v>
      </c>
      <c r="C1" s="1" t="s">
        <v>402</v>
      </c>
      <c r="D1" s="1" t="s">
        <v>403</v>
      </c>
      <c r="E1" s="1" t="s">
        <v>404</v>
      </c>
      <c r="F1" s="1" t="s">
        <v>405</v>
      </c>
      <c r="G1" s="1" t="s">
        <v>406</v>
      </c>
      <c r="H1" s="1" t="s">
        <v>407</v>
      </c>
      <c r="I1" s="1" t="s">
        <v>408</v>
      </c>
      <c r="J1" s="1" t="s">
        <v>409</v>
      </c>
      <c r="K1" s="1" t="s">
        <v>410</v>
      </c>
      <c r="L1" s="1" t="s">
        <v>411</v>
      </c>
      <c r="M1" s="1" t="s">
        <v>412</v>
      </c>
      <c r="N1" s="1" t="s">
        <v>413</v>
      </c>
      <c r="O1" s="1" t="s">
        <v>414</v>
      </c>
      <c r="P1" s="1" t="s">
        <v>415</v>
      </c>
      <c r="Q1" s="1" t="s">
        <v>416</v>
      </c>
      <c r="R1" s="1" t="s">
        <v>417</v>
      </c>
      <c r="S1" s="1" t="s">
        <v>418</v>
      </c>
      <c r="T1" s="1" t="s">
        <v>419</v>
      </c>
      <c r="U1" s="1" t="s">
        <v>420</v>
      </c>
      <c r="V1" s="1" t="s">
        <v>421</v>
      </c>
      <c r="W1" s="1" t="s">
        <v>422</v>
      </c>
      <c r="X1" s="1" t="s">
        <v>423</v>
      </c>
      <c r="Y1" s="1" t="s">
        <v>1570</v>
      </c>
      <c r="Z1" s="1" t="s">
        <v>424</v>
      </c>
      <c r="AA1" s="1" t="s">
        <v>425</v>
      </c>
      <c r="AB1" s="1" t="s">
        <v>426</v>
      </c>
      <c r="AC1" s="1" t="s">
        <v>427</v>
      </c>
      <c r="AD1" s="1" t="s">
        <v>428</v>
      </c>
      <c r="AE1" s="1" t="s">
        <v>1496</v>
      </c>
    </row>
    <row r="2" spans="1:31">
      <c r="A2" t="b">
        <v>1</v>
      </c>
      <c r="B2" s="2"/>
      <c r="C2" t="s">
        <v>474</v>
      </c>
      <c r="D2" t="s">
        <v>576</v>
      </c>
      <c r="E2" s="4" t="s">
        <v>432</v>
      </c>
      <c r="F2" t="s">
        <v>430</v>
      </c>
      <c r="G2" t="s">
        <v>121</v>
      </c>
      <c r="H2" t="s">
        <v>465</v>
      </c>
      <c r="I2" s="4" t="s">
        <v>470</v>
      </c>
      <c r="J2" s="4" t="s">
        <v>474</v>
      </c>
      <c r="K2" s="4" t="s">
        <v>478</v>
      </c>
      <c r="L2" t="s">
        <v>1714</v>
      </c>
      <c r="M2" s="4" t="s">
        <v>481</v>
      </c>
      <c r="N2" s="4" t="s">
        <v>430</v>
      </c>
      <c r="O2" t="s">
        <v>505</v>
      </c>
      <c r="P2" s="4" t="s">
        <v>68</v>
      </c>
      <c r="Q2" t="s">
        <v>528</v>
      </c>
      <c r="R2" t="s">
        <v>541</v>
      </c>
      <c r="S2" s="4" t="s">
        <v>568</v>
      </c>
      <c r="T2" t="s">
        <v>580</v>
      </c>
      <c r="U2" t="s">
        <v>586</v>
      </c>
      <c r="V2" t="s">
        <v>605</v>
      </c>
      <c r="W2" t="s">
        <v>653</v>
      </c>
      <c r="X2" s="4" t="s">
        <v>268</v>
      </c>
      <c r="Y2" s="4" t="s">
        <v>1571</v>
      </c>
      <c r="Z2" t="s">
        <v>670</v>
      </c>
      <c r="AA2" t="s">
        <v>694</v>
      </c>
      <c r="AB2" s="4" t="s">
        <v>697</v>
      </c>
      <c r="AC2" t="s">
        <v>705</v>
      </c>
      <c r="AD2" t="s">
        <v>1482</v>
      </c>
      <c r="AE2" t="s">
        <v>1503</v>
      </c>
    </row>
    <row r="3" spans="1:31">
      <c r="A3" t="b">
        <v>0</v>
      </c>
      <c r="C3" s="4" t="s">
        <v>476</v>
      </c>
      <c r="E3" s="4" t="s">
        <v>438</v>
      </c>
      <c r="F3" t="s">
        <v>431</v>
      </c>
      <c r="G3" t="s">
        <v>454</v>
      </c>
      <c r="H3" t="s">
        <v>466</v>
      </c>
      <c r="I3" s="4" t="s">
        <v>471</v>
      </c>
      <c r="J3" s="4" t="s">
        <v>475</v>
      </c>
      <c r="K3" s="4" t="s">
        <v>479</v>
      </c>
      <c r="L3" t="s">
        <v>1707</v>
      </c>
      <c r="M3" s="4" t="s">
        <v>482</v>
      </c>
      <c r="N3" s="4" t="s">
        <v>431</v>
      </c>
      <c r="O3" t="s">
        <v>506</v>
      </c>
      <c r="P3" s="4" t="s">
        <v>1723</v>
      </c>
      <c r="Q3" t="s">
        <v>119</v>
      </c>
      <c r="R3" t="s">
        <v>542</v>
      </c>
      <c r="S3" s="4" t="s">
        <v>570</v>
      </c>
      <c r="T3" t="s">
        <v>581</v>
      </c>
      <c r="U3" t="s">
        <v>587</v>
      </c>
      <c r="V3" t="s">
        <v>606</v>
      </c>
      <c r="W3" t="s">
        <v>115</v>
      </c>
      <c r="X3" s="4" t="s">
        <v>269</v>
      </c>
      <c r="Y3" s="4" t="s">
        <v>1712</v>
      </c>
      <c r="Z3" t="s">
        <v>7</v>
      </c>
      <c r="AA3" t="s">
        <v>695</v>
      </c>
      <c r="AB3" s="4" t="s">
        <v>8</v>
      </c>
      <c r="AC3" t="s">
        <v>706</v>
      </c>
      <c r="AD3" t="s">
        <v>7</v>
      </c>
      <c r="AE3" t="s">
        <v>1504</v>
      </c>
    </row>
    <row r="4" spans="1:31">
      <c r="E4" s="4" t="s">
        <v>444</v>
      </c>
      <c r="F4" t="s">
        <v>432</v>
      </c>
      <c r="G4" t="s">
        <v>455</v>
      </c>
      <c r="H4" t="s">
        <v>467</v>
      </c>
      <c r="I4" s="4" t="s">
        <v>1576</v>
      </c>
      <c r="J4" s="4" t="s">
        <v>442</v>
      </c>
      <c r="K4" s="4" t="s">
        <v>480</v>
      </c>
      <c r="L4" t="s">
        <v>38</v>
      </c>
      <c r="M4" s="4" t="s">
        <v>483</v>
      </c>
      <c r="N4" s="4" t="s">
        <v>432</v>
      </c>
      <c r="O4" t="s">
        <v>507</v>
      </c>
      <c r="P4" s="4" t="s">
        <v>1724</v>
      </c>
      <c r="Q4" t="s">
        <v>529</v>
      </c>
      <c r="R4" t="s">
        <v>543</v>
      </c>
      <c r="S4" s="4" t="s">
        <v>569</v>
      </c>
      <c r="T4" t="s">
        <v>582</v>
      </c>
      <c r="U4" t="s">
        <v>113</v>
      </c>
      <c r="V4" t="s">
        <v>607</v>
      </c>
      <c r="W4" t="s">
        <v>588</v>
      </c>
      <c r="X4" s="4" t="s">
        <v>270</v>
      </c>
      <c r="Y4" s="4" t="s">
        <v>74</v>
      </c>
      <c r="Z4" t="s">
        <v>671</v>
      </c>
      <c r="AA4" t="s">
        <v>696</v>
      </c>
      <c r="AB4" s="4" t="s">
        <v>9</v>
      </c>
      <c r="AC4" t="s">
        <v>707</v>
      </c>
      <c r="AD4" t="s">
        <v>8</v>
      </c>
      <c r="AE4" t="s">
        <v>1586</v>
      </c>
    </row>
    <row r="5" spans="1:31">
      <c r="E5" s="4" t="s">
        <v>433</v>
      </c>
      <c r="F5" t="s">
        <v>434</v>
      </c>
      <c r="G5" t="s">
        <v>1713</v>
      </c>
      <c r="H5" t="s">
        <v>468</v>
      </c>
      <c r="I5" s="4" t="s">
        <v>1577</v>
      </c>
      <c r="J5" s="4" t="s">
        <v>476</v>
      </c>
      <c r="L5" t="s">
        <v>39</v>
      </c>
      <c r="M5" s="4" t="s">
        <v>484</v>
      </c>
      <c r="N5" s="4" t="s">
        <v>434</v>
      </c>
      <c r="O5" t="s">
        <v>508</v>
      </c>
      <c r="P5" s="4" t="s">
        <v>526</v>
      </c>
      <c r="Q5" t="s">
        <v>530</v>
      </c>
      <c r="R5" t="s">
        <v>544</v>
      </c>
      <c r="S5" s="4" t="s">
        <v>571</v>
      </c>
      <c r="T5" t="s">
        <v>583</v>
      </c>
      <c r="U5" t="s">
        <v>588</v>
      </c>
      <c r="V5" t="s">
        <v>608</v>
      </c>
      <c r="W5" t="s">
        <v>654</v>
      </c>
      <c r="X5" s="4" t="s">
        <v>271</v>
      </c>
      <c r="Y5" s="4" t="s">
        <v>1728</v>
      </c>
      <c r="Z5" t="s">
        <v>672</v>
      </c>
      <c r="AA5" t="s">
        <v>14</v>
      </c>
      <c r="AB5" s="4" t="s">
        <v>10</v>
      </c>
      <c r="AC5" t="s">
        <v>708</v>
      </c>
      <c r="AD5" t="s">
        <v>9</v>
      </c>
      <c r="AE5" t="s">
        <v>1587</v>
      </c>
    </row>
    <row r="6" spans="1:31">
      <c r="E6" s="4" t="s">
        <v>446</v>
      </c>
      <c r="F6" t="s">
        <v>435</v>
      </c>
      <c r="G6" t="s">
        <v>456</v>
      </c>
      <c r="H6" t="s">
        <v>469</v>
      </c>
      <c r="I6" s="4" t="s">
        <v>472</v>
      </c>
      <c r="J6" s="4" t="s">
        <v>477</v>
      </c>
      <c r="L6" t="s">
        <v>40</v>
      </c>
      <c r="M6" s="4" t="s">
        <v>1497</v>
      </c>
      <c r="N6" s="4" t="s">
        <v>435</v>
      </c>
      <c r="O6" t="s">
        <v>509</v>
      </c>
      <c r="P6" s="4" t="s">
        <v>527</v>
      </c>
      <c r="Q6" t="s">
        <v>14</v>
      </c>
      <c r="R6" t="s">
        <v>545</v>
      </c>
      <c r="S6" s="4" t="s">
        <v>572</v>
      </c>
      <c r="T6" t="s">
        <v>535</v>
      </c>
      <c r="U6" t="s">
        <v>1725</v>
      </c>
      <c r="V6" t="s">
        <v>29</v>
      </c>
      <c r="W6" t="s">
        <v>655</v>
      </c>
      <c r="X6" s="4" t="s">
        <v>272</v>
      </c>
      <c r="Y6" s="4"/>
      <c r="Z6" t="s">
        <v>673</v>
      </c>
      <c r="AB6" s="4" t="s">
        <v>11</v>
      </c>
      <c r="AC6" t="s">
        <v>709</v>
      </c>
      <c r="AD6" t="s">
        <v>1483</v>
      </c>
      <c r="AE6" t="s">
        <v>1505</v>
      </c>
    </row>
    <row r="7" spans="1:31">
      <c r="E7" s="4" t="s">
        <v>448</v>
      </c>
      <c r="F7" t="s">
        <v>436</v>
      </c>
      <c r="G7" t="s">
        <v>457</v>
      </c>
      <c r="H7" t="s">
        <v>14</v>
      </c>
      <c r="I7" s="4" t="s">
        <v>473</v>
      </c>
      <c r="L7" t="s">
        <v>14</v>
      </c>
      <c r="M7" s="4" t="s">
        <v>485</v>
      </c>
      <c r="N7" s="4" t="s">
        <v>436</v>
      </c>
      <c r="O7" t="s">
        <v>60</v>
      </c>
      <c r="R7" t="s">
        <v>546</v>
      </c>
      <c r="S7" s="4" t="s">
        <v>573</v>
      </c>
      <c r="T7" t="s">
        <v>28</v>
      </c>
      <c r="U7" t="s">
        <v>589</v>
      </c>
      <c r="V7" t="s">
        <v>609</v>
      </c>
      <c r="W7" t="s">
        <v>657</v>
      </c>
      <c r="X7" s="4" t="s">
        <v>273</v>
      </c>
      <c r="Y7" s="4"/>
      <c r="Z7" t="s">
        <v>674</v>
      </c>
      <c r="AB7" s="4" t="s">
        <v>12</v>
      </c>
      <c r="AC7" t="s">
        <v>710</v>
      </c>
      <c r="AD7" t="s">
        <v>10</v>
      </c>
      <c r="AE7" t="s">
        <v>1507</v>
      </c>
    </row>
    <row r="8" spans="1:31">
      <c r="E8" s="4" t="s">
        <v>14</v>
      </c>
      <c r="F8" t="s">
        <v>437</v>
      </c>
      <c r="G8" t="s">
        <v>458</v>
      </c>
      <c r="M8" s="4" t="s">
        <v>486</v>
      </c>
      <c r="N8" s="4" t="s">
        <v>437</v>
      </c>
      <c r="O8" t="s">
        <v>510</v>
      </c>
      <c r="R8" t="s">
        <v>547</v>
      </c>
      <c r="S8" s="4" t="s">
        <v>574</v>
      </c>
      <c r="T8" t="s">
        <v>584</v>
      </c>
      <c r="U8" t="s">
        <v>590</v>
      </c>
      <c r="V8" t="s">
        <v>610</v>
      </c>
      <c r="W8" t="s">
        <v>656</v>
      </c>
      <c r="X8" s="4" t="s">
        <v>274</v>
      </c>
      <c r="Y8" s="4"/>
      <c r="Z8" t="s">
        <v>675</v>
      </c>
      <c r="AB8" s="4" t="s">
        <v>698</v>
      </c>
      <c r="AC8" t="s">
        <v>711</v>
      </c>
      <c r="AD8" t="s">
        <v>11</v>
      </c>
      <c r="AE8" t="s">
        <v>1508</v>
      </c>
    </row>
    <row r="9" spans="1:31">
      <c r="E9" s="4"/>
      <c r="F9" t="s">
        <v>438</v>
      </c>
      <c r="G9" t="s">
        <v>459</v>
      </c>
      <c r="M9" s="4" t="s">
        <v>1498</v>
      </c>
      <c r="N9" s="4" t="s">
        <v>438</v>
      </c>
      <c r="O9" t="s">
        <v>511</v>
      </c>
      <c r="R9" t="s">
        <v>548</v>
      </c>
      <c r="S9" s="4" t="s">
        <v>575</v>
      </c>
      <c r="T9" t="s">
        <v>585</v>
      </c>
      <c r="U9" t="s">
        <v>591</v>
      </c>
      <c r="V9" t="s">
        <v>611</v>
      </c>
      <c r="W9" t="s">
        <v>658</v>
      </c>
      <c r="X9" s="4" t="s">
        <v>275</v>
      </c>
      <c r="Y9" s="4" t="s">
        <v>531</v>
      </c>
      <c r="Z9" t="s">
        <v>676</v>
      </c>
      <c r="AB9" s="4" t="s">
        <v>75</v>
      </c>
      <c r="AC9" t="s">
        <v>712</v>
      </c>
      <c r="AD9" t="s">
        <v>12</v>
      </c>
      <c r="AE9" t="s">
        <v>1588</v>
      </c>
    </row>
    <row r="10" spans="1:31">
      <c r="E10" s="4"/>
      <c r="F10" t="s">
        <v>439</v>
      </c>
      <c r="G10" t="s">
        <v>122</v>
      </c>
      <c r="M10" s="4" t="s">
        <v>487</v>
      </c>
      <c r="N10" s="4" t="s">
        <v>439</v>
      </c>
      <c r="O10" t="s">
        <v>1716</v>
      </c>
      <c r="R10" t="s">
        <v>549</v>
      </c>
      <c r="S10" s="4" t="s">
        <v>576</v>
      </c>
      <c r="U10" t="s">
        <v>592</v>
      </c>
      <c r="V10" t="s">
        <v>612</v>
      </c>
      <c r="W10" t="s">
        <v>659</v>
      </c>
      <c r="X10" s="4" t="s">
        <v>276</v>
      </c>
      <c r="Y10" s="4" t="s">
        <v>532</v>
      </c>
      <c r="Z10" t="s">
        <v>677</v>
      </c>
      <c r="AB10" s="4" t="s">
        <v>13</v>
      </c>
      <c r="AC10" t="s">
        <v>713</v>
      </c>
      <c r="AD10" t="s">
        <v>1484</v>
      </c>
      <c r="AE10" t="s">
        <v>824</v>
      </c>
    </row>
    <row r="11" spans="1:31">
      <c r="E11" s="4"/>
      <c r="F11" t="s">
        <v>440</v>
      </c>
      <c r="G11" t="s">
        <v>460</v>
      </c>
      <c r="M11" s="4" t="s">
        <v>488</v>
      </c>
      <c r="N11" s="4" t="s">
        <v>440</v>
      </c>
      <c r="O11" t="s">
        <v>512</v>
      </c>
      <c r="R11" t="s">
        <v>550</v>
      </c>
      <c r="S11" s="4" t="s">
        <v>577</v>
      </c>
      <c r="U11" t="s">
        <v>593</v>
      </c>
      <c r="V11" t="s">
        <v>613</v>
      </c>
      <c r="W11" t="s">
        <v>660</v>
      </c>
      <c r="X11" s="4" t="s">
        <v>662</v>
      </c>
      <c r="Y11" s="4" t="s">
        <v>533</v>
      </c>
      <c r="Z11" t="s">
        <v>678</v>
      </c>
      <c r="AB11" s="4" t="s">
        <v>699</v>
      </c>
      <c r="AC11" t="s">
        <v>714</v>
      </c>
      <c r="AD11" t="s">
        <v>1485</v>
      </c>
      <c r="AE11" t="s">
        <v>1589</v>
      </c>
    </row>
    <row r="12" spans="1:31">
      <c r="E12" s="4"/>
      <c r="F12" t="s">
        <v>441</v>
      </c>
      <c r="G12" t="s">
        <v>123</v>
      </c>
      <c r="M12" s="4" t="s">
        <v>490</v>
      </c>
      <c r="N12" s="4" t="s">
        <v>441</v>
      </c>
      <c r="O12" t="s">
        <v>513</v>
      </c>
      <c r="R12" t="s">
        <v>551</v>
      </c>
      <c r="S12" s="4" t="s">
        <v>578</v>
      </c>
      <c r="U12" t="s">
        <v>594</v>
      </c>
      <c r="V12" t="s">
        <v>614</v>
      </c>
      <c r="W12" t="s">
        <v>661</v>
      </c>
      <c r="X12" s="4" t="s">
        <v>663</v>
      </c>
      <c r="Y12" s="4" t="s">
        <v>534</v>
      </c>
      <c r="Z12" t="s">
        <v>679</v>
      </c>
      <c r="AB12" s="4" t="s">
        <v>700</v>
      </c>
      <c r="AC12" t="s">
        <v>715</v>
      </c>
      <c r="AD12" t="s">
        <v>1486</v>
      </c>
      <c r="AE12" t="s">
        <v>1590</v>
      </c>
    </row>
    <row r="13" spans="1:31">
      <c r="E13" s="4"/>
      <c r="F13" t="s">
        <v>443</v>
      </c>
      <c r="G13" t="s">
        <v>461</v>
      </c>
      <c r="M13" s="4" t="s">
        <v>1499</v>
      </c>
      <c r="N13" s="4" t="s">
        <v>443</v>
      </c>
      <c r="O13" t="s">
        <v>514</v>
      </c>
      <c r="R13" t="s">
        <v>552</v>
      </c>
      <c r="S13" s="4" t="s">
        <v>579</v>
      </c>
      <c r="U13" t="s">
        <v>595</v>
      </c>
      <c r="V13" t="s">
        <v>1726</v>
      </c>
      <c r="X13" s="4" t="s">
        <v>664</v>
      </c>
      <c r="Y13" s="4" t="s">
        <v>535</v>
      </c>
      <c r="Z13" t="s">
        <v>680</v>
      </c>
      <c r="AB13" s="4" t="s">
        <v>701</v>
      </c>
      <c r="AC13" t="s">
        <v>716</v>
      </c>
      <c r="AD13" t="s">
        <v>1487</v>
      </c>
      <c r="AE13" t="s">
        <v>1509</v>
      </c>
    </row>
    <row r="14" spans="1:31">
      <c r="E14" s="4"/>
      <c r="F14" t="s">
        <v>444</v>
      </c>
      <c r="G14" t="s">
        <v>462</v>
      </c>
      <c r="M14" s="4" t="s">
        <v>491</v>
      </c>
      <c r="N14" s="4" t="s">
        <v>1715</v>
      </c>
      <c r="O14" t="s">
        <v>515</v>
      </c>
      <c r="R14" t="s">
        <v>553</v>
      </c>
      <c r="U14" t="s">
        <v>596</v>
      </c>
      <c r="V14" t="s">
        <v>615</v>
      </c>
      <c r="X14" s="4" t="s">
        <v>277</v>
      </c>
      <c r="Y14" s="4" t="s">
        <v>536</v>
      </c>
      <c r="Z14" t="s">
        <v>681</v>
      </c>
      <c r="AB14" s="4" t="s">
        <v>702</v>
      </c>
      <c r="AC14" t="s">
        <v>717</v>
      </c>
      <c r="AD14" t="s">
        <v>1488</v>
      </c>
      <c r="AE14" t="s">
        <v>1510</v>
      </c>
    </row>
    <row r="15" spans="1:31">
      <c r="E15" s="4"/>
      <c r="F15" t="s">
        <v>445</v>
      </c>
      <c r="G15" t="s">
        <v>463</v>
      </c>
      <c r="M15" s="4" t="s">
        <v>492</v>
      </c>
      <c r="N15" s="4" t="s">
        <v>444</v>
      </c>
      <c r="O15" t="s">
        <v>516</v>
      </c>
      <c r="R15" t="s">
        <v>554</v>
      </c>
      <c r="U15" t="s">
        <v>597</v>
      </c>
      <c r="V15" t="s">
        <v>616</v>
      </c>
      <c r="X15" s="4" t="s">
        <v>278</v>
      </c>
      <c r="Y15" s="4" t="s">
        <v>442</v>
      </c>
      <c r="Z15" t="s">
        <v>682</v>
      </c>
      <c r="AB15" s="4" t="s">
        <v>703</v>
      </c>
      <c r="AC15" t="s">
        <v>718</v>
      </c>
      <c r="AD15" t="s">
        <v>1489</v>
      </c>
      <c r="AE15" t="s">
        <v>1591</v>
      </c>
    </row>
    <row r="16" spans="1:31">
      <c r="E16" s="4"/>
      <c r="F16" t="s">
        <v>433</v>
      </c>
      <c r="G16" t="s">
        <v>1574</v>
      </c>
      <c r="M16" s="4" t="s">
        <v>493</v>
      </c>
      <c r="N16" s="4" t="s">
        <v>445</v>
      </c>
      <c r="O16" t="s">
        <v>517</v>
      </c>
      <c r="R16" t="s">
        <v>555</v>
      </c>
      <c r="U16" t="s">
        <v>27</v>
      </c>
      <c r="V16" t="s">
        <v>617</v>
      </c>
      <c r="X16" s="4" t="s">
        <v>279</v>
      </c>
      <c r="Y16" s="4" t="s">
        <v>537</v>
      </c>
      <c r="Z16" t="s">
        <v>683</v>
      </c>
      <c r="AC16" t="s">
        <v>719</v>
      </c>
      <c r="AD16" t="s">
        <v>1490</v>
      </c>
      <c r="AE16" t="s">
        <v>1592</v>
      </c>
    </row>
    <row r="17" spans="5:31">
      <c r="E17" s="4"/>
      <c r="F17" t="s">
        <v>446</v>
      </c>
      <c r="G17" t="s">
        <v>1575</v>
      </c>
      <c r="M17" s="4" t="s">
        <v>494</v>
      </c>
      <c r="N17" s="4" t="s">
        <v>433</v>
      </c>
      <c r="O17" t="s">
        <v>518</v>
      </c>
      <c r="R17" t="s">
        <v>556</v>
      </c>
      <c r="U17" t="s">
        <v>598</v>
      </c>
      <c r="V17" t="s">
        <v>618</v>
      </c>
      <c r="X17" s="4" t="s">
        <v>280</v>
      </c>
      <c r="Y17" s="4" t="s">
        <v>1729</v>
      </c>
      <c r="Z17" t="s">
        <v>31</v>
      </c>
      <c r="AC17" t="s">
        <v>720</v>
      </c>
      <c r="AD17" t="s">
        <v>13</v>
      </c>
      <c r="AE17" t="s">
        <v>1740</v>
      </c>
    </row>
    <row r="18" spans="5:31">
      <c r="E18" s="4"/>
      <c r="F18" t="s">
        <v>447</v>
      </c>
      <c r="G18" t="s">
        <v>14</v>
      </c>
      <c r="M18" s="4" t="s">
        <v>1500</v>
      </c>
      <c r="N18" s="4" t="s">
        <v>446</v>
      </c>
      <c r="O18" t="s">
        <v>519</v>
      </c>
      <c r="R18" t="s">
        <v>557</v>
      </c>
      <c r="U18" t="s">
        <v>26</v>
      </c>
      <c r="V18" t="s">
        <v>619</v>
      </c>
      <c r="X18" s="4" t="s">
        <v>281</v>
      </c>
      <c r="Y18" s="4"/>
      <c r="Z18" t="s">
        <v>684</v>
      </c>
      <c r="AC18" t="s">
        <v>721</v>
      </c>
      <c r="AD18" t="s">
        <v>1491</v>
      </c>
      <c r="AE18" t="s">
        <v>1593</v>
      </c>
    </row>
    <row r="19" spans="5:31">
      <c r="E19" s="4"/>
      <c r="F19" t="s">
        <v>448</v>
      </c>
      <c r="G19" t="s">
        <v>464</v>
      </c>
      <c r="M19" s="4" t="s">
        <v>495</v>
      </c>
      <c r="N19" s="4" t="s">
        <v>447</v>
      </c>
      <c r="O19" t="s">
        <v>1717</v>
      </c>
      <c r="R19" t="s">
        <v>558</v>
      </c>
      <c r="U19" t="s">
        <v>599</v>
      </c>
      <c r="V19" t="s">
        <v>620</v>
      </c>
      <c r="X19" s="4" t="s">
        <v>282</v>
      </c>
      <c r="Y19" s="4" t="s">
        <v>75</v>
      </c>
      <c r="Z19" t="s">
        <v>685</v>
      </c>
      <c r="AC19" t="s">
        <v>722</v>
      </c>
      <c r="AD19" t="s">
        <v>1492</v>
      </c>
      <c r="AE19" t="s">
        <v>1511</v>
      </c>
    </row>
    <row r="20" spans="5:31">
      <c r="E20" s="4"/>
      <c r="F20" t="s">
        <v>449</v>
      </c>
      <c r="M20" s="4" t="s">
        <v>496</v>
      </c>
      <c r="N20" s="4" t="s">
        <v>448</v>
      </c>
      <c r="O20" t="s">
        <v>1718</v>
      </c>
      <c r="R20" t="s">
        <v>559</v>
      </c>
      <c r="U20" t="s">
        <v>600</v>
      </c>
      <c r="V20" t="s">
        <v>621</v>
      </c>
      <c r="X20" s="4" t="s">
        <v>283</v>
      </c>
      <c r="Y20" s="4" t="s">
        <v>538</v>
      </c>
      <c r="Z20" t="s">
        <v>686</v>
      </c>
      <c r="AC20" t="s">
        <v>723</v>
      </c>
      <c r="AD20" t="s">
        <v>1493</v>
      </c>
      <c r="AE20" t="s">
        <v>969</v>
      </c>
    </row>
    <row r="21" spans="5:31">
      <c r="E21" s="4"/>
      <c r="F21" t="s">
        <v>450</v>
      </c>
      <c r="M21" s="4" t="s">
        <v>497</v>
      </c>
      <c r="N21" s="4" t="s">
        <v>449</v>
      </c>
      <c r="O21" t="s">
        <v>1719</v>
      </c>
      <c r="R21" t="s">
        <v>560</v>
      </c>
      <c r="U21" t="s">
        <v>601</v>
      </c>
      <c r="V21" t="s">
        <v>622</v>
      </c>
      <c r="X21" s="4" t="s">
        <v>284</v>
      </c>
      <c r="Y21" s="4" t="s">
        <v>539</v>
      </c>
      <c r="Z21" t="s">
        <v>442</v>
      </c>
      <c r="AC21" t="s">
        <v>724</v>
      </c>
      <c r="AD21" t="s">
        <v>14</v>
      </c>
      <c r="AE21" t="s">
        <v>1594</v>
      </c>
    </row>
    <row r="22" spans="5:31">
      <c r="E22" s="4"/>
      <c r="F22" t="s">
        <v>451</v>
      </c>
      <c r="M22" s="4" t="s">
        <v>498</v>
      </c>
      <c r="N22" s="4" t="s">
        <v>450</v>
      </c>
      <c r="O22" t="s">
        <v>520</v>
      </c>
      <c r="R22" t="s">
        <v>1501</v>
      </c>
      <c r="U22" t="s">
        <v>602</v>
      </c>
      <c r="V22" t="s">
        <v>1727</v>
      </c>
      <c r="X22" s="4" t="s">
        <v>285</v>
      </c>
      <c r="Y22" s="4" t="s">
        <v>13</v>
      </c>
      <c r="Z22" t="s">
        <v>687</v>
      </c>
      <c r="AC22" t="s">
        <v>725</v>
      </c>
      <c r="AD22" t="s">
        <v>1494</v>
      </c>
      <c r="AE22" t="s">
        <v>1512</v>
      </c>
    </row>
    <row r="23" spans="5:31">
      <c r="E23" s="4"/>
      <c r="F23" t="s">
        <v>452</v>
      </c>
      <c r="M23" s="4" t="s">
        <v>489</v>
      </c>
      <c r="N23" s="4" t="s">
        <v>451</v>
      </c>
      <c r="O23" t="s">
        <v>61</v>
      </c>
      <c r="R23" t="s">
        <v>561</v>
      </c>
      <c r="U23" t="s">
        <v>603</v>
      </c>
      <c r="V23" t="s">
        <v>623</v>
      </c>
      <c r="X23" s="4" t="s">
        <v>286</v>
      </c>
      <c r="Y23" s="4" t="s">
        <v>540</v>
      </c>
      <c r="Z23" t="s">
        <v>688</v>
      </c>
      <c r="AC23" t="s">
        <v>726</v>
      </c>
      <c r="AD23" t="s">
        <v>1495</v>
      </c>
      <c r="AE23" t="s">
        <v>1513</v>
      </c>
    </row>
    <row r="24" spans="5:31">
      <c r="F24" t="s">
        <v>453</v>
      </c>
      <c r="M24" s="4" t="s">
        <v>499</v>
      </c>
      <c r="N24" s="4" t="s">
        <v>452</v>
      </c>
      <c r="O24" t="s">
        <v>521</v>
      </c>
      <c r="R24" t="s">
        <v>562</v>
      </c>
      <c r="U24" t="s">
        <v>604</v>
      </c>
      <c r="V24" t="s">
        <v>624</v>
      </c>
      <c r="X24" s="4" t="s">
        <v>287</v>
      </c>
      <c r="Y24" s="4" t="s">
        <v>14</v>
      </c>
      <c r="Z24" t="s">
        <v>689</v>
      </c>
      <c r="AC24" t="s">
        <v>727</v>
      </c>
      <c r="AD24" t="s">
        <v>703</v>
      </c>
      <c r="AE24" t="s">
        <v>1595</v>
      </c>
    </row>
    <row r="25" spans="5:31">
      <c r="M25" s="4" t="s">
        <v>500</v>
      </c>
      <c r="N25" s="4" t="s">
        <v>453</v>
      </c>
      <c r="O25" t="s">
        <v>522</v>
      </c>
      <c r="R25" t="s">
        <v>564</v>
      </c>
      <c r="V25" t="s">
        <v>625</v>
      </c>
      <c r="X25" s="4" t="s">
        <v>288</v>
      </c>
      <c r="Y25" s="4" t="s">
        <v>1730</v>
      </c>
      <c r="Z25" t="s">
        <v>690</v>
      </c>
      <c r="AC25" t="s">
        <v>728</v>
      </c>
      <c r="AE25" t="s">
        <v>1708</v>
      </c>
    </row>
    <row r="26" spans="5:31">
      <c r="M26" s="4" t="s">
        <v>501</v>
      </c>
      <c r="N26" s="4" t="s">
        <v>14</v>
      </c>
      <c r="O26" t="s">
        <v>523</v>
      </c>
      <c r="R26" t="s">
        <v>563</v>
      </c>
      <c r="V26" t="s">
        <v>626</v>
      </c>
      <c r="X26" s="4" t="s">
        <v>289</v>
      </c>
      <c r="Y26" s="4"/>
      <c r="Z26" t="s">
        <v>691</v>
      </c>
      <c r="AC26" t="s">
        <v>729</v>
      </c>
      <c r="AE26" t="s">
        <v>1514</v>
      </c>
    </row>
    <row r="27" spans="5:31">
      <c r="M27" s="4" t="s">
        <v>502</v>
      </c>
      <c r="O27" t="s">
        <v>1720</v>
      </c>
      <c r="R27" t="s">
        <v>565</v>
      </c>
      <c r="V27" t="s">
        <v>627</v>
      </c>
      <c r="X27" s="4" t="s">
        <v>290</v>
      </c>
      <c r="Y27" s="4"/>
      <c r="Z27" t="s">
        <v>692</v>
      </c>
      <c r="AC27" t="s">
        <v>730</v>
      </c>
      <c r="AE27" t="s">
        <v>1596</v>
      </c>
    </row>
    <row r="28" spans="5:31">
      <c r="M28" s="4" t="s">
        <v>503</v>
      </c>
      <c r="O28" t="s">
        <v>1721</v>
      </c>
      <c r="R28" t="s">
        <v>566</v>
      </c>
      <c r="V28" t="s">
        <v>628</v>
      </c>
      <c r="X28" s="4" t="s">
        <v>291</v>
      </c>
      <c r="Y28" s="4"/>
      <c r="Z28" t="s">
        <v>693</v>
      </c>
      <c r="AC28" t="s">
        <v>731</v>
      </c>
      <c r="AE28" t="s">
        <v>1597</v>
      </c>
    </row>
    <row r="29" spans="5:31">
      <c r="M29" s="4" t="s">
        <v>504</v>
      </c>
      <c r="O29" t="s">
        <v>524</v>
      </c>
      <c r="R29" t="s">
        <v>114</v>
      </c>
      <c r="V29" t="s">
        <v>629</v>
      </c>
      <c r="X29" s="4" t="s">
        <v>292</v>
      </c>
      <c r="Y29" s="4"/>
      <c r="Z29"/>
      <c r="AC29" t="s">
        <v>732</v>
      </c>
      <c r="AE29" t="s">
        <v>1598</v>
      </c>
    </row>
    <row r="30" spans="5:31">
      <c r="O30" t="s">
        <v>59</v>
      </c>
      <c r="R30" t="s">
        <v>567</v>
      </c>
      <c r="V30" t="s">
        <v>630</v>
      </c>
      <c r="X30" s="4" t="s">
        <v>293</v>
      </c>
      <c r="Y30" s="4"/>
      <c r="Z30"/>
      <c r="AC30" t="s">
        <v>733</v>
      </c>
      <c r="AE30" t="s">
        <v>1599</v>
      </c>
    </row>
    <row r="31" spans="5:31">
      <c r="O31" t="s">
        <v>14</v>
      </c>
      <c r="V31" t="s">
        <v>631</v>
      </c>
      <c r="X31" s="4" t="s">
        <v>294</v>
      </c>
      <c r="Y31" s="4"/>
      <c r="Z31"/>
      <c r="AC31" t="s">
        <v>734</v>
      </c>
      <c r="AE31" t="s">
        <v>1600</v>
      </c>
    </row>
    <row r="32" spans="5:31">
      <c r="O32" t="s">
        <v>525</v>
      </c>
      <c r="V32" t="s">
        <v>632</v>
      </c>
      <c r="X32" s="4" t="s">
        <v>295</v>
      </c>
      <c r="Y32" s="4"/>
      <c r="Z32"/>
      <c r="AC32" t="s">
        <v>735</v>
      </c>
      <c r="AE32" t="s">
        <v>1601</v>
      </c>
    </row>
    <row r="33" spans="15:31">
      <c r="O33" t="s">
        <v>1722</v>
      </c>
      <c r="V33" t="s">
        <v>633</v>
      </c>
      <c r="X33" s="4" t="s">
        <v>296</v>
      </c>
      <c r="Y33" s="4"/>
      <c r="Z33"/>
      <c r="AC33" t="s">
        <v>736</v>
      </c>
      <c r="AE33" t="s">
        <v>1502</v>
      </c>
    </row>
    <row r="34" spans="15:31">
      <c r="V34" t="s">
        <v>634</v>
      </c>
      <c r="X34" s="4" t="s">
        <v>297</v>
      </c>
      <c r="Y34" s="4"/>
      <c r="Z34"/>
      <c r="AC34" t="s">
        <v>737</v>
      </c>
      <c r="AE34" t="s">
        <v>1515</v>
      </c>
    </row>
    <row r="35" spans="15:31">
      <c r="V35" t="s">
        <v>635</v>
      </c>
      <c r="X35" s="4" t="s">
        <v>298</v>
      </c>
      <c r="Y35" s="4"/>
      <c r="Z35"/>
      <c r="AC35" t="s">
        <v>738</v>
      </c>
      <c r="AE35" t="s">
        <v>1516</v>
      </c>
    </row>
    <row r="36" spans="15:31">
      <c r="V36" t="s">
        <v>636</v>
      </c>
      <c r="X36" s="4" t="s">
        <v>299</v>
      </c>
      <c r="Y36" s="4"/>
      <c r="Z36"/>
      <c r="AC36" t="s">
        <v>739</v>
      </c>
      <c r="AE36" t="s">
        <v>1602</v>
      </c>
    </row>
    <row r="37" spans="15:31">
      <c r="V37" t="s">
        <v>637</v>
      </c>
      <c r="X37" s="4" t="s">
        <v>300</v>
      </c>
      <c r="Y37" s="4"/>
      <c r="Z37"/>
      <c r="AC37" t="s">
        <v>740</v>
      </c>
      <c r="AE37" t="s">
        <v>1603</v>
      </c>
    </row>
    <row r="38" spans="15:31">
      <c r="V38" t="s">
        <v>638</v>
      </c>
      <c r="X38" s="4" t="s">
        <v>301</v>
      </c>
      <c r="Y38" s="4"/>
      <c r="Z38"/>
      <c r="AC38" t="s">
        <v>741</v>
      </c>
      <c r="AE38" t="s">
        <v>1604</v>
      </c>
    </row>
    <row r="39" spans="15:31">
      <c r="V39" t="s">
        <v>639</v>
      </c>
      <c r="X39" s="4" t="s">
        <v>302</v>
      </c>
      <c r="Y39" s="4"/>
      <c r="Z39"/>
      <c r="AC39" t="s">
        <v>742</v>
      </c>
      <c r="AE39" t="s">
        <v>1605</v>
      </c>
    </row>
    <row r="40" spans="15:31">
      <c r="V40" t="s">
        <v>30</v>
      </c>
      <c r="X40" s="4" t="s">
        <v>303</v>
      </c>
      <c r="Y40" s="4"/>
      <c r="Z40"/>
      <c r="AC40" t="s">
        <v>743</v>
      </c>
      <c r="AE40" t="s">
        <v>1606</v>
      </c>
    </row>
    <row r="41" spans="15:31">
      <c r="V41" t="s">
        <v>640</v>
      </c>
      <c r="X41" s="4" t="s">
        <v>304</v>
      </c>
      <c r="Y41" s="4"/>
      <c r="Z41"/>
      <c r="AC41" t="s">
        <v>704</v>
      </c>
      <c r="AE41" t="s">
        <v>1607</v>
      </c>
    </row>
    <row r="42" spans="15:31">
      <c r="V42" t="s">
        <v>641</v>
      </c>
      <c r="X42" s="4" t="s">
        <v>305</v>
      </c>
      <c r="Y42" s="4"/>
      <c r="Z42"/>
      <c r="AC42" t="s">
        <v>744</v>
      </c>
      <c r="AE42" t="s">
        <v>1517</v>
      </c>
    </row>
    <row r="43" spans="15:31">
      <c r="V43" t="s">
        <v>642</v>
      </c>
      <c r="X43" s="4" t="s">
        <v>306</v>
      </c>
      <c r="Y43" s="4"/>
      <c r="Z43"/>
      <c r="AC43" t="s">
        <v>745</v>
      </c>
      <c r="AE43" t="s">
        <v>1021</v>
      </c>
    </row>
    <row r="44" spans="15:31">
      <c r="V44" t="s">
        <v>643</v>
      </c>
      <c r="X44" s="4" t="s">
        <v>307</v>
      </c>
      <c r="Y44" s="4"/>
      <c r="Z44"/>
      <c r="AC44" t="s">
        <v>746</v>
      </c>
      <c r="AE44" t="s">
        <v>1608</v>
      </c>
    </row>
    <row r="45" spans="15:31">
      <c r="V45" t="s">
        <v>14</v>
      </c>
      <c r="X45" s="4" t="s">
        <v>308</v>
      </c>
      <c r="Y45" s="4"/>
      <c r="Z45"/>
      <c r="AC45" t="s">
        <v>747</v>
      </c>
      <c r="AE45" t="s">
        <v>1609</v>
      </c>
    </row>
    <row r="46" spans="15:31">
      <c r="V46" t="s">
        <v>644</v>
      </c>
      <c r="X46" s="4" t="s">
        <v>309</v>
      </c>
      <c r="Y46" s="4"/>
      <c r="Z46"/>
      <c r="AC46" t="s">
        <v>748</v>
      </c>
      <c r="AE46" t="s">
        <v>1610</v>
      </c>
    </row>
    <row r="47" spans="15:31">
      <c r="V47" t="s">
        <v>645</v>
      </c>
      <c r="X47" s="4" t="s">
        <v>310</v>
      </c>
      <c r="Y47" s="4"/>
      <c r="Z47"/>
      <c r="AC47" t="s">
        <v>749</v>
      </c>
      <c r="AE47" t="s">
        <v>1611</v>
      </c>
    </row>
    <row r="48" spans="15:31">
      <c r="V48" t="s">
        <v>646</v>
      </c>
      <c r="X48" s="4" t="s">
        <v>311</v>
      </c>
      <c r="Y48" s="4"/>
      <c r="Z48"/>
      <c r="AC48" t="s">
        <v>750</v>
      </c>
      <c r="AE48" t="s">
        <v>1612</v>
      </c>
    </row>
    <row r="49" spans="22:31">
      <c r="V49" t="s">
        <v>647</v>
      </c>
      <c r="X49" s="4" t="s">
        <v>312</v>
      </c>
      <c r="Y49" s="4"/>
      <c r="Z49"/>
      <c r="AC49" t="s">
        <v>751</v>
      </c>
      <c r="AE49" t="s">
        <v>1613</v>
      </c>
    </row>
    <row r="50" spans="22:31">
      <c r="V50" t="s">
        <v>648</v>
      </c>
      <c r="X50" s="4" t="s">
        <v>313</v>
      </c>
      <c r="Y50" s="4"/>
      <c r="Z50"/>
      <c r="AC50" t="s">
        <v>752</v>
      </c>
      <c r="AE50" t="s">
        <v>1614</v>
      </c>
    </row>
    <row r="51" spans="22:31">
      <c r="V51" t="s">
        <v>649</v>
      </c>
      <c r="X51" s="4" t="s">
        <v>314</v>
      </c>
      <c r="Y51" s="4"/>
      <c r="Z51"/>
      <c r="AC51" t="s">
        <v>753</v>
      </c>
      <c r="AE51" t="s">
        <v>1615</v>
      </c>
    </row>
    <row r="52" spans="22:31">
      <c r="V52" t="s">
        <v>650</v>
      </c>
      <c r="X52" s="4" t="s">
        <v>315</v>
      </c>
      <c r="Y52" s="4"/>
      <c r="Z52"/>
      <c r="AC52" t="s">
        <v>754</v>
      </c>
      <c r="AE52" t="s">
        <v>1616</v>
      </c>
    </row>
    <row r="53" spans="22:31">
      <c r="V53" t="s">
        <v>651</v>
      </c>
      <c r="X53" s="4" t="s">
        <v>316</v>
      </c>
      <c r="Y53" s="4"/>
      <c r="Z53"/>
      <c r="AC53" t="s">
        <v>755</v>
      </c>
      <c r="AE53" t="s">
        <v>1617</v>
      </c>
    </row>
    <row r="54" spans="22:31">
      <c r="V54" t="s">
        <v>652</v>
      </c>
      <c r="X54" s="4" t="s">
        <v>317</v>
      </c>
      <c r="Y54" s="4"/>
      <c r="Z54"/>
      <c r="AC54" t="s">
        <v>756</v>
      </c>
      <c r="AE54" t="s">
        <v>1518</v>
      </c>
    </row>
    <row r="55" spans="22:31">
      <c r="X55" s="4" t="s">
        <v>318</v>
      </c>
      <c r="Y55" s="4"/>
      <c r="Z55"/>
      <c r="AC55" t="s">
        <v>757</v>
      </c>
      <c r="AE55" t="s">
        <v>1519</v>
      </c>
    </row>
    <row r="56" spans="22:31">
      <c r="X56" s="4" t="s">
        <v>319</v>
      </c>
      <c r="Y56" s="4"/>
      <c r="Z56"/>
      <c r="AC56" t="s">
        <v>758</v>
      </c>
      <c r="AE56" t="s">
        <v>1520</v>
      </c>
    </row>
    <row r="57" spans="22:31">
      <c r="X57" s="4" t="s">
        <v>320</v>
      </c>
      <c r="Y57" s="4"/>
      <c r="Z57"/>
      <c r="AC57" t="s">
        <v>759</v>
      </c>
      <c r="AE57" t="s">
        <v>1521</v>
      </c>
    </row>
    <row r="58" spans="22:31">
      <c r="X58" s="4" t="s">
        <v>321</v>
      </c>
      <c r="Y58" s="4"/>
      <c r="Z58"/>
      <c r="AC58" t="s">
        <v>760</v>
      </c>
      <c r="AE58" t="s">
        <v>1522</v>
      </c>
    </row>
    <row r="59" spans="22:31">
      <c r="X59" s="4" t="s">
        <v>322</v>
      </c>
      <c r="Y59" s="4"/>
      <c r="Z59"/>
      <c r="AC59" t="s">
        <v>761</v>
      </c>
      <c r="AE59" t="s">
        <v>1618</v>
      </c>
    </row>
    <row r="60" spans="22:31">
      <c r="X60" s="4" t="s">
        <v>323</v>
      </c>
      <c r="Y60" s="4"/>
      <c r="Z60"/>
      <c r="AC60" t="s">
        <v>762</v>
      </c>
      <c r="AE60" t="s">
        <v>1523</v>
      </c>
    </row>
    <row r="61" spans="22:31">
      <c r="X61" s="4" t="s">
        <v>324</v>
      </c>
      <c r="Y61" s="4"/>
      <c r="Z61"/>
      <c r="AC61" t="s">
        <v>763</v>
      </c>
      <c r="AE61" t="s">
        <v>1619</v>
      </c>
    </row>
    <row r="62" spans="22:31">
      <c r="X62" s="4" t="s">
        <v>325</v>
      </c>
      <c r="Y62" s="4"/>
      <c r="Z62"/>
      <c r="AC62" t="s">
        <v>764</v>
      </c>
      <c r="AE62" t="s">
        <v>1620</v>
      </c>
    </row>
    <row r="63" spans="22:31">
      <c r="X63" s="4" t="s">
        <v>326</v>
      </c>
      <c r="Y63" s="4"/>
      <c r="Z63"/>
      <c r="AC63" t="s">
        <v>765</v>
      </c>
      <c r="AE63" t="s">
        <v>1621</v>
      </c>
    </row>
    <row r="64" spans="22:31">
      <c r="X64" s="4" t="s">
        <v>327</v>
      </c>
      <c r="Y64" s="4"/>
      <c r="Z64"/>
      <c r="AC64" t="s">
        <v>766</v>
      </c>
      <c r="AE64" t="s">
        <v>1622</v>
      </c>
    </row>
    <row r="65" spans="24:31">
      <c r="X65" s="4" t="s">
        <v>328</v>
      </c>
      <c r="Y65" s="4"/>
      <c r="Z65"/>
      <c r="AC65" t="s">
        <v>767</v>
      </c>
      <c r="AE65" t="s">
        <v>1623</v>
      </c>
    </row>
    <row r="66" spans="24:31">
      <c r="X66" s="4" t="s">
        <v>329</v>
      </c>
      <c r="Y66" s="4"/>
      <c r="Z66"/>
      <c r="AC66" t="s">
        <v>768</v>
      </c>
      <c r="AE66" t="s">
        <v>1524</v>
      </c>
    </row>
    <row r="67" spans="24:31">
      <c r="X67" s="4" t="s">
        <v>330</v>
      </c>
      <c r="Y67" s="4"/>
      <c r="Z67"/>
      <c r="AC67" t="s">
        <v>769</v>
      </c>
      <c r="AE67" t="s">
        <v>1525</v>
      </c>
    </row>
    <row r="68" spans="24:31">
      <c r="X68" s="4" t="s">
        <v>331</v>
      </c>
      <c r="Y68" s="4"/>
      <c r="Z68"/>
      <c r="AC68" t="s">
        <v>770</v>
      </c>
      <c r="AE68" t="s">
        <v>1526</v>
      </c>
    </row>
    <row r="69" spans="24:31">
      <c r="X69" s="4" t="s">
        <v>332</v>
      </c>
      <c r="Y69" s="4"/>
      <c r="Z69"/>
      <c r="AC69" t="s">
        <v>771</v>
      </c>
      <c r="AE69" t="s">
        <v>1506</v>
      </c>
    </row>
    <row r="70" spans="24:31">
      <c r="X70" s="4" t="s">
        <v>665</v>
      </c>
      <c r="Y70" s="4"/>
      <c r="Z70"/>
      <c r="AC70" t="s">
        <v>772</v>
      </c>
      <c r="AE70" t="s">
        <v>1624</v>
      </c>
    </row>
    <row r="71" spans="24:31">
      <c r="X71" s="4" t="s">
        <v>333</v>
      </c>
      <c r="Y71" s="4"/>
      <c r="Z71"/>
      <c r="AC71" t="s">
        <v>773</v>
      </c>
      <c r="AE71" t="s">
        <v>1527</v>
      </c>
    </row>
    <row r="72" spans="24:31">
      <c r="X72" s="4" t="s">
        <v>334</v>
      </c>
      <c r="Y72" s="4"/>
      <c r="Z72"/>
      <c r="AC72" t="s">
        <v>774</v>
      </c>
      <c r="AE72" t="s">
        <v>1625</v>
      </c>
    </row>
    <row r="73" spans="24:31">
      <c r="X73" s="4" t="s">
        <v>335</v>
      </c>
      <c r="Y73" s="4"/>
      <c r="Z73"/>
      <c r="AC73" t="s">
        <v>775</v>
      </c>
      <c r="AE73" t="s">
        <v>1626</v>
      </c>
    </row>
    <row r="74" spans="24:31">
      <c r="X74" s="4" t="s">
        <v>336</v>
      </c>
      <c r="Y74" s="4"/>
      <c r="Z74"/>
      <c r="AC74" t="s">
        <v>776</v>
      </c>
      <c r="AE74" t="s">
        <v>1528</v>
      </c>
    </row>
    <row r="75" spans="24:31">
      <c r="X75" s="4" t="s">
        <v>337</v>
      </c>
      <c r="Y75" s="4"/>
      <c r="Z75"/>
      <c r="AC75" t="s">
        <v>777</v>
      </c>
      <c r="AE75" t="s">
        <v>1529</v>
      </c>
    </row>
    <row r="76" spans="24:31">
      <c r="X76" s="4" t="s">
        <v>338</v>
      </c>
      <c r="Y76" s="4"/>
      <c r="Z76"/>
      <c r="AC76" t="s">
        <v>778</v>
      </c>
      <c r="AE76" t="s">
        <v>1627</v>
      </c>
    </row>
    <row r="77" spans="24:31">
      <c r="X77" s="4" t="s">
        <v>339</v>
      </c>
      <c r="Y77" s="4"/>
      <c r="Z77"/>
      <c r="AC77" t="s">
        <v>779</v>
      </c>
      <c r="AE77" t="s">
        <v>1628</v>
      </c>
    </row>
    <row r="78" spans="24:31">
      <c r="X78" s="4" t="s">
        <v>340</v>
      </c>
      <c r="Y78" s="4"/>
      <c r="Z78"/>
      <c r="AC78" t="s">
        <v>782</v>
      </c>
      <c r="AE78" t="s">
        <v>1530</v>
      </c>
    </row>
    <row r="79" spans="24:31">
      <c r="X79" s="4" t="s">
        <v>341</v>
      </c>
      <c r="Y79" s="4"/>
      <c r="Z79"/>
      <c r="AC79" t="s">
        <v>780</v>
      </c>
      <c r="AE79" t="s">
        <v>1629</v>
      </c>
    </row>
    <row r="80" spans="24:31">
      <c r="X80" s="4" t="s">
        <v>342</v>
      </c>
      <c r="Y80" s="4"/>
      <c r="Z80"/>
      <c r="AC80" t="s">
        <v>781</v>
      </c>
      <c r="AE80" t="s">
        <v>1630</v>
      </c>
    </row>
    <row r="81" spans="24:31">
      <c r="X81" s="4" t="s">
        <v>343</v>
      </c>
      <c r="Y81" s="4"/>
      <c r="Z81"/>
      <c r="AC81" t="s">
        <v>783</v>
      </c>
      <c r="AE81" t="s">
        <v>1631</v>
      </c>
    </row>
    <row r="82" spans="24:31">
      <c r="X82" s="4" t="s">
        <v>344</v>
      </c>
      <c r="Y82" s="4"/>
      <c r="Z82"/>
      <c r="AC82" t="s">
        <v>784</v>
      </c>
      <c r="AE82" t="s">
        <v>1632</v>
      </c>
    </row>
    <row r="83" spans="24:31">
      <c r="X83" s="4" t="s">
        <v>345</v>
      </c>
      <c r="Y83" s="4"/>
      <c r="Z83"/>
      <c r="AC83" t="s">
        <v>785</v>
      </c>
      <c r="AE83" t="s">
        <v>1633</v>
      </c>
    </row>
    <row r="84" spans="24:31">
      <c r="X84" s="4" t="s">
        <v>346</v>
      </c>
      <c r="Y84" s="4"/>
      <c r="Z84"/>
      <c r="AC84" t="s">
        <v>786</v>
      </c>
      <c r="AE84" t="s">
        <v>1531</v>
      </c>
    </row>
    <row r="85" spans="24:31">
      <c r="X85" s="4" t="s">
        <v>347</v>
      </c>
      <c r="Y85" s="4"/>
      <c r="Z85"/>
      <c r="AC85" t="s">
        <v>787</v>
      </c>
      <c r="AE85" t="s">
        <v>1634</v>
      </c>
    </row>
    <row r="86" spans="24:31">
      <c r="X86" s="4" t="s">
        <v>348</v>
      </c>
      <c r="Y86" s="4"/>
      <c r="Z86"/>
      <c r="AC86" t="s">
        <v>789</v>
      </c>
      <c r="AE86" t="s">
        <v>1532</v>
      </c>
    </row>
    <row r="87" spans="24:31">
      <c r="X87" s="4" t="s">
        <v>349</v>
      </c>
      <c r="Y87" s="4"/>
      <c r="Z87"/>
      <c r="AC87" t="s">
        <v>788</v>
      </c>
      <c r="AE87" t="s">
        <v>1635</v>
      </c>
    </row>
    <row r="88" spans="24:31">
      <c r="X88" s="4" t="s">
        <v>350</v>
      </c>
      <c r="Y88" s="4"/>
      <c r="Z88"/>
      <c r="AC88" t="s">
        <v>790</v>
      </c>
      <c r="AE88" t="s">
        <v>1636</v>
      </c>
    </row>
    <row r="89" spans="24:31">
      <c r="X89" s="4" t="s">
        <v>351</v>
      </c>
      <c r="Y89" s="4"/>
      <c r="Z89"/>
      <c r="AC89" t="s">
        <v>791</v>
      </c>
      <c r="AE89" t="s">
        <v>1533</v>
      </c>
    </row>
    <row r="90" spans="24:31">
      <c r="X90" s="4" t="s">
        <v>352</v>
      </c>
      <c r="Y90" s="4"/>
      <c r="Z90"/>
      <c r="AC90" t="s">
        <v>792</v>
      </c>
      <c r="AE90" t="s">
        <v>1534</v>
      </c>
    </row>
    <row r="91" spans="24:31">
      <c r="X91" s="4" t="s">
        <v>353</v>
      </c>
      <c r="Y91" s="4"/>
      <c r="Z91"/>
      <c r="AC91" t="s">
        <v>793</v>
      </c>
      <c r="AE91" t="s">
        <v>1637</v>
      </c>
    </row>
    <row r="92" spans="24:31">
      <c r="X92" s="4" t="s">
        <v>354</v>
      </c>
      <c r="Y92" s="4"/>
      <c r="Z92"/>
      <c r="AC92" t="s">
        <v>794</v>
      </c>
      <c r="AE92" t="s">
        <v>1638</v>
      </c>
    </row>
    <row r="93" spans="24:31">
      <c r="X93" s="4" t="s">
        <v>355</v>
      </c>
      <c r="Y93" s="4"/>
      <c r="Z93"/>
      <c r="AC93" t="s">
        <v>795</v>
      </c>
      <c r="AE93" t="s">
        <v>1535</v>
      </c>
    </row>
    <row r="94" spans="24:31">
      <c r="X94" s="4" t="s">
        <v>356</v>
      </c>
      <c r="Y94" s="4"/>
      <c r="Z94"/>
      <c r="AC94" t="s">
        <v>796</v>
      </c>
      <c r="AE94" t="s">
        <v>1639</v>
      </c>
    </row>
    <row r="95" spans="24:31">
      <c r="X95" s="4" t="s">
        <v>357</v>
      </c>
      <c r="Y95" s="4"/>
      <c r="Z95"/>
      <c r="AC95" t="s">
        <v>797</v>
      </c>
      <c r="AE95" t="s">
        <v>1640</v>
      </c>
    </row>
    <row r="96" spans="24:31">
      <c r="X96" s="4" t="s">
        <v>358</v>
      </c>
      <c r="Y96" s="4"/>
      <c r="Z96"/>
      <c r="AC96" t="s">
        <v>803</v>
      </c>
      <c r="AE96" t="s">
        <v>1536</v>
      </c>
    </row>
    <row r="97" spans="24:31">
      <c r="X97" s="4" t="s">
        <v>359</v>
      </c>
      <c r="Y97" s="4"/>
      <c r="Z97"/>
      <c r="AC97" t="s">
        <v>1578</v>
      </c>
      <c r="AE97" t="s">
        <v>1641</v>
      </c>
    </row>
    <row r="98" spans="24:31">
      <c r="X98" s="4" t="s">
        <v>360</v>
      </c>
      <c r="Y98" s="4"/>
      <c r="Z98"/>
      <c r="AC98" t="s">
        <v>798</v>
      </c>
      <c r="AE98" t="s">
        <v>1537</v>
      </c>
    </row>
    <row r="99" spans="24:31">
      <c r="X99" s="4" t="s">
        <v>361</v>
      </c>
      <c r="Y99" s="4"/>
      <c r="Z99"/>
      <c r="AC99" t="s">
        <v>799</v>
      </c>
      <c r="AE99" t="s">
        <v>1538</v>
      </c>
    </row>
    <row r="100" spans="24:31">
      <c r="X100" s="4" t="s">
        <v>362</v>
      </c>
      <c r="Y100" s="4"/>
      <c r="Z100"/>
      <c r="AC100" t="s">
        <v>800</v>
      </c>
      <c r="AE100" t="s">
        <v>1539</v>
      </c>
    </row>
    <row r="101" spans="24:31">
      <c r="X101" s="4" t="s">
        <v>363</v>
      </c>
      <c r="Y101" s="4"/>
      <c r="Z101"/>
      <c r="AC101" t="s">
        <v>801</v>
      </c>
      <c r="AE101" t="s">
        <v>1540</v>
      </c>
    </row>
    <row r="102" spans="24:31">
      <c r="X102" s="4" t="s">
        <v>364</v>
      </c>
      <c r="Y102" s="4"/>
      <c r="Z102"/>
      <c r="AC102" t="s">
        <v>802</v>
      </c>
      <c r="AE102" t="s">
        <v>1642</v>
      </c>
    </row>
    <row r="103" spans="24:31">
      <c r="X103" s="4" t="s">
        <v>666</v>
      </c>
      <c r="Y103" s="4"/>
      <c r="Z103"/>
      <c r="AC103" t="s">
        <v>804</v>
      </c>
      <c r="AE103" t="s">
        <v>1643</v>
      </c>
    </row>
    <row r="104" spans="24:31">
      <c r="X104" s="4" t="s">
        <v>667</v>
      </c>
      <c r="Y104" s="4"/>
      <c r="Z104"/>
      <c r="AC104" t="s">
        <v>805</v>
      </c>
      <c r="AE104" t="s">
        <v>1541</v>
      </c>
    </row>
    <row r="105" spans="24:31">
      <c r="X105" s="4" t="s">
        <v>668</v>
      </c>
      <c r="Y105" s="4"/>
      <c r="Z105"/>
      <c r="AC105" t="s">
        <v>806</v>
      </c>
      <c r="AE105" t="s">
        <v>1542</v>
      </c>
    </row>
    <row r="106" spans="24:31">
      <c r="X106" s="4" t="s">
        <v>365</v>
      </c>
      <c r="Y106" s="4"/>
      <c r="Z106"/>
      <c r="AC106" t="s">
        <v>807</v>
      </c>
      <c r="AE106" t="s">
        <v>1543</v>
      </c>
    </row>
    <row r="107" spans="24:31">
      <c r="X107" s="4" t="s">
        <v>366</v>
      </c>
      <c r="Y107" s="4"/>
      <c r="Z107"/>
      <c r="AC107" t="s">
        <v>808</v>
      </c>
      <c r="AE107" t="s">
        <v>1644</v>
      </c>
    </row>
    <row r="108" spans="24:31">
      <c r="X108" s="4" t="s">
        <v>367</v>
      </c>
      <c r="Y108" s="4"/>
      <c r="Z108"/>
      <c r="AC108" t="s">
        <v>809</v>
      </c>
      <c r="AE108" t="s">
        <v>1544</v>
      </c>
    </row>
    <row r="109" spans="24:31">
      <c r="X109" s="4" t="s">
        <v>368</v>
      </c>
      <c r="Y109" s="4"/>
      <c r="Z109"/>
      <c r="AC109" t="s">
        <v>810</v>
      </c>
      <c r="AE109" t="s">
        <v>1645</v>
      </c>
    </row>
    <row r="110" spans="24:31">
      <c r="X110" s="4" t="s">
        <v>369</v>
      </c>
      <c r="Y110" s="4"/>
      <c r="Z110"/>
      <c r="AC110" t="s">
        <v>811</v>
      </c>
      <c r="AE110" t="s">
        <v>1646</v>
      </c>
    </row>
    <row r="111" spans="24:31">
      <c r="X111" s="4" t="s">
        <v>370</v>
      </c>
      <c r="Y111" s="4"/>
      <c r="Z111"/>
      <c r="AC111" t="s">
        <v>812</v>
      </c>
      <c r="AE111" t="s">
        <v>1647</v>
      </c>
    </row>
    <row r="112" spans="24:31">
      <c r="X112" s="4" t="s">
        <v>371</v>
      </c>
      <c r="Y112" s="4"/>
      <c r="Z112"/>
      <c r="AC112" t="s">
        <v>813</v>
      </c>
      <c r="AE112" t="s">
        <v>1648</v>
      </c>
    </row>
    <row r="113" spans="24:31">
      <c r="X113" s="4" t="s">
        <v>372</v>
      </c>
      <c r="Y113" s="4"/>
      <c r="Z113"/>
      <c r="AC113" t="s">
        <v>1579</v>
      </c>
      <c r="AE113" t="s">
        <v>1545</v>
      </c>
    </row>
    <row r="114" spans="24:31">
      <c r="X114" s="4" t="s">
        <v>373</v>
      </c>
      <c r="Y114" s="4"/>
      <c r="Z114"/>
      <c r="AC114" t="s">
        <v>1731</v>
      </c>
      <c r="AE114" t="s">
        <v>1649</v>
      </c>
    </row>
    <row r="115" spans="24:31">
      <c r="X115" s="4" t="s">
        <v>374</v>
      </c>
      <c r="Y115" s="4"/>
      <c r="Z115"/>
      <c r="AC115" t="s">
        <v>1732</v>
      </c>
      <c r="AE115" t="s">
        <v>1650</v>
      </c>
    </row>
    <row r="116" spans="24:31">
      <c r="X116" s="4" t="s">
        <v>159</v>
      </c>
      <c r="Y116" s="4"/>
      <c r="Z116"/>
      <c r="AC116" t="s">
        <v>814</v>
      </c>
      <c r="AE116" t="s">
        <v>1651</v>
      </c>
    </row>
    <row r="117" spans="24:31">
      <c r="X117" s="4" t="s">
        <v>375</v>
      </c>
      <c r="Y117" s="4"/>
      <c r="Z117"/>
      <c r="AC117" t="s">
        <v>815</v>
      </c>
      <c r="AE117" t="s">
        <v>1546</v>
      </c>
    </row>
    <row r="118" spans="24:31">
      <c r="X118" s="4" t="s">
        <v>376</v>
      </c>
      <c r="Y118" s="4"/>
      <c r="Z118"/>
      <c r="AC118" t="s">
        <v>816</v>
      </c>
      <c r="AE118" t="s">
        <v>1652</v>
      </c>
    </row>
    <row r="119" spans="24:31">
      <c r="X119" s="4" t="s">
        <v>377</v>
      </c>
      <c r="Y119" s="4"/>
      <c r="Z119"/>
      <c r="AC119" t="s">
        <v>817</v>
      </c>
      <c r="AE119" t="s">
        <v>1653</v>
      </c>
    </row>
    <row r="120" spans="24:31">
      <c r="X120" s="4" t="s">
        <v>378</v>
      </c>
      <c r="Y120" s="4"/>
      <c r="Z120"/>
      <c r="AC120" t="s">
        <v>818</v>
      </c>
      <c r="AE120" t="s">
        <v>1654</v>
      </c>
    </row>
    <row r="121" spans="24:31">
      <c r="X121" s="4" t="s">
        <v>379</v>
      </c>
      <c r="Y121" s="4"/>
      <c r="Z121"/>
      <c r="AC121" t="s">
        <v>819</v>
      </c>
      <c r="AE121" t="s">
        <v>1655</v>
      </c>
    </row>
    <row r="122" spans="24:31">
      <c r="X122" s="4" t="s">
        <v>669</v>
      </c>
      <c r="Y122" s="4"/>
      <c r="Z122"/>
      <c r="AC122" t="s">
        <v>820</v>
      </c>
      <c r="AE122" t="s">
        <v>1656</v>
      </c>
    </row>
    <row r="123" spans="24:31">
      <c r="X123" s="4" t="s">
        <v>380</v>
      </c>
      <c r="Y123" s="4"/>
      <c r="Z123"/>
      <c r="AC123" t="s">
        <v>821</v>
      </c>
      <c r="AE123" t="s">
        <v>1547</v>
      </c>
    </row>
    <row r="124" spans="24:31">
      <c r="X124" s="4" t="s">
        <v>160</v>
      </c>
      <c r="Y124" s="4"/>
      <c r="Z124"/>
      <c r="AC124" t="s">
        <v>822</v>
      </c>
      <c r="AE124" t="s">
        <v>1657</v>
      </c>
    </row>
    <row r="125" spans="24:31">
      <c r="X125" s="4" t="s">
        <v>381</v>
      </c>
      <c r="Y125" s="4"/>
      <c r="Z125"/>
      <c r="AC125" t="s">
        <v>823</v>
      </c>
      <c r="AE125" t="s">
        <v>1658</v>
      </c>
    </row>
    <row r="126" spans="24:31">
      <c r="X126" s="4" t="s">
        <v>109</v>
      </c>
      <c r="Y126" s="4"/>
      <c r="Z126"/>
      <c r="AC126" t="s">
        <v>824</v>
      </c>
      <c r="AE126" t="s">
        <v>1659</v>
      </c>
    </row>
    <row r="127" spans="24:31">
      <c r="X127" s="4" t="s">
        <v>382</v>
      </c>
      <c r="Y127" s="4"/>
      <c r="Z127"/>
      <c r="AC127" t="s">
        <v>825</v>
      </c>
      <c r="AE127" t="s">
        <v>1660</v>
      </c>
    </row>
    <row r="128" spans="24:31">
      <c r="X128" s="4" t="s">
        <v>383</v>
      </c>
      <c r="Y128" s="4"/>
      <c r="Z128"/>
      <c r="AC128" t="s">
        <v>826</v>
      </c>
      <c r="AE128" t="s">
        <v>1661</v>
      </c>
    </row>
    <row r="129" spans="24:31">
      <c r="X129" s="4" t="s">
        <v>384</v>
      </c>
      <c r="Y129" s="4"/>
      <c r="Z129"/>
      <c r="AC129" t="s">
        <v>827</v>
      </c>
      <c r="AE129" t="s">
        <v>1662</v>
      </c>
    </row>
    <row r="130" spans="24:31">
      <c r="X130" s="4" t="s">
        <v>385</v>
      </c>
      <c r="Y130" s="4"/>
      <c r="Z130"/>
      <c r="AC130" t="s">
        <v>828</v>
      </c>
      <c r="AE130" t="s">
        <v>442</v>
      </c>
    </row>
    <row r="131" spans="24:31">
      <c r="X131" s="4" t="s">
        <v>386</v>
      </c>
      <c r="Y131" s="4"/>
      <c r="Z131"/>
      <c r="AC131" t="s">
        <v>829</v>
      </c>
      <c r="AE131" t="s">
        <v>1663</v>
      </c>
    </row>
    <row r="132" spans="24:31">
      <c r="X132" s="4" t="s">
        <v>387</v>
      </c>
      <c r="Y132" s="4"/>
      <c r="Z132"/>
      <c r="AC132" t="s">
        <v>830</v>
      </c>
      <c r="AE132" t="s">
        <v>1664</v>
      </c>
    </row>
    <row r="133" spans="24:31">
      <c r="X133" s="4" t="s">
        <v>388</v>
      </c>
      <c r="Y133" s="4"/>
      <c r="Z133"/>
      <c r="AC133" t="s">
        <v>831</v>
      </c>
      <c r="AE133" t="s">
        <v>109</v>
      </c>
    </row>
    <row r="134" spans="24:31">
      <c r="X134" s="4" t="s">
        <v>389</v>
      </c>
      <c r="Y134" s="4"/>
      <c r="Z134"/>
      <c r="AC134" t="s">
        <v>832</v>
      </c>
      <c r="AE134" t="s">
        <v>1665</v>
      </c>
    </row>
    <row r="135" spans="24:31">
      <c r="X135" s="4" t="s">
        <v>390</v>
      </c>
      <c r="Y135" s="4"/>
      <c r="Z135"/>
      <c r="AC135" t="s">
        <v>833</v>
      </c>
      <c r="AE135" t="s">
        <v>1666</v>
      </c>
    </row>
    <row r="136" spans="24:31">
      <c r="X136" s="4" t="s">
        <v>391</v>
      </c>
      <c r="Y136" s="4"/>
      <c r="Z136"/>
      <c r="AC136" t="s">
        <v>834</v>
      </c>
      <c r="AE136" t="s">
        <v>1548</v>
      </c>
    </row>
    <row r="137" spans="24:31">
      <c r="X137" s="4" t="s">
        <v>392</v>
      </c>
      <c r="Y137" s="4"/>
      <c r="Z137"/>
      <c r="AC137" t="s">
        <v>835</v>
      </c>
      <c r="AE137" t="s">
        <v>1667</v>
      </c>
    </row>
    <row r="138" spans="24:31">
      <c r="X138" s="4" t="s">
        <v>393</v>
      </c>
      <c r="Y138" s="4"/>
      <c r="Z138"/>
      <c r="AC138" t="s">
        <v>836</v>
      </c>
      <c r="AE138" t="s">
        <v>1668</v>
      </c>
    </row>
    <row r="139" spans="24:31">
      <c r="X139" s="4" t="s">
        <v>394</v>
      </c>
      <c r="Y139" s="4"/>
      <c r="Z139"/>
      <c r="AC139" t="s">
        <v>837</v>
      </c>
      <c r="AE139" t="s">
        <v>1549</v>
      </c>
    </row>
    <row r="140" spans="24:31">
      <c r="X140" s="4" t="s">
        <v>395</v>
      </c>
      <c r="Y140" s="4"/>
      <c r="Z140"/>
      <c r="AC140" t="s">
        <v>838</v>
      </c>
      <c r="AE140" t="s">
        <v>1669</v>
      </c>
    </row>
    <row r="141" spans="24:31">
      <c r="X141" s="4" t="s">
        <v>396</v>
      </c>
      <c r="Y141" s="4"/>
      <c r="Z141"/>
      <c r="AC141" t="s">
        <v>839</v>
      </c>
      <c r="AE141" t="s">
        <v>1670</v>
      </c>
    </row>
    <row r="142" spans="24:31">
      <c r="X142" s="4" t="s">
        <v>397</v>
      </c>
      <c r="Y142" s="4"/>
      <c r="Z142"/>
      <c r="AC142" t="s">
        <v>840</v>
      </c>
      <c r="AE142" t="s">
        <v>1671</v>
      </c>
    </row>
    <row r="143" spans="24:31">
      <c r="X143" s="4" t="s">
        <v>14</v>
      </c>
      <c r="Y143" s="4"/>
      <c r="Z143"/>
      <c r="AC143" t="s">
        <v>841</v>
      </c>
      <c r="AE143" t="s">
        <v>1672</v>
      </c>
    </row>
    <row r="144" spans="24:31">
      <c r="X144" s="4" t="s">
        <v>398</v>
      </c>
      <c r="Y144" s="4"/>
      <c r="Z144"/>
      <c r="AC144" t="s">
        <v>842</v>
      </c>
      <c r="AE144" t="s">
        <v>1673</v>
      </c>
    </row>
    <row r="145" spans="24:31">
      <c r="X145" s="4" t="s">
        <v>399</v>
      </c>
      <c r="Y145" s="4"/>
      <c r="Z145"/>
      <c r="AC145" t="s">
        <v>843</v>
      </c>
      <c r="AE145" t="s">
        <v>1674</v>
      </c>
    </row>
    <row r="146" spans="24:31">
      <c r="X146" s="4" t="s">
        <v>400</v>
      </c>
      <c r="Y146" s="4"/>
      <c r="Z146"/>
      <c r="AC146" t="s">
        <v>844</v>
      </c>
      <c r="AE146" t="s">
        <v>1675</v>
      </c>
    </row>
    <row r="147" spans="24:31">
      <c r="X147" s="4"/>
      <c r="Y147" s="4"/>
      <c r="Z147"/>
      <c r="AC147" t="s">
        <v>845</v>
      </c>
      <c r="AE147" t="s">
        <v>1550</v>
      </c>
    </row>
    <row r="148" spans="24:31">
      <c r="X148" s="4"/>
      <c r="Y148" s="4"/>
      <c r="Z148"/>
      <c r="AC148" t="s">
        <v>855</v>
      </c>
      <c r="AE148" t="s">
        <v>1676</v>
      </c>
    </row>
    <row r="149" spans="24:31">
      <c r="X149" s="4"/>
      <c r="Y149" s="4"/>
      <c r="Z149"/>
      <c r="AC149" t="s">
        <v>846</v>
      </c>
      <c r="AE149" t="s">
        <v>1314</v>
      </c>
    </row>
    <row r="150" spans="24:31">
      <c r="X150" s="4"/>
      <c r="Y150" s="4"/>
      <c r="Z150"/>
      <c r="AC150" t="s">
        <v>848</v>
      </c>
      <c r="AE150" t="s">
        <v>1677</v>
      </c>
    </row>
    <row r="151" spans="24:31">
      <c r="X151" s="4"/>
      <c r="Y151" s="4"/>
      <c r="Z151"/>
      <c r="AC151" t="s">
        <v>849</v>
      </c>
      <c r="AE151" t="s">
        <v>1678</v>
      </c>
    </row>
    <row r="152" spans="24:31">
      <c r="X152" s="4"/>
      <c r="Y152" s="4"/>
      <c r="Z152"/>
      <c r="AC152" t="s">
        <v>850</v>
      </c>
      <c r="AE152" t="s">
        <v>1551</v>
      </c>
    </row>
    <row r="153" spans="24:31">
      <c r="X153" s="4"/>
      <c r="Y153" s="4"/>
      <c r="Z153"/>
      <c r="AC153" t="s">
        <v>851</v>
      </c>
      <c r="AE153" t="s">
        <v>1552</v>
      </c>
    </row>
    <row r="154" spans="24:31">
      <c r="X154" s="4"/>
      <c r="Y154" s="4"/>
      <c r="Z154"/>
      <c r="AC154" t="s">
        <v>852</v>
      </c>
      <c r="AE154" t="s">
        <v>1553</v>
      </c>
    </row>
    <row r="155" spans="24:31">
      <c r="X155" s="4"/>
      <c r="Y155" s="4"/>
      <c r="Z155"/>
      <c r="AC155" t="s">
        <v>853</v>
      </c>
      <c r="AE155" t="s">
        <v>1554</v>
      </c>
    </row>
    <row r="156" spans="24:31">
      <c r="X156" s="4"/>
      <c r="Y156" s="4"/>
      <c r="Z156"/>
      <c r="AC156" t="s">
        <v>847</v>
      </c>
      <c r="AE156" t="s">
        <v>1555</v>
      </c>
    </row>
    <row r="157" spans="24:31">
      <c r="X157" s="4"/>
      <c r="Y157" s="4"/>
      <c r="Z157"/>
      <c r="AC157" t="s">
        <v>854</v>
      </c>
      <c r="AE157" t="s">
        <v>1679</v>
      </c>
    </row>
    <row r="158" spans="24:31">
      <c r="X158" s="4"/>
      <c r="Y158" s="4"/>
      <c r="Z158"/>
      <c r="AC158" t="s">
        <v>856</v>
      </c>
      <c r="AE158" t="s">
        <v>1680</v>
      </c>
    </row>
    <row r="159" spans="24:31">
      <c r="X159" s="4"/>
      <c r="Y159" s="4"/>
      <c r="Z159"/>
      <c r="AC159" t="s">
        <v>857</v>
      </c>
      <c r="AE159" t="s">
        <v>1556</v>
      </c>
    </row>
    <row r="160" spans="24:31">
      <c r="X160" s="4"/>
      <c r="Y160" s="4"/>
      <c r="Z160"/>
      <c r="AC160" t="s">
        <v>1580</v>
      </c>
      <c r="AE160" t="s">
        <v>1681</v>
      </c>
    </row>
    <row r="161" spans="24:31">
      <c r="X161" s="4"/>
      <c r="Y161" s="4"/>
      <c r="Z161"/>
      <c r="AC161" t="s">
        <v>858</v>
      </c>
      <c r="AE161" t="s">
        <v>1682</v>
      </c>
    </row>
    <row r="162" spans="24:31">
      <c r="X162" s="4"/>
      <c r="Y162" s="4"/>
      <c r="Z162"/>
      <c r="AC162" t="s">
        <v>859</v>
      </c>
      <c r="AE162" t="s">
        <v>111</v>
      </c>
    </row>
    <row r="163" spans="24:31">
      <c r="X163" s="4"/>
      <c r="Y163" s="4"/>
      <c r="Z163"/>
      <c r="AC163" t="s">
        <v>860</v>
      </c>
      <c r="AE163" t="s">
        <v>1683</v>
      </c>
    </row>
    <row r="164" spans="24:31">
      <c r="X164" s="4"/>
      <c r="Y164" s="4"/>
      <c r="Z164"/>
      <c r="AC164" t="s">
        <v>861</v>
      </c>
      <c r="AE164" t="s">
        <v>1684</v>
      </c>
    </row>
    <row r="165" spans="24:31">
      <c r="X165" s="4"/>
      <c r="Y165" s="4"/>
      <c r="Z165"/>
      <c r="AC165" t="s">
        <v>862</v>
      </c>
      <c r="AE165" t="s">
        <v>1685</v>
      </c>
    </row>
    <row r="166" spans="24:31">
      <c r="X166" s="4"/>
      <c r="Y166" s="4"/>
      <c r="Z166"/>
      <c r="AC166" t="s">
        <v>863</v>
      </c>
      <c r="AE166" t="s">
        <v>1557</v>
      </c>
    </row>
    <row r="167" spans="24:31">
      <c r="X167" s="4"/>
      <c r="Y167" s="4"/>
      <c r="Z167"/>
      <c r="AC167" t="s">
        <v>864</v>
      </c>
      <c r="AE167" t="s">
        <v>1686</v>
      </c>
    </row>
    <row r="168" spans="24:31">
      <c r="X168" s="4"/>
      <c r="Y168" s="4"/>
      <c r="Z168"/>
      <c r="AC168" t="s">
        <v>865</v>
      </c>
      <c r="AE168" t="s">
        <v>1558</v>
      </c>
    </row>
    <row r="169" spans="24:31">
      <c r="X169" s="4"/>
      <c r="Y169" s="4"/>
      <c r="Z169"/>
      <c r="AC169" t="s">
        <v>866</v>
      </c>
      <c r="AE169" t="s">
        <v>1559</v>
      </c>
    </row>
    <row r="170" spans="24:31">
      <c r="X170" s="4"/>
      <c r="Y170" s="4"/>
      <c r="Z170"/>
      <c r="AC170" t="s">
        <v>868</v>
      </c>
      <c r="AE170" t="s">
        <v>1687</v>
      </c>
    </row>
    <row r="171" spans="24:31">
      <c r="X171" s="4"/>
      <c r="Y171" s="4"/>
      <c r="Z171"/>
      <c r="AC171" t="s">
        <v>867</v>
      </c>
      <c r="AE171" t="s">
        <v>1560</v>
      </c>
    </row>
    <row r="172" spans="24:31">
      <c r="X172" s="4"/>
      <c r="Y172" s="4"/>
      <c r="Z172"/>
      <c r="AC172" t="s">
        <v>869</v>
      </c>
      <c r="AE172" t="s">
        <v>1561</v>
      </c>
    </row>
    <row r="173" spans="24:31">
      <c r="X173" s="4"/>
      <c r="Y173" s="4"/>
      <c r="Z173"/>
      <c r="AC173" t="s">
        <v>102</v>
      </c>
      <c r="AE173" t="s">
        <v>1562</v>
      </c>
    </row>
    <row r="174" spans="24:31">
      <c r="X174" s="4"/>
      <c r="Y174" s="4"/>
      <c r="Z174"/>
      <c r="AC174" t="s">
        <v>872</v>
      </c>
      <c r="AE174" t="s">
        <v>1427</v>
      </c>
    </row>
    <row r="175" spans="24:31">
      <c r="X175" s="4"/>
      <c r="Y175" s="4"/>
      <c r="Z175"/>
      <c r="AC175" t="s">
        <v>103</v>
      </c>
      <c r="AE175" t="s">
        <v>585</v>
      </c>
    </row>
    <row r="176" spans="24:31">
      <c r="X176" s="4"/>
      <c r="Y176" s="4"/>
      <c r="Z176"/>
      <c r="AC176" t="s">
        <v>870</v>
      </c>
      <c r="AE176" t="s">
        <v>1563</v>
      </c>
    </row>
    <row r="177" spans="24:31">
      <c r="X177" s="4"/>
      <c r="Y177" s="4"/>
      <c r="Z177"/>
      <c r="AC177" t="s">
        <v>871</v>
      </c>
      <c r="AE177" t="s">
        <v>1688</v>
      </c>
    </row>
    <row r="178" spans="24:31">
      <c r="X178" s="4"/>
      <c r="Y178" s="4"/>
      <c r="Z178"/>
      <c r="AC178" t="s">
        <v>873</v>
      </c>
      <c r="AE178" t="s">
        <v>1689</v>
      </c>
    </row>
    <row r="179" spans="24:31">
      <c r="X179" s="4"/>
      <c r="Y179" s="4"/>
      <c r="Z179"/>
      <c r="AC179" t="s">
        <v>874</v>
      </c>
      <c r="AE179" t="s">
        <v>1564</v>
      </c>
    </row>
    <row r="180" spans="24:31">
      <c r="X180" s="4"/>
      <c r="Y180" s="4"/>
      <c r="Z180"/>
      <c r="AC180" t="s">
        <v>104</v>
      </c>
      <c r="AE180" t="s">
        <v>1690</v>
      </c>
    </row>
    <row r="181" spans="24:31">
      <c r="X181" s="4"/>
      <c r="Y181" s="4"/>
      <c r="Z181"/>
      <c r="AC181" t="s">
        <v>875</v>
      </c>
      <c r="AE181" t="s">
        <v>1691</v>
      </c>
    </row>
    <row r="182" spans="24:31">
      <c r="X182" s="4"/>
      <c r="Y182" s="4"/>
      <c r="Z182"/>
      <c r="AC182" t="s">
        <v>876</v>
      </c>
    </row>
    <row r="183" spans="24:31">
      <c r="X183" s="4"/>
      <c r="Y183" s="4"/>
      <c r="Z183"/>
      <c r="AC183" t="s">
        <v>877</v>
      </c>
    </row>
    <row r="184" spans="24:31">
      <c r="X184" s="4"/>
      <c r="Y184" s="4"/>
      <c r="Z184"/>
      <c r="AC184" t="s">
        <v>878</v>
      </c>
    </row>
    <row r="185" spans="24:31">
      <c r="X185" s="4"/>
      <c r="Y185" s="4"/>
      <c r="Z185"/>
      <c r="AC185" t="s">
        <v>105</v>
      </c>
    </row>
    <row r="186" spans="24:31">
      <c r="X186" s="4"/>
      <c r="Y186" s="4"/>
      <c r="Z186"/>
      <c r="AC186" t="s">
        <v>879</v>
      </c>
    </row>
    <row r="187" spans="24:31">
      <c r="X187" s="4"/>
      <c r="Y187" s="4"/>
      <c r="Z187"/>
      <c r="AC187" t="s">
        <v>880</v>
      </c>
    </row>
    <row r="188" spans="24:31">
      <c r="X188" s="4"/>
      <c r="Y188" s="4"/>
      <c r="Z188"/>
      <c r="AC188" t="s">
        <v>881</v>
      </c>
    </row>
    <row r="189" spans="24:31">
      <c r="X189" s="4"/>
      <c r="Y189" s="4"/>
      <c r="Z189"/>
      <c r="AC189" t="s">
        <v>882</v>
      </c>
    </row>
    <row r="190" spans="24:31">
      <c r="X190" s="4"/>
      <c r="Y190" s="4"/>
      <c r="Z190"/>
      <c r="AC190" t="s">
        <v>883</v>
      </c>
    </row>
    <row r="191" spans="24:31">
      <c r="X191" s="4"/>
      <c r="Y191" s="4"/>
      <c r="Z191"/>
      <c r="AC191" t="s">
        <v>884</v>
      </c>
    </row>
    <row r="192" spans="24:31">
      <c r="X192" s="4"/>
      <c r="Y192" s="4"/>
      <c r="Z192"/>
      <c r="AC192" t="s">
        <v>885</v>
      </c>
    </row>
    <row r="193" spans="24:29">
      <c r="X193" s="4"/>
      <c r="Y193" s="4"/>
      <c r="Z193"/>
      <c r="AC193" t="s">
        <v>886</v>
      </c>
    </row>
    <row r="194" spans="24:29">
      <c r="X194" s="4"/>
      <c r="Y194" s="4"/>
      <c r="Z194"/>
      <c r="AC194" t="s">
        <v>887</v>
      </c>
    </row>
    <row r="195" spans="24:29">
      <c r="X195" s="4"/>
      <c r="Y195" s="4"/>
      <c r="Z195"/>
      <c r="AC195" t="s">
        <v>888</v>
      </c>
    </row>
    <row r="196" spans="24:29">
      <c r="X196" s="4"/>
      <c r="Y196" s="4"/>
      <c r="Z196"/>
      <c r="AC196" t="s">
        <v>889</v>
      </c>
    </row>
    <row r="197" spans="24:29">
      <c r="X197" s="4"/>
      <c r="Y197" s="4"/>
      <c r="Z197"/>
      <c r="AC197" t="s">
        <v>890</v>
      </c>
    </row>
    <row r="198" spans="24:29">
      <c r="X198" s="4"/>
      <c r="Y198" s="4"/>
      <c r="Z198"/>
      <c r="AC198" t="s">
        <v>891</v>
      </c>
    </row>
    <row r="199" spans="24:29">
      <c r="X199" s="4"/>
      <c r="Y199" s="4"/>
      <c r="Z199"/>
      <c r="AC199" t="s">
        <v>892</v>
      </c>
    </row>
    <row r="200" spans="24:29">
      <c r="X200" s="4"/>
      <c r="Y200" s="4"/>
      <c r="Z200"/>
      <c r="AC200" t="s">
        <v>893</v>
      </c>
    </row>
    <row r="201" spans="24:29">
      <c r="X201" s="4"/>
      <c r="Y201" s="4"/>
      <c r="Z201"/>
      <c r="AC201" t="s">
        <v>894</v>
      </c>
    </row>
    <row r="202" spans="24:29">
      <c r="X202" s="4"/>
      <c r="Y202" s="4"/>
      <c r="Z202"/>
      <c r="AC202" t="s">
        <v>895</v>
      </c>
    </row>
    <row r="203" spans="24:29">
      <c r="X203" s="4"/>
      <c r="Y203" s="4"/>
      <c r="Z203"/>
      <c r="AC203" t="s">
        <v>896</v>
      </c>
    </row>
    <row r="204" spans="24:29">
      <c r="X204" s="4"/>
      <c r="Y204" s="4"/>
      <c r="Z204"/>
      <c r="AC204" t="s">
        <v>897</v>
      </c>
    </row>
    <row r="205" spans="24:29">
      <c r="X205" s="4"/>
      <c r="Y205" s="4"/>
      <c r="Z205"/>
      <c r="AC205" t="s">
        <v>898</v>
      </c>
    </row>
    <row r="206" spans="24:29">
      <c r="X206" s="4"/>
      <c r="Y206" s="4"/>
      <c r="Z206"/>
      <c r="AC206" t="s">
        <v>899</v>
      </c>
    </row>
    <row r="207" spans="24:29">
      <c r="X207" s="4"/>
      <c r="Y207" s="4"/>
      <c r="Z207"/>
      <c r="AC207" t="s">
        <v>900</v>
      </c>
    </row>
    <row r="208" spans="24:29">
      <c r="X208" s="4"/>
      <c r="Y208" s="4"/>
      <c r="Z208"/>
      <c r="AC208" t="s">
        <v>901</v>
      </c>
    </row>
    <row r="209" spans="24:29">
      <c r="X209" s="4"/>
      <c r="Y209" s="4"/>
      <c r="Z209"/>
      <c r="AC209" t="s">
        <v>902</v>
      </c>
    </row>
    <row r="210" spans="24:29">
      <c r="X210" s="4"/>
      <c r="Y210" s="4"/>
      <c r="Z210"/>
      <c r="AC210" t="s">
        <v>903</v>
      </c>
    </row>
    <row r="211" spans="24:29">
      <c r="X211" s="4"/>
      <c r="Y211" s="4"/>
      <c r="Z211"/>
      <c r="AC211" t="s">
        <v>904</v>
      </c>
    </row>
    <row r="212" spans="24:29">
      <c r="X212" s="4"/>
      <c r="Y212" s="4"/>
      <c r="Z212"/>
      <c r="AC212" t="s">
        <v>905</v>
      </c>
    </row>
    <row r="213" spans="24:29">
      <c r="X213" s="4"/>
      <c r="Y213" s="4"/>
      <c r="Z213"/>
      <c r="AC213" t="s">
        <v>906</v>
      </c>
    </row>
    <row r="214" spans="24:29">
      <c r="X214" s="4"/>
      <c r="Y214" s="4"/>
      <c r="Z214"/>
      <c r="AC214" t="s">
        <v>908</v>
      </c>
    </row>
    <row r="215" spans="24:29">
      <c r="X215" s="4"/>
      <c r="Y215" s="4"/>
      <c r="Z215"/>
      <c r="AC215" t="s">
        <v>910</v>
      </c>
    </row>
    <row r="216" spans="24:29">
      <c r="X216" s="4"/>
      <c r="Y216" s="4"/>
      <c r="Z216"/>
      <c r="AC216" t="s">
        <v>911</v>
      </c>
    </row>
    <row r="217" spans="24:29">
      <c r="X217" s="4"/>
      <c r="Y217" s="4"/>
      <c r="Z217"/>
      <c r="AC217" t="s">
        <v>909</v>
      </c>
    </row>
    <row r="218" spans="24:29">
      <c r="X218" s="4"/>
      <c r="Y218" s="4"/>
      <c r="Z218"/>
      <c r="AC218" t="s">
        <v>912</v>
      </c>
    </row>
    <row r="219" spans="24:29">
      <c r="X219" s="4"/>
      <c r="Y219" s="4"/>
      <c r="Z219"/>
      <c r="AC219" t="s">
        <v>916</v>
      </c>
    </row>
    <row r="220" spans="24:29">
      <c r="X220" s="4"/>
      <c r="Y220" s="4"/>
      <c r="Z220"/>
      <c r="AC220" t="s">
        <v>917</v>
      </c>
    </row>
    <row r="221" spans="24:29">
      <c r="X221" s="4"/>
      <c r="Y221" s="4"/>
      <c r="Z221"/>
      <c r="AC221" t="s">
        <v>922</v>
      </c>
    </row>
    <row r="222" spans="24:29">
      <c r="X222" s="4"/>
      <c r="Y222" s="4"/>
      <c r="Z222"/>
      <c r="AC222" t="s">
        <v>923</v>
      </c>
    </row>
    <row r="223" spans="24:29">
      <c r="X223" s="4"/>
      <c r="Y223" s="4"/>
      <c r="Z223"/>
      <c r="AC223" t="s">
        <v>924</v>
      </c>
    </row>
    <row r="224" spans="24:29">
      <c r="X224" s="4"/>
      <c r="Y224" s="4"/>
      <c r="Z224"/>
      <c r="AC224" t="s">
        <v>913</v>
      </c>
    </row>
    <row r="225" spans="24:29">
      <c r="X225" s="4"/>
      <c r="Y225" s="4"/>
      <c r="Z225"/>
      <c r="AC225" t="s">
        <v>914</v>
      </c>
    </row>
    <row r="226" spans="24:29">
      <c r="X226" s="4"/>
      <c r="Y226" s="4"/>
      <c r="Z226"/>
      <c r="AC226" t="s">
        <v>915</v>
      </c>
    </row>
    <row r="227" spans="24:29">
      <c r="X227" s="4"/>
      <c r="Y227" s="4"/>
      <c r="Z227"/>
      <c r="AC227" t="s">
        <v>918</v>
      </c>
    </row>
    <row r="228" spans="24:29">
      <c r="X228" s="4"/>
      <c r="Y228" s="4"/>
      <c r="Z228"/>
      <c r="AC228" t="s">
        <v>919</v>
      </c>
    </row>
    <row r="229" spans="24:29">
      <c r="X229" s="4"/>
      <c r="Y229" s="4"/>
      <c r="Z229"/>
      <c r="AC229" t="s">
        <v>920</v>
      </c>
    </row>
    <row r="230" spans="24:29">
      <c r="X230" s="4"/>
      <c r="Y230" s="4"/>
      <c r="Z230"/>
      <c r="AC230" t="s">
        <v>921</v>
      </c>
    </row>
    <row r="231" spans="24:29">
      <c r="X231" s="4"/>
      <c r="Y231" s="4"/>
      <c r="Z231"/>
      <c r="AC231" t="s">
        <v>925</v>
      </c>
    </row>
    <row r="232" spans="24:29">
      <c r="X232" s="4"/>
      <c r="Y232" s="4"/>
      <c r="Z232"/>
      <c r="AC232" t="s">
        <v>926</v>
      </c>
    </row>
    <row r="233" spans="24:29">
      <c r="X233" s="4"/>
      <c r="Y233" s="4"/>
      <c r="Z233"/>
      <c r="AC233" t="s">
        <v>927</v>
      </c>
    </row>
    <row r="234" spans="24:29">
      <c r="X234" s="4"/>
      <c r="Y234" s="4"/>
      <c r="Z234"/>
      <c r="AC234" t="s">
        <v>928</v>
      </c>
    </row>
    <row r="235" spans="24:29">
      <c r="X235" s="4"/>
      <c r="Y235" s="4"/>
      <c r="Z235"/>
      <c r="AC235" t="s">
        <v>929</v>
      </c>
    </row>
    <row r="236" spans="24:29">
      <c r="X236" s="4"/>
      <c r="Y236" s="4"/>
      <c r="Z236"/>
      <c r="AC236" t="s">
        <v>930</v>
      </c>
    </row>
    <row r="237" spans="24:29">
      <c r="X237" s="4"/>
      <c r="Y237" s="4"/>
      <c r="Z237"/>
      <c r="AC237" t="s">
        <v>907</v>
      </c>
    </row>
    <row r="238" spans="24:29">
      <c r="X238" s="4"/>
      <c r="Y238" s="4"/>
      <c r="Z238"/>
      <c r="AC238" t="s">
        <v>1581</v>
      </c>
    </row>
    <row r="239" spans="24:29">
      <c r="X239" s="4"/>
      <c r="Y239" s="4"/>
      <c r="Z239"/>
      <c r="AC239" t="s">
        <v>931</v>
      </c>
    </row>
    <row r="240" spans="24:29">
      <c r="X240" s="4"/>
      <c r="Y240" s="4"/>
      <c r="Z240"/>
      <c r="AC240" t="s">
        <v>932</v>
      </c>
    </row>
    <row r="241" spans="24:29">
      <c r="X241" s="4"/>
      <c r="Y241" s="4"/>
      <c r="Z241"/>
      <c r="AC241" t="s">
        <v>933</v>
      </c>
    </row>
    <row r="242" spans="24:29">
      <c r="X242" s="4"/>
      <c r="Y242" s="4"/>
      <c r="Z242"/>
      <c r="AC242" t="s">
        <v>934</v>
      </c>
    </row>
    <row r="243" spans="24:29">
      <c r="X243" s="4"/>
      <c r="Y243" s="4"/>
      <c r="Z243"/>
      <c r="AC243" t="s">
        <v>935</v>
      </c>
    </row>
    <row r="244" spans="24:29">
      <c r="X244" s="4"/>
      <c r="Y244" s="4"/>
      <c r="Z244"/>
      <c r="AC244" t="s">
        <v>936</v>
      </c>
    </row>
    <row r="245" spans="24:29">
      <c r="X245" s="4"/>
      <c r="Y245" s="4"/>
      <c r="Z245"/>
      <c r="AC245" t="s">
        <v>937</v>
      </c>
    </row>
    <row r="246" spans="24:29">
      <c r="X246" s="4"/>
      <c r="Y246" s="4"/>
      <c r="Z246"/>
      <c r="AC246" t="s">
        <v>938</v>
      </c>
    </row>
    <row r="247" spans="24:29">
      <c r="X247" s="4"/>
      <c r="Y247" s="4"/>
      <c r="Z247"/>
      <c r="AC247" t="s">
        <v>939</v>
      </c>
    </row>
    <row r="248" spans="24:29">
      <c r="X248" s="4"/>
      <c r="Y248" s="4"/>
      <c r="Z248"/>
      <c r="AC248" t="s">
        <v>940</v>
      </c>
    </row>
    <row r="249" spans="24:29">
      <c r="X249" s="4"/>
      <c r="Y249" s="4"/>
      <c r="Z249"/>
      <c r="AC249" t="s">
        <v>941</v>
      </c>
    </row>
    <row r="250" spans="24:29">
      <c r="X250" s="4"/>
      <c r="Y250" s="4"/>
      <c r="Z250"/>
      <c r="AC250" t="s">
        <v>942</v>
      </c>
    </row>
    <row r="251" spans="24:29">
      <c r="X251" s="4"/>
      <c r="Y251" s="4"/>
      <c r="Z251"/>
      <c r="AC251" t="s">
        <v>943</v>
      </c>
    </row>
    <row r="252" spans="24:29">
      <c r="X252" s="4"/>
      <c r="Y252" s="4"/>
      <c r="Z252"/>
      <c r="AC252" t="s">
        <v>944</v>
      </c>
    </row>
    <row r="253" spans="24:29">
      <c r="X253" s="4"/>
      <c r="Y253" s="4"/>
      <c r="Z253"/>
      <c r="AC253" t="s">
        <v>948</v>
      </c>
    </row>
    <row r="254" spans="24:29">
      <c r="X254" s="4"/>
      <c r="Y254" s="4"/>
      <c r="Z254"/>
      <c r="AC254" t="s">
        <v>946</v>
      </c>
    </row>
    <row r="255" spans="24:29">
      <c r="X255" s="4"/>
      <c r="Y255" s="4"/>
      <c r="Z255"/>
      <c r="AC255" t="s">
        <v>947</v>
      </c>
    </row>
    <row r="256" spans="24:29">
      <c r="X256" s="4"/>
      <c r="Y256" s="4"/>
      <c r="Z256"/>
      <c r="AC256" t="s">
        <v>949</v>
      </c>
    </row>
    <row r="257" spans="24:29">
      <c r="X257" s="4"/>
      <c r="Y257" s="4"/>
      <c r="Z257"/>
      <c r="AC257" t="s">
        <v>950</v>
      </c>
    </row>
    <row r="258" spans="24:29">
      <c r="X258" s="4"/>
      <c r="Y258" s="4"/>
      <c r="Z258"/>
      <c r="AC258" t="s">
        <v>951</v>
      </c>
    </row>
    <row r="259" spans="24:29">
      <c r="X259" s="4"/>
      <c r="Y259" s="4"/>
      <c r="Z259"/>
      <c r="AC259" t="s">
        <v>952</v>
      </c>
    </row>
    <row r="260" spans="24:29">
      <c r="X260" s="4"/>
      <c r="Y260" s="4"/>
      <c r="Z260"/>
      <c r="AC260" t="s">
        <v>953</v>
      </c>
    </row>
    <row r="261" spans="24:29">
      <c r="X261" s="4"/>
      <c r="Y261" s="4"/>
      <c r="Z261"/>
      <c r="AC261" t="s">
        <v>945</v>
      </c>
    </row>
    <row r="262" spans="24:29">
      <c r="X262" s="4"/>
      <c r="Y262" s="4"/>
      <c r="Z262"/>
      <c r="AC262" t="s">
        <v>958</v>
      </c>
    </row>
    <row r="263" spans="24:29">
      <c r="X263" s="4"/>
      <c r="Y263" s="4"/>
      <c r="Z263"/>
      <c r="AC263" t="s">
        <v>959</v>
      </c>
    </row>
    <row r="264" spans="24:29">
      <c r="X264" s="4"/>
      <c r="Y264" s="4"/>
      <c r="Z264"/>
      <c r="AC264" t="s">
        <v>960</v>
      </c>
    </row>
    <row r="265" spans="24:29">
      <c r="X265" s="4"/>
      <c r="Y265" s="4"/>
      <c r="Z265"/>
      <c r="AC265" t="s">
        <v>954</v>
      </c>
    </row>
    <row r="266" spans="24:29">
      <c r="X266" s="4"/>
      <c r="Y266" s="4"/>
      <c r="Z266"/>
      <c r="AC266" t="s">
        <v>955</v>
      </c>
    </row>
    <row r="267" spans="24:29">
      <c r="X267" s="4"/>
      <c r="Y267" s="4"/>
      <c r="Z267"/>
      <c r="AC267" t="s">
        <v>956</v>
      </c>
    </row>
    <row r="268" spans="24:29">
      <c r="X268" s="4"/>
      <c r="Y268" s="4"/>
      <c r="Z268"/>
      <c r="AC268" t="s">
        <v>957</v>
      </c>
    </row>
    <row r="269" spans="24:29">
      <c r="X269" s="4"/>
      <c r="Y269" s="4"/>
      <c r="Z269"/>
      <c r="AC269" t="s">
        <v>961</v>
      </c>
    </row>
    <row r="270" spans="24:29">
      <c r="X270" s="4"/>
      <c r="Y270" s="4"/>
      <c r="Z270"/>
      <c r="AC270" t="s">
        <v>962</v>
      </c>
    </row>
    <row r="271" spans="24:29">
      <c r="X271" s="4"/>
      <c r="Y271" s="4"/>
      <c r="Z271"/>
      <c r="AC271" t="s">
        <v>963</v>
      </c>
    </row>
    <row r="272" spans="24:29">
      <c r="X272" s="4"/>
      <c r="Y272" s="4"/>
      <c r="Z272"/>
      <c r="AC272" t="s">
        <v>1582</v>
      </c>
    </row>
    <row r="273" spans="24:29">
      <c r="X273" s="4"/>
      <c r="Y273" s="4"/>
      <c r="Z273"/>
    </row>
    <row r="274" spans="24:29">
      <c r="X274" s="4"/>
      <c r="Y274" s="4"/>
      <c r="Z274"/>
      <c r="AC274" t="s">
        <v>964</v>
      </c>
    </row>
    <row r="275" spans="24:29">
      <c r="X275" s="4"/>
      <c r="Y275" s="4"/>
      <c r="Z275"/>
      <c r="AC275" t="s">
        <v>965</v>
      </c>
    </row>
    <row r="276" spans="24:29">
      <c r="X276" s="4"/>
      <c r="Y276" s="4"/>
      <c r="Z276"/>
      <c r="AC276" t="s">
        <v>966</v>
      </c>
    </row>
    <row r="277" spans="24:29">
      <c r="X277" s="4"/>
      <c r="Y277" s="4"/>
      <c r="Z277"/>
      <c r="AC277" t="s">
        <v>106</v>
      </c>
    </row>
    <row r="278" spans="24:29">
      <c r="X278" s="4"/>
      <c r="Y278" s="4"/>
      <c r="Z278"/>
      <c r="AC278" t="s">
        <v>967</v>
      </c>
    </row>
    <row r="279" spans="24:29">
      <c r="X279" s="4"/>
      <c r="Y279" s="4"/>
      <c r="Z279"/>
      <c r="AC279" t="s">
        <v>968</v>
      </c>
    </row>
    <row r="280" spans="24:29">
      <c r="X280" s="4"/>
      <c r="Y280" s="4"/>
      <c r="Z280"/>
      <c r="AC280" t="s">
        <v>969</v>
      </c>
    </row>
    <row r="281" spans="24:29">
      <c r="X281" s="4"/>
      <c r="Y281" s="4"/>
      <c r="Z281"/>
      <c r="AC281" t="s">
        <v>970</v>
      </c>
    </row>
    <row r="282" spans="24:29">
      <c r="X282" s="4"/>
      <c r="Y282" s="4"/>
      <c r="Z282"/>
      <c r="AC282" t="s">
        <v>971</v>
      </c>
    </row>
    <row r="283" spans="24:29">
      <c r="X283" s="4"/>
      <c r="Y283" s="4"/>
      <c r="Z283"/>
      <c r="AC283" t="s">
        <v>972</v>
      </c>
    </row>
    <row r="284" spans="24:29">
      <c r="X284" s="4"/>
      <c r="Y284" s="4"/>
      <c r="Z284"/>
      <c r="AC284" t="s">
        <v>973</v>
      </c>
    </row>
    <row r="285" spans="24:29">
      <c r="X285" s="4"/>
      <c r="Y285" s="4"/>
      <c r="Z285"/>
      <c r="AC285" t="s">
        <v>974</v>
      </c>
    </row>
    <row r="286" spans="24:29">
      <c r="X286" s="4"/>
      <c r="Y286" s="4"/>
      <c r="Z286"/>
      <c r="AC286" t="s">
        <v>975</v>
      </c>
    </row>
    <row r="287" spans="24:29">
      <c r="X287" s="4"/>
      <c r="Y287" s="4"/>
      <c r="Z287"/>
      <c r="AC287" t="s">
        <v>976</v>
      </c>
    </row>
    <row r="288" spans="24:29">
      <c r="X288" s="4"/>
      <c r="Y288" s="4"/>
      <c r="Z288"/>
      <c r="AC288" t="s">
        <v>977</v>
      </c>
    </row>
    <row r="289" spans="24:29">
      <c r="X289" s="4"/>
      <c r="Y289" s="4"/>
      <c r="Z289"/>
      <c r="AC289" t="s">
        <v>978</v>
      </c>
    </row>
    <row r="290" spans="24:29">
      <c r="X290" s="4"/>
      <c r="Y290" s="4"/>
      <c r="Z290"/>
      <c r="AC290" t="s">
        <v>979</v>
      </c>
    </row>
    <row r="291" spans="24:29">
      <c r="X291" s="4"/>
      <c r="Y291" s="4"/>
      <c r="Z291"/>
      <c r="AC291" t="s">
        <v>980</v>
      </c>
    </row>
    <row r="292" spans="24:29">
      <c r="X292" s="4"/>
      <c r="Y292" s="4"/>
      <c r="Z292"/>
      <c r="AC292" t="s">
        <v>981</v>
      </c>
    </row>
    <row r="293" spans="24:29">
      <c r="X293" s="4"/>
      <c r="Y293" s="4"/>
      <c r="Z293"/>
      <c r="AC293" t="s">
        <v>982</v>
      </c>
    </row>
    <row r="294" spans="24:29">
      <c r="X294" s="4"/>
      <c r="Y294" s="4"/>
      <c r="Z294"/>
      <c r="AC294" t="s">
        <v>1020</v>
      </c>
    </row>
    <row r="295" spans="24:29">
      <c r="X295" s="4"/>
      <c r="Y295" s="4"/>
      <c r="Z295"/>
      <c r="AC295" t="s">
        <v>983</v>
      </c>
    </row>
    <row r="296" spans="24:29">
      <c r="X296" s="4"/>
      <c r="Y296" s="4"/>
      <c r="Z296"/>
      <c r="AC296" t="s">
        <v>984</v>
      </c>
    </row>
    <row r="297" spans="24:29">
      <c r="X297" s="4"/>
      <c r="Y297" s="4"/>
      <c r="Z297"/>
      <c r="AC297" t="s">
        <v>985</v>
      </c>
    </row>
    <row r="298" spans="24:29">
      <c r="X298" s="4"/>
      <c r="Y298" s="4"/>
      <c r="Z298"/>
      <c r="AC298" t="s">
        <v>986</v>
      </c>
    </row>
    <row r="299" spans="24:29">
      <c r="X299" s="4"/>
      <c r="Y299" s="4"/>
      <c r="Z299"/>
      <c r="AC299" t="s">
        <v>987</v>
      </c>
    </row>
    <row r="300" spans="24:29">
      <c r="X300" s="4"/>
      <c r="Y300" s="4"/>
      <c r="Z300"/>
      <c r="AC300" t="s">
        <v>988</v>
      </c>
    </row>
    <row r="301" spans="24:29">
      <c r="X301" s="4"/>
      <c r="Y301" s="4"/>
      <c r="Z301"/>
      <c r="AC301" t="s">
        <v>989</v>
      </c>
    </row>
    <row r="302" spans="24:29">
      <c r="X302" s="4"/>
      <c r="Y302" s="4"/>
      <c r="Z302"/>
      <c r="AC302" t="s">
        <v>990</v>
      </c>
    </row>
    <row r="303" spans="24:29">
      <c r="X303" s="4"/>
      <c r="Y303" s="4"/>
      <c r="Z303"/>
      <c r="AC303" t="s">
        <v>991</v>
      </c>
    </row>
    <row r="304" spans="24:29">
      <c r="X304" s="4"/>
      <c r="Y304" s="4"/>
      <c r="Z304"/>
      <c r="AC304" t="s">
        <v>992</v>
      </c>
    </row>
    <row r="305" spans="24:29">
      <c r="X305" s="4"/>
      <c r="Y305" s="4"/>
      <c r="Z305"/>
      <c r="AC305" t="s">
        <v>993</v>
      </c>
    </row>
    <row r="306" spans="24:29">
      <c r="X306" s="4"/>
      <c r="Y306" s="4"/>
      <c r="Z306"/>
      <c r="AC306" t="s">
        <v>994</v>
      </c>
    </row>
    <row r="307" spans="24:29">
      <c r="X307" s="4"/>
      <c r="Y307" s="4"/>
      <c r="Z307"/>
      <c r="AC307" t="s">
        <v>995</v>
      </c>
    </row>
    <row r="308" spans="24:29">
      <c r="X308" s="4"/>
      <c r="Y308" s="4"/>
      <c r="Z308"/>
      <c r="AC308" t="s">
        <v>1015</v>
      </c>
    </row>
    <row r="309" spans="24:29">
      <c r="X309" s="4"/>
      <c r="Y309" s="4"/>
      <c r="Z309"/>
      <c r="AC309" t="s">
        <v>1016</v>
      </c>
    </row>
    <row r="310" spans="24:29">
      <c r="X310" s="4"/>
      <c r="Y310" s="4"/>
      <c r="Z310"/>
      <c r="AC310" t="s">
        <v>996</v>
      </c>
    </row>
    <row r="311" spans="24:29">
      <c r="X311" s="4"/>
      <c r="Y311" s="4"/>
      <c r="Z311"/>
      <c r="AC311" t="s">
        <v>997</v>
      </c>
    </row>
    <row r="312" spans="24:29">
      <c r="X312" s="4"/>
      <c r="Y312" s="4"/>
      <c r="Z312"/>
      <c r="AC312" t="s">
        <v>998</v>
      </c>
    </row>
    <row r="313" spans="24:29">
      <c r="X313" s="4"/>
      <c r="Y313" s="4"/>
      <c r="Z313"/>
      <c r="AC313" t="s">
        <v>1001</v>
      </c>
    </row>
    <row r="314" spans="24:29">
      <c r="X314" s="4"/>
      <c r="Y314" s="4"/>
      <c r="Z314"/>
      <c r="AC314" t="s">
        <v>999</v>
      </c>
    </row>
    <row r="315" spans="24:29">
      <c r="X315" s="4"/>
      <c r="Y315" s="4"/>
      <c r="Z315"/>
      <c r="AC315" t="s">
        <v>1000</v>
      </c>
    </row>
    <row r="316" spans="24:29">
      <c r="X316" s="4"/>
      <c r="Y316" s="4"/>
      <c r="Z316"/>
      <c r="AC316" t="s">
        <v>1002</v>
      </c>
    </row>
    <row r="317" spans="24:29">
      <c r="X317" s="4"/>
      <c r="Y317" s="4"/>
      <c r="Z317"/>
      <c r="AC317" t="s">
        <v>1003</v>
      </c>
    </row>
    <row r="318" spans="24:29">
      <c r="X318" s="4"/>
      <c r="Y318" s="4"/>
      <c r="Z318"/>
      <c r="AC318" t="s">
        <v>1005</v>
      </c>
    </row>
    <row r="319" spans="24:29">
      <c r="X319" s="4"/>
      <c r="Y319" s="4"/>
      <c r="Z319"/>
      <c r="AC319" t="s">
        <v>1004</v>
      </c>
    </row>
    <row r="320" spans="24:29">
      <c r="X320" s="4"/>
      <c r="Y320" s="4"/>
      <c r="Z320"/>
      <c r="AC320" t="s">
        <v>1006</v>
      </c>
    </row>
    <row r="321" spans="24:29">
      <c r="X321" s="4"/>
      <c r="Y321" s="4"/>
      <c r="Z321"/>
      <c r="AC321" t="s">
        <v>1008</v>
      </c>
    </row>
    <row r="322" spans="24:29">
      <c r="X322" s="4"/>
      <c r="Y322" s="4"/>
      <c r="Z322"/>
      <c r="AC322" t="s">
        <v>1007</v>
      </c>
    </row>
    <row r="323" spans="24:29">
      <c r="X323" s="4"/>
      <c r="Y323" s="4"/>
      <c r="Z323"/>
      <c r="AC323" t="s">
        <v>1009</v>
      </c>
    </row>
    <row r="324" spans="24:29">
      <c r="X324" s="4"/>
      <c r="Y324" s="4"/>
      <c r="Z324"/>
      <c r="AC324" t="s">
        <v>1010</v>
      </c>
    </row>
    <row r="325" spans="24:29">
      <c r="X325" s="4"/>
      <c r="Y325" s="4"/>
      <c r="Z325"/>
      <c r="AC325" t="s">
        <v>1011</v>
      </c>
    </row>
    <row r="326" spans="24:29">
      <c r="X326" s="4"/>
      <c r="Y326" s="4"/>
      <c r="Z326"/>
      <c r="AC326" t="s">
        <v>1012</v>
      </c>
    </row>
    <row r="327" spans="24:29">
      <c r="X327" s="4"/>
      <c r="Y327" s="4"/>
      <c r="Z327"/>
      <c r="AC327" t="s">
        <v>1013</v>
      </c>
    </row>
    <row r="328" spans="24:29">
      <c r="X328" s="4"/>
      <c r="Y328" s="4"/>
      <c r="Z328"/>
      <c r="AC328" t="s">
        <v>1014</v>
      </c>
    </row>
    <row r="329" spans="24:29">
      <c r="X329" s="4"/>
      <c r="Y329" s="4"/>
      <c r="Z329"/>
      <c r="AC329" t="s">
        <v>1017</v>
      </c>
    </row>
    <row r="330" spans="24:29">
      <c r="X330" s="4"/>
      <c r="Y330" s="4"/>
      <c r="Z330"/>
      <c r="AC330" t="s">
        <v>1018</v>
      </c>
    </row>
    <row r="331" spans="24:29">
      <c r="X331" s="4"/>
      <c r="Y331" s="4"/>
      <c r="Z331"/>
      <c r="AC331" t="s">
        <v>1019</v>
      </c>
    </row>
    <row r="332" spans="24:29">
      <c r="X332" s="4"/>
      <c r="Y332" s="4"/>
      <c r="Z332"/>
      <c r="AC332" t="s">
        <v>1046</v>
      </c>
    </row>
    <row r="333" spans="24:29">
      <c r="X333" s="4"/>
      <c r="Y333" s="4"/>
      <c r="Z333"/>
      <c r="AC333" t="s">
        <v>1022</v>
      </c>
    </row>
    <row r="334" spans="24:29">
      <c r="X334" s="4"/>
      <c r="Y334" s="4"/>
      <c r="Z334"/>
      <c r="AC334" t="s">
        <v>1023</v>
      </c>
    </row>
    <row r="335" spans="24:29">
      <c r="X335" s="4"/>
      <c r="Y335" s="4"/>
      <c r="Z335"/>
      <c r="AC335" t="s">
        <v>1024</v>
      </c>
    </row>
    <row r="336" spans="24:29">
      <c r="X336" s="4"/>
      <c r="Y336" s="4"/>
      <c r="Z336"/>
      <c r="AC336" t="s">
        <v>1021</v>
      </c>
    </row>
    <row r="337" spans="24:29">
      <c r="X337" s="4"/>
      <c r="Y337" s="4"/>
      <c r="Z337"/>
      <c r="AC337" t="s">
        <v>1025</v>
      </c>
    </row>
    <row r="338" spans="24:29">
      <c r="X338" s="4"/>
      <c r="Y338" s="4"/>
      <c r="Z338"/>
      <c r="AC338" t="s">
        <v>1028</v>
      </c>
    </row>
    <row r="339" spans="24:29">
      <c r="X339" s="4"/>
      <c r="Y339" s="4"/>
      <c r="Z339"/>
      <c r="AC339" t="s">
        <v>1027</v>
      </c>
    </row>
    <row r="340" spans="24:29">
      <c r="X340" s="4"/>
      <c r="Y340" s="4"/>
      <c r="Z340"/>
      <c r="AC340" t="s">
        <v>1026</v>
      </c>
    </row>
    <row r="341" spans="24:29">
      <c r="X341" s="4"/>
      <c r="Y341" s="4"/>
      <c r="Z341"/>
      <c r="AC341" t="s">
        <v>1029</v>
      </c>
    </row>
    <row r="342" spans="24:29">
      <c r="X342" s="4"/>
      <c r="Y342" s="4"/>
      <c r="Z342"/>
      <c r="AC342" t="s">
        <v>1030</v>
      </c>
    </row>
    <row r="343" spans="24:29">
      <c r="X343" s="4"/>
      <c r="Y343" s="4"/>
      <c r="Z343"/>
      <c r="AC343" t="s">
        <v>1031</v>
      </c>
    </row>
    <row r="344" spans="24:29">
      <c r="X344" s="4"/>
      <c r="Y344" s="4"/>
      <c r="Z344"/>
      <c r="AC344" t="s">
        <v>1032</v>
      </c>
    </row>
    <row r="345" spans="24:29">
      <c r="X345" s="4"/>
      <c r="Y345" s="4"/>
      <c r="Z345"/>
      <c r="AC345" t="s">
        <v>1033</v>
      </c>
    </row>
    <row r="346" spans="24:29">
      <c r="X346" s="4"/>
      <c r="Y346" s="4"/>
      <c r="Z346"/>
      <c r="AC346" t="s">
        <v>1034</v>
      </c>
    </row>
    <row r="347" spans="24:29">
      <c r="X347" s="4"/>
      <c r="Y347" s="4"/>
      <c r="Z347"/>
      <c r="AC347" t="s">
        <v>1035</v>
      </c>
    </row>
    <row r="348" spans="24:29">
      <c r="X348" s="4"/>
      <c r="Y348" s="4"/>
      <c r="Z348"/>
      <c r="AC348" t="s">
        <v>1036</v>
      </c>
    </row>
    <row r="349" spans="24:29">
      <c r="X349" s="4"/>
      <c r="Y349" s="4"/>
      <c r="Z349"/>
      <c r="AC349" t="s">
        <v>1041</v>
      </c>
    </row>
    <row r="350" spans="24:29">
      <c r="X350" s="4"/>
      <c r="Y350" s="4"/>
      <c r="Z350"/>
      <c r="AC350" t="s">
        <v>1037</v>
      </c>
    </row>
    <row r="351" spans="24:29">
      <c r="X351" s="4"/>
      <c r="Y351" s="4"/>
      <c r="Z351"/>
      <c r="AC351" t="s">
        <v>1038</v>
      </c>
    </row>
    <row r="352" spans="24:29">
      <c r="X352" s="4"/>
      <c r="Y352" s="4"/>
      <c r="Z352"/>
      <c r="AC352" t="s">
        <v>1040</v>
      </c>
    </row>
    <row r="353" spans="24:29">
      <c r="X353" s="4"/>
      <c r="Y353" s="4"/>
      <c r="Z353"/>
      <c r="AC353" t="s">
        <v>1039</v>
      </c>
    </row>
    <row r="354" spans="24:29">
      <c r="X354" s="4"/>
      <c r="Y354" s="4"/>
      <c r="Z354"/>
      <c r="AC354" t="s">
        <v>1042</v>
      </c>
    </row>
    <row r="355" spans="24:29">
      <c r="X355" s="4"/>
      <c r="Y355" s="4"/>
      <c r="Z355"/>
      <c r="AC355" t="s">
        <v>1043</v>
      </c>
    </row>
    <row r="356" spans="24:29">
      <c r="X356" s="4"/>
      <c r="Y356" s="4"/>
      <c r="Z356"/>
      <c r="AC356" t="s">
        <v>1044</v>
      </c>
    </row>
    <row r="357" spans="24:29">
      <c r="X357" s="4"/>
      <c r="Y357" s="4"/>
      <c r="Z357"/>
      <c r="AC357" t="s">
        <v>1045</v>
      </c>
    </row>
    <row r="358" spans="24:29">
      <c r="X358" s="4"/>
      <c r="Y358" s="4"/>
      <c r="Z358"/>
      <c r="AC358" t="s">
        <v>1047</v>
      </c>
    </row>
    <row r="359" spans="24:29">
      <c r="X359" s="4"/>
      <c r="Y359" s="4"/>
      <c r="Z359"/>
      <c r="AC359" t="s">
        <v>1048</v>
      </c>
    </row>
    <row r="360" spans="24:29">
      <c r="X360" s="4"/>
      <c r="Y360" s="4"/>
      <c r="Z360"/>
      <c r="AC360" t="s">
        <v>1049</v>
      </c>
    </row>
    <row r="361" spans="24:29">
      <c r="X361" s="4"/>
      <c r="Y361" s="4"/>
      <c r="Z361"/>
      <c r="AC361" t="s">
        <v>1050</v>
      </c>
    </row>
    <row r="362" spans="24:29">
      <c r="X362" s="4"/>
      <c r="Y362" s="4"/>
      <c r="Z362"/>
      <c r="AC362" t="s">
        <v>1051</v>
      </c>
    </row>
    <row r="363" spans="24:29">
      <c r="X363" s="4"/>
      <c r="Y363" s="4"/>
      <c r="Z363"/>
      <c r="AC363" t="s">
        <v>1052</v>
      </c>
    </row>
    <row r="364" spans="24:29">
      <c r="X364" s="4"/>
      <c r="Y364" s="4"/>
      <c r="Z364"/>
      <c r="AC364" t="s">
        <v>1053</v>
      </c>
    </row>
    <row r="365" spans="24:29">
      <c r="X365" s="4"/>
      <c r="Y365" s="4"/>
      <c r="Z365"/>
      <c r="AC365" t="s">
        <v>1054</v>
      </c>
    </row>
    <row r="366" spans="24:29">
      <c r="X366" s="4"/>
      <c r="Y366" s="4"/>
      <c r="Z366"/>
      <c r="AC366" t="s">
        <v>1055</v>
      </c>
    </row>
    <row r="367" spans="24:29">
      <c r="X367" s="4"/>
      <c r="Y367" s="4"/>
      <c r="Z367"/>
      <c r="AC367" t="s">
        <v>1056</v>
      </c>
    </row>
    <row r="368" spans="24:29">
      <c r="X368" s="4"/>
      <c r="Y368" s="4"/>
      <c r="Z368"/>
      <c r="AC368" t="s">
        <v>1057</v>
      </c>
    </row>
    <row r="369" spans="24:29">
      <c r="X369" s="4"/>
      <c r="Y369" s="4"/>
      <c r="Z369"/>
      <c r="AC369" t="s">
        <v>1058</v>
      </c>
    </row>
    <row r="370" spans="24:29">
      <c r="X370" s="4"/>
      <c r="Y370" s="4"/>
      <c r="Z370"/>
      <c r="AC370" t="s">
        <v>1059</v>
      </c>
    </row>
    <row r="371" spans="24:29">
      <c r="X371" s="4"/>
      <c r="Y371" s="4"/>
      <c r="Z371"/>
      <c r="AC371" t="s">
        <v>1060</v>
      </c>
    </row>
    <row r="372" spans="24:29">
      <c r="X372" s="4"/>
      <c r="Y372" s="4"/>
      <c r="Z372"/>
      <c r="AC372" t="s">
        <v>1061</v>
      </c>
    </row>
    <row r="373" spans="24:29">
      <c r="X373" s="4"/>
      <c r="Y373" s="4"/>
      <c r="Z373"/>
      <c r="AC373" t="s">
        <v>1062</v>
      </c>
    </row>
    <row r="374" spans="24:29">
      <c r="X374" s="4"/>
      <c r="Y374" s="4"/>
      <c r="Z374"/>
      <c r="AC374" t="s">
        <v>1063</v>
      </c>
    </row>
    <row r="375" spans="24:29">
      <c r="X375" s="4"/>
      <c r="Y375" s="4"/>
      <c r="Z375"/>
      <c r="AC375" t="s">
        <v>1064</v>
      </c>
    </row>
    <row r="376" spans="24:29">
      <c r="X376" s="4"/>
      <c r="Y376" s="4"/>
      <c r="Z376"/>
      <c r="AC376" t="s">
        <v>1065</v>
      </c>
    </row>
    <row r="377" spans="24:29">
      <c r="X377" s="4"/>
      <c r="Y377" s="4"/>
      <c r="Z377"/>
      <c r="AC377" t="s">
        <v>1066</v>
      </c>
    </row>
    <row r="378" spans="24:29">
      <c r="X378" s="4"/>
      <c r="Y378" s="4"/>
      <c r="Z378"/>
      <c r="AC378" t="s">
        <v>1067</v>
      </c>
    </row>
    <row r="379" spans="24:29">
      <c r="X379" s="4"/>
      <c r="Y379" s="4"/>
      <c r="Z379"/>
      <c r="AC379" t="s">
        <v>1068</v>
      </c>
    </row>
    <row r="380" spans="24:29">
      <c r="X380" s="4"/>
      <c r="Y380" s="4"/>
      <c r="Z380"/>
      <c r="AC380" t="s">
        <v>1069</v>
      </c>
    </row>
    <row r="381" spans="24:29">
      <c r="X381" s="4"/>
      <c r="Y381" s="4"/>
      <c r="Z381"/>
      <c r="AC381" t="s">
        <v>1070</v>
      </c>
    </row>
    <row r="382" spans="24:29">
      <c r="X382" s="4"/>
      <c r="Y382" s="4"/>
      <c r="Z382"/>
      <c r="AC382" t="s">
        <v>1071</v>
      </c>
    </row>
    <row r="383" spans="24:29">
      <c r="X383" s="4"/>
      <c r="Y383" s="4"/>
      <c r="Z383"/>
      <c r="AC383" t="s">
        <v>1072</v>
      </c>
    </row>
    <row r="384" spans="24:29">
      <c r="X384" s="4"/>
      <c r="Y384" s="4"/>
      <c r="Z384"/>
      <c r="AC384" t="s">
        <v>1073</v>
      </c>
    </row>
    <row r="385" spans="24:29">
      <c r="X385" s="4"/>
      <c r="Y385" s="4"/>
      <c r="Z385"/>
      <c r="AC385" t="s">
        <v>1074</v>
      </c>
    </row>
    <row r="386" spans="24:29">
      <c r="X386" s="4"/>
      <c r="Y386" s="4"/>
      <c r="Z386"/>
      <c r="AC386" t="s">
        <v>1075</v>
      </c>
    </row>
    <row r="387" spans="24:29">
      <c r="X387" s="4"/>
      <c r="Y387" s="4"/>
      <c r="Z387"/>
      <c r="AC387" t="s">
        <v>1076</v>
      </c>
    </row>
    <row r="388" spans="24:29">
      <c r="X388" s="4"/>
      <c r="Y388" s="4"/>
      <c r="Z388"/>
      <c r="AC388" t="s">
        <v>1077</v>
      </c>
    </row>
    <row r="389" spans="24:29">
      <c r="X389" s="4"/>
      <c r="Y389" s="4"/>
      <c r="Z389"/>
      <c r="AC389" t="s">
        <v>1078</v>
      </c>
    </row>
    <row r="390" spans="24:29">
      <c r="X390" s="4"/>
      <c r="Y390" s="4"/>
      <c r="Z390"/>
      <c r="AC390" t="s">
        <v>1079</v>
      </c>
    </row>
    <row r="391" spans="24:29">
      <c r="X391" s="4"/>
      <c r="Y391" s="4"/>
      <c r="Z391"/>
      <c r="AC391" t="s">
        <v>1080</v>
      </c>
    </row>
    <row r="392" spans="24:29">
      <c r="X392" s="4"/>
      <c r="Y392" s="4"/>
      <c r="Z392"/>
      <c r="AC392" t="s">
        <v>1081</v>
      </c>
    </row>
    <row r="393" spans="24:29">
      <c r="X393" s="4"/>
      <c r="Y393" s="4"/>
      <c r="Z393"/>
      <c r="AC393" t="s">
        <v>1082</v>
      </c>
    </row>
    <row r="394" spans="24:29">
      <c r="X394" s="4"/>
      <c r="Y394" s="4"/>
      <c r="Z394"/>
      <c r="AC394" t="s">
        <v>1083</v>
      </c>
    </row>
    <row r="395" spans="24:29">
      <c r="X395" s="4"/>
      <c r="Y395" s="4"/>
      <c r="Z395"/>
      <c r="AC395" t="s">
        <v>1085</v>
      </c>
    </row>
    <row r="396" spans="24:29">
      <c r="X396" s="4"/>
      <c r="Y396" s="4"/>
      <c r="Z396"/>
      <c r="AC396" t="s">
        <v>1086</v>
      </c>
    </row>
    <row r="397" spans="24:29">
      <c r="X397" s="4"/>
      <c r="Y397" s="4"/>
      <c r="Z397"/>
      <c r="AC397" t="s">
        <v>1088</v>
      </c>
    </row>
    <row r="398" spans="24:29">
      <c r="X398" s="4"/>
      <c r="Y398" s="4"/>
      <c r="Z398"/>
      <c r="AC398" t="s">
        <v>1087</v>
      </c>
    </row>
    <row r="399" spans="24:29">
      <c r="X399" s="4"/>
      <c r="Y399" s="4"/>
      <c r="Z399"/>
      <c r="AC399" t="s">
        <v>1089</v>
      </c>
    </row>
    <row r="400" spans="24:29">
      <c r="X400" s="4"/>
      <c r="Y400" s="4"/>
      <c r="Z400"/>
      <c r="AC400" t="s">
        <v>1090</v>
      </c>
    </row>
    <row r="401" spans="24:29">
      <c r="X401" s="4"/>
      <c r="Y401" s="4"/>
      <c r="Z401"/>
      <c r="AC401" t="s">
        <v>1091</v>
      </c>
    </row>
    <row r="402" spans="24:29">
      <c r="X402" s="4"/>
      <c r="Y402" s="4"/>
      <c r="Z402"/>
      <c r="AC402" t="s">
        <v>1092</v>
      </c>
    </row>
    <row r="403" spans="24:29">
      <c r="X403" s="4"/>
      <c r="Y403" s="4"/>
      <c r="Z403"/>
      <c r="AC403" t="s">
        <v>1093</v>
      </c>
    </row>
    <row r="404" spans="24:29">
      <c r="X404" s="4"/>
      <c r="Y404" s="4"/>
      <c r="Z404"/>
      <c r="AC404" t="s">
        <v>1094</v>
      </c>
    </row>
    <row r="405" spans="24:29">
      <c r="X405" s="4"/>
      <c r="Y405" s="4"/>
      <c r="Z405"/>
      <c r="AC405" t="s">
        <v>1095</v>
      </c>
    </row>
    <row r="406" spans="24:29">
      <c r="X406" s="4"/>
      <c r="Y406" s="4"/>
      <c r="Z406"/>
      <c r="AC406" t="s">
        <v>1733</v>
      </c>
    </row>
    <row r="407" spans="24:29">
      <c r="X407" s="4"/>
      <c r="Y407" s="4"/>
      <c r="Z407"/>
      <c r="AC407" t="s">
        <v>1100</v>
      </c>
    </row>
    <row r="408" spans="24:29">
      <c r="X408" s="4"/>
      <c r="Y408" s="4"/>
      <c r="Z408"/>
      <c r="AC408" t="s">
        <v>1096</v>
      </c>
    </row>
    <row r="409" spans="24:29">
      <c r="X409" s="4"/>
      <c r="Y409" s="4"/>
      <c r="Z409"/>
      <c r="AC409" t="s">
        <v>1097</v>
      </c>
    </row>
    <row r="410" spans="24:29">
      <c r="X410" s="4"/>
      <c r="Y410" s="4"/>
      <c r="Z410"/>
      <c r="AC410" t="s">
        <v>1098</v>
      </c>
    </row>
    <row r="411" spans="24:29">
      <c r="X411" s="4"/>
      <c r="Y411" s="4"/>
      <c r="Z411"/>
      <c r="AC411" t="s">
        <v>1099</v>
      </c>
    </row>
    <row r="412" spans="24:29">
      <c r="X412" s="4"/>
      <c r="Y412" s="4"/>
      <c r="Z412"/>
      <c r="AC412" t="s">
        <v>1101</v>
      </c>
    </row>
    <row r="413" spans="24:29">
      <c r="X413" s="4"/>
      <c r="Y413" s="4"/>
      <c r="Z413"/>
      <c r="AC413" t="s">
        <v>1102</v>
      </c>
    </row>
    <row r="414" spans="24:29">
      <c r="X414" s="4"/>
      <c r="Y414" s="4"/>
      <c r="Z414"/>
      <c r="AC414" t="s">
        <v>1103</v>
      </c>
    </row>
    <row r="415" spans="24:29">
      <c r="X415" s="4"/>
      <c r="Y415" s="4"/>
      <c r="Z415"/>
      <c r="AC415" t="s">
        <v>1104</v>
      </c>
    </row>
    <row r="416" spans="24:29">
      <c r="X416" s="4"/>
      <c r="Y416" s="4"/>
      <c r="Z416"/>
      <c r="AC416" t="s">
        <v>1105</v>
      </c>
    </row>
    <row r="417" spans="24:29">
      <c r="X417" s="4"/>
      <c r="Y417" s="4"/>
      <c r="Z417"/>
      <c r="AC417" t="s">
        <v>1106</v>
      </c>
    </row>
    <row r="418" spans="24:29">
      <c r="X418" s="4"/>
      <c r="Y418" s="4"/>
      <c r="Z418"/>
      <c r="AC418" t="s">
        <v>1107</v>
      </c>
    </row>
    <row r="419" spans="24:29">
      <c r="X419" s="4"/>
      <c r="Y419" s="4"/>
      <c r="Z419"/>
      <c r="AC419" t="s">
        <v>1108</v>
      </c>
    </row>
    <row r="420" spans="24:29">
      <c r="X420" s="4"/>
      <c r="Y420" s="4"/>
      <c r="Z420"/>
      <c r="AC420" t="s">
        <v>1109</v>
      </c>
    </row>
    <row r="421" spans="24:29">
      <c r="X421" s="4"/>
      <c r="Y421" s="4"/>
      <c r="Z421"/>
      <c r="AC421" t="s">
        <v>1110</v>
      </c>
    </row>
    <row r="422" spans="24:29">
      <c r="X422" s="4"/>
      <c r="Y422" s="4"/>
      <c r="Z422"/>
      <c r="AC422" t="s">
        <v>22</v>
      </c>
    </row>
    <row r="423" spans="24:29">
      <c r="X423" s="4"/>
      <c r="Y423" s="4"/>
      <c r="Z423"/>
      <c r="AC423" t="s">
        <v>1111</v>
      </c>
    </row>
    <row r="424" spans="24:29">
      <c r="X424" s="4"/>
      <c r="Y424" s="4"/>
      <c r="Z424"/>
      <c r="AC424" t="s">
        <v>1112</v>
      </c>
    </row>
    <row r="425" spans="24:29">
      <c r="X425" s="4"/>
      <c r="Y425" s="4"/>
      <c r="Z425"/>
      <c r="AC425" t="s">
        <v>1113</v>
      </c>
    </row>
    <row r="426" spans="24:29">
      <c r="X426" s="4"/>
      <c r="Y426" s="4"/>
      <c r="Z426"/>
      <c r="AC426" t="s">
        <v>1114</v>
      </c>
    </row>
    <row r="427" spans="24:29">
      <c r="X427" s="4"/>
      <c r="Y427" s="4"/>
      <c r="Z427"/>
      <c r="AC427" t="s">
        <v>1115</v>
      </c>
    </row>
    <row r="428" spans="24:29">
      <c r="X428" s="4"/>
      <c r="Y428" s="4"/>
      <c r="Z428"/>
      <c r="AC428" t="s">
        <v>1116</v>
      </c>
    </row>
    <row r="429" spans="24:29">
      <c r="X429" s="4"/>
      <c r="Y429" s="4"/>
      <c r="Z429"/>
      <c r="AC429" t="s">
        <v>1117</v>
      </c>
    </row>
    <row r="430" spans="24:29">
      <c r="X430" s="4"/>
      <c r="Y430" s="4"/>
      <c r="Z430"/>
      <c r="AC430" t="s">
        <v>1118</v>
      </c>
    </row>
    <row r="431" spans="24:29">
      <c r="X431" s="4"/>
      <c r="Y431" s="4"/>
      <c r="Z431"/>
      <c r="AC431" t="s">
        <v>1119</v>
      </c>
    </row>
    <row r="432" spans="24:29">
      <c r="X432" s="4"/>
      <c r="Y432" s="4"/>
      <c r="Z432"/>
      <c r="AC432" t="s">
        <v>1120</v>
      </c>
    </row>
    <row r="433" spans="24:29">
      <c r="X433" s="4"/>
      <c r="Y433" s="4"/>
      <c r="Z433"/>
      <c r="AC433" t="s">
        <v>1121</v>
      </c>
    </row>
    <row r="434" spans="24:29">
      <c r="X434" s="4"/>
      <c r="Y434" s="4"/>
      <c r="Z434"/>
      <c r="AC434" t="s">
        <v>23</v>
      </c>
    </row>
    <row r="435" spans="24:29">
      <c r="X435" s="4"/>
      <c r="Y435" s="4"/>
      <c r="Z435"/>
      <c r="AC435" t="s">
        <v>1122</v>
      </c>
    </row>
    <row r="436" spans="24:29">
      <c r="X436" s="4"/>
      <c r="Y436" s="4"/>
      <c r="Z436"/>
      <c r="AC436" t="s">
        <v>107</v>
      </c>
    </row>
    <row r="437" spans="24:29">
      <c r="X437" s="4"/>
      <c r="Y437" s="4"/>
      <c r="Z437"/>
      <c r="AC437" t="s">
        <v>1123</v>
      </c>
    </row>
    <row r="438" spans="24:29">
      <c r="X438" s="4"/>
      <c r="Y438" s="4"/>
      <c r="Z438"/>
      <c r="AC438" t="s">
        <v>1124</v>
      </c>
    </row>
    <row r="439" spans="24:29">
      <c r="X439" s="4"/>
      <c r="Y439" s="4"/>
      <c r="Z439"/>
      <c r="AC439" t="s">
        <v>1734</v>
      </c>
    </row>
    <row r="440" spans="24:29">
      <c r="X440" s="4"/>
      <c r="Y440" s="4"/>
      <c r="Z440"/>
      <c r="AC440" t="s">
        <v>1125</v>
      </c>
    </row>
    <row r="441" spans="24:29">
      <c r="X441" s="4"/>
      <c r="Y441" s="4"/>
      <c r="Z441"/>
      <c r="AC441" t="s">
        <v>1126</v>
      </c>
    </row>
    <row r="442" spans="24:29">
      <c r="X442" s="4"/>
      <c r="Y442" s="4"/>
      <c r="Z442"/>
      <c r="AC442" t="s">
        <v>1127</v>
      </c>
    </row>
    <row r="443" spans="24:29">
      <c r="X443" s="4"/>
      <c r="Y443" s="4"/>
      <c r="Z443"/>
      <c r="AC443" t="s">
        <v>1735</v>
      </c>
    </row>
    <row r="444" spans="24:29">
      <c r="X444" s="4"/>
      <c r="Y444" s="4"/>
      <c r="Z444"/>
      <c r="AC444" t="s">
        <v>1128</v>
      </c>
    </row>
    <row r="445" spans="24:29">
      <c r="X445" s="4"/>
      <c r="Y445" s="4"/>
      <c r="Z445"/>
      <c r="AC445" t="s">
        <v>1129</v>
      </c>
    </row>
    <row r="446" spans="24:29">
      <c r="X446" s="4"/>
      <c r="Y446" s="4"/>
      <c r="Z446"/>
      <c r="AC446" t="s">
        <v>1130</v>
      </c>
    </row>
    <row r="447" spans="24:29">
      <c r="X447" s="4"/>
      <c r="Y447" s="4"/>
      <c r="Z447"/>
      <c r="AC447" t="s">
        <v>1545</v>
      </c>
    </row>
    <row r="448" spans="24:29">
      <c r="X448" s="4"/>
      <c r="Y448" s="4"/>
      <c r="Z448"/>
      <c r="AC448" t="s">
        <v>1131</v>
      </c>
    </row>
    <row r="449" spans="24:29">
      <c r="X449" s="4"/>
      <c r="Y449" s="4"/>
      <c r="Z449"/>
      <c r="AC449" t="s">
        <v>1132</v>
      </c>
    </row>
    <row r="450" spans="24:29">
      <c r="X450" s="4"/>
      <c r="Y450" s="4"/>
      <c r="Z450"/>
      <c r="AC450" t="s">
        <v>1133</v>
      </c>
    </row>
    <row r="451" spans="24:29">
      <c r="X451" s="4"/>
      <c r="Y451" s="4"/>
      <c r="Z451"/>
      <c r="AC451" t="s">
        <v>1134</v>
      </c>
    </row>
    <row r="452" spans="24:29">
      <c r="X452" s="4"/>
      <c r="Y452" s="4"/>
      <c r="Z452"/>
      <c r="AC452" t="s">
        <v>1135</v>
      </c>
    </row>
    <row r="453" spans="24:29">
      <c r="X453" s="4"/>
      <c r="Y453" s="4"/>
      <c r="Z453"/>
      <c r="AC453" t="s">
        <v>1136</v>
      </c>
    </row>
    <row r="454" spans="24:29">
      <c r="X454" s="4"/>
      <c r="Y454" s="4"/>
      <c r="Z454"/>
      <c r="AC454" t="s">
        <v>1144</v>
      </c>
    </row>
    <row r="455" spans="24:29">
      <c r="X455" s="4"/>
      <c r="Y455" s="4"/>
      <c r="Z455"/>
      <c r="AC455" t="s">
        <v>1137</v>
      </c>
    </row>
    <row r="456" spans="24:29">
      <c r="X456" s="4"/>
      <c r="Y456" s="4"/>
      <c r="Z456"/>
      <c r="AC456" t="s">
        <v>1138</v>
      </c>
    </row>
    <row r="457" spans="24:29">
      <c r="X457" s="4"/>
      <c r="Y457" s="4"/>
      <c r="Z457"/>
      <c r="AC457" t="s">
        <v>1139</v>
      </c>
    </row>
    <row r="458" spans="24:29">
      <c r="X458" s="4"/>
      <c r="Y458" s="4"/>
      <c r="Z458"/>
      <c r="AC458" t="s">
        <v>1140</v>
      </c>
    </row>
    <row r="459" spans="24:29">
      <c r="X459" s="4"/>
      <c r="Y459" s="4"/>
      <c r="Z459"/>
      <c r="AC459" t="s">
        <v>1141</v>
      </c>
    </row>
    <row r="460" spans="24:29">
      <c r="X460" s="4"/>
      <c r="Y460" s="4"/>
      <c r="Z460"/>
      <c r="AC460" t="s">
        <v>1142</v>
      </c>
    </row>
    <row r="461" spans="24:29">
      <c r="X461" s="4"/>
      <c r="Y461" s="4"/>
      <c r="Z461"/>
      <c r="AC461" t="s">
        <v>1143</v>
      </c>
    </row>
    <row r="462" spans="24:29">
      <c r="X462" s="4"/>
      <c r="Y462" s="4"/>
      <c r="Z462"/>
      <c r="AC462" t="s">
        <v>1145</v>
      </c>
    </row>
    <row r="463" spans="24:29">
      <c r="X463" s="4"/>
      <c r="Y463" s="4"/>
      <c r="Z463"/>
      <c r="AC463" t="s">
        <v>1146</v>
      </c>
    </row>
    <row r="464" spans="24:29">
      <c r="X464" s="4"/>
      <c r="Y464" s="4"/>
      <c r="Z464"/>
      <c r="AC464" t="s">
        <v>1147</v>
      </c>
    </row>
    <row r="465" spans="24:29">
      <c r="X465" s="4"/>
      <c r="Y465" s="4"/>
      <c r="Z465"/>
      <c r="AC465" t="s">
        <v>1148</v>
      </c>
    </row>
    <row r="466" spans="24:29">
      <c r="X466" s="4"/>
      <c r="Y466" s="4"/>
      <c r="Z466"/>
      <c r="AC466" t="s">
        <v>1149</v>
      </c>
    </row>
    <row r="467" spans="24:29">
      <c r="X467" s="4"/>
      <c r="Y467" s="4"/>
      <c r="Z467"/>
      <c r="AC467" t="s">
        <v>1150</v>
      </c>
    </row>
    <row r="468" spans="24:29">
      <c r="X468" s="4"/>
      <c r="Y468" s="4"/>
      <c r="Z468"/>
      <c r="AC468" t="s">
        <v>1151</v>
      </c>
    </row>
    <row r="469" spans="24:29">
      <c r="X469" s="4"/>
      <c r="Y469" s="4"/>
      <c r="Z469"/>
      <c r="AC469" t="s">
        <v>1189</v>
      </c>
    </row>
    <row r="470" spans="24:29">
      <c r="X470" s="4"/>
      <c r="Y470" s="4"/>
      <c r="Z470"/>
      <c r="AC470" t="s">
        <v>1190</v>
      </c>
    </row>
    <row r="471" spans="24:29">
      <c r="X471" s="4"/>
      <c r="Y471" s="4"/>
      <c r="Z471"/>
      <c r="AC471" t="s">
        <v>1191</v>
      </c>
    </row>
    <row r="472" spans="24:29">
      <c r="X472" s="4"/>
      <c r="Y472" s="4"/>
      <c r="Z472"/>
      <c r="AC472" t="s">
        <v>1192</v>
      </c>
    </row>
    <row r="473" spans="24:29">
      <c r="X473" s="4"/>
      <c r="Y473" s="4"/>
      <c r="Z473"/>
      <c r="AC473" t="s">
        <v>1193</v>
      </c>
    </row>
    <row r="474" spans="24:29">
      <c r="X474" s="4"/>
      <c r="Y474" s="4"/>
      <c r="Z474"/>
      <c r="AC474" t="s">
        <v>1194</v>
      </c>
    </row>
    <row r="475" spans="24:29">
      <c r="X475" s="4"/>
      <c r="Y475" s="4"/>
      <c r="Z475"/>
      <c r="AC475" t="s">
        <v>1195</v>
      </c>
    </row>
    <row r="476" spans="24:29">
      <c r="X476" s="4"/>
      <c r="Y476" s="4"/>
      <c r="Z476"/>
      <c r="AC476" t="s">
        <v>1196</v>
      </c>
    </row>
    <row r="477" spans="24:29">
      <c r="X477" s="4"/>
      <c r="Y477" s="4"/>
      <c r="Z477"/>
      <c r="AC477" t="s">
        <v>1197</v>
      </c>
    </row>
    <row r="478" spans="24:29">
      <c r="X478" s="4"/>
      <c r="Y478" s="4"/>
      <c r="Z478"/>
      <c r="AC478" t="s">
        <v>1198</v>
      </c>
    </row>
    <row r="479" spans="24:29">
      <c r="X479" s="4"/>
      <c r="Y479" s="4"/>
      <c r="Z479"/>
      <c r="AC479" t="s">
        <v>1199</v>
      </c>
    </row>
    <row r="480" spans="24:29">
      <c r="X480" s="4"/>
      <c r="Y480" s="4"/>
      <c r="Z480"/>
      <c r="AC480" t="s">
        <v>1200</v>
      </c>
    </row>
    <row r="481" spans="24:29">
      <c r="X481" s="4"/>
      <c r="Y481" s="4"/>
      <c r="Z481"/>
      <c r="AC481" t="s">
        <v>1201</v>
      </c>
    </row>
    <row r="482" spans="24:29">
      <c r="X482" s="4"/>
      <c r="Y482" s="4"/>
      <c r="Z482"/>
      <c r="AC482" t="s">
        <v>1202</v>
      </c>
    </row>
    <row r="483" spans="24:29">
      <c r="X483" s="4"/>
      <c r="Y483" s="4"/>
      <c r="Z483"/>
      <c r="AC483" t="s">
        <v>1203</v>
      </c>
    </row>
    <row r="484" spans="24:29">
      <c r="X484" s="4"/>
      <c r="Y484" s="4"/>
      <c r="Z484"/>
      <c r="AC484" t="s">
        <v>1204</v>
      </c>
    </row>
    <row r="485" spans="24:29">
      <c r="X485" s="4"/>
      <c r="Y485" s="4"/>
      <c r="Z485"/>
      <c r="AC485" t="s">
        <v>1205</v>
      </c>
    </row>
    <row r="486" spans="24:29">
      <c r="X486" s="4"/>
      <c r="Y486" s="4"/>
      <c r="Z486"/>
      <c r="AC486" t="s">
        <v>1206</v>
      </c>
    </row>
    <row r="487" spans="24:29">
      <c r="X487" s="4"/>
      <c r="Y487" s="4"/>
      <c r="Z487"/>
      <c r="AC487" t="s">
        <v>1207</v>
      </c>
    </row>
    <row r="488" spans="24:29">
      <c r="X488" s="4"/>
      <c r="Y488" s="4"/>
      <c r="Z488"/>
      <c r="AC488" t="s">
        <v>1186</v>
      </c>
    </row>
    <row r="489" spans="24:29">
      <c r="X489" s="4"/>
      <c r="Y489" s="4"/>
      <c r="Z489"/>
      <c r="AC489" t="s">
        <v>1187</v>
      </c>
    </row>
    <row r="490" spans="24:29">
      <c r="X490" s="4"/>
      <c r="Y490" s="4"/>
      <c r="Z490"/>
      <c r="AC490" t="s">
        <v>1188</v>
      </c>
    </row>
    <row r="491" spans="24:29">
      <c r="X491" s="4"/>
      <c r="Y491" s="4"/>
      <c r="Z491"/>
      <c r="AC491" t="s">
        <v>1211</v>
      </c>
    </row>
    <row r="492" spans="24:29">
      <c r="X492" s="4"/>
      <c r="Y492" s="4"/>
      <c r="Z492"/>
      <c r="AC492" t="s">
        <v>1212</v>
      </c>
    </row>
    <row r="493" spans="24:29">
      <c r="X493" s="4"/>
      <c r="Y493" s="4"/>
      <c r="Z493"/>
      <c r="AC493" t="s">
        <v>1208</v>
      </c>
    </row>
    <row r="494" spans="24:29">
      <c r="X494" s="4"/>
      <c r="Y494" s="4"/>
      <c r="Z494"/>
      <c r="AC494" t="s">
        <v>1209</v>
      </c>
    </row>
    <row r="495" spans="24:29">
      <c r="X495" s="4"/>
      <c r="Y495" s="4"/>
      <c r="Z495"/>
      <c r="AC495" t="s">
        <v>1210</v>
      </c>
    </row>
    <row r="496" spans="24:29">
      <c r="X496" s="4"/>
      <c r="Y496" s="4"/>
      <c r="Z496"/>
      <c r="AC496" t="s">
        <v>1213</v>
      </c>
    </row>
    <row r="497" spans="24:29">
      <c r="X497" s="4"/>
      <c r="Y497" s="4"/>
      <c r="Z497"/>
      <c r="AC497" t="s">
        <v>1152</v>
      </c>
    </row>
    <row r="498" spans="24:29">
      <c r="X498" s="4"/>
      <c r="Y498" s="4"/>
      <c r="Z498"/>
      <c r="AC498" t="s">
        <v>108</v>
      </c>
    </row>
    <row r="499" spans="24:29">
      <c r="X499" s="4"/>
      <c r="Y499" s="4"/>
      <c r="Z499"/>
      <c r="AC499" t="s">
        <v>1153</v>
      </c>
    </row>
    <row r="500" spans="24:29">
      <c r="X500" s="4"/>
      <c r="Y500" s="4"/>
      <c r="Z500"/>
      <c r="AC500" t="s">
        <v>1154</v>
      </c>
    </row>
    <row r="501" spans="24:29">
      <c r="X501" s="4"/>
      <c r="Y501" s="4"/>
      <c r="Z501"/>
      <c r="AC501" t="s">
        <v>1155</v>
      </c>
    </row>
    <row r="502" spans="24:29">
      <c r="X502" s="4"/>
      <c r="Y502" s="4"/>
      <c r="Z502"/>
      <c r="AC502" t="s">
        <v>1156</v>
      </c>
    </row>
    <row r="503" spans="24:29">
      <c r="X503" s="4"/>
      <c r="Y503" s="4"/>
      <c r="Z503"/>
      <c r="AC503" t="s">
        <v>1157</v>
      </c>
    </row>
    <row r="504" spans="24:29">
      <c r="X504" s="4"/>
      <c r="Y504" s="4"/>
      <c r="Z504"/>
      <c r="AC504" t="s">
        <v>1158</v>
      </c>
    </row>
    <row r="505" spans="24:29">
      <c r="X505" s="4"/>
      <c r="Y505" s="4"/>
      <c r="Z505"/>
      <c r="AC505" t="s">
        <v>1165</v>
      </c>
    </row>
    <row r="506" spans="24:29">
      <c r="X506" s="4"/>
      <c r="Y506" s="4"/>
      <c r="Z506"/>
      <c r="AC506" t="s">
        <v>1159</v>
      </c>
    </row>
    <row r="507" spans="24:29">
      <c r="X507" s="4"/>
      <c r="Y507" s="4"/>
      <c r="Z507"/>
      <c r="AC507" t="s">
        <v>1160</v>
      </c>
    </row>
    <row r="508" spans="24:29">
      <c r="X508" s="4"/>
      <c r="Y508" s="4"/>
      <c r="Z508"/>
      <c r="AC508" t="s">
        <v>1161</v>
      </c>
    </row>
    <row r="509" spans="24:29">
      <c r="X509" s="4"/>
      <c r="Y509" s="4"/>
      <c r="Z509"/>
      <c r="AC509" t="s">
        <v>1162</v>
      </c>
    </row>
    <row r="510" spans="24:29">
      <c r="X510" s="4"/>
      <c r="Y510" s="4"/>
      <c r="Z510"/>
      <c r="AC510" t="s">
        <v>1163</v>
      </c>
    </row>
    <row r="511" spans="24:29">
      <c r="X511" s="4"/>
      <c r="Y511" s="4"/>
      <c r="Z511"/>
      <c r="AC511" t="s">
        <v>1164</v>
      </c>
    </row>
    <row r="512" spans="24:29">
      <c r="X512" s="4"/>
      <c r="Y512" s="4"/>
      <c r="Z512"/>
      <c r="AC512" t="s">
        <v>1166</v>
      </c>
    </row>
    <row r="513" spans="24:29">
      <c r="X513" s="4"/>
      <c r="Y513" s="4"/>
      <c r="Z513"/>
      <c r="AC513" t="s">
        <v>1167</v>
      </c>
    </row>
    <row r="514" spans="24:29">
      <c r="X514" s="4"/>
      <c r="Y514" s="4"/>
      <c r="Z514"/>
      <c r="AC514" t="s">
        <v>1182</v>
      </c>
    </row>
    <row r="515" spans="24:29">
      <c r="X515" s="4"/>
      <c r="Y515" s="4"/>
      <c r="Z515"/>
      <c r="AC515" t="s">
        <v>1168</v>
      </c>
    </row>
    <row r="516" spans="24:29">
      <c r="X516" s="4"/>
      <c r="Y516" s="4"/>
      <c r="Z516"/>
      <c r="AC516" t="s">
        <v>1183</v>
      </c>
    </row>
    <row r="517" spans="24:29">
      <c r="X517" s="4"/>
      <c r="Y517" s="4"/>
      <c r="Z517"/>
      <c r="AC517" t="s">
        <v>1169</v>
      </c>
    </row>
    <row r="518" spans="24:29">
      <c r="X518" s="4"/>
      <c r="Y518" s="4"/>
      <c r="Z518"/>
      <c r="AC518" t="s">
        <v>1170</v>
      </c>
    </row>
    <row r="519" spans="24:29">
      <c r="X519" s="4"/>
      <c r="Y519" s="4"/>
      <c r="Z519"/>
      <c r="AC519" t="s">
        <v>1171</v>
      </c>
    </row>
    <row r="520" spans="24:29">
      <c r="X520" s="4"/>
      <c r="Y520" s="4"/>
      <c r="Z520"/>
      <c r="AC520" t="s">
        <v>1172</v>
      </c>
    </row>
    <row r="521" spans="24:29">
      <c r="X521" s="4"/>
      <c r="Y521" s="4"/>
      <c r="Z521"/>
      <c r="AC521" t="s">
        <v>1173</v>
      </c>
    </row>
    <row r="522" spans="24:29">
      <c r="X522" s="4"/>
      <c r="Y522" s="4"/>
      <c r="Z522"/>
      <c r="AC522" t="s">
        <v>1174</v>
      </c>
    </row>
    <row r="523" spans="24:29">
      <c r="X523" s="4"/>
      <c r="Y523" s="4"/>
      <c r="Z523"/>
      <c r="AC523" t="s">
        <v>1175</v>
      </c>
    </row>
    <row r="524" spans="24:29">
      <c r="X524" s="4"/>
      <c r="Y524" s="4"/>
      <c r="Z524"/>
      <c r="AC524" t="s">
        <v>1176</v>
      </c>
    </row>
    <row r="525" spans="24:29">
      <c r="X525" s="4"/>
      <c r="Y525" s="4"/>
      <c r="Z525"/>
      <c r="AC525" t="s">
        <v>1177</v>
      </c>
    </row>
    <row r="526" spans="24:29">
      <c r="X526" s="4"/>
      <c r="Y526" s="4"/>
      <c r="Z526"/>
      <c r="AC526" t="s">
        <v>1178</v>
      </c>
    </row>
    <row r="527" spans="24:29">
      <c r="X527" s="4"/>
      <c r="Y527" s="4"/>
      <c r="Z527"/>
      <c r="AC527" t="s">
        <v>1179</v>
      </c>
    </row>
    <row r="528" spans="24:29">
      <c r="X528" s="4"/>
      <c r="Y528" s="4"/>
      <c r="Z528"/>
      <c r="AC528" t="s">
        <v>1180</v>
      </c>
    </row>
    <row r="529" spans="24:29">
      <c r="X529" s="4"/>
      <c r="Y529" s="4"/>
      <c r="Z529"/>
      <c r="AC529" t="s">
        <v>1181</v>
      </c>
    </row>
    <row r="530" spans="24:29">
      <c r="X530" s="4"/>
      <c r="Y530" s="4"/>
      <c r="Z530"/>
      <c r="AC530" t="s">
        <v>1184</v>
      </c>
    </row>
    <row r="531" spans="24:29">
      <c r="X531" s="4"/>
      <c r="Y531" s="4"/>
      <c r="Z531"/>
      <c r="AC531" t="s">
        <v>1185</v>
      </c>
    </row>
    <row r="532" spans="24:29">
      <c r="X532" s="4"/>
      <c r="Y532" s="4"/>
      <c r="Z532"/>
      <c r="AC532" t="s">
        <v>1229</v>
      </c>
    </row>
    <row r="533" spans="24:29">
      <c r="X533" s="4"/>
      <c r="Y533" s="4"/>
      <c r="Z533"/>
      <c r="AC533" t="s">
        <v>1214</v>
      </c>
    </row>
    <row r="534" spans="24:29">
      <c r="X534" s="4"/>
      <c r="Y534" s="4"/>
      <c r="Z534"/>
      <c r="AC534" t="s">
        <v>1215</v>
      </c>
    </row>
    <row r="535" spans="24:29">
      <c r="X535" s="4"/>
      <c r="Y535" s="4"/>
      <c r="Z535"/>
      <c r="AC535" t="s">
        <v>1216</v>
      </c>
    </row>
    <row r="536" spans="24:29">
      <c r="X536" s="4"/>
      <c r="Y536" s="4"/>
      <c r="Z536"/>
      <c r="AC536" t="s">
        <v>1217</v>
      </c>
    </row>
    <row r="537" spans="24:29">
      <c r="X537" s="4"/>
      <c r="Y537" s="4"/>
      <c r="Z537"/>
      <c r="AC537" t="s">
        <v>1218</v>
      </c>
    </row>
    <row r="538" spans="24:29">
      <c r="X538" s="4"/>
      <c r="Y538" s="4"/>
      <c r="Z538"/>
      <c r="AC538" t="s">
        <v>1219</v>
      </c>
    </row>
    <row r="539" spans="24:29">
      <c r="X539" s="4"/>
      <c r="Y539" s="4"/>
      <c r="Z539"/>
      <c r="AC539" t="s">
        <v>1220</v>
      </c>
    </row>
    <row r="540" spans="24:29">
      <c r="X540" s="4"/>
      <c r="Y540" s="4"/>
      <c r="Z540"/>
      <c r="AC540" t="s">
        <v>1224</v>
      </c>
    </row>
    <row r="541" spans="24:29">
      <c r="X541" s="4"/>
      <c r="Y541" s="4"/>
      <c r="Z541"/>
      <c r="AC541" t="s">
        <v>1225</v>
      </c>
    </row>
    <row r="542" spans="24:29">
      <c r="X542" s="4"/>
      <c r="Y542" s="4"/>
      <c r="Z542"/>
      <c r="AC542" t="s">
        <v>1221</v>
      </c>
    </row>
    <row r="543" spans="24:29">
      <c r="X543" s="4"/>
      <c r="Y543" s="4"/>
      <c r="Z543"/>
      <c r="AC543" t="s">
        <v>1222</v>
      </c>
    </row>
    <row r="544" spans="24:29">
      <c r="X544" s="4"/>
      <c r="Y544" s="4"/>
      <c r="Z544"/>
      <c r="AC544" t="s">
        <v>1223</v>
      </c>
    </row>
    <row r="545" spans="24:29">
      <c r="X545" s="4"/>
      <c r="Y545" s="4"/>
      <c r="Z545"/>
      <c r="AC545" t="s">
        <v>1226</v>
      </c>
    </row>
    <row r="546" spans="24:29">
      <c r="X546" s="4"/>
      <c r="Y546" s="4"/>
      <c r="Z546"/>
      <c r="AC546" t="s">
        <v>1227</v>
      </c>
    </row>
    <row r="547" spans="24:29">
      <c r="X547" s="4"/>
      <c r="Y547" s="4"/>
      <c r="Z547"/>
      <c r="AC547" t="s">
        <v>1228</v>
      </c>
    </row>
    <row r="548" spans="24:29">
      <c r="X548" s="4"/>
      <c r="Y548" s="4"/>
      <c r="Z548"/>
      <c r="AC548" t="s">
        <v>1230</v>
      </c>
    </row>
    <row r="549" spans="24:29">
      <c r="X549" s="4"/>
      <c r="Y549" s="4"/>
      <c r="Z549"/>
      <c r="AC549" t="s">
        <v>1231</v>
      </c>
    </row>
    <row r="550" spans="24:29">
      <c r="X550" s="4"/>
      <c r="Y550" s="4"/>
      <c r="Z550"/>
      <c r="AC550" t="s">
        <v>1232</v>
      </c>
    </row>
    <row r="551" spans="24:29">
      <c r="X551" s="4"/>
      <c r="Y551" s="4"/>
      <c r="Z551"/>
      <c r="AC551" t="s">
        <v>1233</v>
      </c>
    </row>
    <row r="552" spans="24:29">
      <c r="X552" s="4"/>
      <c r="Y552" s="4"/>
      <c r="Z552"/>
      <c r="AC552" t="s">
        <v>1234</v>
      </c>
    </row>
    <row r="553" spans="24:29">
      <c r="X553" s="4"/>
      <c r="Y553" s="4"/>
      <c r="Z553"/>
      <c r="AC553" t="s">
        <v>1235</v>
      </c>
    </row>
    <row r="554" spans="24:29">
      <c r="X554" s="4"/>
      <c r="Y554" s="4"/>
      <c r="Z554"/>
      <c r="AC554" t="s">
        <v>1236</v>
      </c>
    </row>
    <row r="555" spans="24:29">
      <c r="X555" s="4"/>
      <c r="Y555" s="4"/>
      <c r="Z555"/>
      <c r="AC555" t="s">
        <v>1237</v>
      </c>
    </row>
    <row r="556" spans="24:29">
      <c r="X556" s="4"/>
      <c r="Y556" s="4"/>
      <c r="Z556"/>
      <c r="AC556" t="s">
        <v>1238</v>
      </c>
    </row>
    <row r="557" spans="24:29">
      <c r="X557" s="4"/>
      <c r="Y557" s="4"/>
      <c r="Z557"/>
      <c r="AC557" t="s">
        <v>1239</v>
      </c>
    </row>
    <row r="558" spans="24:29">
      <c r="X558" s="4"/>
      <c r="Y558" s="4"/>
      <c r="Z558"/>
      <c r="AC558" t="s">
        <v>1240</v>
      </c>
    </row>
    <row r="559" spans="24:29">
      <c r="X559" s="4"/>
      <c r="Y559" s="4"/>
      <c r="Z559"/>
      <c r="AC559" t="s">
        <v>109</v>
      </c>
    </row>
    <row r="560" spans="24:29">
      <c r="X560" s="4"/>
      <c r="Y560" s="4"/>
      <c r="Z560"/>
      <c r="AC560" t="s">
        <v>1241</v>
      </c>
    </row>
    <row r="561" spans="24:29">
      <c r="X561" s="4"/>
      <c r="Y561" s="4"/>
      <c r="Z561"/>
      <c r="AC561" t="s">
        <v>1242</v>
      </c>
    </row>
    <row r="562" spans="24:29">
      <c r="X562" s="4"/>
      <c r="Y562" s="4"/>
      <c r="Z562"/>
      <c r="AC562" t="s">
        <v>1243</v>
      </c>
    </row>
    <row r="563" spans="24:29">
      <c r="X563" s="4"/>
      <c r="Y563" s="4"/>
      <c r="Z563"/>
      <c r="AC563" t="s">
        <v>1244</v>
      </c>
    </row>
    <row r="564" spans="24:29">
      <c r="X564" s="4"/>
      <c r="Y564" s="4"/>
      <c r="Z564"/>
      <c r="AC564" t="s">
        <v>1245</v>
      </c>
    </row>
    <row r="565" spans="24:29">
      <c r="X565" s="4"/>
      <c r="Y565" s="4"/>
      <c r="Z565"/>
      <c r="AC565" t="s">
        <v>1246</v>
      </c>
    </row>
    <row r="566" spans="24:29">
      <c r="X566" s="4"/>
      <c r="Y566" s="4"/>
      <c r="Z566"/>
      <c r="AC566" t="s">
        <v>1247</v>
      </c>
    </row>
    <row r="567" spans="24:29">
      <c r="X567" s="4"/>
      <c r="Y567" s="4"/>
      <c r="Z567"/>
      <c r="AC567" t="s">
        <v>1248</v>
      </c>
    </row>
    <row r="568" spans="24:29">
      <c r="X568" s="4"/>
      <c r="Y568" s="4"/>
      <c r="Z568"/>
      <c r="AC568" t="s">
        <v>1249</v>
      </c>
    </row>
    <row r="569" spans="24:29">
      <c r="X569" s="4"/>
      <c r="Y569" s="4"/>
      <c r="Z569"/>
      <c r="AC569" t="s">
        <v>1250</v>
      </c>
    </row>
    <row r="570" spans="24:29">
      <c r="X570" s="4"/>
      <c r="Y570" s="4"/>
      <c r="Z570"/>
      <c r="AC570" t="s">
        <v>1251</v>
      </c>
    </row>
    <row r="571" spans="24:29">
      <c r="X571" s="4"/>
      <c r="Y571" s="4"/>
      <c r="Z571"/>
      <c r="AC571" t="s">
        <v>1252</v>
      </c>
    </row>
    <row r="572" spans="24:29">
      <c r="X572" s="4"/>
      <c r="Y572" s="4"/>
      <c r="Z572"/>
      <c r="AC572" t="s">
        <v>1253</v>
      </c>
    </row>
    <row r="573" spans="24:29">
      <c r="X573" s="4"/>
      <c r="Y573" s="4"/>
      <c r="Z573"/>
      <c r="AC573" t="s">
        <v>1254</v>
      </c>
    </row>
    <row r="574" spans="24:29">
      <c r="X574" s="4"/>
      <c r="Y574" s="4"/>
      <c r="Z574"/>
      <c r="AC574" t="s">
        <v>1255</v>
      </c>
    </row>
    <row r="575" spans="24:29">
      <c r="X575" s="4"/>
      <c r="Y575" s="4"/>
      <c r="Z575"/>
      <c r="AC575" t="s">
        <v>1256</v>
      </c>
    </row>
    <row r="576" spans="24:29">
      <c r="X576" s="4"/>
      <c r="Y576" s="4"/>
      <c r="Z576"/>
      <c r="AC576" t="s">
        <v>1084</v>
      </c>
    </row>
    <row r="577" spans="24:29">
      <c r="X577" s="4"/>
      <c r="Y577" s="4"/>
      <c r="Z577"/>
      <c r="AC577" t="s">
        <v>1257</v>
      </c>
    </row>
    <row r="578" spans="24:29">
      <c r="X578" s="4"/>
      <c r="Y578" s="4"/>
      <c r="Z578"/>
      <c r="AC578" t="s">
        <v>1258</v>
      </c>
    </row>
    <row r="579" spans="24:29">
      <c r="X579" s="4"/>
      <c r="Y579" s="4"/>
      <c r="Z579"/>
      <c r="AC579" t="s">
        <v>1259</v>
      </c>
    </row>
    <row r="580" spans="24:29">
      <c r="X580" s="4"/>
      <c r="Y580" s="4"/>
      <c r="Z580"/>
      <c r="AC580" t="s">
        <v>1260</v>
      </c>
    </row>
    <row r="581" spans="24:29">
      <c r="X581" s="4"/>
      <c r="Y581" s="4"/>
      <c r="Z581"/>
      <c r="AC581" t="s">
        <v>1261</v>
      </c>
    </row>
    <row r="582" spans="24:29">
      <c r="X582" s="4"/>
      <c r="Y582" s="4"/>
      <c r="Z582"/>
      <c r="AC582" t="s">
        <v>1262</v>
      </c>
    </row>
    <row r="583" spans="24:29">
      <c r="X583" s="4"/>
      <c r="Y583" s="4"/>
      <c r="Z583"/>
      <c r="AC583" t="s">
        <v>1263</v>
      </c>
    </row>
    <row r="584" spans="24:29">
      <c r="X584" s="4"/>
      <c r="Y584" s="4"/>
      <c r="Z584"/>
      <c r="AC584" t="s">
        <v>1264</v>
      </c>
    </row>
    <row r="585" spans="24:29">
      <c r="X585" s="4"/>
      <c r="Y585" s="4"/>
      <c r="Z585"/>
      <c r="AC585" t="s">
        <v>1736</v>
      </c>
    </row>
    <row r="586" spans="24:29">
      <c r="X586" s="4"/>
      <c r="Y586" s="4"/>
      <c r="Z586"/>
      <c r="AC586" t="s">
        <v>1265</v>
      </c>
    </row>
    <row r="587" spans="24:29">
      <c r="X587" s="4"/>
      <c r="Y587" s="4"/>
      <c r="Z587"/>
      <c r="AC587" t="s">
        <v>1266</v>
      </c>
    </row>
    <row r="588" spans="24:29">
      <c r="X588" s="4"/>
      <c r="Y588" s="4"/>
      <c r="Z588"/>
      <c r="AC588" t="s">
        <v>1267</v>
      </c>
    </row>
    <row r="589" spans="24:29">
      <c r="X589" s="4"/>
      <c r="Y589" s="4"/>
      <c r="Z589"/>
      <c r="AC589" t="s">
        <v>1268</v>
      </c>
    </row>
    <row r="590" spans="24:29">
      <c r="X590" s="4"/>
      <c r="Y590" s="4"/>
      <c r="Z590"/>
      <c r="AC590" t="s">
        <v>1269</v>
      </c>
    </row>
    <row r="591" spans="24:29">
      <c r="X591" s="4"/>
      <c r="Y591" s="4"/>
      <c r="Z591"/>
      <c r="AC591" t="s">
        <v>1270</v>
      </c>
    </row>
    <row r="592" spans="24:29">
      <c r="X592" s="4"/>
      <c r="Y592" s="4"/>
      <c r="Z592"/>
      <c r="AC592" t="s">
        <v>1271</v>
      </c>
    </row>
    <row r="593" spans="24:29">
      <c r="X593" s="4"/>
      <c r="Y593" s="4"/>
      <c r="Z593"/>
      <c r="AC593" t="s">
        <v>1272</v>
      </c>
    </row>
    <row r="594" spans="24:29">
      <c r="X594" s="4"/>
      <c r="Y594" s="4"/>
      <c r="Z594"/>
      <c r="AC594" t="s">
        <v>1273</v>
      </c>
    </row>
    <row r="595" spans="24:29">
      <c r="X595" s="4"/>
      <c r="Y595" s="4"/>
      <c r="Z595"/>
      <c r="AC595" t="s">
        <v>1274</v>
      </c>
    </row>
    <row r="596" spans="24:29">
      <c r="X596" s="4"/>
      <c r="Y596" s="4"/>
      <c r="Z596"/>
      <c r="AC596" t="s">
        <v>1275</v>
      </c>
    </row>
    <row r="597" spans="24:29">
      <c r="X597" s="4"/>
      <c r="Y597" s="4"/>
      <c r="Z597"/>
      <c r="AC597" t="s">
        <v>1276</v>
      </c>
    </row>
    <row r="598" spans="24:29">
      <c r="X598" s="4"/>
      <c r="Y598" s="4"/>
      <c r="Z598"/>
      <c r="AC598" t="s">
        <v>1277</v>
      </c>
    </row>
    <row r="599" spans="24:29">
      <c r="X599" s="4"/>
      <c r="Y599" s="4"/>
      <c r="Z599"/>
      <c r="AC599" t="s">
        <v>1278</v>
      </c>
    </row>
    <row r="600" spans="24:29">
      <c r="X600" s="4"/>
      <c r="Y600" s="4"/>
      <c r="Z600"/>
      <c r="AC600" t="s">
        <v>1279</v>
      </c>
    </row>
    <row r="601" spans="24:29">
      <c r="X601" s="4"/>
      <c r="Y601" s="4"/>
      <c r="Z601"/>
      <c r="AC601" t="s">
        <v>1280</v>
      </c>
    </row>
    <row r="602" spans="24:29">
      <c r="X602" s="4"/>
      <c r="Y602" s="4"/>
      <c r="Z602"/>
      <c r="AC602" t="s">
        <v>1281</v>
      </c>
    </row>
    <row r="603" spans="24:29">
      <c r="X603" s="4"/>
      <c r="Y603" s="4"/>
      <c r="Z603"/>
      <c r="AC603" t="s">
        <v>1282</v>
      </c>
    </row>
    <row r="604" spans="24:29">
      <c r="X604" s="4"/>
      <c r="Y604" s="4"/>
      <c r="Z604"/>
      <c r="AC604" t="s">
        <v>1283</v>
      </c>
    </row>
    <row r="605" spans="24:29">
      <c r="X605" s="4"/>
      <c r="Y605" s="4"/>
      <c r="Z605"/>
      <c r="AC605" t="s">
        <v>1284</v>
      </c>
    </row>
    <row r="606" spans="24:29">
      <c r="X606" s="4"/>
      <c r="Y606" s="4"/>
      <c r="Z606"/>
      <c r="AC606" t="s">
        <v>1285</v>
      </c>
    </row>
    <row r="607" spans="24:29">
      <c r="X607" s="4"/>
      <c r="Y607" s="4"/>
      <c r="Z607"/>
      <c r="AC607" t="s">
        <v>1286</v>
      </c>
    </row>
    <row r="608" spans="24:29">
      <c r="X608" s="4"/>
      <c r="Y608" s="4"/>
      <c r="Z608"/>
      <c r="AC608" t="s">
        <v>1287</v>
      </c>
    </row>
    <row r="609" spans="24:29">
      <c r="X609" s="4"/>
      <c r="Y609" s="4"/>
      <c r="Z609"/>
      <c r="AC609" t="s">
        <v>1288</v>
      </c>
    </row>
    <row r="610" spans="24:29">
      <c r="X610" s="4"/>
      <c r="Y610" s="4"/>
      <c r="Z610"/>
      <c r="AC610" t="s">
        <v>1289</v>
      </c>
    </row>
    <row r="611" spans="24:29">
      <c r="X611" s="4"/>
      <c r="Y611" s="4"/>
      <c r="Z611"/>
      <c r="AC611" t="s">
        <v>1290</v>
      </c>
    </row>
    <row r="612" spans="24:29">
      <c r="X612" s="4"/>
      <c r="Y612" s="4"/>
      <c r="Z612"/>
      <c r="AC612" t="s">
        <v>1291</v>
      </c>
    </row>
    <row r="613" spans="24:29">
      <c r="X613" s="4"/>
      <c r="Y613" s="4"/>
      <c r="Z613"/>
      <c r="AC613" t="s">
        <v>1292</v>
      </c>
    </row>
    <row r="614" spans="24:29">
      <c r="X614" s="4"/>
      <c r="Y614" s="4"/>
      <c r="Z614"/>
      <c r="AC614" t="s">
        <v>1293</v>
      </c>
    </row>
    <row r="615" spans="24:29">
      <c r="X615" s="4"/>
      <c r="Y615" s="4"/>
      <c r="Z615"/>
      <c r="AC615" t="s">
        <v>1294</v>
      </c>
    </row>
    <row r="616" spans="24:29">
      <c r="X616" s="4"/>
      <c r="Y616" s="4"/>
      <c r="Z616"/>
      <c r="AC616" t="s">
        <v>1295</v>
      </c>
    </row>
    <row r="617" spans="24:29">
      <c r="X617" s="4"/>
      <c r="Y617" s="4"/>
      <c r="Z617"/>
      <c r="AC617" t="s">
        <v>1296</v>
      </c>
    </row>
    <row r="618" spans="24:29">
      <c r="X618" s="4"/>
      <c r="Y618" s="4"/>
      <c r="Z618"/>
      <c r="AC618" t="s">
        <v>1297</v>
      </c>
    </row>
    <row r="619" spans="24:29">
      <c r="X619" s="4"/>
      <c r="Y619" s="4"/>
      <c r="Z619"/>
      <c r="AC619" t="s">
        <v>1298</v>
      </c>
    </row>
    <row r="620" spans="24:29">
      <c r="X620" s="4"/>
      <c r="Y620" s="4"/>
      <c r="Z620"/>
      <c r="AC620" t="s">
        <v>1299</v>
      </c>
    </row>
    <row r="621" spans="24:29">
      <c r="X621" s="4"/>
      <c r="Y621" s="4"/>
      <c r="Z621"/>
      <c r="AC621" t="s">
        <v>1300</v>
      </c>
    </row>
    <row r="622" spans="24:29">
      <c r="X622" s="4"/>
      <c r="Y622" s="4"/>
      <c r="Z622"/>
      <c r="AC622" t="s">
        <v>1301</v>
      </c>
    </row>
    <row r="623" spans="24:29">
      <c r="X623" s="4"/>
      <c r="Y623" s="4"/>
      <c r="Z623"/>
      <c r="AC623" t="s">
        <v>1737</v>
      </c>
    </row>
    <row r="624" spans="24:29">
      <c r="X624" s="4"/>
      <c r="Y624" s="4"/>
      <c r="Z624"/>
      <c r="AC624" t="s">
        <v>1302</v>
      </c>
    </row>
    <row r="625" spans="24:29">
      <c r="X625" s="4"/>
      <c r="Y625" s="4"/>
      <c r="Z625"/>
      <c r="AC625" t="s">
        <v>1303</v>
      </c>
    </row>
    <row r="626" spans="24:29">
      <c r="X626" s="4"/>
      <c r="Y626" s="4"/>
      <c r="Z626"/>
      <c r="AC626" t="s">
        <v>1304</v>
      </c>
    </row>
    <row r="627" spans="24:29">
      <c r="X627" s="4"/>
      <c r="Y627" s="4"/>
      <c r="Z627"/>
      <c r="AC627" t="s">
        <v>1305</v>
      </c>
    </row>
    <row r="628" spans="24:29">
      <c r="X628" s="4"/>
      <c r="Y628" s="4"/>
      <c r="Z628"/>
      <c r="AC628" t="s">
        <v>1306</v>
      </c>
    </row>
    <row r="629" spans="24:29">
      <c r="X629" s="4"/>
      <c r="Y629" s="4"/>
      <c r="Z629"/>
      <c r="AC629" t="s">
        <v>1307</v>
      </c>
    </row>
    <row r="630" spans="24:29">
      <c r="X630" s="4"/>
      <c r="Y630" s="4"/>
      <c r="Z630"/>
      <c r="AC630" t="s">
        <v>1308</v>
      </c>
    </row>
    <row r="631" spans="24:29">
      <c r="X631" s="4"/>
      <c r="Y631" s="4"/>
      <c r="Z631"/>
      <c r="AC631" t="s">
        <v>1309</v>
      </c>
    </row>
    <row r="632" spans="24:29">
      <c r="X632" s="4"/>
      <c r="Y632" s="4"/>
      <c r="Z632"/>
      <c r="AC632" t="s">
        <v>1310</v>
      </c>
    </row>
    <row r="633" spans="24:29">
      <c r="X633" s="4"/>
      <c r="Y633" s="4"/>
      <c r="Z633"/>
      <c r="AC633" t="s">
        <v>1311</v>
      </c>
    </row>
    <row r="634" spans="24:29">
      <c r="X634" s="4"/>
      <c r="Y634" s="4"/>
      <c r="Z634"/>
      <c r="AC634" t="s">
        <v>1312</v>
      </c>
    </row>
    <row r="635" spans="24:29">
      <c r="X635" s="4"/>
      <c r="Y635" s="4"/>
      <c r="Z635"/>
      <c r="AC635" t="s">
        <v>1313</v>
      </c>
    </row>
    <row r="636" spans="24:29">
      <c r="X636" s="4"/>
      <c r="Y636" s="4"/>
      <c r="Z636"/>
      <c r="AC636" t="s">
        <v>1314</v>
      </c>
    </row>
    <row r="637" spans="24:29">
      <c r="X637" s="4"/>
      <c r="Y637" s="4"/>
      <c r="Z637"/>
      <c r="AC637" t="s">
        <v>1583</v>
      </c>
    </row>
    <row r="638" spans="24:29">
      <c r="X638" s="4"/>
      <c r="Y638" s="4"/>
      <c r="Z638"/>
      <c r="AC638" t="s">
        <v>1315</v>
      </c>
    </row>
    <row r="639" spans="24:29">
      <c r="X639" s="4"/>
      <c r="Y639" s="4"/>
      <c r="Z639"/>
      <c r="AC639" t="s">
        <v>1316</v>
      </c>
    </row>
    <row r="640" spans="24:29">
      <c r="X640" s="4"/>
      <c r="Y640" s="4"/>
      <c r="Z640"/>
      <c r="AC640" t="s">
        <v>1317</v>
      </c>
    </row>
    <row r="641" spans="24:29">
      <c r="X641" s="4"/>
      <c r="Y641" s="4"/>
      <c r="Z641"/>
      <c r="AC641" t="s">
        <v>1318</v>
      </c>
    </row>
    <row r="642" spans="24:29">
      <c r="X642" s="4"/>
      <c r="Y642" s="4"/>
      <c r="Z642"/>
      <c r="AC642" t="s">
        <v>1319</v>
      </c>
    </row>
    <row r="643" spans="24:29">
      <c r="X643" s="4"/>
      <c r="Y643" s="4"/>
      <c r="Z643"/>
      <c r="AC643" t="s">
        <v>1320</v>
      </c>
    </row>
    <row r="644" spans="24:29">
      <c r="X644" s="4"/>
      <c r="Y644" s="4"/>
      <c r="Z644"/>
      <c r="AC644" t="s">
        <v>1321</v>
      </c>
    </row>
    <row r="645" spans="24:29">
      <c r="X645" s="4"/>
      <c r="Y645" s="4"/>
      <c r="Z645"/>
      <c r="AC645" t="s">
        <v>1322</v>
      </c>
    </row>
    <row r="646" spans="24:29">
      <c r="X646" s="4"/>
      <c r="Y646" s="4"/>
      <c r="Z646"/>
      <c r="AC646" t="s">
        <v>1323</v>
      </c>
    </row>
    <row r="647" spans="24:29">
      <c r="X647" s="4"/>
      <c r="Y647" s="4"/>
      <c r="Z647"/>
      <c r="AC647" t="s">
        <v>1324</v>
      </c>
    </row>
    <row r="648" spans="24:29">
      <c r="X648" s="4"/>
      <c r="Y648" s="4"/>
      <c r="Z648"/>
      <c r="AC648" t="s">
        <v>1325</v>
      </c>
    </row>
    <row r="649" spans="24:29">
      <c r="X649" s="4"/>
      <c r="Y649" s="4"/>
      <c r="Z649"/>
      <c r="AC649" t="s">
        <v>1326</v>
      </c>
    </row>
    <row r="650" spans="24:29">
      <c r="X650" s="4"/>
      <c r="Y650" s="4"/>
      <c r="Z650"/>
      <c r="AC650" t="s">
        <v>1327</v>
      </c>
    </row>
    <row r="651" spans="24:29">
      <c r="X651" s="4"/>
      <c r="Y651" s="4"/>
      <c r="Z651"/>
      <c r="AC651" t="s">
        <v>1328</v>
      </c>
    </row>
    <row r="652" spans="24:29">
      <c r="X652" s="4"/>
      <c r="Y652" s="4"/>
      <c r="Z652"/>
      <c r="AC652" t="s">
        <v>1329</v>
      </c>
    </row>
    <row r="653" spans="24:29">
      <c r="X653" s="4"/>
      <c r="Y653" s="4"/>
      <c r="Z653"/>
      <c r="AC653" t="s">
        <v>1330</v>
      </c>
    </row>
    <row r="654" spans="24:29">
      <c r="X654" s="4"/>
      <c r="Y654" s="4"/>
      <c r="Z654"/>
      <c r="AC654" t="s">
        <v>1331</v>
      </c>
    </row>
    <row r="655" spans="24:29">
      <c r="X655" s="4"/>
      <c r="Y655" s="4"/>
      <c r="Z655"/>
      <c r="AC655" t="s">
        <v>1332</v>
      </c>
    </row>
    <row r="656" spans="24:29">
      <c r="X656" s="4"/>
      <c r="Y656" s="4"/>
      <c r="Z656"/>
      <c r="AC656" t="s">
        <v>1333</v>
      </c>
    </row>
    <row r="657" spans="24:29">
      <c r="X657" s="4"/>
      <c r="Y657" s="4"/>
      <c r="Z657"/>
      <c r="AC657" t="s">
        <v>1334</v>
      </c>
    </row>
    <row r="658" spans="24:29">
      <c r="X658" s="4"/>
      <c r="Y658" s="4"/>
      <c r="Z658"/>
      <c r="AC658" t="s">
        <v>1335</v>
      </c>
    </row>
    <row r="659" spans="24:29">
      <c r="X659" s="4"/>
      <c r="Y659" s="4"/>
      <c r="Z659"/>
      <c r="AC659" t="s">
        <v>1584</v>
      </c>
    </row>
    <row r="660" spans="24:29">
      <c r="X660" s="4"/>
      <c r="Y660" s="4"/>
      <c r="Z660"/>
      <c r="AC660" t="s">
        <v>1336</v>
      </c>
    </row>
    <row r="661" spans="24:29">
      <c r="X661" s="4"/>
      <c r="Y661" s="4"/>
      <c r="Z661"/>
      <c r="AC661" t="s">
        <v>1337</v>
      </c>
    </row>
    <row r="662" spans="24:29">
      <c r="X662" s="4"/>
      <c r="Y662" s="4"/>
      <c r="Z662"/>
      <c r="AC662" t="s">
        <v>1338</v>
      </c>
    </row>
    <row r="663" spans="24:29">
      <c r="X663" s="4"/>
      <c r="Y663" s="4"/>
      <c r="Z663"/>
      <c r="AC663" t="s">
        <v>1339</v>
      </c>
    </row>
    <row r="664" spans="24:29">
      <c r="X664" s="4"/>
      <c r="Y664" s="4"/>
      <c r="Z664"/>
      <c r="AC664" t="s">
        <v>1340</v>
      </c>
    </row>
    <row r="665" spans="24:29">
      <c r="X665" s="4"/>
      <c r="Y665" s="4"/>
      <c r="Z665"/>
      <c r="AC665" t="s">
        <v>1341</v>
      </c>
    </row>
    <row r="666" spans="24:29">
      <c r="X666" s="4"/>
      <c r="Y666" s="4"/>
      <c r="Z666"/>
      <c r="AC666" t="s">
        <v>1344</v>
      </c>
    </row>
    <row r="667" spans="24:29">
      <c r="X667" s="4"/>
      <c r="Y667" s="4"/>
      <c r="Z667"/>
      <c r="AC667" t="s">
        <v>1342</v>
      </c>
    </row>
    <row r="668" spans="24:29">
      <c r="X668" s="4"/>
      <c r="Y668" s="4"/>
      <c r="Z668"/>
      <c r="AC668" t="s">
        <v>1343</v>
      </c>
    </row>
    <row r="669" spans="24:29">
      <c r="X669" s="4"/>
      <c r="Y669" s="4"/>
      <c r="Z669"/>
      <c r="AC669" t="s">
        <v>1345</v>
      </c>
    </row>
    <row r="670" spans="24:29">
      <c r="X670" s="4"/>
      <c r="Y670" s="4"/>
      <c r="Z670"/>
      <c r="AC670" t="s">
        <v>1347</v>
      </c>
    </row>
    <row r="671" spans="24:29">
      <c r="X671" s="4"/>
      <c r="Y671" s="4"/>
      <c r="Z671"/>
      <c r="AC671" t="s">
        <v>1346</v>
      </c>
    </row>
    <row r="672" spans="24:29">
      <c r="X672" s="4"/>
      <c r="Y672" s="4"/>
      <c r="Z672"/>
      <c r="AC672" t="s">
        <v>1348</v>
      </c>
    </row>
    <row r="673" spans="24:29">
      <c r="X673" s="4"/>
      <c r="Y673" s="4"/>
      <c r="Z673"/>
      <c r="AC673" t="s">
        <v>1349</v>
      </c>
    </row>
    <row r="674" spans="24:29">
      <c r="X674" s="4"/>
      <c r="Y674" s="4"/>
      <c r="Z674"/>
      <c r="AC674" t="s">
        <v>1350</v>
      </c>
    </row>
    <row r="675" spans="24:29">
      <c r="X675" s="4"/>
      <c r="Y675" s="4"/>
      <c r="Z675"/>
      <c r="AC675" t="s">
        <v>1351</v>
      </c>
    </row>
    <row r="676" spans="24:29">
      <c r="X676" s="4"/>
      <c r="Y676" s="4"/>
      <c r="Z676"/>
      <c r="AC676" t="s">
        <v>1352</v>
      </c>
    </row>
    <row r="677" spans="24:29">
      <c r="X677" s="4"/>
      <c r="Y677" s="4"/>
      <c r="Z677"/>
      <c r="AC677" t="s">
        <v>1353</v>
      </c>
    </row>
    <row r="678" spans="24:29">
      <c r="X678" s="4"/>
      <c r="Y678" s="4"/>
      <c r="Z678"/>
      <c r="AC678" t="s">
        <v>1354</v>
      </c>
    </row>
    <row r="679" spans="24:29">
      <c r="X679" s="4"/>
      <c r="Y679" s="4"/>
      <c r="Z679"/>
      <c r="AC679" t="s">
        <v>1355</v>
      </c>
    </row>
    <row r="680" spans="24:29">
      <c r="X680" s="4"/>
      <c r="Y680" s="4"/>
      <c r="Z680"/>
      <c r="AC680" t="s">
        <v>1356</v>
      </c>
    </row>
    <row r="681" spans="24:29">
      <c r="X681" s="4"/>
      <c r="Y681" s="4"/>
      <c r="Z681"/>
      <c r="AC681" t="s">
        <v>1357</v>
      </c>
    </row>
    <row r="682" spans="24:29">
      <c r="X682" s="4"/>
      <c r="Y682" s="4"/>
      <c r="Z682"/>
      <c r="AC682" t="s">
        <v>1358</v>
      </c>
    </row>
    <row r="683" spans="24:29">
      <c r="X683" s="4"/>
      <c r="Y683" s="4"/>
      <c r="Z683"/>
      <c r="AC683" t="s">
        <v>1359</v>
      </c>
    </row>
    <row r="684" spans="24:29">
      <c r="X684" s="4"/>
      <c r="Y684" s="4"/>
      <c r="Z684"/>
      <c r="AC684" t="s">
        <v>1360</v>
      </c>
    </row>
    <row r="685" spans="24:29">
      <c r="X685" s="4"/>
      <c r="Y685" s="4"/>
      <c r="Z685"/>
      <c r="AC685" t="s">
        <v>1361</v>
      </c>
    </row>
    <row r="686" spans="24:29">
      <c r="X686" s="4"/>
      <c r="Y686" s="4"/>
      <c r="Z686"/>
      <c r="AC686" t="s">
        <v>1362</v>
      </c>
    </row>
    <row r="687" spans="24:29">
      <c r="X687" s="4"/>
      <c r="Y687" s="4"/>
      <c r="Z687"/>
      <c r="AC687" t="s">
        <v>1363</v>
      </c>
    </row>
    <row r="688" spans="24:29">
      <c r="X688" s="4"/>
      <c r="Y688" s="4"/>
      <c r="Z688"/>
      <c r="AC688" t="s">
        <v>1364</v>
      </c>
    </row>
    <row r="689" spans="24:29">
      <c r="X689" s="4"/>
      <c r="Y689" s="4"/>
      <c r="Z689"/>
      <c r="AC689" t="s">
        <v>1365</v>
      </c>
    </row>
    <row r="690" spans="24:29">
      <c r="X690" s="4"/>
      <c r="Y690" s="4"/>
      <c r="Z690"/>
      <c r="AC690" t="s">
        <v>1366</v>
      </c>
    </row>
    <row r="691" spans="24:29">
      <c r="X691" s="4"/>
      <c r="Y691" s="4"/>
      <c r="Z691"/>
      <c r="AC691" t="s">
        <v>1367</v>
      </c>
    </row>
    <row r="692" spans="24:29">
      <c r="X692" s="4"/>
      <c r="Y692" s="4"/>
      <c r="Z692"/>
      <c r="AC692" t="s">
        <v>1368</v>
      </c>
    </row>
    <row r="693" spans="24:29">
      <c r="X693" s="4"/>
      <c r="Y693" s="4"/>
      <c r="Z693"/>
      <c r="AC693" t="s">
        <v>1369</v>
      </c>
    </row>
    <row r="694" spans="24:29">
      <c r="X694" s="4"/>
      <c r="Y694" s="4"/>
      <c r="Z694"/>
      <c r="AC694" t="s">
        <v>1370</v>
      </c>
    </row>
    <row r="695" spans="24:29">
      <c r="X695" s="4"/>
      <c r="Y695" s="4"/>
      <c r="Z695"/>
      <c r="AC695" t="s">
        <v>1371</v>
      </c>
    </row>
    <row r="696" spans="24:29">
      <c r="X696" s="4"/>
      <c r="Y696" s="4"/>
      <c r="Z696"/>
      <c r="AC696" t="s">
        <v>1372</v>
      </c>
    </row>
    <row r="697" spans="24:29">
      <c r="X697" s="4"/>
      <c r="Y697" s="4"/>
      <c r="Z697"/>
      <c r="AC697" t="s">
        <v>1373</v>
      </c>
    </row>
    <row r="698" spans="24:29">
      <c r="X698" s="4"/>
      <c r="Y698" s="4"/>
      <c r="Z698"/>
      <c r="AC698" t="s">
        <v>1374</v>
      </c>
    </row>
    <row r="699" spans="24:29">
      <c r="X699" s="4"/>
      <c r="Y699" s="4"/>
      <c r="Z699"/>
      <c r="AC699" t="s">
        <v>1375</v>
      </c>
    </row>
    <row r="700" spans="24:29">
      <c r="X700" s="4"/>
      <c r="Y700" s="4"/>
      <c r="Z700"/>
      <c r="AC700" t="s">
        <v>1376</v>
      </c>
    </row>
    <row r="701" spans="24:29">
      <c r="X701" s="4"/>
      <c r="Y701" s="4"/>
      <c r="Z701"/>
      <c r="AC701" t="s">
        <v>1377</v>
      </c>
    </row>
    <row r="702" spans="24:29">
      <c r="X702" s="4"/>
      <c r="Y702" s="4"/>
      <c r="Z702"/>
      <c r="AC702" t="s">
        <v>1378</v>
      </c>
    </row>
    <row r="703" spans="24:29">
      <c r="X703" s="4"/>
      <c r="Y703" s="4"/>
      <c r="Z703"/>
      <c r="AC703" t="s">
        <v>110</v>
      </c>
    </row>
    <row r="704" spans="24:29">
      <c r="X704" s="4"/>
      <c r="Y704" s="4"/>
      <c r="Z704"/>
      <c r="AC704" t="s">
        <v>1379</v>
      </c>
    </row>
    <row r="705" spans="24:29">
      <c r="X705" s="4"/>
      <c r="Y705" s="4"/>
      <c r="Z705"/>
      <c r="AC705" t="s">
        <v>1380</v>
      </c>
    </row>
    <row r="706" spans="24:29">
      <c r="X706" s="4"/>
      <c r="Y706" s="4"/>
      <c r="Z706"/>
      <c r="AC706" t="s">
        <v>1381</v>
      </c>
    </row>
    <row r="707" spans="24:29">
      <c r="X707" s="4"/>
      <c r="Y707" s="4"/>
      <c r="Z707"/>
      <c r="AC707" t="s">
        <v>111</v>
      </c>
    </row>
    <row r="708" spans="24:29">
      <c r="X708" s="4"/>
      <c r="Y708" s="4"/>
      <c r="Z708"/>
      <c r="AC708" t="s">
        <v>1382</v>
      </c>
    </row>
    <row r="709" spans="24:29">
      <c r="X709" s="4"/>
      <c r="Y709" s="4"/>
      <c r="Z709"/>
      <c r="AC709" t="s">
        <v>1383</v>
      </c>
    </row>
    <row r="710" spans="24:29">
      <c r="X710" s="4"/>
      <c r="Y710" s="4"/>
      <c r="Z710"/>
      <c r="AC710" t="s">
        <v>1384</v>
      </c>
    </row>
    <row r="711" spans="24:29">
      <c r="X711" s="4"/>
      <c r="Y711" s="4"/>
      <c r="Z711"/>
      <c r="AC711" t="s">
        <v>1385</v>
      </c>
    </row>
    <row r="712" spans="24:29">
      <c r="X712" s="4"/>
      <c r="Y712" s="4"/>
      <c r="Z712"/>
      <c r="AC712" t="s">
        <v>1386</v>
      </c>
    </row>
    <row r="713" spans="24:29">
      <c r="X713" s="4"/>
      <c r="Y713" s="4"/>
      <c r="Z713"/>
      <c r="AC713" t="s">
        <v>1387</v>
      </c>
    </row>
    <row r="714" spans="24:29">
      <c r="X714" s="4"/>
      <c r="Y714" s="4"/>
      <c r="Z714"/>
      <c r="AC714" t="s">
        <v>1388</v>
      </c>
    </row>
    <row r="715" spans="24:29">
      <c r="X715" s="4"/>
      <c r="Y715" s="4"/>
      <c r="Z715"/>
      <c r="AC715" t="s">
        <v>1389</v>
      </c>
    </row>
    <row r="716" spans="24:29">
      <c r="X716" s="4"/>
      <c r="Y716" s="4"/>
      <c r="Z716"/>
      <c r="AC716" t="s">
        <v>1390</v>
      </c>
    </row>
    <row r="717" spans="24:29">
      <c r="X717" s="4"/>
      <c r="Y717" s="4"/>
      <c r="Z717"/>
      <c r="AC717" t="s">
        <v>1391</v>
      </c>
    </row>
    <row r="718" spans="24:29">
      <c r="X718" s="4"/>
      <c r="Y718" s="4"/>
      <c r="Z718"/>
      <c r="AC718" t="s">
        <v>1392</v>
      </c>
    </row>
    <row r="719" spans="24:29">
      <c r="X719" s="4"/>
      <c r="Y719" s="4"/>
      <c r="Z719"/>
      <c r="AC719" t="s">
        <v>1393</v>
      </c>
    </row>
    <row r="720" spans="24:29">
      <c r="X720" s="4"/>
      <c r="Y720" s="4"/>
      <c r="Z720"/>
      <c r="AC720" t="s">
        <v>1394</v>
      </c>
    </row>
    <row r="721" spans="24:29">
      <c r="X721" s="4"/>
      <c r="Y721" s="4"/>
      <c r="Z721"/>
      <c r="AC721" t="s">
        <v>1395</v>
      </c>
    </row>
    <row r="722" spans="24:29">
      <c r="X722" s="4"/>
      <c r="Y722" s="4"/>
      <c r="Z722"/>
      <c r="AC722" t="s">
        <v>1396</v>
      </c>
    </row>
    <row r="723" spans="24:29">
      <c r="X723" s="4"/>
      <c r="Y723" s="4"/>
      <c r="Z723"/>
      <c r="AC723" t="s">
        <v>1397</v>
      </c>
    </row>
    <row r="724" spans="24:29">
      <c r="X724" s="4"/>
      <c r="Y724" s="4"/>
      <c r="Z724"/>
      <c r="AC724" t="s">
        <v>1398</v>
      </c>
    </row>
    <row r="725" spans="24:29">
      <c r="X725" s="4"/>
      <c r="Y725" s="4"/>
      <c r="Z725"/>
      <c r="AC725" t="s">
        <v>1399</v>
      </c>
    </row>
    <row r="726" spans="24:29">
      <c r="X726" s="4"/>
      <c r="Y726" s="4"/>
      <c r="Z726"/>
      <c r="AC726" t="s">
        <v>1400</v>
      </c>
    </row>
    <row r="727" spans="24:29">
      <c r="X727" s="4"/>
      <c r="Y727" s="4"/>
      <c r="Z727"/>
      <c r="AC727" t="s">
        <v>1401</v>
      </c>
    </row>
    <row r="728" spans="24:29">
      <c r="X728" s="4"/>
      <c r="Y728" s="4"/>
      <c r="Z728"/>
      <c r="AC728" t="s">
        <v>1402</v>
      </c>
    </row>
    <row r="729" spans="24:29">
      <c r="X729" s="4"/>
      <c r="Y729" s="4"/>
      <c r="Z729"/>
      <c r="AC729" t="s">
        <v>1403</v>
      </c>
    </row>
    <row r="730" spans="24:29">
      <c r="X730" s="4"/>
      <c r="Y730" s="4"/>
      <c r="Z730"/>
      <c r="AC730" t="s">
        <v>1404</v>
      </c>
    </row>
    <row r="731" spans="24:29">
      <c r="X731" s="4"/>
      <c r="Y731" s="4"/>
      <c r="Z731"/>
      <c r="AC731" t="s">
        <v>1405</v>
      </c>
    </row>
    <row r="732" spans="24:29">
      <c r="X732" s="4"/>
      <c r="Y732" s="4"/>
      <c r="Z732"/>
      <c r="AC732" t="s">
        <v>1406</v>
      </c>
    </row>
    <row r="733" spans="24:29">
      <c r="X733" s="4"/>
      <c r="Y733" s="4"/>
      <c r="Z733"/>
      <c r="AC733" t="s">
        <v>1407</v>
      </c>
    </row>
    <row r="734" spans="24:29">
      <c r="X734" s="4"/>
      <c r="Y734" s="4"/>
      <c r="Z734"/>
      <c r="AC734" t="s">
        <v>1408</v>
      </c>
    </row>
    <row r="735" spans="24:29">
      <c r="X735" s="4"/>
      <c r="Y735" s="4"/>
      <c r="Z735"/>
      <c r="AC735" t="s">
        <v>1409</v>
      </c>
    </row>
    <row r="736" spans="24:29">
      <c r="X736" s="4"/>
      <c r="Y736" s="4"/>
      <c r="Z736"/>
      <c r="AC736" t="s">
        <v>1411</v>
      </c>
    </row>
    <row r="737" spans="24:29">
      <c r="X737" s="4"/>
      <c r="Y737" s="4"/>
      <c r="Z737"/>
      <c r="AC737" t="s">
        <v>1410</v>
      </c>
    </row>
    <row r="738" spans="24:29">
      <c r="X738" s="4"/>
      <c r="Y738" s="4"/>
      <c r="Z738"/>
      <c r="AC738" t="s">
        <v>1412</v>
      </c>
    </row>
    <row r="739" spans="24:29">
      <c r="X739" s="4"/>
      <c r="Y739" s="4"/>
      <c r="Z739"/>
      <c r="AC739" t="s">
        <v>1413</v>
      </c>
    </row>
    <row r="740" spans="24:29">
      <c r="X740" s="4"/>
      <c r="Y740" s="4"/>
      <c r="Z740"/>
      <c r="AC740" t="s">
        <v>1414</v>
      </c>
    </row>
    <row r="741" spans="24:29">
      <c r="X741" s="4"/>
      <c r="Y741" s="4"/>
      <c r="Z741"/>
      <c r="AC741" t="s">
        <v>1415</v>
      </c>
    </row>
    <row r="742" spans="24:29">
      <c r="X742" s="4"/>
      <c r="Y742" s="4"/>
      <c r="Z742"/>
      <c r="AC742" t="s">
        <v>1416</v>
      </c>
    </row>
    <row r="743" spans="24:29">
      <c r="X743" s="4"/>
      <c r="Y743" s="4"/>
      <c r="Z743"/>
      <c r="AC743" t="s">
        <v>1419</v>
      </c>
    </row>
    <row r="744" spans="24:29">
      <c r="X744" s="4"/>
      <c r="Y744" s="4"/>
      <c r="Z744"/>
      <c r="AC744" t="s">
        <v>1420</v>
      </c>
    </row>
    <row r="745" spans="24:29">
      <c r="X745" s="4"/>
      <c r="Y745" s="4"/>
      <c r="Z745"/>
      <c r="AC745" t="s">
        <v>1417</v>
      </c>
    </row>
    <row r="746" spans="24:29">
      <c r="X746" s="4"/>
      <c r="Y746" s="4"/>
      <c r="Z746"/>
      <c r="AC746" t="s">
        <v>1418</v>
      </c>
    </row>
    <row r="747" spans="24:29">
      <c r="X747" s="4"/>
      <c r="Y747" s="4"/>
      <c r="Z747"/>
      <c r="AC747" t="s">
        <v>1421</v>
      </c>
    </row>
    <row r="748" spans="24:29">
      <c r="X748" s="4"/>
      <c r="Y748" s="4"/>
      <c r="Z748"/>
      <c r="AC748" t="s">
        <v>1422</v>
      </c>
    </row>
    <row r="749" spans="24:29">
      <c r="X749" s="4"/>
      <c r="Y749" s="4"/>
      <c r="Z749"/>
      <c r="AC749" t="s">
        <v>1423</v>
      </c>
    </row>
    <row r="750" spans="24:29">
      <c r="X750" s="4"/>
      <c r="Y750" s="4"/>
      <c r="Z750"/>
      <c r="AC750" t="s">
        <v>1424</v>
      </c>
    </row>
    <row r="751" spans="24:29">
      <c r="X751" s="4"/>
      <c r="Y751" s="4"/>
      <c r="Z751"/>
      <c r="AC751" t="s">
        <v>1425</v>
      </c>
    </row>
    <row r="752" spans="24:29">
      <c r="X752" s="4"/>
      <c r="Y752" s="4"/>
      <c r="Z752"/>
      <c r="AC752" t="s">
        <v>1426</v>
      </c>
    </row>
    <row r="753" spans="24:29">
      <c r="X753" s="4"/>
      <c r="Y753" s="4"/>
      <c r="Z753"/>
      <c r="AC753" t="s">
        <v>112</v>
      </c>
    </row>
    <row r="754" spans="24:29">
      <c r="X754" s="4"/>
      <c r="Y754" s="4"/>
      <c r="Z754"/>
      <c r="AC754" t="s">
        <v>1427</v>
      </c>
    </row>
    <row r="755" spans="24:29">
      <c r="X755" s="4"/>
      <c r="Y755" s="4"/>
      <c r="Z755"/>
      <c r="AC755" t="s">
        <v>1738</v>
      </c>
    </row>
    <row r="756" spans="24:29">
      <c r="X756" s="4"/>
      <c r="Y756" s="4"/>
      <c r="Z756"/>
      <c r="AC756" t="s">
        <v>1739</v>
      </c>
    </row>
    <row r="757" spans="24:29">
      <c r="X757" s="4"/>
      <c r="Y757" s="4"/>
      <c r="Z757"/>
      <c r="AC757" t="s">
        <v>1428</v>
      </c>
    </row>
    <row r="758" spans="24:29">
      <c r="X758" s="4"/>
      <c r="Y758" s="4"/>
      <c r="Z758"/>
      <c r="AC758" t="s">
        <v>1429</v>
      </c>
    </row>
    <row r="759" spans="24:29">
      <c r="X759" s="4"/>
      <c r="Y759" s="4"/>
      <c r="Z759"/>
      <c r="AC759" t="s">
        <v>1430</v>
      </c>
    </row>
    <row r="760" spans="24:29">
      <c r="X760" s="4"/>
      <c r="Y760" s="4"/>
      <c r="Z760"/>
      <c r="AC760" t="s">
        <v>1431</v>
      </c>
    </row>
    <row r="761" spans="24:29">
      <c r="X761" s="4"/>
      <c r="Y761" s="4"/>
      <c r="Z761"/>
      <c r="AC761" t="s">
        <v>1432</v>
      </c>
    </row>
    <row r="762" spans="24:29">
      <c r="X762" s="4"/>
      <c r="Y762" s="4"/>
      <c r="Z762"/>
      <c r="AC762" t="s">
        <v>1433</v>
      </c>
    </row>
    <row r="763" spans="24:29">
      <c r="X763" s="4"/>
      <c r="Y763" s="4"/>
      <c r="Z763"/>
      <c r="AC763" t="s">
        <v>1434</v>
      </c>
    </row>
    <row r="764" spans="24:29">
      <c r="X764" s="4"/>
      <c r="Y764" s="4"/>
      <c r="Z764"/>
      <c r="AC764" t="s">
        <v>1435</v>
      </c>
    </row>
    <row r="765" spans="24:29">
      <c r="X765" s="4"/>
      <c r="Y765" s="4"/>
      <c r="Z765"/>
      <c r="AC765" t="s">
        <v>1436</v>
      </c>
    </row>
    <row r="766" spans="24:29">
      <c r="X766" s="4"/>
      <c r="Y766" s="4"/>
      <c r="Z766"/>
      <c r="AC766" t="s">
        <v>1437</v>
      </c>
    </row>
    <row r="767" spans="24:29">
      <c r="X767" s="4"/>
      <c r="Y767" s="4"/>
      <c r="Z767"/>
      <c r="AC767" t="s">
        <v>1438</v>
      </c>
    </row>
    <row r="768" spans="24:29">
      <c r="X768" s="4"/>
      <c r="Y768" s="4"/>
      <c r="Z768"/>
      <c r="AC768" t="s">
        <v>1439</v>
      </c>
    </row>
    <row r="769" spans="24:29">
      <c r="X769" s="4"/>
      <c r="Y769" s="4"/>
      <c r="Z769"/>
      <c r="AC769" t="s">
        <v>1440</v>
      </c>
    </row>
    <row r="770" spans="24:29">
      <c r="X770" s="4"/>
      <c r="Y770" s="4"/>
      <c r="Z770"/>
      <c r="AC770" t="s">
        <v>1441</v>
      </c>
    </row>
    <row r="771" spans="24:29">
      <c r="X771" s="4"/>
      <c r="Y771" s="4"/>
      <c r="Z771"/>
      <c r="AC771" t="s">
        <v>1442</v>
      </c>
    </row>
    <row r="772" spans="24:29">
      <c r="X772" s="4"/>
      <c r="Y772" s="4"/>
      <c r="Z772"/>
      <c r="AC772" t="s">
        <v>585</v>
      </c>
    </row>
    <row r="773" spans="24:29">
      <c r="X773" s="4"/>
      <c r="Y773" s="4"/>
      <c r="Z773"/>
      <c r="AC773" t="s">
        <v>1443</v>
      </c>
    </row>
    <row r="774" spans="24:29">
      <c r="X774" s="4"/>
      <c r="Y774" s="4"/>
      <c r="Z774"/>
      <c r="AC774" t="s">
        <v>1444</v>
      </c>
    </row>
    <row r="775" spans="24:29">
      <c r="X775" s="4"/>
      <c r="Y775" s="4"/>
      <c r="Z775"/>
      <c r="AC775" t="s">
        <v>1445</v>
      </c>
    </row>
    <row r="776" spans="24:29">
      <c r="X776" s="4"/>
      <c r="Y776" s="4"/>
      <c r="Z776"/>
      <c r="AC776" t="s">
        <v>1446</v>
      </c>
    </row>
    <row r="777" spans="24:29">
      <c r="X777" s="4"/>
      <c r="Y777" s="4"/>
      <c r="Z777"/>
      <c r="AC777" t="s">
        <v>1447</v>
      </c>
    </row>
    <row r="778" spans="24:29">
      <c r="X778" s="4"/>
      <c r="Y778" s="4"/>
      <c r="Z778"/>
      <c r="AC778" t="s">
        <v>1448</v>
      </c>
    </row>
    <row r="779" spans="24:29">
      <c r="X779" s="4"/>
      <c r="Y779" s="4"/>
      <c r="Z779"/>
      <c r="AC779" t="s">
        <v>1449</v>
      </c>
    </row>
    <row r="780" spans="24:29">
      <c r="X780" s="4"/>
      <c r="Y780" s="4"/>
      <c r="Z780"/>
      <c r="AC780" t="s">
        <v>1450</v>
      </c>
    </row>
    <row r="781" spans="24:29">
      <c r="X781" s="4"/>
      <c r="Y781" s="4"/>
      <c r="Z781"/>
      <c r="AC781" t="s">
        <v>1451</v>
      </c>
    </row>
    <row r="782" spans="24:29">
      <c r="X782" s="4"/>
      <c r="Y782" s="4"/>
      <c r="Z782"/>
      <c r="AC782" t="s">
        <v>1452</v>
      </c>
    </row>
    <row r="783" spans="24:29">
      <c r="X783" s="4"/>
      <c r="Y783" s="4"/>
      <c r="Z783"/>
      <c r="AC783" t="s">
        <v>1453</v>
      </c>
    </row>
    <row r="784" spans="24:29">
      <c r="X784" s="4"/>
      <c r="Y784" s="4"/>
      <c r="Z784"/>
      <c r="AC784" t="s">
        <v>1454</v>
      </c>
    </row>
    <row r="785" spans="24:29">
      <c r="X785" s="4"/>
      <c r="Y785" s="4"/>
      <c r="Z785"/>
      <c r="AC785" t="s">
        <v>1455</v>
      </c>
    </row>
    <row r="786" spans="24:29">
      <c r="X786" s="4"/>
      <c r="Y786" s="4"/>
      <c r="Z786"/>
      <c r="AC786" t="s">
        <v>1456</v>
      </c>
    </row>
    <row r="787" spans="24:29">
      <c r="X787" s="4"/>
      <c r="Y787" s="4"/>
      <c r="Z787"/>
      <c r="AC787" t="s">
        <v>1457</v>
      </c>
    </row>
    <row r="788" spans="24:29">
      <c r="X788" s="4"/>
      <c r="Y788" s="4"/>
      <c r="Z788"/>
      <c r="AC788" t="s">
        <v>1458</v>
      </c>
    </row>
    <row r="789" spans="24:29">
      <c r="X789" s="4"/>
      <c r="Y789" s="4"/>
      <c r="Z789"/>
      <c r="AC789" t="s">
        <v>1459</v>
      </c>
    </row>
    <row r="790" spans="24:29">
      <c r="X790" s="4"/>
      <c r="Y790" s="4"/>
      <c r="Z790"/>
      <c r="AC790" t="s">
        <v>1460</v>
      </c>
    </row>
    <row r="791" spans="24:29">
      <c r="X791" s="4"/>
      <c r="Y791" s="4"/>
      <c r="Z791"/>
      <c r="AC791" t="s">
        <v>1461</v>
      </c>
    </row>
    <row r="792" spans="24:29">
      <c r="X792" s="4"/>
      <c r="Y792" s="4"/>
      <c r="Z792"/>
      <c r="AC792" t="s">
        <v>1462</v>
      </c>
    </row>
    <row r="793" spans="24:29">
      <c r="X793" s="4"/>
      <c r="Y793" s="4"/>
      <c r="Z793"/>
      <c r="AC793" t="s">
        <v>1463</v>
      </c>
    </row>
    <row r="794" spans="24:29">
      <c r="AC794" t="s">
        <v>1464</v>
      </c>
    </row>
    <row r="795" spans="24:29">
      <c r="AC795" t="s">
        <v>1465</v>
      </c>
    </row>
    <row r="796" spans="24:29">
      <c r="AC796" t="s">
        <v>1466</v>
      </c>
    </row>
    <row r="797" spans="24:29">
      <c r="AC797" t="s">
        <v>1467</v>
      </c>
    </row>
    <row r="798" spans="24:29">
      <c r="AC798" t="s">
        <v>1468</v>
      </c>
    </row>
    <row r="799" spans="24:29">
      <c r="AC799" t="s">
        <v>1469</v>
      </c>
    </row>
    <row r="800" spans="24:29">
      <c r="AC800" t="s">
        <v>1470</v>
      </c>
    </row>
    <row r="801" spans="29:29">
      <c r="AC801" t="s">
        <v>1471</v>
      </c>
    </row>
    <row r="802" spans="29:29">
      <c r="AC802" t="s">
        <v>1472</v>
      </c>
    </row>
    <row r="803" spans="29:29">
      <c r="AC803" t="s">
        <v>1585</v>
      </c>
    </row>
    <row r="804" spans="29:29">
      <c r="AC804" t="s">
        <v>1473</v>
      </c>
    </row>
    <row r="805" spans="29:29">
      <c r="AC805" t="s">
        <v>1474</v>
      </c>
    </row>
    <row r="806" spans="29:29">
      <c r="AC806" t="s">
        <v>1475</v>
      </c>
    </row>
    <row r="807" spans="29:29">
      <c r="AC807" t="s">
        <v>1476</v>
      </c>
    </row>
    <row r="808" spans="29:29">
      <c r="AC808" t="s">
        <v>1477</v>
      </c>
    </row>
    <row r="809" spans="29:29">
      <c r="AC809" t="s">
        <v>1478</v>
      </c>
    </row>
    <row r="810" spans="29:29">
      <c r="AC810" t="s">
        <v>1479</v>
      </c>
    </row>
    <row r="811" spans="29:29">
      <c r="AC811" t="s">
        <v>1480</v>
      </c>
    </row>
    <row r="812" spans="29:29">
      <c r="AC812" t="s">
        <v>1481</v>
      </c>
    </row>
  </sheetData>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D8"/>
  <sheetViews>
    <sheetView workbookViewId="0">
      <selection activeCell="D8" sqref="D8"/>
    </sheetView>
  </sheetViews>
  <sheetFormatPr defaultColWidth="8.86328125" defaultRowHeight="14.25"/>
  <cols>
    <col min="1" max="1" width="13.3984375" customWidth="1"/>
    <col min="2" max="2" width="11.3984375" customWidth="1"/>
    <col min="3" max="3" width="66.86328125" customWidth="1"/>
    <col min="4" max="4" width="68.73046875" bestFit="1" customWidth="1"/>
  </cols>
  <sheetData>
    <row r="1" spans="1:4">
      <c r="A1" s="4" t="s">
        <v>161</v>
      </c>
    </row>
    <row r="2" spans="1:4" ht="14.65" thickBot="1"/>
    <row r="3" spans="1:4" ht="14.65" thickTop="1">
      <c r="A3" s="216" t="s">
        <v>166</v>
      </c>
      <c r="B3" s="217"/>
      <c r="C3" s="217"/>
      <c r="D3" s="218"/>
    </row>
    <row r="4" spans="1:4" ht="14.65" thickBot="1">
      <c r="A4" s="79" t="s">
        <v>162</v>
      </c>
      <c r="B4" s="80" t="s">
        <v>163</v>
      </c>
      <c r="C4" s="80" t="s">
        <v>164</v>
      </c>
      <c r="D4" s="81" t="s">
        <v>165</v>
      </c>
    </row>
    <row r="5" spans="1:4" ht="14.65" thickTop="1">
      <c r="A5" s="88" t="s">
        <v>14</v>
      </c>
      <c r="B5" s="82" t="s">
        <v>14</v>
      </c>
      <c r="C5" s="83" t="s">
        <v>176</v>
      </c>
      <c r="D5" s="89"/>
    </row>
    <row r="6" spans="1:4" ht="57">
      <c r="A6" s="90" t="s">
        <v>167</v>
      </c>
      <c r="B6" s="84" t="s">
        <v>35</v>
      </c>
      <c r="C6" s="85" t="s">
        <v>168</v>
      </c>
      <c r="D6" s="91" t="s">
        <v>169</v>
      </c>
    </row>
    <row r="7" spans="1:4" ht="57">
      <c r="A7" s="90" t="s">
        <v>170</v>
      </c>
      <c r="B7" s="84" t="s">
        <v>36</v>
      </c>
      <c r="C7" s="85" t="s">
        <v>171</v>
      </c>
      <c r="D7" s="91" t="s">
        <v>172</v>
      </c>
    </row>
    <row r="8" spans="1:4" ht="28.9" thickBot="1">
      <c r="A8" s="92" t="s">
        <v>173</v>
      </c>
      <c r="B8" s="93" t="s">
        <v>37</v>
      </c>
      <c r="C8" s="94" t="s">
        <v>174</v>
      </c>
      <c r="D8" s="95" t="s">
        <v>175</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dimension ref="A1:F20"/>
  <sheetViews>
    <sheetView topLeftCell="A3" workbookViewId="0">
      <selection activeCell="A16" sqref="A16:E20"/>
    </sheetView>
  </sheetViews>
  <sheetFormatPr defaultColWidth="8.86328125" defaultRowHeight="14.25"/>
  <cols>
    <col min="1" max="1" width="39" customWidth="1"/>
    <col min="2" max="2" width="32.3984375" customWidth="1"/>
    <col min="3" max="3" width="53.3984375" style="78" customWidth="1"/>
    <col min="4" max="4" width="48.1328125" customWidth="1"/>
    <col min="5" max="5" width="38.3984375" bestFit="1" customWidth="1"/>
  </cols>
  <sheetData>
    <row r="1" spans="1:6">
      <c r="A1" t="s">
        <v>161</v>
      </c>
    </row>
    <row r="2" spans="1:6" ht="14.65" thickBot="1"/>
    <row r="3" spans="1:6" s="5" customFormat="1">
      <c r="A3" s="207" t="s">
        <v>199</v>
      </c>
      <c r="B3" s="208"/>
      <c r="C3" s="208"/>
      <c r="D3" s="208"/>
      <c r="E3" s="209"/>
      <c r="F3"/>
    </row>
    <row r="4" spans="1:6" s="5" customFormat="1" ht="14.65" thickBot="1">
      <c r="A4" s="61" t="s">
        <v>55</v>
      </c>
      <c r="B4" s="48" t="s">
        <v>56</v>
      </c>
      <c r="C4" s="48" t="s">
        <v>19</v>
      </c>
      <c r="D4" s="52" t="s">
        <v>57</v>
      </c>
      <c r="E4" s="53" t="s">
        <v>58</v>
      </c>
    </row>
    <row r="5" spans="1:6" s="5" customFormat="1" ht="57.4" thickTop="1">
      <c r="A5" s="103" t="s">
        <v>60</v>
      </c>
      <c r="B5" s="14" t="s">
        <v>180</v>
      </c>
      <c r="C5" s="14" t="s">
        <v>180</v>
      </c>
      <c r="D5" s="39" t="s">
        <v>192</v>
      </c>
      <c r="E5" s="104" t="s">
        <v>181</v>
      </c>
    </row>
    <row r="6" spans="1:6" s="5" customFormat="1" ht="128.25">
      <c r="A6" s="97" t="s">
        <v>60</v>
      </c>
      <c r="B6" s="7" t="s">
        <v>193</v>
      </c>
      <c r="C6" s="7" t="s">
        <v>194</v>
      </c>
      <c r="D6" s="8" t="s">
        <v>195</v>
      </c>
      <c r="E6" s="98" t="s">
        <v>196</v>
      </c>
    </row>
    <row r="7" spans="1:6" s="5" customFormat="1" ht="57.4" thickBot="1">
      <c r="A7" s="99" t="s">
        <v>60</v>
      </c>
      <c r="B7" s="100" t="s">
        <v>186</v>
      </c>
      <c r="C7" s="100" t="s">
        <v>197</v>
      </c>
      <c r="D7" s="101" t="s">
        <v>198</v>
      </c>
      <c r="E7" s="102" t="s">
        <v>184</v>
      </c>
    </row>
    <row r="8" spans="1:6">
      <c r="C8"/>
    </row>
    <row r="9" spans="1:6" s="4" customFormat="1"/>
    <row r="10" spans="1:6" s="4" customFormat="1"/>
    <row r="11" spans="1:6" s="4" customFormat="1"/>
    <row r="12" spans="1:6" s="4" customFormat="1"/>
    <row r="13" spans="1:6" s="4" customFormat="1"/>
    <row r="14" spans="1:6">
      <c r="C14"/>
    </row>
    <row r="15" spans="1:6" ht="14.65" thickBot="1">
      <c r="C15"/>
    </row>
    <row r="16" spans="1:6" s="4" customFormat="1">
      <c r="A16" s="219" t="s">
        <v>191</v>
      </c>
      <c r="B16" s="220"/>
      <c r="C16" s="220"/>
      <c r="D16" s="220"/>
      <c r="E16" s="221"/>
    </row>
    <row r="17" spans="1:5" ht="14.65" thickBot="1">
      <c r="A17" s="79" t="s">
        <v>177</v>
      </c>
      <c r="B17" s="80" t="s">
        <v>200</v>
      </c>
      <c r="C17" s="96" t="s">
        <v>178</v>
      </c>
      <c r="D17" s="81" t="s">
        <v>179</v>
      </c>
      <c r="E17" s="80" t="s">
        <v>201</v>
      </c>
    </row>
    <row r="18" spans="1:5" ht="71.650000000000006" thickTop="1">
      <c r="A18" s="105" t="s">
        <v>180</v>
      </c>
      <c r="B18" s="82" t="s">
        <v>180</v>
      </c>
      <c r="C18" s="83" t="s">
        <v>182</v>
      </c>
      <c r="D18" s="107" t="s">
        <v>181</v>
      </c>
      <c r="E18" s="112" t="s">
        <v>181</v>
      </c>
    </row>
    <row r="19" spans="1:5" s="4" customFormat="1" ht="28.5">
      <c r="A19" s="106" t="s">
        <v>190</v>
      </c>
      <c r="B19" s="84" t="s">
        <v>194</v>
      </c>
      <c r="C19" s="85" t="s">
        <v>187</v>
      </c>
      <c r="D19" s="108" t="s">
        <v>188</v>
      </c>
      <c r="E19" s="91"/>
    </row>
    <row r="20" spans="1:5" ht="71.650000000000006" thickBot="1">
      <c r="A20" s="109" t="s">
        <v>189</v>
      </c>
      <c r="B20" s="86" t="s">
        <v>197</v>
      </c>
      <c r="C20" s="87" t="s">
        <v>183</v>
      </c>
      <c r="D20" s="110" t="s">
        <v>184</v>
      </c>
      <c r="E20" s="111" t="s">
        <v>202</v>
      </c>
    </row>
  </sheetData>
  <mergeCells count="2">
    <mergeCell ref="A3:E3"/>
    <mergeCell ref="A16:E16"/>
  </mergeCells>
  <dataValidations count="2">
    <dataValidation type="list" allowBlank="1" showInputMessage="1" showErrorMessage="1" sqref="A5:A7" xr:uid="{00000000-0002-0000-0D00-000000000000}">
      <formula1>OrganizationTypeCV</formula1>
    </dataValidation>
    <dataValidation type="textLength" allowBlank="1" showInputMessage="1" showErrorMessage="1" sqref="B5:B15" xr:uid="{00000000-0002-0000-0D00-000001000000}">
      <formula1>1</formula1>
      <formula2>50</formula2>
    </dataValidation>
  </dataValidations>
  <hyperlinks>
    <hyperlink ref="D18" r:id="rId1" xr:uid="{00000000-0004-0000-0D00-000000000000}"/>
    <hyperlink ref="D20" r:id="rId2" xr:uid="{00000000-0004-0000-0D00-000001000000}"/>
    <hyperlink ref="D19" r:id="rId3" xr:uid="{00000000-0004-0000-0D00-000002000000}"/>
    <hyperlink ref="E5" r:id="rId4" xr:uid="{00000000-0004-0000-0D00-000003000000}"/>
    <hyperlink ref="E6" r:id="rId5" xr:uid="{00000000-0004-0000-0D00-000004000000}"/>
    <hyperlink ref="E7" r:id="rId6" xr:uid="{00000000-0004-0000-0D00-000005000000}"/>
    <hyperlink ref="E20" r:id="rId7" xr:uid="{00000000-0004-0000-0D00-000006000000}"/>
    <hyperlink ref="E18" r:id="rId8" xr:uid="{00000000-0004-0000-0D00-000007000000}"/>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dimension ref="C2:D18"/>
  <sheetViews>
    <sheetView workbookViewId="0">
      <selection activeCell="D2" sqref="D2"/>
    </sheetView>
  </sheetViews>
  <sheetFormatPr defaultColWidth="8.86328125" defaultRowHeight="14.25"/>
  <sheetData>
    <row r="2" spans="3:4">
      <c r="C2" s="23" t="str">
        <f>listUniqueMult(DataColumns[Sampling Feature Code],'Data Columns'!$E$11:$E$13, 2)</f>
        <v>iButton_1923_AT</v>
      </c>
      <c r="D2" t="e">
        <f>listUnique('Data Columns'!$E$11:$E$13)</f>
        <v>#VALUE!</v>
      </c>
    </row>
    <row r="3" spans="3:4">
      <c r="C3" s="23"/>
      <c r="D3" s="4" t="e">
        <f>listUnique('Data Columns'!$E$11:$E$13)</f>
        <v>#VALUE!</v>
      </c>
    </row>
    <row r="4" spans="3:4">
      <c r="C4" s="23"/>
      <c r="D4" s="4" t="e">
        <f>listUnique('Data Columns'!$E$11:$E$13)</f>
        <v>#VALUE!</v>
      </c>
    </row>
    <row r="5" spans="3:4">
      <c r="C5" s="23"/>
      <c r="D5" s="4" t="e">
        <f>listUnique('Data Columns'!$E$11:$E$13)</f>
        <v>#VALUE!</v>
      </c>
    </row>
    <row r="6" spans="3:4">
      <c r="C6" s="23"/>
      <c r="D6" s="4" t="e">
        <f>listUnique('Data Columns'!$E$11:$E$13)</f>
        <v>#VALUE!</v>
      </c>
    </row>
    <row r="7" spans="3:4">
      <c r="C7" s="23"/>
      <c r="D7" s="4" t="e">
        <f>listUnique('Data Columns'!$E$11:$E$13)</f>
        <v>#VALUE!</v>
      </c>
    </row>
    <row r="8" spans="3:4">
      <c r="C8" s="23"/>
      <c r="D8" s="4" t="e">
        <f>listUnique('Data Columns'!$E$11:$E$13)</f>
        <v>#VALUE!</v>
      </c>
    </row>
    <row r="9" spans="3:4">
      <c r="C9" s="23"/>
      <c r="D9" s="4" t="e">
        <f>listUnique('Data Columns'!$E$11:$E$13)</f>
        <v>#VALUE!</v>
      </c>
    </row>
    <row r="10" spans="3:4">
      <c r="C10" s="23"/>
      <c r="D10" s="4" t="e">
        <f>listUnique('Data Columns'!$E$11:$E$13)</f>
        <v>#VALUE!</v>
      </c>
    </row>
    <row r="11" spans="3:4">
      <c r="C11" s="23"/>
      <c r="D11" s="4" t="str">
        <f>listUnique('Data Columns'!$E$11:$E$13)</f>
        <v>iButton_1923_AT</v>
      </c>
    </row>
    <row r="12" spans="3:4">
      <c r="C12" s="23"/>
    </row>
    <row r="13" spans="3:4">
      <c r="C13" s="23"/>
    </row>
    <row r="14" spans="3:4">
      <c r="C14" s="23"/>
    </row>
    <row r="15" spans="3:4">
      <c r="C15" s="23"/>
    </row>
    <row r="16" spans="3:4">
      <c r="C16" s="23"/>
    </row>
    <row r="17" spans="3:3">
      <c r="C17" s="23"/>
    </row>
    <row r="18" spans="3:3">
      <c r="C18" s="23"/>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50</vt:i4>
      </vt:variant>
    </vt:vector>
  </HeadingPairs>
  <TitlesOfParts>
    <vt:vector size="65"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Controlled Vocabularies</vt:lpstr>
      <vt:lpstr>SpatialReferences</vt:lpstr>
      <vt:lpstr>ExternalIdentifierSystems</vt:lpstr>
      <vt:lpstr>Sheet1</vt:lpstr>
      <vt:lpstr>AuthorList_Table</vt:lpstr>
      <vt:lpstr>CitationDOI</vt:lpstr>
      <vt:lpstr>CitationInformation</vt:lpstr>
      <vt:lpstr>CitationLink</vt:lpstr>
      <vt:lpstr>CitationTitle</vt:lpstr>
      <vt:lpstr>DataColumns_Table</vt:lpstr>
      <vt:lpstr>Dataset_Table</vt:lpstr>
      <vt:lpstr>DatasetAbstract</vt:lpstr>
      <vt:lpstr>DatasetCitationRelationship</vt:lpstr>
      <vt:lpstr>DatasetCode</vt:lpstr>
      <vt:lpstr>DatasetTitle</vt:lpstr>
      <vt:lpstr>DatasetType</vt:lpstr>
      <vt:lpstr>DatasetUUID</vt:lpstr>
      <vt:lpstr>ElevationDatum</vt:lpstr>
      <vt:lpstr>ExternalCitation_Table</vt:lpstr>
      <vt:lpstr>ExternalIdentifier_Table</vt:lpstr>
      <vt:lpstr>ExternalIDOrgs_Table</vt:lpstr>
      <vt:lpstr>LatLonDatum</vt:lpstr>
      <vt:lpstr>ListOfVocabularies</vt:lpstr>
      <vt:lpstr>Methods_Table</vt:lpstr>
      <vt:lpstr>NumAuthors</vt:lpstr>
      <vt:lpstr>NumDataColumns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NumUnits</vt:lpstr>
      <vt:lpstr>NumVariables</vt:lpstr>
      <vt:lpstr>Organizations_Table</vt:lpstr>
      <vt:lpstr>People_Table</vt:lpstr>
      <vt:lpstr>ProcessingLevels_Table</vt:lpstr>
      <vt:lpstr>PublicationYear</vt:lpstr>
      <vt:lpstr>Publisher</vt:lpstr>
      <vt:lpstr>ReferenceDatumSF_Table</vt:lpstr>
      <vt:lpstr>RelatedFeatures_Table</vt:lpstr>
      <vt:lpstr>SamplingFeatures_Table</vt:lpstr>
      <vt:lpstr>SpatialReferences_Table</vt:lpstr>
      <vt:lpstr>TemplateProfile</vt:lpstr>
      <vt:lpstr>TemplateVersion</vt:lpstr>
      <vt:lpstr>Units_Table</vt:lpstr>
      <vt:lpstr>Variables_Table</vt:lpstr>
      <vt:lpstr>VocabUpdate</vt:lpstr>
      <vt:lpstr>YODAVersion</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cband</cp:lastModifiedBy>
  <dcterms:created xsi:type="dcterms:W3CDTF">2015-02-03T15:37:42Z</dcterms:created>
  <dcterms:modified xsi:type="dcterms:W3CDTF">2019-11-26T23:18:59Z</dcterms:modified>
  <cp:contentStatus/>
</cp:coreProperties>
</file>